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545D5E3E-24CF-45BE-AC46-0DBC9C35352A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79" i="51" l="1"/>
  <c r="AO281" i="51" s="1"/>
  <c r="AO275" i="51"/>
  <c r="AO274" i="51"/>
  <c r="AX273" i="51"/>
  <c r="AO273" i="51"/>
  <c r="AX272" i="51"/>
  <c r="AO272" i="51"/>
  <c r="AX271" i="51"/>
  <c r="AO271" i="51"/>
  <c r="AX270" i="51"/>
  <c r="AX274" i="51" s="1"/>
  <c r="AO270" i="51"/>
  <c r="AO269" i="51"/>
  <c r="AO268" i="51"/>
  <c r="AO267" i="51"/>
  <c r="AX266" i="51"/>
  <c r="AX267" i="51" s="1"/>
  <c r="AE120" i="51" s="1"/>
  <c r="AO266" i="51"/>
  <c r="AO276" i="51" s="1"/>
  <c r="AX262" i="51"/>
  <c r="AX263" i="51" s="1"/>
  <c r="AE122" i="51" s="1"/>
  <c r="AF122" i="51" s="1"/>
  <c r="AO262" i="51"/>
  <c r="AO261" i="51"/>
  <c r="AO263" i="51" s="1"/>
  <c r="AX259" i="51"/>
  <c r="AX258" i="51"/>
  <c r="AO257" i="51"/>
  <c r="AO256" i="51"/>
  <c r="AX255" i="51"/>
  <c r="AO255" i="51"/>
  <c r="AX254" i="51"/>
  <c r="AO254" i="51"/>
  <c r="AO253" i="51"/>
  <c r="AO258" i="51" s="1"/>
  <c r="AE121" i="51" s="1"/>
  <c r="T251" i="51"/>
  <c r="AX250" i="51"/>
  <c r="T250" i="51"/>
  <c r="G250" i="51"/>
  <c r="AX249" i="51"/>
  <c r="T249" i="51"/>
  <c r="G249" i="51"/>
  <c r="G251" i="51" s="1"/>
  <c r="AX248" i="51"/>
  <c r="AX247" i="51"/>
  <c r="T247" i="51"/>
  <c r="G247" i="51"/>
  <c r="AX246" i="51"/>
  <c r="AX251" i="51" s="1"/>
  <c r="T246" i="51"/>
  <c r="G246" i="51"/>
  <c r="AX245" i="51"/>
  <c r="T245" i="51"/>
  <c r="G245" i="51"/>
  <c r="AO244" i="51"/>
  <c r="AO243" i="51"/>
  <c r="AX242" i="51"/>
  <c r="AO242" i="51"/>
  <c r="T242" i="51"/>
  <c r="G242" i="51"/>
  <c r="AX241" i="51"/>
  <c r="AO241" i="51"/>
  <c r="T241" i="51"/>
  <c r="G241" i="51"/>
  <c r="AX240" i="51"/>
  <c r="AO240" i="51"/>
  <c r="T240" i="51"/>
  <c r="G240" i="51"/>
  <c r="G243" i="51" s="1"/>
  <c r="AO239" i="51"/>
  <c r="T239" i="51"/>
  <c r="G239" i="51"/>
  <c r="AO238" i="51"/>
  <c r="T238" i="51"/>
  <c r="G238" i="51"/>
  <c r="AO237" i="51"/>
  <c r="T237" i="51"/>
  <c r="T243" i="51" s="1"/>
  <c r="G237" i="51"/>
  <c r="AX236" i="51"/>
  <c r="AO236" i="51"/>
  <c r="AX235" i="51"/>
  <c r="AO235" i="51"/>
  <c r="AX234" i="51"/>
  <c r="AO234" i="51"/>
  <c r="T234" i="51"/>
  <c r="G234" i="51"/>
  <c r="AX233" i="51"/>
  <c r="AO233" i="51"/>
  <c r="T233" i="51"/>
  <c r="G233" i="51"/>
  <c r="AX232" i="51"/>
  <c r="AO232" i="51"/>
  <c r="T232" i="51"/>
  <c r="G232" i="51"/>
  <c r="AX231" i="51"/>
  <c r="AO231" i="51"/>
  <c r="T231" i="51"/>
  <c r="G231" i="51"/>
  <c r="AX230" i="51"/>
  <c r="AO230" i="51"/>
  <c r="T230" i="51"/>
  <c r="G230" i="51"/>
  <c r="AX229" i="51"/>
  <c r="AO229" i="51"/>
  <c r="AO245" i="51" s="1"/>
  <c r="T229" i="51"/>
  <c r="G229" i="51"/>
  <c r="AX228" i="51"/>
  <c r="T228" i="51"/>
  <c r="G228" i="51"/>
  <c r="AX227" i="51"/>
  <c r="T227" i="51"/>
  <c r="G227" i="51"/>
  <c r="AX226" i="51"/>
  <c r="T226" i="51"/>
  <c r="G226" i="51"/>
  <c r="AX225" i="51"/>
  <c r="T225" i="51"/>
  <c r="G225" i="51"/>
  <c r="AX224" i="51"/>
  <c r="AO224" i="51"/>
  <c r="T224" i="51"/>
  <c r="T235" i="51" s="1"/>
  <c r="G224" i="51"/>
  <c r="G235" i="51" s="1"/>
  <c r="AX223" i="51"/>
  <c r="AO223" i="51"/>
  <c r="AX222" i="51"/>
  <c r="AO222" i="51"/>
  <c r="AX221" i="51"/>
  <c r="AO221" i="51"/>
  <c r="T221" i="51"/>
  <c r="G221" i="51"/>
  <c r="AX220" i="51"/>
  <c r="AO220" i="51"/>
  <c r="AA220" i="51"/>
  <c r="T220" i="51"/>
  <c r="G220" i="51"/>
  <c r="AX219" i="51"/>
  <c r="AO219" i="51"/>
  <c r="T219" i="51"/>
  <c r="G219" i="51"/>
  <c r="AX218" i="51"/>
  <c r="AO218" i="51"/>
  <c r="AO225" i="51" s="1"/>
  <c r="T218" i="51"/>
  <c r="G218" i="51"/>
  <c r="AX217" i="51"/>
  <c r="T217" i="51"/>
  <c r="G217" i="51"/>
  <c r="AX216" i="51"/>
  <c r="AA216" i="51"/>
  <c r="T216" i="51"/>
  <c r="T222" i="51" s="1"/>
  <c r="S213" i="51" s="1"/>
  <c r="G216" i="51"/>
  <c r="G222" i="51" s="1"/>
  <c r="AX215" i="51"/>
  <c r="AA215" i="51"/>
  <c r="AX214" i="51"/>
  <c r="AX213" i="51"/>
  <c r="AO213" i="51"/>
  <c r="AX212" i="51"/>
  <c r="AO212" i="51"/>
  <c r="AO214" i="51" s="1"/>
  <c r="AE106" i="51" s="1"/>
  <c r="AF106" i="51" s="1"/>
  <c r="AX211" i="51"/>
  <c r="AX210" i="51"/>
  <c r="AX209" i="51"/>
  <c r="AX208" i="51"/>
  <c r="AA208" i="51"/>
  <c r="AX207" i="51"/>
  <c r="AA207" i="51"/>
  <c r="AX206" i="51"/>
  <c r="AX205" i="51"/>
  <c r="AX204" i="51"/>
  <c r="AX203" i="51"/>
  <c r="K203" i="51"/>
  <c r="AX202" i="51"/>
  <c r="X202" i="51"/>
  <c r="X203" i="51" s="1"/>
  <c r="K202" i="51"/>
  <c r="AX201" i="51"/>
  <c r="T201" i="51"/>
  <c r="Z201" i="51" s="1"/>
  <c r="G201" i="51"/>
  <c r="J201" i="51" s="1"/>
  <c r="AX200" i="51"/>
  <c r="T200" i="51"/>
  <c r="Z200" i="51" s="1"/>
  <c r="G200" i="51"/>
  <c r="J200" i="51" s="1"/>
  <c r="AX199" i="51"/>
  <c r="AX237" i="51" s="1"/>
  <c r="AE110" i="51" s="1"/>
  <c r="Z199" i="51"/>
  <c r="T199" i="51"/>
  <c r="W199" i="51" s="1"/>
  <c r="G199" i="51"/>
  <c r="J199" i="51" s="1"/>
  <c r="K195" i="51"/>
  <c r="X194" i="51"/>
  <c r="X195" i="51" s="1"/>
  <c r="K194" i="51"/>
  <c r="Z193" i="51"/>
  <c r="W193" i="51"/>
  <c r="T193" i="51"/>
  <c r="J193" i="51"/>
  <c r="G193" i="51"/>
  <c r="T192" i="51"/>
  <c r="W192" i="51" s="1"/>
  <c r="G192" i="51"/>
  <c r="J192" i="51" s="1"/>
  <c r="Z191" i="51"/>
  <c r="T191" i="51"/>
  <c r="W191" i="51" s="1"/>
  <c r="J191" i="51"/>
  <c r="G191" i="51"/>
  <c r="T190" i="51"/>
  <c r="T194" i="51" s="1"/>
  <c r="J190" i="51"/>
  <c r="J194" i="51" s="1"/>
  <c r="J195" i="51" s="1"/>
  <c r="G190" i="51"/>
  <c r="Z190" i="51" s="1"/>
  <c r="K186" i="51"/>
  <c r="X185" i="51"/>
  <c r="X186" i="51" s="1"/>
  <c r="K185" i="51"/>
  <c r="AA184" i="51"/>
  <c r="Z184" i="51"/>
  <c r="W184" i="51"/>
  <c r="T184" i="51"/>
  <c r="J184" i="51"/>
  <c r="G184" i="51"/>
  <c r="Z183" i="51"/>
  <c r="W183" i="51"/>
  <c r="T183" i="51"/>
  <c r="J183" i="51"/>
  <c r="G183" i="51"/>
  <c r="T182" i="51"/>
  <c r="T185" i="51" s="1"/>
  <c r="G182" i="51"/>
  <c r="G185" i="51" s="1"/>
  <c r="G186" i="51" s="1"/>
  <c r="K178" i="51"/>
  <c r="X177" i="51"/>
  <c r="X178" i="51" s="1"/>
  <c r="K177" i="51"/>
  <c r="T176" i="51"/>
  <c r="W176" i="51" s="1"/>
  <c r="J176" i="51"/>
  <c r="G176" i="51"/>
  <c r="Z175" i="51"/>
  <c r="W175" i="51"/>
  <c r="T175" i="51"/>
  <c r="J175" i="51"/>
  <c r="G175" i="51"/>
  <c r="W174" i="51"/>
  <c r="T174" i="51"/>
  <c r="Z174" i="51" s="1"/>
  <c r="J174" i="51"/>
  <c r="G174" i="51"/>
  <c r="Z173" i="51"/>
  <c r="W173" i="51"/>
  <c r="T173" i="51"/>
  <c r="T177" i="51" s="1"/>
  <c r="G173" i="51"/>
  <c r="J173" i="51" s="1"/>
  <c r="J177" i="51" s="1"/>
  <c r="J178" i="51" s="1"/>
  <c r="X169" i="51"/>
  <c r="W169" i="51"/>
  <c r="K169" i="51"/>
  <c r="J169" i="51"/>
  <c r="G168" i="51"/>
  <c r="L168" i="51" s="1"/>
  <c r="G167" i="51"/>
  <c r="L167" i="51" s="1"/>
  <c r="G166" i="51"/>
  <c r="G165" i="51"/>
  <c r="L165" i="51" s="1"/>
  <c r="G164" i="51"/>
  <c r="L164" i="51" s="1"/>
  <c r="L163" i="51"/>
  <c r="G163" i="51"/>
  <c r="G162" i="51"/>
  <c r="L162" i="51" s="1"/>
  <c r="G161" i="51"/>
  <c r="L161" i="51" s="1"/>
  <c r="G160" i="51"/>
  <c r="L160" i="51" s="1"/>
  <c r="AX159" i="51"/>
  <c r="G159" i="51"/>
  <c r="L159" i="51" s="1"/>
  <c r="L158" i="51"/>
  <c r="G158" i="51"/>
  <c r="G157" i="51"/>
  <c r="L157" i="51" s="1"/>
  <c r="G156" i="51"/>
  <c r="L156" i="51" s="1"/>
  <c r="L155" i="51"/>
  <c r="G155" i="51"/>
  <c r="L154" i="51"/>
  <c r="G154" i="51"/>
  <c r="G153" i="51"/>
  <c r="L153" i="51" s="1"/>
  <c r="G152" i="51"/>
  <c r="L152" i="51" s="1"/>
  <c r="AA151" i="51"/>
  <c r="G151" i="51"/>
  <c r="X149" i="51"/>
  <c r="W149" i="51"/>
  <c r="K149" i="51"/>
  <c r="J149" i="51"/>
  <c r="G149" i="51"/>
  <c r="G148" i="51"/>
  <c r="L148" i="51" s="1"/>
  <c r="L149" i="51" s="1"/>
  <c r="L147" i="51"/>
  <c r="G147" i="51"/>
  <c r="AE146" i="51"/>
  <c r="AF146" i="51" s="1"/>
  <c r="X145" i="51"/>
  <c r="W145" i="51"/>
  <c r="K145" i="51"/>
  <c r="J145" i="51"/>
  <c r="L144" i="51"/>
  <c r="G144" i="51"/>
  <c r="L143" i="51"/>
  <c r="G143" i="51"/>
  <c r="L142" i="51"/>
  <c r="G142" i="51"/>
  <c r="G141" i="51"/>
  <c r="L141" i="51" s="1"/>
  <c r="G140" i="51"/>
  <c r="L140" i="51" s="1"/>
  <c r="L139" i="51"/>
  <c r="G139" i="51"/>
  <c r="G138" i="51"/>
  <c r="L138" i="51" s="1"/>
  <c r="G137" i="51"/>
  <c r="L137" i="51" s="1"/>
  <c r="G136" i="51"/>
  <c r="L136" i="51" s="1"/>
  <c r="L135" i="51"/>
  <c r="G135" i="51"/>
  <c r="G134" i="51"/>
  <c r="L134" i="51" s="1"/>
  <c r="G133" i="51"/>
  <c r="L133" i="51" s="1"/>
  <c r="G132" i="51"/>
  <c r="L132" i="51" s="1"/>
  <c r="L131" i="51"/>
  <c r="G131" i="51"/>
  <c r="G130" i="51"/>
  <c r="G129" i="51"/>
  <c r="G128" i="51"/>
  <c r="L128" i="51" s="1"/>
  <c r="L127" i="51"/>
  <c r="G127" i="51"/>
  <c r="X125" i="51"/>
  <c r="W125" i="51"/>
  <c r="K125" i="51"/>
  <c r="J125" i="51"/>
  <c r="L124" i="51"/>
  <c r="G124" i="51"/>
  <c r="AE123" i="51"/>
  <c r="AF123" i="51" s="1"/>
  <c r="G123" i="51"/>
  <c r="L123" i="51" s="1"/>
  <c r="AO122" i="51"/>
  <c r="T122" i="51"/>
  <c r="G122" i="51"/>
  <c r="L122" i="51" s="1"/>
  <c r="AF121" i="51"/>
  <c r="G121" i="51"/>
  <c r="L121" i="51" s="1"/>
  <c r="AF120" i="51"/>
  <c r="L120" i="51"/>
  <c r="G120" i="51"/>
  <c r="AE119" i="51"/>
  <c r="AF119" i="51" s="1"/>
  <c r="L119" i="51"/>
  <c r="G119" i="51"/>
  <c r="AE118" i="51"/>
  <c r="AF118" i="51" s="1"/>
  <c r="G118" i="51"/>
  <c r="L118" i="51" s="1"/>
  <c r="AO117" i="51"/>
  <c r="AF117" i="51"/>
  <c r="AE117" i="51"/>
  <c r="G117" i="51"/>
  <c r="L117" i="51" s="1"/>
  <c r="L116" i="51"/>
  <c r="G116" i="51"/>
  <c r="AE115" i="51"/>
  <c r="AF115" i="51" s="1"/>
  <c r="L115" i="51"/>
  <c r="G115" i="51"/>
  <c r="AO114" i="51"/>
  <c r="AE114" i="51"/>
  <c r="AF114" i="51" s="1"/>
  <c r="G114" i="51"/>
  <c r="L114" i="51" s="1"/>
  <c r="AX113" i="51"/>
  <c r="AF113" i="51"/>
  <c r="L113" i="51"/>
  <c r="G113" i="51"/>
  <c r="AF112" i="51"/>
  <c r="AE112" i="51"/>
  <c r="G112" i="51"/>
  <c r="L112" i="51" s="1"/>
  <c r="AE111" i="51"/>
  <c r="AF111" i="51" s="1"/>
  <c r="G111" i="51"/>
  <c r="L111" i="51" s="1"/>
  <c r="AX110" i="51"/>
  <c r="AF110" i="51"/>
  <c r="G110" i="51"/>
  <c r="L110" i="51" s="1"/>
  <c r="AX109" i="51"/>
  <c r="AO109" i="51"/>
  <c r="AF109" i="51"/>
  <c r="AE109" i="51"/>
  <c r="G109" i="51"/>
  <c r="L109" i="51" s="1"/>
  <c r="AF108" i="51"/>
  <c r="AE108" i="51"/>
  <c r="T108" i="51"/>
  <c r="Y108" i="51" s="1"/>
  <c r="G108" i="51"/>
  <c r="L108" i="51" s="1"/>
  <c r="AF107" i="51"/>
  <c r="AE107" i="51"/>
  <c r="T107" i="51"/>
  <c r="Z107" i="51" s="1"/>
  <c r="L107" i="51"/>
  <c r="G107" i="51"/>
  <c r="G106" i="51"/>
  <c r="L106" i="51" s="1"/>
  <c r="AX105" i="51"/>
  <c r="G105" i="51"/>
  <c r="L105" i="51" s="1"/>
  <c r="AF104" i="51"/>
  <c r="AE104" i="51"/>
  <c r="G104" i="51"/>
  <c r="L104" i="51" s="1"/>
  <c r="AO103" i="51"/>
  <c r="AE102" i="51"/>
  <c r="AF102" i="51" s="1"/>
  <c r="AO101" i="51"/>
  <c r="AX100" i="51"/>
  <c r="I100" i="51"/>
  <c r="AX99" i="51"/>
  <c r="V98" i="51"/>
  <c r="I98" i="51"/>
  <c r="V97" i="51"/>
  <c r="I97" i="51"/>
  <c r="E89" i="51"/>
  <c r="E88" i="51"/>
  <c r="CE31" i="51"/>
  <c r="AO121" i="51" s="1"/>
  <c r="T112" i="51" l="1"/>
  <c r="T134" i="51"/>
  <c r="T137" i="51"/>
  <c r="AE143" i="51"/>
  <c r="AF143" i="51" s="1"/>
  <c r="AX146" i="51"/>
  <c r="AX149" i="51"/>
  <c r="AE154" i="51"/>
  <c r="AF154" i="51" s="1"/>
  <c r="K204" i="51"/>
  <c r="Z122" i="51"/>
  <c r="Y122" i="51"/>
  <c r="G125" i="51"/>
  <c r="I99" i="51" s="1"/>
  <c r="T104" i="51"/>
  <c r="T106" i="51"/>
  <c r="Z108" i="51"/>
  <c r="AO127" i="51"/>
  <c r="AE134" i="51"/>
  <c r="AF134" i="51" s="1"/>
  <c r="AO143" i="51"/>
  <c r="AO100" i="51"/>
  <c r="T114" i="51"/>
  <c r="T118" i="51"/>
  <c r="G169" i="51"/>
  <c r="L151" i="51"/>
  <c r="L169" i="51" s="1"/>
  <c r="L204" i="51" s="1"/>
  <c r="T161" i="51"/>
  <c r="X204" i="51"/>
  <c r="AX106" i="51"/>
  <c r="AO120" i="51"/>
  <c r="AE131" i="51"/>
  <c r="AF131" i="51" s="1"/>
  <c r="T138" i="51"/>
  <c r="T141" i="51"/>
  <c r="AX155" i="51"/>
  <c r="F213" i="51"/>
  <c r="H211" i="51" s="1"/>
  <c r="AO118" i="51"/>
  <c r="AX120" i="51"/>
  <c r="AX131" i="51"/>
  <c r="AE138" i="51"/>
  <c r="AF138" i="51" s="1"/>
  <c r="AX144" i="51"/>
  <c r="AX147" i="51"/>
  <c r="T178" i="51"/>
  <c r="T195" i="51"/>
  <c r="AO108" i="51"/>
  <c r="AO112" i="51"/>
  <c r="AO116" i="51"/>
  <c r="AE125" i="51"/>
  <c r="AF125" i="51" s="1"/>
  <c r="AX151" i="51"/>
  <c r="W177" i="51"/>
  <c r="W178" i="51" s="1"/>
  <c r="AX104" i="51"/>
  <c r="AX108" i="51"/>
  <c r="AO125" i="51"/>
  <c r="T129" i="51"/>
  <c r="AE135" i="51"/>
  <c r="AF135" i="51" s="1"/>
  <c r="T148" i="51"/>
  <c r="T157" i="51"/>
  <c r="AX116" i="51"/>
  <c r="T111" i="51"/>
  <c r="AX125" i="51"/>
  <c r="AX132" i="51"/>
  <c r="AX135" i="51"/>
  <c r="T152" i="51"/>
  <c r="J202" i="51"/>
  <c r="J203" i="51" s="1"/>
  <c r="Z185" i="51"/>
  <c r="T186" i="51"/>
  <c r="Z186" i="51" s="1"/>
  <c r="L125" i="51"/>
  <c r="AO104" i="51"/>
  <c r="AO102" i="51"/>
  <c r="Y107" i="51"/>
  <c r="T115" i="51"/>
  <c r="AX129" i="51"/>
  <c r="AX102" i="51"/>
  <c r="G145" i="51"/>
  <c r="AX195" i="51"/>
  <c r="AO194" i="51"/>
  <c r="AE185" i="51"/>
  <c r="AF185" i="51" s="1"/>
  <c r="AX181" i="51"/>
  <c r="AX178" i="51"/>
  <c r="AE177" i="51"/>
  <c r="AF177" i="51" s="1"/>
  <c r="AO171" i="51"/>
  <c r="AO162" i="51"/>
  <c r="AO158" i="51"/>
  <c r="AO154" i="51"/>
  <c r="AX150" i="51"/>
  <c r="AO146" i="51"/>
  <c r="AE142" i="51"/>
  <c r="AF142" i="51" s="1"/>
  <c r="AO139" i="51"/>
  <c r="AO135" i="51"/>
  <c r="AO131" i="51"/>
  <c r="AX128" i="51"/>
  <c r="AE127" i="51"/>
  <c r="AF127" i="51" s="1"/>
  <c r="AO124" i="51"/>
  <c r="T123" i="51"/>
  <c r="AX121" i="51"/>
  <c r="T119" i="51"/>
  <c r="AX117" i="51"/>
  <c r="AO205" i="51"/>
  <c r="AO195" i="51"/>
  <c r="AE193" i="51"/>
  <c r="AF193" i="51" s="1"/>
  <c r="AX190" i="51"/>
  <c r="AE189" i="51"/>
  <c r="AF189" i="51" s="1"/>
  <c r="AE186" i="51"/>
  <c r="AF186" i="51" s="1"/>
  <c r="AO181" i="51"/>
  <c r="AX174" i="51"/>
  <c r="AE173" i="51"/>
  <c r="AF173" i="51" s="1"/>
  <c r="AO150" i="51"/>
  <c r="AX143" i="51"/>
  <c r="AO128" i="51"/>
  <c r="AO203" i="51"/>
  <c r="AE194" i="51"/>
  <c r="AF194" i="51" s="1"/>
  <c r="AO190" i="51"/>
  <c r="AX188" i="51"/>
  <c r="AE178" i="51"/>
  <c r="AF178" i="51" s="1"/>
  <c r="AO174" i="51"/>
  <c r="AE171" i="51"/>
  <c r="AF171" i="51" s="1"/>
  <c r="T168" i="51"/>
  <c r="AX166" i="51"/>
  <c r="T165" i="51"/>
  <c r="AX163" i="51"/>
  <c r="AE162" i="51"/>
  <c r="AF162" i="51" s="1"/>
  <c r="AO204" i="51"/>
  <c r="AO200" i="51"/>
  <c r="AE195" i="51"/>
  <c r="AF195" i="51" s="1"/>
  <c r="AO188" i="51"/>
  <c r="AX182" i="51"/>
  <c r="AE181" i="51"/>
  <c r="AF181" i="51" s="1"/>
  <c r="AX170" i="51"/>
  <c r="AO166" i="51"/>
  <c r="AO163" i="51"/>
  <c r="AO159" i="51"/>
  <c r="AO155" i="51"/>
  <c r="AO151" i="51"/>
  <c r="AE150" i="51"/>
  <c r="AF150" i="51" s="1"/>
  <c r="AO147" i="51"/>
  <c r="AX145" i="51"/>
  <c r="T142" i="51"/>
  <c r="AO140" i="51"/>
  <c r="AO136" i="51"/>
  <c r="AO132" i="51"/>
  <c r="AE128" i="51"/>
  <c r="AF128" i="51" s="1"/>
  <c r="T127" i="51"/>
  <c r="T124" i="51"/>
  <c r="AX122" i="51"/>
  <c r="T120" i="51"/>
  <c r="AX118" i="51"/>
  <c r="T116" i="51"/>
  <c r="AX114" i="51"/>
  <c r="AO110" i="51"/>
  <c r="AX101" i="51"/>
  <c r="AX140" i="51" s="1"/>
  <c r="AE116" i="51" s="1"/>
  <c r="AF116" i="51" s="1"/>
  <c r="AO198" i="51"/>
  <c r="AX191" i="51"/>
  <c r="AE190" i="51"/>
  <c r="AF190" i="51" s="1"/>
  <c r="AO182" i="51"/>
  <c r="AX180" i="51"/>
  <c r="AX175" i="51"/>
  <c r="AE174" i="51"/>
  <c r="AF174" i="51" s="1"/>
  <c r="AO170" i="51"/>
  <c r="AO197" i="51"/>
  <c r="AO191" i="51"/>
  <c r="AE188" i="51"/>
  <c r="AF188" i="51" s="1"/>
  <c r="AO180" i="51"/>
  <c r="AX167" i="51"/>
  <c r="AE166" i="51"/>
  <c r="AF166" i="51" s="1"/>
  <c r="AX164" i="51"/>
  <c r="AE163" i="51"/>
  <c r="AF163" i="51" s="1"/>
  <c r="T162" i="51"/>
  <c r="AX160" i="51"/>
  <c r="AE159" i="51"/>
  <c r="AF159" i="51" s="1"/>
  <c r="T158" i="51"/>
  <c r="AX156" i="51"/>
  <c r="AE155" i="51"/>
  <c r="AF155" i="51" s="1"/>
  <c r="T154" i="51"/>
  <c r="AX152" i="51"/>
  <c r="AE151" i="51"/>
  <c r="AF151" i="51" s="1"/>
  <c r="AO149" i="51"/>
  <c r="AX148" i="51"/>
  <c r="AE147" i="51"/>
  <c r="AF147" i="51" s="1"/>
  <c r="AO144" i="51"/>
  <c r="AE140" i="51"/>
  <c r="AF140" i="51" s="1"/>
  <c r="T139" i="51"/>
  <c r="AX137" i="51"/>
  <c r="AE136" i="51"/>
  <c r="AF136" i="51" s="1"/>
  <c r="T135" i="51"/>
  <c r="AX133" i="51"/>
  <c r="AE132" i="51"/>
  <c r="AF132" i="51" s="1"/>
  <c r="T131" i="51"/>
  <c r="AO129" i="51"/>
  <c r="T113" i="51"/>
  <c r="AX111" i="51"/>
  <c r="AO106" i="51"/>
  <c r="T121" i="51"/>
  <c r="T117" i="51"/>
  <c r="AX115" i="51"/>
  <c r="T109" i="51"/>
  <c r="AX168" i="51"/>
  <c r="T163" i="51"/>
  <c r="AX161" i="51"/>
  <c r="AX157" i="51"/>
  <c r="AX153" i="51"/>
  <c r="AE148" i="51"/>
  <c r="AF148" i="51" s="1"/>
  <c r="T140" i="51"/>
  <c r="T136" i="51"/>
  <c r="AE133" i="51"/>
  <c r="AF133" i="51" s="1"/>
  <c r="AX130" i="51"/>
  <c r="AO107" i="51"/>
  <c r="AX187" i="51"/>
  <c r="AX183" i="51"/>
  <c r="AE182" i="51"/>
  <c r="AF182" i="51" s="1"/>
  <c r="AE170" i="51"/>
  <c r="AF170" i="51" s="1"/>
  <c r="AO167" i="51"/>
  <c r="T166" i="51"/>
  <c r="AO164" i="51"/>
  <c r="AO160" i="51"/>
  <c r="AO156" i="51"/>
  <c r="AO152" i="51"/>
  <c r="AO148" i="51"/>
  <c r="AE145" i="51"/>
  <c r="AF145" i="51" s="1"/>
  <c r="AO141" i="51"/>
  <c r="AO137" i="51"/>
  <c r="AO133" i="51"/>
  <c r="T128" i="51"/>
  <c r="AX126" i="51"/>
  <c r="AX123" i="51"/>
  <c r="AX119" i="51"/>
  <c r="AO111" i="51"/>
  <c r="AX165" i="51"/>
  <c r="T147" i="51"/>
  <c r="AX138" i="51"/>
  <c r="T132" i="51"/>
  <c r="T110" i="51"/>
  <c r="AE197" i="51"/>
  <c r="AF197" i="51" s="1"/>
  <c r="AX192" i="51"/>
  <c r="AE191" i="51"/>
  <c r="AF191" i="51" s="1"/>
  <c r="AO187" i="51"/>
  <c r="AO183" i="51"/>
  <c r="AE180" i="51"/>
  <c r="AF180" i="51" s="1"/>
  <c r="AE175" i="51"/>
  <c r="AF175" i="51" s="1"/>
  <c r="AX172" i="51"/>
  <c r="AX169" i="51"/>
  <c r="AE149" i="51"/>
  <c r="AF149" i="51" s="1"/>
  <c r="AE144" i="51"/>
  <c r="AF144" i="51" s="1"/>
  <c r="T143" i="51"/>
  <c r="AE129" i="51"/>
  <c r="AF129" i="51" s="1"/>
  <c r="AO126" i="51"/>
  <c r="AO123" i="51"/>
  <c r="AO119" i="51"/>
  <c r="AO115" i="51"/>
  <c r="AX107" i="51"/>
  <c r="T105" i="51"/>
  <c r="AX103" i="51"/>
  <c r="AE164" i="51"/>
  <c r="AF164" i="51" s="1"/>
  <c r="AE160" i="51"/>
  <c r="AF160" i="51" s="1"/>
  <c r="AE156" i="51"/>
  <c r="AF156" i="51" s="1"/>
  <c r="AE141" i="51"/>
  <c r="AF141" i="51" s="1"/>
  <c r="AX134" i="51"/>
  <c r="AO207" i="51"/>
  <c r="AO201" i="51"/>
  <c r="AO192" i="51"/>
  <c r="AX184" i="51"/>
  <c r="AX179" i="51"/>
  <c r="AX176" i="51"/>
  <c r="AO172" i="51"/>
  <c r="AO169" i="51"/>
  <c r="AE167" i="51"/>
  <c r="AF167" i="51" s="1"/>
  <c r="T159" i="51"/>
  <c r="T155" i="51"/>
  <c r="AE152" i="51"/>
  <c r="AF152" i="51" s="1"/>
  <c r="AE137" i="51"/>
  <c r="AF137" i="51" s="1"/>
  <c r="AX112" i="51"/>
  <c r="AO196" i="51"/>
  <c r="AE187" i="51"/>
  <c r="AF187" i="51" s="1"/>
  <c r="AX185" i="51"/>
  <c r="AO184" i="51"/>
  <c r="AE183" i="51"/>
  <c r="AF183" i="51" s="1"/>
  <c r="AO179" i="51"/>
  <c r="AO168" i="51"/>
  <c r="AO165" i="51"/>
  <c r="AO161" i="51"/>
  <c r="AO157" i="51"/>
  <c r="AO153" i="51"/>
  <c r="T151" i="51"/>
  <c r="AO138" i="51"/>
  <c r="AO134" i="51"/>
  <c r="AO130" i="51"/>
  <c r="AX127" i="51"/>
  <c r="AE126" i="51"/>
  <c r="AF126" i="51" s="1"/>
  <c r="AO199" i="51"/>
  <c r="AX193" i="51"/>
  <c r="AE192" i="51"/>
  <c r="AF192" i="51" s="1"/>
  <c r="AX189" i="51"/>
  <c r="AX186" i="51"/>
  <c r="AO185" i="51"/>
  <c r="AX177" i="51"/>
  <c r="AE176" i="51"/>
  <c r="AF176" i="51" s="1"/>
  <c r="AX173" i="51"/>
  <c r="AE172" i="51"/>
  <c r="AF172" i="51" s="1"/>
  <c r="AE169" i="51"/>
  <c r="AF169" i="51" s="1"/>
  <c r="T144" i="51"/>
  <c r="AO206" i="51"/>
  <c r="AO202" i="51"/>
  <c r="AE196" i="51"/>
  <c r="AF196" i="51" s="1"/>
  <c r="AX194" i="51"/>
  <c r="AO193" i="51"/>
  <c r="AO189" i="51"/>
  <c r="AO186" i="51"/>
  <c r="AE184" i="51"/>
  <c r="AF184" i="51" s="1"/>
  <c r="AE179" i="51"/>
  <c r="AF179" i="51" s="1"/>
  <c r="AO173" i="51"/>
  <c r="AX171" i="51"/>
  <c r="AE168" i="51"/>
  <c r="AF168" i="51" s="1"/>
  <c r="T167" i="51"/>
  <c r="AE165" i="51"/>
  <c r="AF165" i="51" s="1"/>
  <c r="T164" i="51"/>
  <c r="AX162" i="51"/>
  <c r="AE161" i="51"/>
  <c r="AF161" i="51" s="1"/>
  <c r="T160" i="51"/>
  <c r="AX158" i="51"/>
  <c r="AE157" i="51"/>
  <c r="AF157" i="51" s="1"/>
  <c r="T156" i="51"/>
  <c r="AX154" i="51"/>
  <c r="AE153" i="51"/>
  <c r="AF153" i="51" s="1"/>
  <c r="AO105" i="51"/>
  <c r="L145" i="51"/>
  <c r="T130" i="51"/>
  <c r="T133" i="51"/>
  <c r="AE139" i="51"/>
  <c r="AF139" i="51" s="1"/>
  <c r="AO142" i="51"/>
  <c r="T153" i="51"/>
  <c r="AE158" i="51"/>
  <c r="AF158" i="51" s="1"/>
  <c r="AO113" i="51"/>
  <c r="AX124" i="51"/>
  <c r="AE130" i="51"/>
  <c r="AF130" i="51" s="1"/>
  <c r="AX136" i="51"/>
  <c r="AX139" i="51"/>
  <c r="AO145" i="51"/>
  <c r="Z176" i="51"/>
  <c r="Z192" i="51"/>
  <c r="J182" i="51"/>
  <c r="J185" i="51" s="1"/>
  <c r="J186" i="51" s="1"/>
  <c r="J204" i="51" s="1"/>
  <c r="E93" i="51" s="1"/>
  <c r="W201" i="51"/>
  <c r="G194" i="51"/>
  <c r="G195" i="51" s="1"/>
  <c r="W182" i="51"/>
  <c r="W185" i="51" s="1"/>
  <c r="W186" i="51" s="1"/>
  <c r="G177" i="51"/>
  <c r="G178" i="51" s="1"/>
  <c r="Z182" i="51"/>
  <c r="W190" i="51"/>
  <c r="W194" i="51" s="1"/>
  <c r="W195" i="51" s="1"/>
  <c r="G202" i="51"/>
  <c r="G203" i="51" s="1"/>
  <c r="W200" i="51"/>
  <c r="W202" i="51" s="1"/>
  <c r="W203" i="51" s="1"/>
  <c r="W204" i="51" s="1"/>
  <c r="T202" i="51"/>
  <c r="Z144" i="51" l="1"/>
  <c r="Y144" i="51"/>
  <c r="Z105" i="51"/>
  <c r="Y105" i="51"/>
  <c r="Z140" i="51"/>
  <c r="Y140" i="51"/>
  <c r="Y127" i="51"/>
  <c r="T145" i="51"/>
  <c r="Z145" i="51" s="1"/>
  <c r="Z127" i="51"/>
  <c r="Z123" i="51"/>
  <c r="Y123" i="51"/>
  <c r="G204" i="51"/>
  <c r="I101" i="51" s="1"/>
  <c r="Z136" i="51"/>
  <c r="Y136" i="51"/>
  <c r="Z124" i="51"/>
  <c r="Y124" i="51"/>
  <c r="Z113" i="51"/>
  <c r="Y113" i="51"/>
  <c r="Z168" i="51"/>
  <c r="Y168" i="51"/>
  <c r="Z115" i="51"/>
  <c r="Y115" i="51"/>
  <c r="Z111" i="51"/>
  <c r="Y111" i="51"/>
  <c r="Y118" i="51"/>
  <c r="Z118" i="51"/>
  <c r="Z162" i="51"/>
  <c r="Y162" i="51"/>
  <c r="Z165" i="51"/>
  <c r="Y165" i="51"/>
  <c r="Z156" i="51"/>
  <c r="Y156" i="51"/>
  <c r="Z114" i="51"/>
  <c r="Y114" i="51"/>
  <c r="E91" i="51"/>
  <c r="Z131" i="51"/>
  <c r="Y131" i="51"/>
  <c r="Z157" i="51"/>
  <c r="Y157" i="51"/>
  <c r="AO175" i="51"/>
  <c r="AE101" i="51" s="1"/>
  <c r="AF101" i="51" s="1"/>
  <c r="T169" i="51"/>
  <c r="Y151" i="51"/>
  <c r="Z151" i="51"/>
  <c r="Y128" i="51"/>
  <c r="Z128" i="51"/>
  <c r="Z148" i="51"/>
  <c r="Y148" i="51"/>
  <c r="Z195" i="51"/>
  <c r="Z141" i="51"/>
  <c r="Y141" i="51"/>
  <c r="Z153" i="51"/>
  <c r="Y153" i="51"/>
  <c r="Z160" i="51"/>
  <c r="Y160" i="51"/>
  <c r="Z163" i="51"/>
  <c r="Y163" i="51"/>
  <c r="Z154" i="51"/>
  <c r="Y154" i="51"/>
  <c r="Z142" i="51"/>
  <c r="Y142" i="51"/>
  <c r="Z194" i="51"/>
  <c r="Z138" i="51"/>
  <c r="Y138" i="51"/>
  <c r="Z135" i="51"/>
  <c r="Y135" i="51"/>
  <c r="Z129" i="51"/>
  <c r="Y129" i="51"/>
  <c r="Z178" i="51"/>
  <c r="Z155" i="51"/>
  <c r="Y155" i="51"/>
  <c r="Z143" i="51"/>
  <c r="Y143" i="51"/>
  <c r="AA109" i="51"/>
  <c r="Z110" i="51"/>
  <c r="Y110" i="51"/>
  <c r="Y109" i="51"/>
  <c r="Z109" i="51"/>
  <c r="AA108" i="51"/>
  <c r="Z116" i="51"/>
  <c r="Y116" i="51"/>
  <c r="Z177" i="51"/>
  <c r="Z137" i="51"/>
  <c r="Y137" i="51"/>
  <c r="Z164" i="51"/>
  <c r="Y164" i="51"/>
  <c r="Z132" i="51"/>
  <c r="Y132" i="51"/>
  <c r="Z158" i="51"/>
  <c r="Y158" i="51"/>
  <c r="Z134" i="51"/>
  <c r="Y134" i="51"/>
  <c r="Z159" i="51"/>
  <c r="Y159" i="51"/>
  <c r="Y117" i="51"/>
  <c r="Z117" i="51"/>
  <c r="Z139" i="51"/>
  <c r="Y139" i="51"/>
  <c r="Z120" i="51"/>
  <c r="Y120" i="51"/>
  <c r="Z152" i="51"/>
  <c r="Y152" i="51"/>
  <c r="Z106" i="51"/>
  <c r="Y106" i="51"/>
  <c r="Z112" i="51"/>
  <c r="Y112" i="51"/>
  <c r="Z133" i="51"/>
  <c r="Y133" i="51"/>
  <c r="Z130" i="51"/>
  <c r="Y130" i="51"/>
  <c r="Z202" i="51"/>
  <c r="T203" i="51"/>
  <c r="Z203" i="51" s="1"/>
  <c r="Z167" i="51"/>
  <c r="Y167" i="51"/>
  <c r="AO208" i="51"/>
  <c r="AE103" i="51" s="1"/>
  <c r="AF103" i="51" s="1"/>
  <c r="T149" i="51"/>
  <c r="Z147" i="51"/>
  <c r="Y147" i="51"/>
  <c r="Y121" i="51"/>
  <c r="Z121" i="51"/>
  <c r="AX196" i="51"/>
  <c r="AE105" i="51" s="1"/>
  <c r="AF105" i="51" s="1"/>
  <c r="Z119" i="51"/>
  <c r="Y119" i="51"/>
  <c r="Z161" i="51"/>
  <c r="Y161" i="51"/>
  <c r="Y104" i="51"/>
  <c r="T125" i="51"/>
  <c r="Z104" i="51"/>
  <c r="Z149" i="51" l="1"/>
  <c r="V100" i="51"/>
  <c r="V99" i="51"/>
  <c r="Z125" i="51"/>
  <c r="Y169" i="51"/>
  <c r="Y145" i="51"/>
  <c r="Y125" i="51"/>
  <c r="T204" i="51"/>
  <c r="Z169" i="51"/>
  <c r="Y149" i="51"/>
  <c r="Z204" i="51" l="1"/>
  <c r="V101" i="51"/>
  <c r="G86" i="51" s="1"/>
  <c r="J84" i="51" s="1"/>
  <c r="Y204" i="51"/>
  <c r="E92" i="51" s="1"/>
</calcChain>
</file>

<file path=xl/sharedStrings.xml><?xml version="1.0" encoding="utf-8"?>
<sst xmlns="http://schemas.openxmlformats.org/spreadsheetml/2006/main" count="2414" uniqueCount="1106">
  <si>
    <t>CALA</t>
  </si>
  <si>
    <t>BDR</t>
  </si>
  <si>
    <t>TCM</t>
  </si>
  <si>
    <t>UBP</t>
  </si>
  <si>
    <t>SPI</t>
  </si>
  <si>
    <t>IP</t>
  </si>
  <si>
    <t>BST</t>
  </si>
  <si>
    <t>PWF</t>
  </si>
  <si>
    <t>HOT DICE</t>
  </si>
  <si>
    <t>HOT</t>
  </si>
  <si>
    <t>LOTERIA BONUS</t>
  </si>
  <si>
    <t>P4</t>
  </si>
  <si>
    <t>REVOLUTION</t>
  </si>
  <si>
    <t>REV</t>
  </si>
  <si>
    <t>HOTM</t>
  </si>
  <si>
    <t>HOT DICE MULTI</t>
  </si>
  <si>
    <t>POWER FORCE</t>
  </si>
  <si>
    <t>BINGO STORY</t>
  </si>
  <si>
    <t>DREAM</t>
  </si>
  <si>
    <t>TACOMANIA</t>
  </si>
  <si>
    <t>ULTIMO BINGO EN PARIS</t>
  </si>
  <si>
    <t>POWER FOUR</t>
  </si>
  <si>
    <t>DOBLE BONUS</t>
  </si>
  <si>
    <t>SPIN BINGO</t>
  </si>
  <si>
    <t>HALLO</t>
  </si>
  <si>
    <t>TOP3</t>
  </si>
  <si>
    <t>BOBBY</t>
  </si>
  <si>
    <t>HALLO WIN</t>
  </si>
  <si>
    <t>BEST TOP 3 BONUS</t>
  </si>
  <si>
    <t>BOBBY DOGGIE</t>
  </si>
  <si>
    <t>GO DICE</t>
  </si>
  <si>
    <t>GDICE</t>
  </si>
  <si>
    <t>FISH DOUBLE</t>
  </si>
  <si>
    <t>ROYAL CRAPS</t>
  </si>
  <si>
    <t>RCRP</t>
  </si>
  <si>
    <t>PRWP</t>
  </si>
  <si>
    <t>PIM PAM PUM</t>
  </si>
  <si>
    <t>PPPUM</t>
  </si>
  <si>
    <t>MULTI SPIN BINGO</t>
  </si>
  <si>
    <t>SPIM</t>
  </si>
  <si>
    <t>TACOWAY</t>
  </si>
  <si>
    <t>TCWY</t>
  </si>
  <si>
    <t>KINGO</t>
  </si>
  <si>
    <t>POWER BONUS</t>
  </si>
  <si>
    <t>PWRB</t>
  </si>
  <si>
    <t>GO POWER</t>
  </si>
  <si>
    <t>GO PWR</t>
  </si>
  <si>
    <t>LOTB</t>
  </si>
  <si>
    <t>BRYKE</t>
  </si>
  <si>
    <t>ENERGY LINK WEST</t>
  </si>
  <si>
    <t>ELK WST</t>
  </si>
  <si>
    <t>ENERGY LINK MEX</t>
  </si>
  <si>
    <t>ELK MEX</t>
  </si>
  <si>
    <t>ENERGY LINK GREEN</t>
  </si>
  <si>
    <t>ELK GRN</t>
  </si>
  <si>
    <t>ELK BLU</t>
  </si>
  <si>
    <t>ENERGY LINK BLUE</t>
  </si>
  <si>
    <t>SLEIC</t>
  </si>
  <si>
    <t>ENERGY KING DOBLE BONUS</t>
  </si>
  <si>
    <t>EK DB</t>
  </si>
  <si>
    <t>ENERGY KING P4 BONUS</t>
  </si>
  <si>
    <t>EK P4</t>
  </si>
  <si>
    <t>ENERGY KING GO DICE</t>
  </si>
  <si>
    <t>EK GDICE</t>
  </si>
  <si>
    <t>ELK P4</t>
  </si>
  <si>
    <t>ELK DB</t>
  </si>
  <si>
    <t>ENERGY LINK GO DICE</t>
  </si>
  <si>
    <t>ELK GDICE</t>
  </si>
  <si>
    <t>FSHDB</t>
  </si>
  <si>
    <t>BEER</t>
  </si>
  <si>
    <t>BEER, CHEERS FEST</t>
  </si>
  <si>
    <t>DB</t>
  </si>
  <si>
    <t>DRAGONB</t>
  </si>
  <si>
    <t>DRAGON BINGO</t>
  </si>
  <si>
    <t>GSTORM</t>
  </si>
  <si>
    <t>GOD STORM</t>
  </si>
  <si>
    <t>LMP PWR</t>
  </si>
  <si>
    <t>LAMP POWER</t>
  </si>
  <si>
    <t>LMP MEX</t>
  </si>
  <si>
    <t>LAMP MEX</t>
  </si>
  <si>
    <t>Pi</t>
  </si>
  <si>
    <t>POWER PRIZE</t>
  </si>
  <si>
    <t>TCKKK</t>
  </si>
  <si>
    <t>THE COURSE OF KUKULKAN</t>
  </si>
  <si>
    <t>TB2</t>
  </si>
  <si>
    <t>TRIPLE BONUS 2</t>
  </si>
  <si>
    <t>WDICE</t>
  </si>
  <si>
    <t>WESTERN DICE</t>
  </si>
  <si>
    <t>BLOOTER</t>
  </si>
  <si>
    <t>BLACK LOOTER</t>
  </si>
  <si>
    <t>LMP BOBBY</t>
  </si>
  <si>
    <t>LAMP BOBBY</t>
  </si>
  <si>
    <t>LMP MUS</t>
  </si>
  <si>
    <t>LAMP MUSTANG</t>
  </si>
  <si>
    <t>RFU</t>
  </si>
  <si>
    <t>ROYAL FU</t>
  </si>
  <si>
    <t>RTROP</t>
  </si>
  <si>
    <t>ROYAL TROPICAL BINGO</t>
  </si>
  <si>
    <t>BE3</t>
  </si>
  <si>
    <t>BEETLE 3</t>
  </si>
  <si>
    <t>CALACA</t>
  </si>
  <si>
    <t>DWISH</t>
  </si>
  <si>
    <t>DIAMOND WISH</t>
  </si>
  <si>
    <t>SPELLS</t>
  </si>
  <si>
    <t>SPELLS AND POTIONS</t>
  </si>
  <si>
    <t>LMP TCWY</t>
  </si>
  <si>
    <t>LAMP TACOWAY</t>
  </si>
  <si>
    <t>WCLUB</t>
  </si>
  <si>
    <t>WEALTHY CLUB</t>
  </si>
  <si>
    <t>LMP SPI</t>
  </si>
  <si>
    <t>LAMP SPIN</t>
  </si>
  <si>
    <t>LMP HALLO</t>
  </si>
  <si>
    <t>LAMP HALLO WIN</t>
  </si>
  <si>
    <t>LMP STO</t>
  </si>
  <si>
    <t>LAMP BINGO STORY</t>
  </si>
  <si>
    <t>PI</t>
  </si>
  <si>
    <t>MAORIS</t>
  </si>
  <si>
    <t>BLAZING PEARLS</t>
  </si>
  <si>
    <t xml:space="preserve">I D  6 3 0 7 - C I R S A   -  C A S I N O    L I F E    D E L    V A L L E </t>
  </si>
  <si>
    <t>PISO 1</t>
  </si>
  <si>
    <t>PLANTA BAJA</t>
  </si>
  <si>
    <t>SOTANO</t>
  </si>
  <si>
    <t>ACCESO</t>
  </si>
  <si>
    <t>CAJA</t>
  </si>
  <si>
    <t>MSC</t>
  </si>
  <si>
    <t>KN</t>
  </si>
  <si>
    <t>tip3</t>
  </si>
  <si>
    <t>TM</t>
  </si>
  <si>
    <t>MESAS DE JUEGO EN VIVO</t>
  </si>
  <si>
    <t>GOLMP</t>
  </si>
  <si>
    <t>SERVICIO A CLIENTES</t>
  </si>
  <si>
    <t>AW</t>
  </si>
  <si>
    <t>50C</t>
  </si>
  <si>
    <t>25C</t>
  </si>
  <si>
    <t>ISLA 1</t>
  </si>
  <si>
    <t>BLE</t>
  </si>
  <si>
    <t>ISLA 2</t>
  </si>
  <si>
    <t>5C</t>
  </si>
  <si>
    <t>ESCALERAS PARA SPORT BOOK</t>
  </si>
  <si>
    <t>MIN JUG $4.00</t>
  </si>
  <si>
    <t>MIN JUG $12.50</t>
  </si>
  <si>
    <t>MIN JUG $10.00</t>
  </si>
  <si>
    <t>MIN JUG 3.40</t>
  </si>
  <si>
    <t>MT</t>
  </si>
  <si>
    <t>MIN JUG $ 3.40</t>
  </si>
  <si>
    <t>TOTI</t>
  </si>
  <si>
    <t>ISLA 3</t>
  </si>
  <si>
    <t>SCIGA</t>
  </si>
  <si>
    <t>MUL</t>
  </si>
  <si>
    <t>ISLA 11</t>
  </si>
  <si>
    <t>ESCALERAS</t>
  </si>
  <si>
    <t>MIN JUG $3.40</t>
  </si>
  <si>
    <t>IMG</t>
  </si>
  <si>
    <t>ZONA DE POKER</t>
  </si>
  <si>
    <t>TMB</t>
  </si>
  <si>
    <t>SIGN ZITRO</t>
  </si>
  <si>
    <t>ZONA DE RESTAURANT</t>
  </si>
  <si>
    <t>TMBP</t>
  </si>
  <si>
    <t>ISLA 9</t>
  </si>
  <si>
    <t>gol mania plus</t>
  </si>
  <si>
    <t>MEZZANINE VIP</t>
  </si>
  <si>
    <t>gol</t>
  </si>
  <si>
    <t>AR</t>
  </si>
  <si>
    <t xml:space="preserve">mega mix bingo </t>
  </si>
  <si>
    <t>ACCESO ZONA VIP</t>
  </si>
  <si>
    <t xml:space="preserve">ESCALERAS </t>
  </si>
  <si>
    <t>MAGCELT</t>
  </si>
  <si>
    <t>MYK</t>
  </si>
  <si>
    <t>lock it link  min 2.50</t>
  </si>
  <si>
    <t>AGS</t>
  </si>
  <si>
    <t>DORAD</t>
  </si>
  <si>
    <t>KATNA</t>
  </si>
  <si>
    <t>GBALL</t>
  </si>
  <si>
    <t>VM</t>
  </si>
  <si>
    <t>EGT</t>
  </si>
  <si>
    <t>ISLA 4</t>
  </si>
  <si>
    <t>SIGN LK/LM-2</t>
  </si>
  <si>
    <t>UNDW</t>
  </si>
  <si>
    <t>MIN JUG $5.00</t>
  </si>
  <si>
    <t>MM</t>
  </si>
  <si>
    <t>coin fu min $5</t>
  </si>
  <si>
    <t>ISLA 13</t>
  </si>
  <si>
    <t>CP</t>
  </si>
  <si>
    <t>ISLA 5</t>
  </si>
  <si>
    <t>WINPOTSL</t>
  </si>
  <si>
    <t>10C</t>
  </si>
  <si>
    <t>WS</t>
  </si>
  <si>
    <t>MBGP</t>
  </si>
  <si>
    <t>MIN JUG $2.50</t>
  </si>
  <si>
    <t>AMGO</t>
  </si>
  <si>
    <t xml:space="preserve">TARZAN $10 5c </t>
  </si>
  <si>
    <t>ISLA 14</t>
  </si>
  <si>
    <t>dragon link min $5</t>
  </si>
  <si>
    <t>GOLM</t>
  </si>
  <si>
    <t>TB</t>
  </si>
  <si>
    <t>ISLA 6</t>
  </si>
  <si>
    <t>ISLA 8</t>
  </si>
  <si>
    <t>ISLA 15</t>
  </si>
  <si>
    <t>SIGN FUPTS-2</t>
  </si>
  <si>
    <t>NOV</t>
  </si>
  <si>
    <t>ISLA 16</t>
  </si>
  <si>
    <t xml:space="preserve">money party link </t>
  </si>
  <si>
    <t xml:space="preserve">dragon tao imperial min $4.40 5c </t>
  </si>
  <si>
    <t>ladys cards</t>
  </si>
  <si>
    <t>MIN JUG $4.40</t>
  </si>
  <si>
    <t>IGT</t>
  </si>
  <si>
    <t xml:space="preserve">DU FU DUO CAI $3.80 10c  </t>
  </si>
  <si>
    <t>ISLA 7</t>
  </si>
  <si>
    <t>BAR</t>
  </si>
  <si>
    <t>DUO FU DUO CAI</t>
  </si>
  <si>
    <t>BLIC</t>
  </si>
  <si>
    <t>ARTB</t>
  </si>
  <si>
    <t>Lady's Card</t>
  </si>
  <si>
    <t>mithology link min $2.50</t>
  </si>
  <si>
    <t>MP</t>
  </si>
  <si>
    <t>P3</t>
  </si>
  <si>
    <t>INTV</t>
  </si>
  <si>
    <t>SMB</t>
  </si>
  <si>
    <t>xtension link</t>
  </si>
  <si>
    <t>MONEY LINK min $2.50</t>
  </si>
  <si>
    <t xml:space="preserve">Bell link $5 10c </t>
  </si>
  <si>
    <t>LOTERIA min $5 10c</t>
  </si>
  <si>
    <t>RBGO</t>
  </si>
  <si>
    <t>ISLA 18</t>
  </si>
  <si>
    <t>SIGN LSHOCK-2</t>
  </si>
  <si>
    <t>ISLA 17</t>
  </si>
  <si>
    <t>SEPARADORES</t>
  </si>
  <si>
    <t>SIGN CRLEDA-MHAM</t>
  </si>
  <si>
    <t xml:space="preserve">cajero </t>
  </si>
  <si>
    <t>ATM</t>
  </si>
  <si>
    <t>cajero</t>
  </si>
  <si>
    <t>ACB</t>
  </si>
  <si>
    <t>Loteria min $5</t>
  </si>
  <si>
    <t>Egyptian link min $3.75</t>
  </si>
  <si>
    <t>c</t>
  </si>
  <si>
    <t xml:space="preserve">MONEY PARTY Min $5 10c </t>
  </si>
  <si>
    <t>CONCERT</t>
  </si>
  <si>
    <t>MER</t>
  </si>
  <si>
    <t>CAJAS</t>
  </si>
  <si>
    <t>ISLA 12</t>
  </si>
  <si>
    <t>ISLA 10</t>
  </si>
  <si>
    <t>Dragon link  toro min $5</t>
  </si>
  <si>
    <t>ELEVADOR</t>
  </si>
  <si>
    <t xml:space="preserve">ELEVADOR </t>
  </si>
  <si>
    <t>BAÑOS</t>
  </si>
  <si>
    <t>TOTAL SALA</t>
  </si>
  <si>
    <t>comp</t>
  </si>
  <si>
    <t>TOTAL ZITRO</t>
  </si>
  <si>
    <t>TOTAL MAQUINAS CON 25C</t>
  </si>
  <si>
    <t>TOTAL MAQUINAS CON 50C</t>
  </si>
  <si>
    <t>TOTAL BLACK</t>
  </si>
  <si>
    <t>TOTAL BLUE</t>
  </si>
  <si>
    <t>TOTAL FUSION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</si>
  <si>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</si>
  <si>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</si>
  <si>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</si>
  <si>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</si>
  <si>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</si>
  <si>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</si>
  <si>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</si>
  <si>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TOTAL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</si>
  <si>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</si>
  <si>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</si>
  <si>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</si>
  <si>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</si>
  <si>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</si>
  <si>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</si>
  <si>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</si>
  <si>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</si>
  <si>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</si>
  <si>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</si>
  <si>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</si>
  <si>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</si>
  <si>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</si>
  <si>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ACM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</si>
  <si>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</si>
  <si>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</si>
  <si>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</si>
  <si>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</si>
  <si>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</si>
  <si>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</si>
  <si>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</si>
  <si>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</si>
  <si>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</si>
  <si>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</si>
  <si>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</si>
  <si>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BCHB</t>
  </si>
  <si>
    <t>BING KONG</t>
  </si>
  <si>
    <t>BK</t>
  </si>
  <si>
    <t>FAMILIA POWER</t>
  </si>
  <si>
    <t>FUSION</t>
  </si>
  <si>
    <t>BLACK</t>
  </si>
  <si>
    <t>BLUE</t>
  </si>
  <si>
    <t>TOTAL JUEGO</t>
  </si>
  <si>
    <t>METRONIA / BEMEX</t>
  </si>
  <si>
    <t>MET</t>
  </si>
  <si>
    <t>BEST BINGO</t>
  </si>
  <si>
    <t>BB</t>
  </si>
  <si>
    <t>BINGO GRAND HIT</t>
  </si>
  <si>
    <t>BGHI</t>
  </si>
  <si>
    <t>SABIA</t>
  </si>
  <si>
    <t>SAB</t>
  </si>
  <si>
    <t>BIG SCORE</t>
  </si>
  <si>
    <t>BIGCRE</t>
  </si>
  <si>
    <t xml:space="preserve">BINGO JOKER </t>
  </si>
  <si>
    <t>BJK</t>
  </si>
  <si>
    <t>*</t>
  </si>
  <si>
    <t>FBM</t>
  </si>
  <si>
    <t>BINGO MAN</t>
  </si>
  <si>
    <t>BMAN</t>
  </si>
  <si>
    <t>BINGO LINK 10</t>
  </si>
  <si>
    <t>BLINK10</t>
  </si>
  <si>
    <t>JESTRONIC</t>
  </si>
  <si>
    <t>BINGOL</t>
  </si>
  <si>
    <t>BGOL</t>
  </si>
  <si>
    <t>BINGO LINK DOBLE BONUS</t>
  </si>
  <si>
    <t>BLINKDB</t>
  </si>
  <si>
    <t>DBF</t>
  </si>
  <si>
    <t>R. FRANCO</t>
  </si>
  <si>
    <t>FRANCO</t>
  </si>
  <si>
    <t>BINGOLE</t>
  </si>
  <si>
    <t>BINGO LINK GOLDEN</t>
  </si>
  <si>
    <t>BLINKG</t>
  </si>
  <si>
    <t>KONAMI BINGO</t>
  </si>
  <si>
    <t>KNBINGO</t>
  </si>
  <si>
    <t>BINGOLE PLUS</t>
  </si>
  <si>
    <t>BLEP</t>
  </si>
  <si>
    <t>BINGO JONES</t>
  </si>
  <si>
    <t>BJN</t>
  </si>
  <si>
    <t>TBD2</t>
  </si>
  <si>
    <t>WINPOT / DREIDEL</t>
  </si>
  <si>
    <t>WINPOT</t>
  </si>
  <si>
    <t>BINGOLE PRIME</t>
  </si>
  <si>
    <t>BLEPm</t>
  </si>
  <si>
    <t>BUFFALO KINGS</t>
  </si>
  <si>
    <t>BUFF</t>
  </si>
  <si>
    <t>SLEIC (OTIUM - UNIDESA)</t>
  </si>
  <si>
    <t>BUBBLE MANIA</t>
  </si>
  <si>
    <r>
      <rPr>
        <b/>
        <sz val="12"/>
        <color rgb="FFB2A1C7"/>
        <rFont val="Calibri"/>
        <family val="2"/>
      </rPr>
      <t>BUB</t>
    </r>
    <r>
      <rPr>
        <b/>
        <sz val="12"/>
        <color rgb="FFFFFF00"/>
        <rFont val="Calibri"/>
        <family val="2"/>
      </rPr>
      <t>BLE</t>
    </r>
  </si>
  <si>
    <t>DRAGONS TREASURE</t>
  </si>
  <si>
    <t>DRTR</t>
  </si>
  <si>
    <t>PACHINKO</t>
  </si>
  <si>
    <t>CAPITAN PARROT</t>
  </si>
  <si>
    <t>FIGHT AND WIN</t>
  </si>
  <si>
    <t>FGTW</t>
  </si>
  <si>
    <t>BLUBERI</t>
  </si>
  <si>
    <t>BLUB</t>
  </si>
  <si>
    <t>CHICKEN FARM</t>
  </si>
  <si>
    <t>CFM</t>
  </si>
  <si>
    <t>FLYING PIGS</t>
  </si>
  <si>
    <t>FPIG</t>
  </si>
  <si>
    <t>BETSTONE BINGO</t>
  </si>
  <si>
    <t>BTSB</t>
  </si>
  <si>
    <t>-</t>
  </si>
  <si>
    <t>CINE BINGO</t>
  </si>
  <si>
    <t>CINEB</t>
  </si>
  <si>
    <t>FUNNY CREATURES</t>
  </si>
  <si>
    <t>FC</t>
  </si>
  <si>
    <t>SHOWBALL</t>
  </si>
  <si>
    <t>SHOW</t>
  </si>
  <si>
    <t>CINE BINGO MULTI</t>
  </si>
  <si>
    <t>MCINEB</t>
  </si>
  <si>
    <t>HUNGRY FISH</t>
  </si>
  <si>
    <t>HUF</t>
  </si>
  <si>
    <t>LATINA WORLD GAMING</t>
  </si>
  <si>
    <t>LATINWG</t>
  </si>
  <si>
    <t>CIRCUS</t>
  </si>
  <si>
    <t>CIR</t>
  </si>
  <si>
    <t>LAS MIL Y UNA NOCHES</t>
  </si>
  <si>
    <t>MYUN</t>
  </si>
  <si>
    <t>LUD/IGT B</t>
  </si>
  <si>
    <t>DINO BINGO</t>
  </si>
  <si>
    <t>DINO</t>
  </si>
  <si>
    <t>LA CHIRIPA</t>
  </si>
  <si>
    <t>LACHI</t>
  </si>
  <si>
    <t>AGSB</t>
  </si>
  <si>
    <t>DULCE MANIA</t>
  </si>
  <si>
    <t>DULM</t>
  </si>
  <si>
    <t>LOS GNOMOS</t>
  </si>
  <si>
    <t>LGMS</t>
  </si>
  <si>
    <t>VDK2</t>
  </si>
  <si>
    <t>VDK</t>
  </si>
  <si>
    <t>EL DORADO BINGO</t>
  </si>
  <si>
    <t>LUCKY PRINCESS</t>
  </si>
  <si>
    <t>LKP</t>
  </si>
  <si>
    <t>DEGESTEC BINGO</t>
  </si>
  <si>
    <t>DEGESTEC B</t>
  </si>
  <si>
    <t>EL PEZ</t>
  </si>
  <si>
    <t>PEZ</t>
  </si>
  <si>
    <t>MARTINS FORTUNE</t>
  </si>
  <si>
    <t>MARTF</t>
  </si>
  <si>
    <t>JCB GAMING</t>
  </si>
  <si>
    <t>JCB</t>
  </si>
  <si>
    <t>FIESTA BINGO</t>
  </si>
  <si>
    <t>FSTB</t>
  </si>
  <si>
    <t>MEDIEBALL</t>
  </si>
  <si>
    <t>MEB</t>
  </si>
  <si>
    <t>RCT BINGO</t>
  </si>
  <si>
    <t>RCT B</t>
  </si>
  <si>
    <t>FIRST MANIA</t>
  </si>
  <si>
    <t>FM</t>
  </si>
  <si>
    <t>MULTI BINGO PACK</t>
  </si>
  <si>
    <t>INTERVISION BINGO</t>
  </si>
  <si>
    <t>INTVB</t>
  </si>
  <si>
    <t>FOUR BINGO</t>
  </si>
  <si>
    <t>FB</t>
  </si>
  <si>
    <t xml:space="preserve">NEW BINGO CITY </t>
  </si>
  <si>
    <t>BCTY</t>
  </si>
  <si>
    <t>OTROS BINGO</t>
  </si>
  <si>
    <t>OTROS B</t>
  </si>
  <si>
    <t>GAMBETA BINGO</t>
  </si>
  <si>
    <t>GAMB</t>
  </si>
  <si>
    <t>OLYMPUS</t>
  </si>
  <si>
    <t>OLYM</t>
  </si>
  <si>
    <t>R O D I L L O S</t>
  </si>
  <si>
    <t>GLADIATOR</t>
  </si>
  <si>
    <t>GLAR</t>
  </si>
  <si>
    <t>PANDA 88</t>
  </si>
  <si>
    <t>PAN88</t>
  </si>
  <si>
    <t>AINSWORTH</t>
  </si>
  <si>
    <t>GOL MANIA</t>
  </si>
  <si>
    <t>PICOSOMETRO</t>
  </si>
  <si>
    <t>PICO</t>
  </si>
  <si>
    <t>BISONTE / BINGO STORY</t>
  </si>
  <si>
    <t>ADMIRAL</t>
  </si>
  <si>
    <t>ADMI</t>
  </si>
  <si>
    <t>GOL MANIA PLUS</t>
  </si>
  <si>
    <t>PIG WIZARD</t>
  </si>
  <si>
    <t>PGW</t>
  </si>
  <si>
    <t>ATLAS</t>
  </si>
  <si>
    <t>AGT</t>
  </si>
  <si>
    <t>GOL MANIA PRIME</t>
  </si>
  <si>
    <t>GOLMPm</t>
  </si>
  <si>
    <t>PIRATES OF THE BINGO SEA</t>
  </si>
  <si>
    <t>PSEA</t>
  </si>
  <si>
    <t>ALFASTREET</t>
  </si>
  <si>
    <t>AST</t>
  </si>
  <si>
    <t>HOT CHILLI</t>
  </si>
  <si>
    <t>HTC</t>
  </si>
  <si>
    <t>PLAYA BINGO</t>
  </si>
  <si>
    <t>PLAB</t>
  </si>
  <si>
    <t>EGYPT TREASURES</t>
  </si>
  <si>
    <t>EGYTRE</t>
  </si>
  <si>
    <t>KATANA BINGO</t>
  </si>
  <si>
    <t>REYES DEL RING</t>
  </si>
  <si>
    <t>RDR</t>
  </si>
  <si>
    <t>FRATELLI PIZZA</t>
  </si>
  <si>
    <t>FRPIZZA</t>
  </si>
  <si>
    <t>AMATIC</t>
  </si>
  <si>
    <t>AMA</t>
  </si>
  <si>
    <t>LE BON BON</t>
  </si>
  <si>
    <t>LBON</t>
  </si>
  <si>
    <t>ROUTE 66</t>
  </si>
  <si>
    <t>R66</t>
  </si>
  <si>
    <t>AMUSGO</t>
  </si>
  <si>
    <t>LOCOMODIN</t>
  </si>
  <si>
    <t>LMDIN</t>
  </si>
  <si>
    <t>ROUTE 66 MULTI</t>
  </si>
  <si>
    <t>R66M</t>
  </si>
  <si>
    <t>APEX</t>
  </si>
  <si>
    <t>LOCOMODIN PLUS</t>
  </si>
  <si>
    <t>LMDIN P</t>
  </si>
  <si>
    <t>ROUTE TO WIN</t>
  </si>
  <si>
    <t>RTW</t>
  </si>
  <si>
    <t>ARISTOCRAT</t>
  </si>
  <si>
    <t>LOCOMODIN PRIME</t>
  </si>
  <si>
    <t>LMDIN Pm</t>
  </si>
  <si>
    <t>RULETA DE LA SUERTE</t>
  </si>
  <si>
    <t>RDS</t>
  </si>
  <si>
    <t>ARUZE</t>
  </si>
  <si>
    <t>ARU</t>
  </si>
  <si>
    <t>LOVE</t>
  </si>
  <si>
    <t>LV</t>
  </si>
  <si>
    <t>SLOT 66</t>
  </si>
  <si>
    <t>S66</t>
  </si>
  <si>
    <t>MONEY WISE PANDA</t>
  </si>
  <si>
    <t>MWPANDA</t>
  </si>
  <si>
    <t>ASTRO</t>
  </si>
  <si>
    <t>LUCKY NOTE</t>
  </si>
  <si>
    <t>LN</t>
  </si>
  <si>
    <t>TESORO DEL CARIBE</t>
  </si>
  <si>
    <t>TC</t>
  </si>
  <si>
    <t>ATRONIC</t>
  </si>
  <si>
    <t>AT</t>
  </si>
  <si>
    <t>MAGIC CELTIC BINGO</t>
  </si>
  <si>
    <t>VIKINGS</t>
  </si>
  <si>
    <t>VK</t>
  </si>
  <si>
    <t>KINGO STORY</t>
  </si>
  <si>
    <t>KST</t>
  </si>
  <si>
    <t>AURIFY</t>
  </si>
  <si>
    <t>AFI</t>
  </si>
  <si>
    <t>MAGIC DRAGON</t>
  </si>
  <si>
    <t>MAGD</t>
  </si>
  <si>
    <t>WILD TRAIN</t>
  </si>
  <si>
    <t>WDT</t>
  </si>
  <si>
    <t>AVANTIME</t>
  </si>
  <si>
    <t>AV</t>
  </si>
  <si>
    <t>MASTER SHOW</t>
  </si>
  <si>
    <t>MSTRSH</t>
  </si>
  <si>
    <t>WILD WEST</t>
  </si>
  <si>
    <t>WT</t>
  </si>
  <si>
    <t>BELATRA (MULTIVISION)</t>
  </si>
  <si>
    <t>BEL</t>
  </si>
  <si>
    <t>MIN LUN LUO GOLDEN DRAGON</t>
  </si>
  <si>
    <t>MLUGD</t>
  </si>
  <si>
    <t>WIN &amp; ROLL</t>
  </si>
  <si>
    <t>WNRLL</t>
  </si>
  <si>
    <t>MAORI´S LAND</t>
  </si>
  <si>
    <t>BETSTONE</t>
  </si>
  <si>
    <t>BTS</t>
  </si>
  <si>
    <t>MR.X</t>
  </si>
  <si>
    <t>MX</t>
  </si>
  <si>
    <t>TOTAL LUDICUS</t>
  </si>
  <si>
    <t>BLU</t>
  </si>
  <si>
    <t>MULTI MANIA</t>
  </si>
  <si>
    <t>MULMA</t>
  </si>
  <si>
    <t>BRAVO GAMES</t>
  </si>
  <si>
    <t>BGAMES</t>
  </si>
  <si>
    <t>MULTI TRIPLE</t>
  </si>
  <si>
    <t>MULTIBINGO</t>
  </si>
  <si>
    <t>30 MANIA BONUS</t>
  </si>
  <si>
    <t>30MB</t>
  </si>
  <si>
    <t>THE GREAT WEALTH</t>
  </si>
  <si>
    <t>TGREATW</t>
  </si>
  <si>
    <t>CASINO TECHNOLOGY</t>
  </si>
  <si>
    <t>CT</t>
  </si>
  <si>
    <t>MYKONOS BINGO</t>
  </si>
  <si>
    <t>ANCIENT TROPIC</t>
  </si>
  <si>
    <t>ANTRP</t>
  </si>
  <si>
    <t>CELEBRITY</t>
  </si>
  <si>
    <t>CELE</t>
  </si>
  <si>
    <t>NEW MANIA</t>
  </si>
  <si>
    <t>NWM</t>
  </si>
  <si>
    <t>ARTIC BLAST</t>
  </si>
  <si>
    <t>PRIZE UP</t>
  </si>
  <si>
    <t>CV GAMES</t>
  </si>
  <si>
    <t>CV G</t>
  </si>
  <si>
    <t>NEW TRIPLE</t>
  </si>
  <si>
    <t>NT</t>
  </si>
  <si>
    <t>BASKETBALL BINGO</t>
  </si>
  <si>
    <t>BKTB</t>
  </si>
  <si>
    <t>PRIZE UP DOBLE BONUS</t>
  </si>
  <si>
    <t>PZUPDB</t>
  </si>
  <si>
    <t>CYBERVIEW</t>
  </si>
  <si>
    <t>CYB</t>
  </si>
  <si>
    <t>NIGHT BINGO</t>
  </si>
  <si>
    <t>NBNG</t>
  </si>
  <si>
    <t>BINGO BLAST</t>
  </si>
  <si>
    <t>BIB</t>
  </si>
  <si>
    <t>PRIZE UP GO DICE</t>
  </si>
  <si>
    <t>PZUPGDICE</t>
  </si>
  <si>
    <t>DEGESTEC</t>
  </si>
  <si>
    <t>OASIS BINGO</t>
  </si>
  <si>
    <t>OASIS</t>
  </si>
  <si>
    <t>BINGO BLAST BONUS</t>
  </si>
  <si>
    <t>BIBB</t>
  </si>
  <si>
    <t>DIGIDEAL</t>
  </si>
  <si>
    <t>DGD</t>
  </si>
  <si>
    <t>OK BINGO</t>
  </si>
  <si>
    <t>OB</t>
  </si>
  <si>
    <t>BINGO BLAST PIRATES</t>
  </si>
  <si>
    <t>BIBP</t>
  </si>
  <si>
    <t>RESTO FAM</t>
  </si>
  <si>
    <t>DIXPA GAMES</t>
  </si>
  <si>
    <t>DIXG</t>
  </si>
  <si>
    <t>OLE</t>
  </si>
  <si>
    <t>BINGO PILIPINO</t>
  </si>
  <si>
    <t>BPILI</t>
  </si>
  <si>
    <t>BEETLE BINGO (BDR)</t>
  </si>
  <si>
    <t>E-GAMING (MULTI JUEGOS)</t>
  </si>
  <si>
    <t>E-GAM</t>
  </si>
  <si>
    <t>PANDA SHOW</t>
  </si>
  <si>
    <t>PNDSH</t>
  </si>
  <si>
    <t>BINGO RANCHO</t>
  </si>
  <si>
    <t>BRANCH</t>
  </si>
  <si>
    <t>BEETLE JEWELS RED</t>
  </si>
  <si>
    <t>BEJR</t>
  </si>
  <si>
    <t>EIBE SLOTS</t>
  </si>
  <si>
    <t>EIBE-SLT</t>
  </si>
  <si>
    <t xml:space="preserve">PILIBINGO </t>
  </si>
  <si>
    <t>PB</t>
  </si>
  <si>
    <t>BINGO-GO</t>
  </si>
  <si>
    <t>BGO</t>
  </si>
  <si>
    <t>EIBE SLOTS OTIUM</t>
  </si>
  <si>
    <t>EIBE-SLTOTIUM</t>
  </si>
  <si>
    <t>RICO EL TOPO</t>
  </si>
  <si>
    <t>RET</t>
  </si>
  <si>
    <t>BINGOLICIOUS</t>
  </si>
  <si>
    <t>ENCORE</t>
  </si>
  <si>
    <t>ENCO</t>
  </si>
  <si>
    <t>RIMBA BINGO</t>
  </si>
  <si>
    <t>RIMB</t>
  </si>
  <si>
    <t>CASH CLOCK</t>
  </si>
  <si>
    <t>$CLK</t>
  </si>
  <si>
    <t>RODEO BINGO</t>
  </si>
  <si>
    <t>RODB</t>
  </si>
  <si>
    <t>CATCH THE GOLD</t>
  </si>
  <si>
    <t>CATG</t>
  </si>
  <si>
    <t>FIREWORKS FU RED</t>
  </si>
  <si>
    <t>FIREFUR</t>
  </si>
  <si>
    <t>EVERI</t>
  </si>
  <si>
    <t>EVER</t>
  </si>
  <si>
    <t>ROMA BINGO</t>
  </si>
  <si>
    <t>ROMB</t>
  </si>
  <si>
    <t>CHAMPION BINGO</t>
  </si>
  <si>
    <t>CHBIN</t>
  </si>
  <si>
    <t>FBM RODILLOS</t>
  </si>
  <si>
    <t>FBMRO</t>
  </si>
  <si>
    <t>ROYAL TRIPLE</t>
  </si>
  <si>
    <t>RT</t>
  </si>
  <si>
    <t>CHICHEN ITZA</t>
  </si>
  <si>
    <t>CHIT</t>
  </si>
  <si>
    <t>GAME MEDIA WORKS</t>
  </si>
  <si>
    <t>GMW</t>
  </si>
  <si>
    <t>SIX BINGO</t>
  </si>
  <si>
    <t>SIXB</t>
  </si>
  <si>
    <t>EASY MONEY BINGO</t>
  </si>
  <si>
    <t>EMB</t>
  </si>
  <si>
    <t>GAMES UNLIMITED</t>
  </si>
  <si>
    <t>GU</t>
  </si>
  <si>
    <t>SKY BONUS</t>
  </si>
  <si>
    <t>SKB</t>
  </si>
  <si>
    <t>GOLD FEVER</t>
  </si>
  <si>
    <t>GLDF</t>
  </si>
  <si>
    <t>GAMINATOR</t>
  </si>
  <si>
    <t>GTOR</t>
  </si>
  <si>
    <t>SMASH BINGO</t>
  </si>
  <si>
    <t>GOLDEN BALL</t>
  </si>
  <si>
    <t>GOLDEN GAMING</t>
  </si>
  <si>
    <t>GGAM</t>
  </si>
  <si>
    <t>TAJ BINGO</t>
  </si>
  <si>
    <t>TAJ</t>
  </si>
  <si>
    <t>GOLDEN CITY</t>
  </si>
  <si>
    <t>GCT</t>
  </si>
  <si>
    <t>GOLDEN SYSTEM</t>
  </si>
  <si>
    <t>GSYM</t>
  </si>
  <si>
    <t>TOP PREMIUM</t>
  </si>
  <si>
    <t>TOP</t>
  </si>
  <si>
    <t>GOLDEN LUCK</t>
  </si>
  <si>
    <t>GLK</t>
  </si>
  <si>
    <t>GT SOURCE</t>
  </si>
  <si>
    <t>GTS</t>
  </si>
  <si>
    <t>TOWER LINK</t>
  </si>
  <si>
    <t>TLINK</t>
  </si>
  <si>
    <t>GOLDEN METROPOLIS</t>
  </si>
  <si>
    <t>GMET</t>
  </si>
  <si>
    <t>HEAL TECNOLOGY</t>
  </si>
  <si>
    <t>HTEC</t>
  </si>
  <si>
    <t>TRIPLE BONUS</t>
  </si>
  <si>
    <t>GOLDEN NEW YEAR</t>
  </si>
  <si>
    <t>GNWY</t>
  </si>
  <si>
    <t>ID GAMMING</t>
  </si>
  <si>
    <t>IDG</t>
  </si>
  <si>
    <t>TRIPLE BONUS PLUS</t>
  </si>
  <si>
    <t>TBP</t>
  </si>
  <si>
    <t>HUNT BINGO</t>
  </si>
  <si>
    <t>HB</t>
  </si>
  <si>
    <t>MULTI SPACE BINGO CLEANERS</t>
  </si>
  <si>
    <t>TRIPLE BONUS PRIME</t>
  </si>
  <si>
    <t>TBPm</t>
  </si>
  <si>
    <t>ICE BLAST</t>
  </si>
  <si>
    <t>ICEB</t>
  </si>
  <si>
    <t>INCREDIBLE TECHNOLOGIES</t>
  </si>
  <si>
    <t>INCTECH</t>
  </si>
  <si>
    <t>TRIPLE EVOLUTION</t>
  </si>
  <si>
    <t>TE</t>
  </si>
  <si>
    <t>KINGDOM GEMS</t>
  </si>
  <si>
    <t>KGEMS</t>
  </si>
  <si>
    <t>INTERACTIVE</t>
  </si>
  <si>
    <t>INTER</t>
  </si>
  <si>
    <t>TRIPLE MANIA</t>
  </si>
  <si>
    <t>MAGIC CHAMPION</t>
  </si>
  <si>
    <t>MGCH</t>
  </si>
  <si>
    <t>INTERBLOCK</t>
  </si>
  <si>
    <t>INTB</t>
  </si>
  <si>
    <t>TRIPLE MANIA BONUS</t>
  </si>
  <si>
    <t>MAGIC MANIA</t>
  </si>
  <si>
    <t>MAGM</t>
  </si>
  <si>
    <t>INTERVISION</t>
  </si>
  <si>
    <t>TRIPLE MANIA BONUS PLUS</t>
  </si>
  <si>
    <t>MALL MANIA</t>
  </si>
  <si>
    <t>MALLM</t>
  </si>
  <si>
    <t>JAMES</t>
  </si>
  <si>
    <t>JMES</t>
  </si>
  <si>
    <t>TRIPLE MANIA BONUS PRIME</t>
  </si>
  <si>
    <t>TMBPm</t>
  </si>
  <si>
    <t>MASSKARA BINGO</t>
  </si>
  <si>
    <t>MSKB</t>
  </si>
  <si>
    <t>ENERGY LINK</t>
  </si>
  <si>
    <t>JESTRE</t>
  </si>
  <si>
    <t>JES</t>
  </si>
  <si>
    <t>TRIPLE TURBO</t>
  </si>
  <si>
    <t>TT</t>
  </si>
  <si>
    <t>MAYA</t>
  </si>
  <si>
    <t>MY</t>
  </si>
  <si>
    <t>JVL</t>
  </si>
  <si>
    <t>VIKINGS GOLD</t>
  </si>
  <si>
    <t>VKG</t>
  </si>
  <si>
    <t>MEDIEVAL BINGO</t>
  </si>
  <si>
    <t>MDVB</t>
  </si>
  <si>
    <t>KONAMI</t>
  </si>
  <si>
    <t>WHITE TIGER BINGO</t>
  </si>
  <si>
    <t>WTB</t>
  </si>
  <si>
    <t>MEGA 25</t>
  </si>
  <si>
    <t>MG25</t>
  </si>
  <si>
    <t>LEGENDARY GAMING/BAUM GAMES</t>
  </si>
  <si>
    <t>BAUM</t>
  </si>
  <si>
    <t>TOTAL EIBE</t>
  </si>
  <si>
    <t>MULTI BINGO</t>
  </si>
  <si>
    <t>MB</t>
  </si>
  <si>
    <t>MERKUR</t>
  </si>
  <si>
    <t>TOTAL MUEBLE O-FUTURE</t>
  </si>
  <si>
    <t>O-FUT</t>
  </si>
  <si>
    <t>MULTI CHAMPION BONUS</t>
  </si>
  <si>
    <t>MCHB</t>
  </si>
  <si>
    <t>TOTAL ENERGY LINK</t>
  </si>
  <si>
    <t>MULTI MEDIA GAMES</t>
  </si>
  <si>
    <t>MMG</t>
  </si>
  <si>
    <t>MULTI CHANCE</t>
  </si>
  <si>
    <t>MCH</t>
  </si>
  <si>
    <t>NOVOMATIC</t>
  </si>
  <si>
    <t>MULTI MEGA</t>
  </si>
  <si>
    <t>OPERADORA CLASS LK</t>
  </si>
  <si>
    <t>CLASSLK</t>
  </si>
  <si>
    <t>20 GRATIS</t>
  </si>
  <si>
    <t>20G</t>
  </si>
  <si>
    <t>MULTI MEGA BONUS</t>
  </si>
  <si>
    <t>MMB</t>
  </si>
  <si>
    <t>ORION</t>
  </si>
  <si>
    <t>ORI</t>
  </si>
  <si>
    <t>ASTRAL</t>
  </si>
  <si>
    <t>ASTRA</t>
  </si>
  <si>
    <t>MULTI MEGA ICE BLAST</t>
  </si>
  <si>
    <t>MMIB</t>
  </si>
  <si>
    <t>ENERGY LINK 3x5</t>
  </si>
  <si>
    <t>PAULA</t>
  </si>
  <si>
    <t>PAU</t>
  </si>
  <si>
    <t>AVE CAESAR GRATIS</t>
  </si>
  <si>
    <t>ACG</t>
  </si>
  <si>
    <t>MULTI MEGA MILLONAIRE</t>
  </si>
  <si>
    <t>MMBM</t>
  </si>
  <si>
    <t>ENERGY LINK DOBLE BONUS</t>
  </si>
  <si>
    <t>PRIOR 2 ARRIVAL</t>
  </si>
  <si>
    <t>P2A</t>
  </si>
  <si>
    <t>BINGO IMPERIUM XII</t>
  </si>
  <si>
    <t>IMP XII</t>
  </si>
  <si>
    <t>MULTI PLUS</t>
  </si>
  <si>
    <t>ENERGY LINK P4 BONUS</t>
  </si>
  <si>
    <t>PROMATIC</t>
  </si>
  <si>
    <t>PMAT</t>
  </si>
  <si>
    <t>BINGO TOP GRATIS</t>
  </si>
  <si>
    <t>BNTG</t>
  </si>
  <si>
    <t>MULTI PLUS BONUS</t>
  </si>
  <si>
    <t>MPB</t>
  </si>
  <si>
    <t>RCT</t>
  </si>
  <si>
    <t>BOMBA MULTI GAME</t>
  </si>
  <si>
    <t>BMG</t>
  </si>
  <si>
    <t>PLUS 3</t>
  </si>
  <si>
    <t>TOTAL ENERGY LINK 3x5</t>
  </si>
  <si>
    <t>SB</t>
  </si>
  <si>
    <t>DOBLE GRATIS</t>
  </si>
  <si>
    <t>DMG</t>
  </si>
  <si>
    <t>PLUS 3 BONUS</t>
  </si>
  <si>
    <t>P3B</t>
  </si>
  <si>
    <t>LIGHT &amp; WONDER</t>
  </si>
  <si>
    <t>DOBLE MANIA</t>
  </si>
  <si>
    <t>DM</t>
  </si>
  <si>
    <t>PLUS 3 MULTI</t>
  </si>
  <si>
    <t>P3M</t>
  </si>
  <si>
    <t>SCORPIO GAMING INTERNATIONAL</t>
  </si>
  <si>
    <t>SGINT</t>
  </si>
  <si>
    <t>FUSION LINK</t>
  </si>
  <si>
    <t>FLINK</t>
  </si>
  <si>
    <t>RACINGO</t>
  </si>
  <si>
    <t>RACNG</t>
  </si>
  <si>
    <t>SEGA SAMMY CREATION</t>
  </si>
  <si>
    <t>SAMMY</t>
  </si>
  <si>
    <t>IMPERIUM</t>
  </si>
  <si>
    <t>ROCK STAR</t>
  </si>
  <si>
    <t>RKS</t>
  </si>
  <si>
    <t>ENERGY KING 3x4</t>
  </si>
  <si>
    <t>SHOWBALL RODILLOS</t>
  </si>
  <si>
    <t>SHOWRO</t>
  </si>
  <si>
    <t>IMPERIUM GRATIS</t>
  </si>
  <si>
    <t>RUBINGO</t>
  </si>
  <si>
    <t>ENERGY KING TOP</t>
  </si>
  <si>
    <t>EK TOP</t>
  </si>
  <si>
    <t>SLEIC RODILLOS</t>
  </si>
  <si>
    <t>SLERO</t>
  </si>
  <si>
    <t>JOKER MEX</t>
  </si>
  <si>
    <t>JKM</t>
  </si>
  <si>
    <t>SANDS OF FORTUNE</t>
  </si>
  <si>
    <t>SOFE</t>
  </si>
  <si>
    <t>ENERGY KING AQUA</t>
  </si>
  <si>
    <t>EK AQUA</t>
  </si>
  <si>
    <t>SPIELO</t>
  </si>
  <si>
    <t>SPLO</t>
  </si>
  <si>
    <t>JOKER WIN</t>
  </si>
  <si>
    <t>JKW</t>
  </si>
  <si>
    <t>THE KING</t>
  </si>
  <si>
    <t>KNG</t>
  </si>
  <si>
    <t>ENERGY KING MEX</t>
  </si>
  <si>
    <t>EK MEX</t>
  </si>
  <si>
    <t>TECNOVISION</t>
  </si>
  <si>
    <t>TCNO</t>
  </si>
  <si>
    <t>L´AMOR</t>
  </si>
  <si>
    <t>L´A</t>
  </si>
  <si>
    <t>TREASURE BINGO</t>
  </si>
  <si>
    <t>TRB</t>
  </si>
  <si>
    <t>ENERGY KING WEST</t>
  </si>
  <si>
    <t>EK WST</t>
  </si>
  <si>
    <t>VEGAVISION</t>
  </si>
  <si>
    <t>VEGA</t>
  </si>
  <si>
    <t>LA VIDENTE</t>
  </si>
  <si>
    <t>LAV</t>
  </si>
  <si>
    <t>UNDERWATER RICHES</t>
  </si>
  <si>
    <t xml:space="preserve">TOTAL ENERGY KING
</t>
  </si>
  <si>
    <t>VGT</t>
  </si>
  <si>
    <t>LAST MANIA</t>
  </si>
  <si>
    <t>LM</t>
  </si>
  <si>
    <t>VIVA MEXICO</t>
  </si>
  <si>
    <t>WINPOT / DREIDEL SL</t>
  </si>
  <si>
    <t>LONDON PLAY</t>
  </si>
  <si>
    <t>LONP</t>
  </si>
  <si>
    <t>VOLCANO</t>
  </si>
  <si>
    <t>VOLC</t>
  </si>
  <si>
    <t>WIN SYSTEM</t>
  </si>
  <si>
    <t>MEPHISTOFELES</t>
  </si>
  <si>
    <t>MEPH</t>
  </si>
  <si>
    <t>TOTAL FBM</t>
  </si>
  <si>
    <t>OTROS SLOTS</t>
  </si>
  <si>
    <t>OTROS SL</t>
  </si>
  <si>
    <t>MEXICAN GAME</t>
  </si>
  <si>
    <t>MEXG</t>
  </si>
  <si>
    <t>ENERGY KING 3x5</t>
  </si>
  <si>
    <t>MILLION +</t>
  </si>
  <si>
    <t>ML</t>
  </si>
  <si>
    <t>MULTI CHOICE</t>
  </si>
  <si>
    <t>MULTICH</t>
  </si>
  <si>
    <t>30 FUNNY CARS</t>
  </si>
  <si>
    <t>30FCRS</t>
  </si>
  <si>
    <t>MULTI CLASSIC</t>
  </si>
  <si>
    <t>MCLS</t>
  </si>
  <si>
    <t>ATLANTIS BINGO</t>
  </si>
  <si>
    <t>AB</t>
  </si>
  <si>
    <t>PRIMA</t>
  </si>
  <si>
    <t>PRI</t>
  </si>
  <si>
    <t>BEACH FIESTA BINGO</t>
  </si>
  <si>
    <t>BCHF</t>
  </si>
  <si>
    <t>TOTAL ENERGY KING 3x5</t>
  </si>
  <si>
    <t>QUEEN ROULETTE</t>
  </si>
  <si>
    <t>QR</t>
  </si>
  <si>
    <t>BINGO BANG THEORY</t>
  </si>
  <si>
    <t>BBT</t>
  </si>
  <si>
    <t>TNT</t>
  </si>
  <si>
    <t>BING BUZO</t>
  </si>
  <si>
    <t>BBUZO</t>
  </si>
  <si>
    <t>TOTAL FUMAR</t>
  </si>
  <si>
    <t>TOTAL NO FUMAR</t>
  </si>
  <si>
    <t>TOP MANIA</t>
  </si>
  <si>
    <t>TOM</t>
  </si>
  <si>
    <t>BINGO DE LOS CIELOS</t>
  </si>
  <si>
    <t>BCIELOS</t>
  </si>
  <si>
    <t>TOT IMPERIUM</t>
  </si>
  <si>
    <t>BINGO SAURUS</t>
  </si>
  <si>
    <t>BS</t>
  </si>
  <si>
    <t>XII CAESARES</t>
  </si>
  <si>
    <t>XII</t>
  </si>
  <si>
    <t>BINVADERS</t>
  </si>
  <si>
    <t>BINV</t>
  </si>
  <si>
    <t>TRIPLE X BOOM</t>
  </si>
  <si>
    <t>XXX B</t>
  </si>
  <si>
    <t>COPA CABANA</t>
  </si>
  <si>
    <t>COPC</t>
  </si>
  <si>
    <t>TABLA DE SIGNS BINGO</t>
  </si>
  <si>
    <t>TOTAL METRONIA</t>
  </si>
  <si>
    <t>DIAMOND JACK</t>
  </si>
  <si>
    <t>DJ</t>
  </si>
  <si>
    <t>DOCTOR BINGO PLUS</t>
  </si>
  <si>
    <t>DBP</t>
  </si>
  <si>
    <t>DOUBLE SPEED</t>
  </si>
  <si>
    <t>DSPEED</t>
  </si>
  <si>
    <t>TOTAL SIGNS SALA</t>
  </si>
  <si>
    <t>EL PESERO</t>
  </si>
  <si>
    <t>PESE</t>
  </si>
  <si>
    <t>CRAZY CACTUS BINGO</t>
  </si>
  <si>
    <t>CCB</t>
  </si>
  <si>
    <t>FUNNY CARS</t>
  </si>
  <si>
    <t>FCRS</t>
  </si>
  <si>
    <t xml:space="preserve">TOTAL FUMAR </t>
  </si>
  <si>
    <t>DYNAMITE BINGO</t>
  </si>
  <si>
    <t>DYB</t>
  </si>
  <si>
    <t>FUNNY CARS CLASSIC</t>
  </si>
  <si>
    <t>FCRC</t>
  </si>
  <si>
    <t>TOTAL JESTRONIC</t>
  </si>
  <si>
    <t>GRAN NATIONAL 20</t>
  </si>
  <si>
    <t>G20</t>
  </si>
  <si>
    <t>FRAMELESS</t>
  </si>
  <si>
    <t>GRAND NATIONAL</t>
  </si>
  <si>
    <t>GN</t>
  </si>
  <si>
    <t>DRAGON WIN 1 CARA</t>
  </si>
  <si>
    <t>SIGN DW-1</t>
  </si>
  <si>
    <t>IMPERIAL BINGO</t>
  </si>
  <si>
    <t>IMB</t>
  </si>
  <si>
    <t>ENERGY KING 1 CARA</t>
  </si>
  <si>
    <t>SIGN EK-1</t>
  </si>
  <si>
    <t>R.FRANCO</t>
  </si>
  <si>
    <t>IMPERIAL PALACE</t>
  </si>
  <si>
    <t>IMP</t>
  </si>
  <si>
    <t>ENERGY LINK 1 CARA</t>
  </si>
  <si>
    <t>SIGN EL-1</t>
  </si>
  <si>
    <t xml:space="preserve"> BINGO CARAMEL</t>
  </si>
  <si>
    <t>BC</t>
  </si>
  <si>
    <t>JOCKEY MANIA</t>
  </si>
  <si>
    <t>JOKCM</t>
  </si>
  <si>
    <t>DRAGON WIN 2 CARAS</t>
  </si>
  <si>
    <t>SIGN DW-2</t>
  </si>
  <si>
    <t>10 VECES BINGO</t>
  </si>
  <si>
    <t>10VB</t>
  </si>
  <si>
    <t>LA MINA DE LA SUERTE 20</t>
  </si>
  <si>
    <t>MS20</t>
  </si>
  <si>
    <t>ENERGY KING 2 CARAS</t>
  </si>
  <si>
    <t>SIGN EK-2</t>
  </si>
  <si>
    <t>5 DIAMANTES</t>
  </si>
  <si>
    <t>5D</t>
  </si>
  <si>
    <t>MAGIC 60</t>
  </si>
  <si>
    <t>MGC60</t>
  </si>
  <si>
    <t>ENERGY LINK 2 CARAS</t>
  </si>
  <si>
    <t>SIGN EL-2</t>
  </si>
  <si>
    <t>BON VOYAGE</t>
  </si>
  <si>
    <t>BV</t>
  </si>
  <si>
    <t>MULTI DRAGON</t>
  </si>
  <si>
    <t>MDRA</t>
  </si>
  <si>
    <t>CONECTA BINGO</t>
  </si>
  <si>
    <t>CB</t>
  </si>
  <si>
    <t>MULTI JUEGO</t>
  </si>
  <si>
    <t>MULTJ</t>
  </si>
  <si>
    <t>BINGO LINK</t>
  </si>
  <si>
    <t>CONFIDENTIAL</t>
  </si>
  <si>
    <t>CF</t>
  </si>
  <si>
    <t>ORIGINAL BINGO</t>
  </si>
  <si>
    <t>OBGO</t>
  </si>
  <si>
    <t>SIGN BLDW-1</t>
  </si>
  <si>
    <t>RICH BINGO</t>
  </si>
  <si>
    <t>RCHB</t>
  </si>
  <si>
    <t>ORIGINAL BINGO JAZZ</t>
  </si>
  <si>
    <t>OBGOJAZZ</t>
  </si>
  <si>
    <t>SIGN BLEK-1</t>
  </si>
  <si>
    <t>TOTAL R.FRANCO</t>
  </si>
  <si>
    <t>PLUS MANIA</t>
  </si>
  <si>
    <t>PMANIA</t>
  </si>
  <si>
    <t>SIGN BLEL-1</t>
  </si>
  <si>
    <t>MAGIC CHINA</t>
  </si>
  <si>
    <t>MCHINA</t>
  </si>
  <si>
    <t>SHOW TIME 1 CARA</t>
  </si>
  <si>
    <t>SIGN BLSWT-1</t>
  </si>
  <si>
    <t>RA MANIA</t>
  </si>
  <si>
    <t>SIGN BLDW-2</t>
  </si>
  <si>
    <t>SAFARI RACE</t>
  </si>
  <si>
    <t>SR</t>
  </si>
  <si>
    <t>ENERGY KING / ENERGY LINK 2 CARAS</t>
  </si>
  <si>
    <t>SIGN BLEK/BLEL-2</t>
  </si>
  <si>
    <t>CANDY PRIZE</t>
  </si>
  <si>
    <t>CNYPRZ</t>
  </si>
  <si>
    <t>SATURN 8</t>
  </si>
  <si>
    <t>S8</t>
  </si>
  <si>
    <t>SHOW TIME 2 CARAS</t>
  </si>
  <si>
    <t>SIGN BLSWT-2</t>
  </si>
  <si>
    <t>DREIDEL</t>
  </si>
  <si>
    <t>SPIN GOAL</t>
  </si>
  <si>
    <t>SPGOAL</t>
  </si>
  <si>
    <t>DRAGON WIN / LINK ME 2 CARAS</t>
  </si>
  <si>
    <t>SIGN BLDW/LM-2</t>
  </si>
  <si>
    <t>FIRE AND ICE</t>
  </si>
  <si>
    <t>FANDI</t>
  </si>
  <si>
    <t>STORM LINK</t>
  </si>
  <si>
    <t>STRLINK</t>
  </si>
  <si>
    <t>DRAGON WIN/ ENERGY KING 2 CARAS</t>
  </si>
  <si>
    <t>SIGN BLDW/EK-2</t>
  </si>
  <si>
    <t>FIRE LINK</t>
  </si>
  <si>
    <t>FRELK</t>
  </si>
  <si>
    <t>SWEET BINGO</t>
  </si>
  <si>
    <t>SWEETB</t>
  </si>
  <si>
    <t>DRAGON WIN/ ENERGY LINK 2 CARAS</t>
  </si>
  <si>
    <t>SIGN BLDW/EL-2</t>
  </si>
  <si>
    <t>FREDDY WHEEL BINGO</t>
  </si>
  <si>
    <t>FREDWBINGO</t>
  </si>
  <si>
    <t>SWITCH LINK</t>
  </si>
  <si>
    <t>STLINK</t>
  </si>
  <si>
    <t>DRAGON WIN / SHOW TIME FASE 5  2 CARAS</t>
  </si>
  <si>
    <t>SIGN BLDW/STF5-2</t>
  </si>
  <si>
    <t>JA PON PON</t>
  </si>
  <si>
    <t>JPON</t>
  </si>
  <si>
    <t>TIME 4 BONUS</t>
  </si>
  <si>
    <t>T4B</t>
  </si>
  <si>
    <t>LUCKY DRAGON</t>
  </si>
  <si>
    <t>LKYDRGN</t>
  </si>
  <si>
    <t>WONDER BINGO</t>
  </si>
  <si>
    <t>WBING</t>
  </si>
  <si>
    <t>LUCKY WIZARD</t>
  </si>
  <si>
    <t>LKYWRD</t>
  </si>
  <si>
    <t>YETI (ICE CREAM)</t>
  </si>
  <si>
    <t>YETI</t>
  </si>
  <si>
    <t>SIGN BPDW-1</t>
  </si>
  <si>
    <t>MARDI JAZZ</t>
  </si>
  <si>
    <t>MARDIJ</t>
  </si>
  <si>
    <t>TOTAL SLEIC</t>
  </si>
  <si>
    <t>SIGN BPEK-1</t>
  </si>
  <si>
    <t>SEA FORTUNES</t>
  </si>
  <si>
    <t>SEAFORT</t>
  </si>
  <si>
    <t>SIGN BPEL-1</t>
  </si>
  <si>
    <t>THE 7 KINGDOMS</t>
  </si>
  <si>
    <t>7KDOMS</t>
  </si>
  <si>
    <t>SIGN BPDW-2</t>
  </si>
  <si>
    <t>TINO</t>
  </si>
  <si>
    <t xml:space="preserve">PACHINKO </t>
  </si>
  <si>
    <t>PKI</t>
  </si>
  <si>
    <t>SIGN BPEK-2</t>
  </si>
  <si>
    <t>TINO 60s</t>
  </si>
  <si>
    <t>TINO60s</t>
  </si>
  <si>
    <t>PACHINKO II</t>
  </si>
  <si>
    <t>PKII</t>
  </si>
  <si>
    <t>SIGN BPEL-2</t>
  </si>
  <si>
    <t>TINO CHINA</t>
  </si>
  <si>
    <t>TOTAL PACHINKO</t>
  </si>
  <si>
    <t>WEST WEST BINGO</t>
  </si>
  <si>
    <t>WWBINGO</t>
  </si>
  <si>
    <t>ZITRO</t>
  </si>
  <si>
    <t>WINNING RAINBOWS</t>
  </si>
  <si>
    <t>WRBWS</t>
  </si>
  <si>
    <t>SIGN ZITRODW-1</t>
  </si>
  <si>
    <t>TOTAL WINPOT</t>
  </si>
  <si>
    <t>BINGO BINGO</t>
  </si>
  <si>
    <t>BINB</t>
  </si>
  <si>
    <t>SIGN ZITRODW-2</t>
  </si>
  <si>
    <t>BINGO DE LA PASION</t>
  </si>
  <si>
    <t>BPS</t>
  </si>
  <si>
    <t>JUKEBOX BINGO</t>
  </si>
  <si>
    <t>JBB</t>
  </si>
  <si>
    <t>ONIX</t>
  </si>
  <si>
    <t>SALSA BINGO</t>
  </si>
  <si>
    <t>SBO</t>
  </si>
  <si>
    <t>SIGN ONIXDW-1</t>
  </si>
  <si>
    <t>SUPER BET BINGO</t>
  </si>
  <si>
    <t>SBB</t>
  </si>
  <si>
    <t>SIGN ONIXDW-2</t>
  </si>
  <si>
    <t>ZOMBIE BINGO</t>
  </si>
  <si>
    <t>ZB</t>
  </si>
  <si>
    <t>TOTAL SABIA</t>
  </si>
  <si>
    <t>FLEX GAME</t>
  </si>
  <si>
    <t>FLXG</t>
  </si>
  <si>
    <t>HOT BINGO</t>
  </si>
  <si>
    <t>HBIN</t>
  </si>
  <si>
    <t>BLUEBERI</t>
  </si>
  <si>
    <t>PARK BINGO</t>
  </si>
  <si>
    <t>PKB</t>
  </si>
  <si>
    <t>TOTAL BLUBERI</t>
  </si>
  <si>
    <t>STEEL BINGO</t>
  </si>
  <si>
    <t>STLB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</si>
  <si>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</si>
  <si>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</si>
  <si>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</si>
  <si>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</si>
  <si>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</si>
  <si>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</si>
  <si>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</si>
  <si>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</si>
  <si>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VIVA</t>
  </si>
  <si>
    <t>TOTAL LATINA WORLD GAMING</t>
  </si>
  <si>
    <t>TOTAL INTERVISION</t>
  </si>
  <si>
    <t>JALAPEÑO</t>
  </si>
  <si>
    <t>JPÑO</t>
  </si>
  <si>
    <t>AEROBINGO</t>
  </si>
  <si>
    <t>AEROB</t>
  </si>
  <si>
    <t>BINGO BRAVO</t>
  </si>
  <si>
    <t>BBRAVO</t>
  </si>
  <si>
    <t>TOTAL JCB GAMING</t>
  </si>
  <si>
    <t>PIRATES</t>
  </si>
  <si>
    <t>PIR</t>
  </si>
  <si>
    <t>LUCHA LIBRE</t>
  </si>
  <si>
    <t>LLIBRE</t>
  </si>
  <si>
    <t>SONORA DESERT</t>
  </si>
  <si>
    <t>SDESERT</t>
  </si>
  <si>
    <t>MAXCOTA</t>
  </si>
  <si>
    <t>MXTA</t>
  </si>
  <si>
    <t>TESORO DEL ARTICO</t>
  </si>
  <si>
    <t>TARTICO</t>
  </si>
  <si>
    <t>MONSTER</t>
  </si>
  <si>
    <t>MNST</t>
  </si>
  <si>
    <t>TROPICANA</t>
  </si>
  <si>
    <t>TROPIC</t>
  </si>
  <si>
    <t>ROYAL BINGO</t>
  </si>
  <si>
    <t>RYBG</t>
  </si>
  <si>
    <t>POKER REVOLUTION</t>
  </si>
  <si>
    <t>PKREV</t>
  </si>
  <si>
    <t>TROPI CALIENTE</t>
  </si>
  <si>
    <t>TRPC</t>
  </si>
  <si>
    <t>BLACK JACK</t>
  </si>
  <si>
    <t>BJ</t>
  </si>
  <si>
    <t>TOTAL AMBRA GAMING</t>
  </si>
  <si>
    <t>KENO</t>
  </si>
  <si>
    <t>KNO</t>
  </si>
  <si>
    <t>TOTAL DEGESTEC</t>
  </si>
  <si>
    <t>FIESTA DE FUEGO</t>
  </si>
  <si>
    <t>FFUEGO</t>
  </si>
  <si>
    <t>TOTAL KONAMI BINGO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</si>
</sst>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_-* #,##0\ _€_-;\-* #,##0\ _€_-;_-* &quot;-&quot;\ _€_-;_-@"/>
    <numFmt numFmtId="171" formatCode="_-* #,##0\ _€_-;\-* #,##0\ _€_-;_-* &quot;-&quot;\ _€_-;_-@_-"/>
    <numFmt numFmtId="172" formatCode="_(* #,##0_);_(* \(#,##0\);_(* &quot;-&quot;_);_(@_)"/>
    <numFmt numFmtId="173" formatCode="_-* #,##0_-;\-* #,##0_-;_-* &quot;-&quot;_-;_-@"/>
    <numFmt numFmtId="174" formatCode="0000000"/>
  </numFmts>
  <fonts count="15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222222"/>
      <name val="Arial"/>
      <family val="2"/>
    </font>
    <font>
      <b/>
      <sz val="14"/>
      <color rgb="FF000000"/>
      <name val="Arial"/>
      <family val="2"/>
    </font>
    <font>
      <b/>
      <sz val="14"/>
      <color rgb="FF9E0400"/>
      <name val="Arial"/>
      <family val="2"/>
    </font>
    <font>
      <b/>
      <sz val="14"/>
      <color rgb="FF333F4F"/>
      <name val="Arial"/>
      <family val="2"/>
    </font>
    <font>
      <b/>
      <sz val="14"/>
      <color rgb="FF0070C0"/>
      <name val="Arial"/>
      <family val="2"/>
    </font>
    <font>
      <b/>
      <sz val="14"/>
      <color rgb="FF92D050"/>
      <name val="Arial"/>
      <family val="2"/>
    </font>
    <font>
      <b/>
      <sz val="14"/>
      <color rgb="FFFFC000"/>
      <name val="Arial"/>
      <family val="2"/>
    </font>
    <font>
      <b/>
      <sz val="14"/>
      <color rgb="FF222B35"/>
      <name val="Arial"/>
      <family val="2"/>
    </font>
    <font>
      <b/>
      <sz val="14"/>
      <color rgb="FFFF0000"/>
      <name val="Arial"/>
      <family val="2"/>
    </font>
    <font>
      <b/>
      <sz val="14"/>
      <color rgb="FF806000"/>
      <name val="Arial"/>
      <family val="2"/>
    </font>
    <font>
      <sz val="12"/>
      <name val="Arial"/>
      <family val="2"/>
    </font>
    <font>
      <b/>
      <sz val="14"/>
      <color rgb="FFFFFF00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26"/>
      <name val="Arial"/>
      <family val="2"/>
    </font>
    <font>
      <b/>
      <sz val="2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12"/>
      <color rgb="FF333333"/>
      <name val="Calibri"/>
      <family val="2"/>
    </font>
    <font>
      <b/>
      <sz val="16"/>
      <name val="Calibri"/>
      <family val="2"/>
    </font>
    <font>
      <b/>
      <sz val="12"/>
      <color rgb="FFDDDDDD"/>
      <name val="Calibri"/>
      <family val="2"/>
    </font>
    <font>
      <b/>
      <sz val="12"/>
      <color rgb="FFFFFFFF"/>
      <name val="Calibri"/>
      <family val="2"/>
    </font>
    <font>
      <b/>
      <sz val="12"/>
      <color rgb="FFC00000"/>
      <name val="Arial"/>
      <family val="2"/>
    </font>
    <font>
      <sz val="10"/>
      <color rgb="FFFFFFFF"/>
      <name val="Arial"/>
      <family val="2"/>
    </font>
    <font>
      <b/>
      <sz val="12"/>
      <color rgb="FF3F3151"/>
      <name val="Arial"/>
      <family val="2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11"/>
      <name val="Calibri"/>
      <family val="2"/>
    </font>
    <font>
      <b/>
      <sz val="14"/>
      <color rgb="FF568FD4"/>
      <name val="Arial"/>
      <family val="2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b/>
      <sz val="16"/>
      <color rgb="FFFF0000"/>
      <name val="Arial"/>
      <family val="2"/>
    </font>
    <font>
      <sz val="16"/>
      <name val="Calibri"/>
      <family val="2"/>
    </font>
    <font>
      <u/>
      <sz val="11"/>
      <name val="Arial"/>
      <family val="2"/>
    </font>
    <font>
      <sz val="14"/>
      <color rgb="FFFF0000"/>
      <name val="Calibri"/>
      <family val="2"/>
    </font>
    <font>
      <b/>
      <sz val="8"/>
      <color rgb="FFFF0000"/>
      <name val="Calibri"/>
      <family val="2"/>
    </font>
    <font>
      <b/>
      <sz val="16"/>
      <color rgb="FFFF0000"/>
      <name val="Calibri"/>
      <family val="2"/>
    </font>
    <font>
      <b/>
      <sz val="12"/>
      <color rgb="FFFFFF00"/>
      <name val="Arial"/>
      <family val="2"/>
    </font>
    <font>
      <b/>
      <sz val="12"/>
      <color rgb="FFFF0000"/>
      <name val="Arial"/>
      <family val="2"/>
    </font>
    <font>
      <b/>
      <sz val="11"/>
      <name val="Arial"/>
      <family val="2"/>
    </font>
    <font>
      <b/>
      <sz val="14"/>
      <color rgb="FFFF0000"/>
      <name val="Calibri"/>
      <family val="2"/>
    </font>
    <font>
      <b/>
      <sz val="12"/>
      <color rgb="FF00B0F0"/>
      <name val="Arial"/>
      <family val="2"/>
    </font>
    <font>
      <b/>
      <sz val="22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8"/>
      <color rgb="FF000000"/>
      <name val="Calibri"/>
      <family val="2"/>
    </font>
    <font>
      <b/>
      <sz val="12"/>
      <color rgb="FF800080"/>
      <name val="Arial"/>
      <family val="2"/>
    </font>
    <font>
      <u/>
      <sz val="16"/>
      <name val="Calibri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</font>
    <font>
      <b/>
      <sz val="12"/>
      <color rgb="FFFABF8F"/>
      <name val="Calibri"/>
      <family val="2"/>
    </font>
    <font>
      <sz val="16"/>
      <name val="Arial"/>
      <family val="2"/>
    </font>
    <font>
      <b/>
      <sz val="11"/>
      <color rgb="FFFF0000"/>
      <name val="Calibri"/>
      <family val="2"/>
    </font>
    <font>
      <b/>
      <sz val="12"/>
      <color rgb="FF4A4529"/>
      <name val="Calibri"/>
      <family val="2"/>
    </font>
    <font>
      <sz val="10"/>
      <name val="Calibri"/>
      <family val="2"/>
    </font>
    <font>
      <b/>
      <sz val="11"/>
      <color rgb="FF000000"/>
      <name val="Arial"/>
      <family val="2"/>
    </font>
    <font>
      <b/>
      <sz val="12"/>
      <name val="Calibri"/>
      <family val="2"/>
    </font>
    <font>
      <b/>
      <sz val="12"/>
      <color rgb="FFFFFF00"/>
      <name val="Calibri"/>
      <family val="2"/>
    </font>
    <font>
      <b/>
      <sz val="10"/>
      <color rgb="FFFF0000"/>
      <name val="Calibri"/>
      <family val="2"/>
    </font>
    <font>
      <b/>
      <sz val="10"/>
      <color theme="0"/>
      <name val="Arial"/>
      <family val="2"/>
    </font>
    <font>
      <sz val="10"/>
      <color rgb="FFFF0000"/>
      <name val="Calibri"/>
      <family val="2"/>
    </font>
    <font>
      <b/>
      <sz val="16"/>
      <color rgb="FF000000"/>
      <name val="Calibri"/>
      <family val="2"/>
    </font>
    <font>
      <b/>
      <sz val="10"/>
      <color rgb="FF568FD4"/>
      <name val="Arial"/>
      <family val="2"/>
    </font>
    <font>
      <b/>
      <sz val="14"/>
      <color rgb="FF000000"/>
      <name val="Calibri"/>
      <family val="2"/>
    </font>
    <font>
      <b/>
      <sz val="10"/>
      <color rgb="FF000000"/>
      <name val="Arial"/>
      <family val="2"/>
    </font>
    <font>
      <b/>
      <sz val="18"/>
      <name val="Calibri"/>
      <family val="2"/>
    </font>
    <font>
      <b/>
      <sz val="16"/>
      <name val="Arial"/>
      <family val="2"/>
    </font>
    <font>
      <sz val="22"/>
      <name val="Calibri"/>
      <family val="2"/>
    </font>
    <font>
      <b/>
      <sz val="12"/>
      <color rgb="FF000000"/>
      <name val="Calibri"/>
      <family val="2"/>
    </font>
    <font>
      <sz val="16"/>
      <color rgb="FF000000"/>
      <name val="Calibri"/>
      <family val="2"/>
    </font>
    <font>
      <sz val="11"/>
      <color rgb="FFFFFFFF"/>
      <name val="Calibri"/>
      <family val="2"/>
    </font>
    <font>
      <b/>
      <sz val="16"/>
      <color rgb="FFFFFFFF"/>
      <name val="Calibri"/>
      <family val="2"/>
    </font>
    <font>
      <sz val="10"/>
      <color rgb="FFFF0000"/>
      <name val="Arial"/>
      <family val="2"/>
    </font>
    <font>
      <b/>
      <sz val="12"/>
      <color rgb="FF92CDDC"/>
      <name val="Arial"/>
      <family val="2"/>
    </font>
    <font>
      <sz val="18"/>
      <color rgb="FFFF0000"/>
      <name val="Calibri"/>
      <family val="2"/>
    </font>
    <font>
      <b/>
      <sz val="12"/>
      <color rgb="FFFFFFFF"/>
      <name val="Arial"/>
      <family val="2"/>
    </font>
    <font>
      <b/>
      <sz val="12"/>
      <color rgb="FF632423"/>
      <name val="Arial"/>
      <family val="2"/>
    </font>
    <font>
      <sz val="36"/>
      <name val="Arial"/>
      <family val="2"/>
    </font>
    <font>
      <b/>
      <sz val="10"/>
      <name val="Calibri"/>
      <family val="2"/>
    </font>
    <font>
      <b/>
      <sz val="12"/>
      <color rgb="FF494429"/>
      <name val="Calibri"/>
      <family val="2"/>
    </font>
    <font>
      <b/>
      <sz val="22"/>
      <color rgb="FF000000"/>
      <name val="Calibri"/>
      <family val="2"/>
    </font>
    <font>
      <b/>
      <sz val="22"/>
      <color rgb="FFFF0000"/>
      <name val="Calibri"/>
      <family val="2"/>
    </font>
    <font>
      <sz val="9"/>
      <name val="Calibri"/>
      <family val="2"/>
    </font>
    <font>
      <b/>
      <sz val="16"/>
      <name val="Noto Sans Symbols"/>
    </font>
    <font>
      <sz val="36"/>
      <name val="Calibri"/>
      <family val="2"/>
    </font>
    <font>
      <b/>
      <sz val="36"/>
      <name val="Calibri"/>
      <family val="2"/>
    </font>
    <font>
      <b/>
      <sz val="14"/>
      <name val="Calibri"/>
      <family val="2"/>
    </font>
    <font>
      <sz val="9"/>
      <name val="Arial"/>
      <family val="2"/>
    </font>
    <font>
      <b/>
      <sz val="20"/>
      <name val="Arial"/>
      <family val="2"/>
    </font>
    <font>
      <b/>
      <sz val="16"/>
      <color rgb="FFB2A1C7"/>
      <name val="Calibri"/>
      <family val="2"/>
    </font>
    <font>
      <sz val="12"/>
      <name val="Calibri"/>
      <family val="2"/>
    </font>
    <font>
      <sz val="14"/>
      <name val="Calibri"/>
      <family val="2"/>
    </font>
    <font>
      <b/>
      <sz val="8"/>
      <name val="Arial"/>
      <family val="2"/>
    </font>
    <font>
      <b/>
      <sz val="12"/>
      <color rgb="FF548DD4"/>
      <name val="Calibri"/>
      <family val="2"/>
    </font>
    <font>
      <b/>
      <sz val="12"/>
      <color rgb="FFB2A1C7"/>
      <name val="Calibri"/>
      <family val="2"/>
    </font>
    <font>
      <b/>
      <sz val="12"/>
      <color rgb="FF7030A0"/>
      <name val="Arial"/>
      <family val="2"/>
    </font>
    <font>
      <b/>
      <sz val="12"/>
      <color rgb="FF1F497D"/>
      <name val="Calibri"/>
      <family val="2"/>
    </font>
    <font>
      <b/>
      <sz val="14"/>
      <color rgb="FF0F243E"/>
      <name val="Arial"/>
      <family val="2"/>
    </font>
    <font>
      <b/>
      <sz val="12"/>
      <color rgb="FFCC3300"/>
      <name val="Calibri"/>
      <family val="2"/>
    </font>
    <font>
      <sz val="14"/>
      <name val="Arial"/>
      <family val="2"/>
    </font>
    <font>
      <b/>
      <sz val="12"/>
      <color rgb="FF990000"/>
      <name val="Calibri"/>
      <family val="2"/>
    </font>
    <font>
      <b/>
      <sz val="12"/>
      <color rgb="FF76923C"/>
      <name val="Calibri"/>
      <family val="2"/>
    </font>
    <font>
      <b/>
      <sz val="12"/>
      <color rgb="FFFF9900"/>
      <name val="Arial"/>
      <family val="2"/>
    </font>
    <font>
      <b/>
      <sz val="12"/>
      <color rgb="FFDAEEF3"/>
      <name val="Arial"/>
      <family val="2"/>
    </font>
    <font>
      <b/>
      <sz val="12"/>
      <color rgb="FFFFC000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2"/>
      <color rgb="FF0F243E"/>
      <name val="Arial"/>
      <family val="2"/>
    </font>
    <font>
      <b/>
      <sz val="12"/>
      <color rgb="FF938953"/>
      <name val="Arial"/>
      <family val="2"/>
    </font>
    <font>
      <b/>
      <sz val="14"/>
      <color rgb="FFC00000"/>
      <name val="Arial"/>
      <family val="2"/>
    </font>
    <font>
      <b/>
      <sz val="12"/>
      <color rgb="FFFF33CC"/>
      <name val="Arial"/>
      <family val="2"/>
    </font>
    <font>
      <b/>
      <sz val="12"/>
      <color rgb="FF3366FF"/>
      <name val="Arial"/>
      <family val="2"/>
    </font>
    <font>
      <sz val="12"/>
      <color rgb="FFF2DBDB"/>
      <name val="Calibri"/>
      <family val="2"/>
    </font>
    <font>
      <b/>
      <sz val="20"/>
      <name val="Calibri"/>
      <family val="2"/>
    </font>
    <font>
      <b/>
      <sz val="12"/>
      <color rgb="FF00B050"/>
      <name val="Arial"/>
      <family val="2"/>
    </font>
    <font>
      <sz val="14"/>
      <color rgb="FFDAEEF3"/>
      <name val="Arial"/>
      <family val="2"/>
    </font>
    <font>
      <b/>
      <sz val="12"/>
      <color rgb="FF00FFFF"/>
      <name val="Arial"/>
      <family val="2"/>
    </font>
    <font>
      <b/>
      <sz val="12"/>
      <color rgb="FFEEECE1"/>
      <name val="Arial"/>
      <family val="2"/>
    </font>
    <font>
      <b/>
      <sz val="12"/>
      <color rgb="FF205867"/>
      <name val="Arial"/>
      <family val="2"/>
    </font>
    <font>
      <b/>
      <sz val="12"/>
      <color rgb="FF1D1B10"/>
      <name val="Arial"/>
      <family val="2"/>
    </font>
  </fonts>
  <fills count="16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600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BBD828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rgb="FFDA3F3D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rgb="FF1D1B10"/>
        <bgColor rgb="FF1D1B10"/>
      </patternFill>
    </fill>
    <fill>
      <patternFill patternType="solid">
        <fgColor rgb="FFFFFF00"/>
        <bgColor rgb="FFFFFF00"/>
      </patternFill>
    </fill>
    <fill>
      <patternFill patternType="solid">
        <fgColor rgb="FFFC04D9"/>
        <bgColor rgb="FFFFCC00"/>
      </patternFill>
    </fill>
    <fill>
      <patternFill patternType="solid">
        <fgColor rgb="FFFF0000"/>
        <bgColor rgb="FFFF0000"/>
      </patternFill>
    </fill>
    <fill>
      <patternFill patternType="solid">
        <fgColor rgb="FFCBC0D9"/>
        <bgColor rgb="FFCBC0D9"/>
      </patternFill>
    </fill>
    <fill>
      <patternFill patternType="solid">
        <fgColor rgb="FF366092"/>
        <bgColor rgb="FF366092"/>
      </patternFill>
    </fill>
    <fill>
      <patternFill patternType="solid">
        <fgColor rgb="FFA5A5A5"/>
        <bgColor rgb="FFA5A5A5"/>
      </patternFill>
    </fill>
    <fill>
      <patternFill patternType="solid">
        <fgColor rgb="FFFF6000"/>
        <bgColor rgb="FFFF6000"/>
      </patternFill>
    </fill>
    <fill>
      <patternFill patternType="solid">
        <fgColor rgb="FF642523"/>
        <bgColor rgb="FF642523"/>
      </patternFill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963634"/>
        <bgColor rgb="FF963634"/>
      </patternFill>
    </fill>
    <fill>
      <patternFill patternType="solid">
        <fgColor rgb="FFFFC000"/>
        <bgColor rgb="FFFFC000"/>
      </patternFill>
    </fill>
    <fill>
      <patternFill patternType="solid">
        <fgColor rgb="FF0099FF"/>
        <bgColor rgb="FF0099FF"/>
      </patternFill>
    </fill>
    <fill>
      <patternFill patternType="solid">
        <fgColor rgb="FF00B050"/>
        <bgColor rgb="FF00B050"/>
      </patternFill>
    </fill>
    <fill>
      <patternFill patternType="solid">
        <fgColor rgb="FFF2DBDB"/>
        <bgColor rgb="FFF2DBDB"/>
      </patternFill>
    </fill>
    <fill>
      <patternFill patternType="solid">
        <fgColor rgb="FF632423"/>
        <bgColor rgb="FF632423"/>
      </patternFill>
    </fill>
    <fill>
      <patternFill patternType="solid">
        <fgColor rgb="FFFF9900"/>
        <bgColor rgb="FFFF9900"/>
      </patternFill>
    </fill>
    <fill>
      <patternFill patternType="solid">
        <fgColor rgb="FF5F497A"/>
        <bgColor rgb="FF5F497A"/>
      </patternFill>
    </fill>
    <fill>
      <patternFill patternType="solid">
        <fgColor rgb="FF8EB4E2"/>
        <bgColor rgb="FF8EB4E2"/>
      </patternFill>
    </fill>
    <fill>
      <patternFill patternType="solid">
        <fgColor rgb="FFA5A5A5"/>
        <bgColor indexed="64"/>
      </patternFill>
    </fill>
    <fill>
      <patternFill patternType="solid">
        <fgColor rgb="FFF2DCDB"/>
        <bgColor rgb="FFF2DCDB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BFBFBF"/>
        <bgColor rgb="FFBFBFBF"/>
      </patternFill>
    </fill>
    <fill>
      <patternFill patternType="solid">
        <fgColor rgb="FF00FFFF"/>
        <bgColor rgb="FF00FFFF"/>
      </patternFill>
    </fill>
    <fill>
      <patternFill patternType="solid">
        <fgColor rgb="FF215968"/>
        <bgColor rgb="FF215968"/>
      </patternFill>
    </fill>
    <fill>
      <patternFill patternType="solid">
        <fgColor rgb="FF6699FF"/>
        <bgColor rgb="FF6699FF"/>
      </patternFill>
    </fill>
    <fill>
      <patternFill patternType="solid">
        <fgColor rgb="FFB2A1C6"/>
        <bgColor rgb="FFB2A1C6"/>
      </patternFill>
    </fill>
    <fill>
      <patternFill patternType="solid">
        <fgColor rgb="FF0070C0"/>
        <bgColor rgb="FF0070C0"/>
      </patternFill>
    </fill>
    <fill>
      <patternFill patternType="solid">
        <fgColor rgb="FFC6D9F0"/>
        <bgColor rgb="FFC6D9F0"/>
      </patternFill>
    </fill>
    <fill>
      <patternFill patternType="solid">
        <fgColor rgb="FFE5B8B7"/>
        <bgColor rgb="FFE5B8B7"/>
      </patternFill>
    </fill>
    <fill>
      <patternFill patternType="solid">
        <fgColor rgb="FFD0E939"/>
        <bgColor rgb="FFD0E939"/>
      </patternFill>
    </fill>
    <fill>
      <patternFill patternType="solid">
        <fgColor rgb="FFC2D69B"/>
        <bgColor rgb="FFC2D69B"/>
      </patternFill>
    </fill>
    <fill>
      <patternFill patternType="solid">
        <fgColor rgb="FF548DD4"/>
        <bgColor rgb="FF548DD4"/>
      </patternFill>
    </fill>
    <fill>
      <patternFill patternType="solid">
        <fgColor rgb="FF538DD5"/>
        <bgColor rgb="FF538DD5"/>
      </patternFill>
    </fill>
    <fill>
      <patternFill patternType="solid">
        <fgColor rgb="FF8EA9DB"/>
        <bgColor rgb="FF8EA9DB"/>
      </patternFill>
    </fill>
    <fill>
      <patternFill patternType="solid">
        <fgColor rgb="FF333F4F"/>
        <bgColor rgb="FF333F4F"/>
      </patternFill>
    </fill>
    <fill>
      <patternFill patternType="solid">
        <fgColor rgb="FF66CCFF"/>
        <bgColor rgb="FF66CCFF"/>
      </patternFill>
    </fill>
    <fill>
      <patternFill patternType="solid">
        <fgColor rgb="FF3366FF"/>
        <bgColor rgb="FF3366FF"/>
      </patternFill>
    </fill>
    <fill>
      <patternFill patternType="solid">
        <fgColor rgb="FFB2A1C7"/>
        <bgColor rgb="FFB2A1C7"/>
      </patternFill>
    </fill>
    <fill>
      <patternFill patternType="solid">
        <fgColor rgb="FF4F6128"/>
        <bgColor rgb="FF4F6128"/>
      </patternFill>
    </fill>
    <fill>
      <patternFill patternType="solid">
        <fgColor rgb="FF7F7F7F"/>
        <bgColor rgb="FF7F7F7F"/>
      </patternFill>
    </fill>
    <fill>
      <patternFill patternType="solid">
        <fgColor rgb="FFE5D8F4"/>
        <bgColor rgb="FFE5D8F4"/>
      </patternFill>
    </fill>
    <fill>
      <patternFill patternType="solid">
        <fgColor rgb="FF595959"/>
        <bgColor rgb="FF595959"/>
      </patternFill>
    </fill>
    <fill>
      <patternFill patternType="solid">
        <fgColor rgb="FF938953"/>
        <bgColor rgb="FF938953"/>
      </patternFill>
    </fill>
    <fill>
      <patternFill patternType="solid">
        <fgColor rgb="FF974806"/>
        <bgColor rgb="FF974806"/>
      </patternFill>
    </fill>
    <fill>
      <patternFill patternType="solid">
        <fgColor rgb="FF002060"/>
        <bgColor rgb="FF002060"/>
      </patternFill>
    </fill>
    <fill>
      <patternFill patternType="solid">
        <fgColor rgb="FF76923C"/>
        <bgColor rgb="FF76923C"/>
      </patternFill>
    </fill>
    <fill>
      <patternFill patternType="solid">
        <fgColor rgb="FF800080"/>
        <bgColor rgb="FF800080"/>
      </patternFill>
    </fill>
    <fill>
      <patternFill patternType="solid">
        <fgColor rgb="FF00B0F0"/>
        <bgColor rgb="FF00B0F0"/>
      </patternFill>
    </fill>
    <fill>
      <patternFill patternType="solid">
        <fgColor rgb="FF66FFFF"/>
        <bgColor rgb="FF66FFFF"/>
      </patternFill>
    </fill>
    <fill>
      <patternFill patternType="solid">
        <fgColor rgb="FFC00000"/>
        <bgColor rgb="FFC00000"/>
      </patternFill>
    </fill>
    <fill>
      <patternFill patternType="solid">
        <fgColor rgb="FFA8A5A5"/>
        <bgColor rgb="FFA8A5A5"/>
      </patternFill>
    </fill>
    <fill>
      <patternFill patternType="solid">
        <fgColor rgb="FF494429"/>
        <bgColor rgb="FF494429"/>
      </patternFill>
    </fill>
    <fill>
      <patternFill patternType="solid">
        <fgColor rgb="FFFC04D9"/>
        <bgColor rgb="FFFC04D9"/>
      </patternFill>
    </fill>
    <fill>
      <patternFill patternType="solid">
        <fgColor rgb="FFCCA86F"/>
        <bgColor rgb="FFCCA86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31859B"/>
        <bgColor rgb="FF31859B"/>
      </patternFill>
    </fill>
    <fill>
      <patternFill patternType="solid">
        <fgColor rgb="FF333399"/>
        <bgColor rgb="FF333399"/>
      </patternFill>
    </fill>
    <fill>
      <patternFill patternType="solid">
        <fgColor rgb="FF4BC0B2"/>
        <bgColor rgb="FF4BC0B2"/>
      </patternFill>
    </fill>
    <fill>
      <patternFill patternType="solid">
        <fgColor rgb="FF99CCFF"/>
        <bgColor rgb="FF99CCFF"/>
      </patternFill>
    </fill>
    <fill>
      <patternFill patternType="solid">
        <fgColor rgb="FF17365D"/>
        <bgColor rgb="FF17365D"/>
      </patternFill>
    </fill>
    <fill>
      <patternFill patternType="solid">
        <fgColor rgb="FFCCD66F"/>
        <bgColor rgb="FFCCD66F"/>
      </patternFill>
    </fill>
    <fill>
      <patternFill patternType="solid">
        <fgColor rgb="FFD6E3BC"/>
        <bgColor rgb="FFD6E3BC"/>
      </patternFill>
    </fill>
    <fill>
      <patternFill patternType="solid">
        <fgColor rgb="FFFF3F3F"/>
        <bgColor rgb="FFFF3F3F"/>
      </patternFill>
    </fill>
    <fill>
      <patternFill patternType="solid">
        <fgColor rgb="FFB57298"/>
        <bgColor rgb="FFB57298"/>
      </patternFill>
    </fill>
    <fill>
      <patternFill patternType="solid">
        <fgColor rgb="FFBDD7EE"/>
        <bgColor rgb="FFBDD7EE"/>
      </patternFill>
    </fill>
    <fill>
      <patternFill patternType="solid">
        <fgColor rgb="FFFABF8F"/>
        <bgColor rgb="FFFABF8F"/>
      </patternFill>
    </fill>
    <fill>
      <patternFill patternType="solid">
        <fgColor rgb="FFB6DDE8"/>
        <bgColor rgb="FFB6DDE8"/>
      </patternFill>
    </fill>
    <fill>
      <patternFill patternType="solid">
        <fgColor rgb="FF953734"/>
        <bgColor rgb="FF953734"/>
      </patternFill>
    </fill>
    <fill>
      <patternFill patternType="solid">
        <fgColor rgb="FF008000"/>
        <bgColor rgb="FF008000"/>
      </patternFill>
    </fill>
    <fill>
      <patternFill patternType="solid">
        <fgColor rgb="FFBBD828"/>
        <bgColor rgb="FFBBD828"/>
      </patternFill>
    </fill>
    <fill>
      <patternFill patternType="solid">
        <fgColor rgb="FF4BACC6"/>
        <bgColor rgb="FF4BACC6"/>
      </patternFill>
    </fill>
    <fill>
      <patternFill patternType="solid">
        <fgColor rgb="FFE901C8"/>
        <bgColor rgb="FFE901C8"/>
      </patternFill>
    </fill>
    <fill>
      <patternFill patternType="solid">
        <fgColor rgb="FFFBD4B4"/>
        <bgColor rgb="FFFBD4B4"/>
      </patternFill>
    </fill>
    <fill>
      <patternFill patternType="solid">
        <fgColor rgb="FF003366"/>
        <bgColor rgb="FF003366"/>
      </patternFill>
    </fill>
    <fill>
      <patternFill patternType="solid">
        <fgColor rgb="FFFFCC00"/>
        <bgColor rgb="FFFFCC00"/>
      </patternFill>
    </fill>
    <fill>
      <patternFill patternType="solid">
        <fgColor rgb="FFBF8F00"/>
        <bgColor rgb="FFBF8F00"/>
      </patternFill>
    </fill>
    <fill>
      <patternFill patternType="solid">
        <fgColor rgb="FF73EFEF"/>
        <bgColor rgb="FF73EFEF"/>
      </patternFill>
    </fill>
    <fill>
      <patternFill patternType="solid">
        <fgColor rgb="FFC49840"/>
        <bgColor rgb="FFC49840"/>
      </patternFill>
    </fill>
    <fill>
      <patternFill patternType="solid">
        <fgColor rgb="FF1F497D"/>
        <bgColor rgb="FF1F497D"/>
      </patternFill>
    </fill>
    <fill>
      <patternFill patternType="solid">
        <fgColor rgb="FF92CDDC"/>
        <bgColor rgb="FF92CDDC"/>
      </patternFill>
    </fill>
    <fill>
      <patternFill patternType="solid">
        <fgColor rgb="FF3F3151"/>
        <bgColor rgb="FF3F3151"/>
      </patternFill>
    </fill>
    <fill>
      <patternFill patternType="solid">
        <fgColor rgb="FFB4C6E7"/>
        <bgColor rgb="FFB4C6E7"/>
      </patternFill>
    </fill>
    <fill>
      <patternFill patternType="solid">
        <fgColor rgb="FF244061"/>
        <bgColor rgb="FF244061"/>
      </patternFill>
    </fill>
    <fill>
      <patternFill patternType="solid">
        <fgColor rgb="FFE36C09"/>
        <bgColor rgb="FFE36C09"/>
      </patternFill>
    </fill>
    <fill>
      <patternFill patternType="solid">
        <fgColor rgb="FFABE2A8"/>
        <bgColor rgb="FFABE2A8"/>
      </patternFill>
    </fill>
    <fill>
      <patternFill patternType="solid">
        <fgColor rgb="FFE5DFEC"/>
        <bgColor rgb="FFE5DFEC"/>
      </patternFill>
    </fill>
    <fill>
      <patternFill patternType="solid">
        <fgColor rgb="FF205867"/>
        <bgColor rgb="FF205867"/>
      </patternFill>
    </fill>
    <fill>
      <patternFill patternType="solid">
        <fgColor rgb="FF7B7B7B"/>
        <bgColor rgb="FF7B7B7B"/>
      </patternFill>
    </fill>
    <fill>
      <patternFill patternType="solid">
        <fgColor rgb="FFDA3F3D"/>
        <bgColor rgb="FFDA3F3D"/>
      </patternFill>
    </fill>
    <fill>
      <patternFill patternType="solid">
        <fgColor rgb="FFA6936B"/>
        <bgColor rgb="FFA6936B"/>
      </patternFill>
    </fill>
    <fill>
      <patternFill patternType="solid">
        <fgColor rgb="FFC4BD97"/>
        <bgColor rgb="FFC4BD97"/>
      </patternFill>
    </fill>
    <fill>
      <patternFill patternType="solid">
        <fgColor rgb="FF974706"/>
        <bgColor rgb="FF974706"/>
      </patternFill>
    </fill>
    <fill>
      <patternFill patternType="solid">
        <fgColor rgb="FFE5D8F4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66FFFF"/>
        <bgColor rgb="FF000000"/>
      </patternFill>
    </fill>
    <fill>
      <patternFill patternType="solid">
        <fgColor rgb="FFD99594"/>
        <bgColor rgb="FFD99594"/>
      </patternFill>
    </fill>
    <fill>
      <patternFill patternType="solid">
        <fgColor rgb="FF3F3F3F"/>
        <bgColor rgb="FF3F3F3F"/>
      </patternFill>
    </fill>
    <fill>
      <patternFill patternType="solid">
        <fgColor rgb="FF0066FF"/>
        <bgColor rgb="FF0066FF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EAF1DD"/>
        <bgColor rgb="FFEAF1DD"/>
      </patternFill>
    </fill>
    <fill>
      <patternFill patternType="solid">
        <fgColor rgb="FFB6DEE8"/>
        <bgColor rgb="FFB6DEE8"/>
      </patternFill>
    </fill>
    <fill>
      <patternFill patternType="solid">
        <fgColor rgb="FFCC3300"/>
        <bgColor rgb="FFCC3300"/>
      </patternFill>
    </fill>
    <fill>
      <patternFill patternType="solid">
        <fgColor rgb="FFD8D8D8"/>
        <bgColor rgb="FFD8D8D8"/>
      </patternFill>
    </fill>
    <fill>
      <patternFill patternType="solid">
        <fgColor rgb="FFCCC0D9"/>
        <bgColor rgb="FFCCC0D9"/>
      </patternFill>
    </fill>
    <fill>
      <patternFill patternType="solid">
        <fgColor rgb="FF9900CC"/>
        <bgColor rgb="FF9900CC"/>
      </patternFill>
    </fill>
    <fill>
      <patternFill patternType="solid">
        <fgColor rgb="FFDBE5F1"/>
        <bgColor rgb="FFDBE5F1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53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1" borderId="3" applyNumberFormat="0" applyAlignment="0" applyProtection="0"/>
    <xf numFmtId="0" fontId="16" fillId="22" borderId="4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0" fontId="19" fillId="29" borderId="3" applyNumberFormat="0" applyAlignment="0" applyProtection="0"/>
    <xf numFmtId="0" fontId="5" fillId="0" borderId="0">
      <alignment vertical="top"/>
    </xf>
    <xf numFmtId="0" fontId="1" fillId="0" borderId="0"/>
    <xf numFmtId="0" fontId="8" fillId="30" borderId="0"/>
    <xf numFmtId="0" fontId="20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1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2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3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2" fillId="0" borderId="0"/>
    <xf numFmtId="0" fontId="10" fillId="0" borderId="0">
      <alignment vertical="center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2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4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2" fillId="0" borderId="0"/>
    <xf numFmtId="0" fontId="24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2" fillId="0" borderId="0"/>
    <xf numFmtId="0" fontId="2" fillId="0" borderId="0">
      <alignment vertical="top"/>
    </xf>
    <xf numFmtId="0" fontId="5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5" fillId="0" borderId="0"/>
    <xf numFmtId="0" fontId="2" fillId="0" borderId="0">
      <alignment vertical="top"/>
    </xf>
    <xf numFmtId="0" fontId="11" fillId="0" borderId="0"/>
    <xf numFmtId="0" fontId="1" fillId="0" borderId="0"/>
    <xf numFmtId="0" fontId="12" fillId="0" borderId="0"/>
    <xf numFmtId="0" fontId="12" fillId="0" borderId="0"/>
    <xf numFmtId="0" fontId="2" fillId="0" borderId="0">
      <alignment vertical="top"/>
    </xf>
    <xf numFmtId="0" fontId="1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9" fillId="0" borderId="0"/>
    <xf numFmtId="0" fontId="12" fillId="33" borderId="6" applyNumberFormat="0" applyFont="0" applyAlignment="0" applyProtection="0"/>
    <xf numFmtId="0" fontId="12" fillId="33" borderId="6" applyNumberFormat="0" applyFont="0" applyAlignment="0" applyProtection="0"/>
    <xf numFmtId="0" fontId="1" fillId="33" borderId="6" applyNumberFormat="0" applyFont="0" applyAlignment="0" applyProtection="0"/>
    <xf numFmtId="0" fontId="1" fillId="33" borderId="6" applyNumberFormat="0" applyFont="0" applyAlignment="0" applyProtection="0"/>
    <xf numFmtId="0" fontId="1" fillId="33" borderId="6" applyNumberFormat="0" applyFont="0" applyAlignment="0" applyProtection="0"/>
    <xf numFmtId="0" fontId="1" fillId="33" borderId="6" applyNumberFormat="0" applyFont="0" applyAlignment="0" applyProtection="0"/>
    <xf numFmtId="0" fontId="1" fillId="33" borderId="6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5" fillId="21" borderId="7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4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8" applyNumberFormat="0" applyFill="0" applyAlignment="0" applyProtection="0"/>
    <xf numFmtId="0" fontId="30" fillId="0" borderId="9" applyNumberFormat="0" applyFill="0" applyAlignment="0" applyProtection="0"/>
    <xf numFmtId="0" fontId="18" fillId="0" borderId="10" applyNumberFormat="0" applyFill="0" applyAlignment="0" applyProtection="0"/>
    <xf numFmtId="0" fontId="31" fillId="0" borderId="11" applyNumberFormat="0" applyFill="0" applyAlignment="0" applyProtection="0"/>
    <xf numFmtId="0" fontId="32" fillId="0" borderId="0"/>
    <xf numFmtId="0" fontId="23" fillId="0" borderId="0">
      <protection locked="0"/>
    </xf>
    <xf numFmtId="0" fontId="23" fillId="0" borderId="0">
      <protection locked="0"/>
    </xf>
  </cellStyleXfs>
  <cellXfs count="1129">
    <xf numFmtId="0" fontId="0" fillId="0" borderId="0" xfId="0"/>
    <xf numFmtId="0" fontId="10" fillId="0" borderId="14" xfId="250" applyFont="1" applyBorder="1" applyAlignment="1">
      <alignment vertical="center"/>
    </xf>
    <xf numFmtId="0" fontId="32" fillId="0" borderId="0" xfId="250"/>
    <xf numFmtId="0" fontId="23" fillId="0" borderId="0" xfId="250" applyFont="1" applyAlignment="1">
      <alignment vertical="center"/>
    </xf>
    <xf numFmtId="0" fontId="48" fillId="0" borderId="0" xfId="250" applyFont="1" applyAlignment="1">
      <alignment horizontal="center" vertical="center"/>
    </xf>
    <xf numFmtId="0" fontId="49" fillId="0" borderId="0" xfId="250" applyFont="1" applyAlignment="1">
      <alignment horizontal="center" vertical="center"/>
    </xf>
    <xf numFmtId="0" fontId="10" fillId="0" borderId="0" xfId="250" applyFont="1" applyAlignment="1">
      <alignment vertical="center"/>
    </xf>
    <xf numFmtId="0" fontId="50" fillId="51" borderId="0" xfId="250" applyFont="1" applyFill="1" applyAlignment="1">
      <alignment vertical="center"/>
    </xf>
    <xf numFmtId="0" fontId="51" fillId="51" borderId="0" xfId="250" applyFont="1" applyFill="1" applyAlignment="1">
      <alignment horizontal="center" vertical="center"/>
    </xf>
    <xf numFmtId="0" fontId="50" fillId="51" borderId="0" xfId="250" applyFont="1" applyFill="1" applyAlignment="1">
      <alignment horizontal="center" vertical="center"/>
    </xf>
    <xf numFmtId="0" fontId="51" fillId="51" borderId="0" xfId="250" applyFont="1" applyFill="1" applyAlignment="1">
      <alignment vertical="center"/>
    </xf>
    <xf numFmtId="0" fontId="2" fillId="51" borderId="0" xfId="250" applyFont="1" applyFill="1" applyAlignment="1">
      <alignment vertical="center"/>
    </xf>
    <xf numFmtId="0" fontId="7" fillId="51" borderId="0" xfId="250" applyFont="1" applyFill="1" applyAlignment="1">
      <alignment vertical="center"/>
    </xf>
    <xf numFmtId="0" fontId="33" fillId="53" borderId="23" xfId="142" applyFont="1" applyFill="1" applyBorder="1" applyAlignment="1" applyProtection="1">
      <alignment horizontal="center" vertical="center" shrinkToFit="1"/>
    </xf>
    <xf numFmtId="0" fontId="52" fillId="54" borderId="24" xfId="250" applyFont="1" applyFill="1" applyBorder="1" applyAlignment="1">
      <alignment horizontal="center" vertical="center"/>
    </xf>
    <xf numFmtId="0" fontId="53" fillId="55" borderId="0" xfId="250" applyFont="1" applyFill="1" applyAlignment="1">
      <alignment horizontal="center" vertical="center"/>
    </xf>
    <xf numFmtId="0" fontId="54" fillId="56" borderId="24" xfId="250" applyFont="1" applyFill="1" applyBorder="1" applyAlignment="1">
      <alignment horizontal="center" vertical="center"/>
    </xf>
    <xf numFmtId="0" fontId="2" fillId="57" borderId="0" xfId="250" applyFont="1" applyFill="1" applyAlignment="1">
      <alignment vertical="center"/>
    </xf>
    <xf numFmtId="0" fontId="34" fillId="58" borderId="24" xfId="250" applyFont="1" applyFill="1" applyBorder="1" applyAlignment="1">
      <alignment horizontal="center" vertical="center"/>
    </xf>
    <xf numFmtId="0" fontId="55" fillId="59" borderId="0" xfId="250" applyFont="1" applyFill="1" applyAlignment="1">
      <alignment horizontal="center" vertical="center"/>
    </xf>
    <xf numFmtId="0" fontId="56" fillId="60" borderId="24" xfId="250" applyFont="1" applyFill="1" applyBorder="1" applyAlignment="1">
      <alignment horizontal="center" vertical="center" shrinkToFit="1"/>
    </xf>
    <xf numFmtId="0" fontId="57" fillId="61" borderId="0" xfId="250" applyFont="1" applyFill="1" applyAlignment="1">
      <alignment vertical="center"/>
    </xf>
    <xf numFmtId="0" fontId="10" fillId="0" borderId="0" xfId="250" applyFont="1"/>
    <xf numFmtId="0" fontId="57" fillId="62" borderId="21" xfId="250" applyFont="1" applyFill="1" applyBorder="1" applyAlignment="1">
      <alignment vertical="center"/>
    </xf>
    <xf numFmtId="0" fontId="57" fillId="62" borderId="22" xfId="250" applyFont="1" applyFill="1" applyBorder="1" applyAlignment="1">
      <alignment vertical="center"/>
    </xf>
    <xf numFmtId="0" fontId="58" fillId="0" borderId="24" xfId="250" applyFont="1" applyBorder="1" applyAlignment="1">
      <alignment horizontal="center" vertical="center" shrinkToFit="1"/>
    </xf>
    <xf numFmtId="0" fontId="57" fillId="0" borderId="0" xfId="250" applyFont="1" applyAlignment="1">
      <alignment vertical="center"/>
    </xf>
    <xf numFmtId="0" fontId="44" fillId="61" borderId="0" xfId="250" applyFont="1" applyFill="1" applyAlignment="1">
      <alignment horizontal="center" vertical="center"/>
    </xf>
    <xf numFmtId="0" fontId="44" fillId="0" borderId="0" xfId="250" applyFont="1" applyAlignment="1">
      <alignment horizontal="center" vertical="center"/>
    </xf>
    <xf numFmtId="0" fontId="2" fillId="0" borderId="0" xfId="250" applyFont="1" applyAlignment="1">
      <alignment vertical="center"/>
    </xf>
    <xf numFmtId="0" fontId="55" fillId="63" borderId="25" xfId="250" applyFont="1" applyFill="1" applyBorder="1" applyAlignment="1">
      <alignment horizontal="center" vertical="center"/>
    </xf>
    <xf numFmtId="0" fontId="52" fillId="54" borderId="25" xfId="250" applyFont="1" applyFill="1" applyBorder="1" applyAlignment="1">
      <alignment horizontal="center" vertical="center"/>
    </xf>
    <xf numFmtId="0" fontId="59" fillId="0" borderId="0" xfId="250" applyFont="1" applyAlignment="1">
      <alignment horizontal="center" vertical="center"/>
    </xf>
    <xf numFmtId="0" fontId="60" fillId="43" borderId="28" xfId="160" applyFont="1" applyFill="1" applyBorder="1" applyAlignment="1">
      <alignment horizontal="center" vertical="center"/>
    </xf>
    <xf numFmtId="0" fontId="61" fillId="55" borderId="0" xfId="250" applyFont="1" applyFill="1" applyAlignment="1">
      <alignment horizontal="center" vertical="center"/>
    </xf>
    <xf numFmtId="0" fontId="62" fillId="0" borderId="0" xfId="250" applyFont="1" applyAlignment="1">
      <alignment horizontal="center" vertical="center"/>
    </xf>
    <xf numFmtId="0" fontId="59" fillId="60" borderId="24" xfId="250" applyFont="1" applyFill="1" applyBorder="1" applyAlignment="1">
      <alignment horizontal="center" vertical="center" shrinkToFit="1"/>
    </xf>
    <xf numFmtId="0" fontId="63" fillId="59" borderId="0" xfId="250" applyFont="1" applyFill="1" applyAlignment="1">
      <alignment horizontal="center" vertical="center"/>
    </xf>
    <xf numFmtId="0" fontId="2" fillId="61" borderId="0" xfId="250" applyFont="1" applyFill="1" applyAlignment="1">
      <alignment vertical="center"/>
    </xf>
    <xf numFmtId="0" fontId="64" fillId="51" borderId="0" xfId="250" applyFont="1" applyFill="1" applyAlignment="1">
      <alignment horizontal="center" vertical="center" wrapText="1"/>
    </xf>
    <xf numFmtId="0" fontId="57" fillId="62" borderId="26" xfId="250" applyFont="1" applyFill="1" applyBorder="1" applyAlignment="1">
      <alignment vertical="center"/>
    </xf>
    <xf numFmtId="0" fontId="57" fillId="62" borderId="27" xfId="250" applyFont="1" applyFill="1" applyBorder="1" applyAlignment="1">
      <alignment vertical="center"/>
    </xf>
    <xf numFmtId="0" fontId="2" fillId="0" borderId="0" xfId="250" applyFont="1" applyAlignment="1">
      <alignment horizontal="left" vertical="center"/>
    </xf>
    <xf numFmtId="0" fontId="51" fillId="0" borderId="0" xfId="250" applyFont="1" applyAlignment="1">
      <alignment horizontal="center" vertical="center"/>
    </xf>
    <xf numFmtId="0" fontId="2" fillId="0" borderId="0" xfId="250" applyFont="1" applyAlignment="1">
      <alignment horizontal="center" vertical="center"/>
    </xf>
    <xf numFmtId="0" fontId="65" fillId="0" borderId="28" xfId="160" applyFont="1" applyBorder="1" applyAlignment="1">
      <alignment horizontal="center" vertical="center"/>
    </xf>
    <xf numFmtId="0" fontId="61" fillId="0" borderId="0" xfId="250" applyFont="1" applyAlignment="1">
      <alignment horizontal="center" vertical="center"/>
    </xf>
    <xf numFmtId="4" fontId="46" fillId="0" borderId="0" xfId="250" applyNumberFormat="1" applyFont="1" applyAlignment="1">
      <alignment vertical="center"/>
    </xf>
    <xf numFmtId="0" fontId="66" fillId="64" borderId="0" xfId="250" applyFont="1" applyFill="1" applyAlignment="1">
      <alignment horizontal="center" vertical="center"/>
    </xf>
    <xf numFmtId="0" fontId="67" fillId="57" borderId="0" xfId="250" applyFont="1" applyFill="1" applyAlignment="1">
      <alignment vertical="center"/>
    </xf>
    <xf numFmtId="0" fontId="68" fillId="0" borderId="0" xfId="250" applyFont="1" applyAlignment="1">
      <alignment horizontal="center" vertical="center"/>
    </xf>
    <xf numFmtId="0" fontId="57" fillId="0" borderId="31" xfId="250" applyFont="1" applyBorder="1" applyAlignment="1">
      <alignment vertical="center"/>
    </xf>
    <xf numFmtId="0" fontId="69" fillId="0" borderId="0" xfId="250" applyFont="1" applyAlignment="1">
      <alignment vertical="center"/>
    </xf>
    <xf numFmtId="0" fontId="70" fillId="35" borderId="32" xfId="160" applyFont="1" applyFill="1" applyBorder="1" applyAlignment="1">
      <alignment horizontal="center" vertical="center" wrapText="1"/>
    </xf>
    <xf numFmtId="0" fontId="71" fillId="52" borderId="0" xfId="250" applyFont="1" applyFill="1" applyAlignment="1">
      <alignment horizontal="center" vertical="center"/>
    </xf>
    <xf numFmtId="0" fontId="71" fillId="52" borderId="0" xfId="250" applyFont="1" applyFill="1" applyAlignment="1">
      <alignment vertical="center"/>
    </xf>
    <xf numFmtId="0" fontId="59" fillId="0" borderId="0" xfId="250" applyFont="1" applyAlignment="1">
      <alignment horizontal="right" vertical="center"/>
    </xf>
    <xf numFmtId="0" fontId="23" fillId="0" borderId="31" xfId="250" applyFont="1" applyBorder="1" applyAlignment="1">
      <alignment vertical="center"/>
    </xf>
    <xf numFmtId="0" fontId="44" fillId="51" borderId="0" xfId="250" applyFont="1" applyFill="1" applyAlignment="1">
      <alignment horizontal="center" vertical="center"/>
    </xf>
    <xf numFmtId="0" fontId="59" fillId="65" borderId="24" xfId="250" applyFont="1" applyFill="1" applyBorder="1" applyAlignment="1">
      <alignment horizontal="center" vertical="center"/>
    </xf>
    <xf numFmtId="0" fontId="72" fillId="66" borderId="24" xfId="250" applyFont="1" applyFill="1" applyBorder="1" applyAlignment="1">
      <alignment horizontal="center" vertical="center"/>
    </xf>
    <xf numFmtId="0" fontId="2" fillId="51" borderId="0" xfId="250" applyFont="1" applyFill="1" applyAlignment="1">
      <alignment horizontal="center" vertical="center"/>
    </xf>
    <xf numFmtId="0" fontId="23" fillId="0" borderId="0" xfId="250" applyFont="1" applyAlignment="1">
      <alignment horizontal="right" vertical="center"/>
    </xf>
    <xf numFmtId="0" fontId="59" fillId="67" borderId="24" xfId="250" applyFont="1" applyFill="1" applyBorder="1" applyAlignment="1">
      <alignment horizontal="center" vertical="center" shrinkToFit="1"/>
    </xf>
    <xf numFmtId="0" fontId="51" fillId="61" borderId="0" xfId="250" applyFont="1" applyFill="1" applyAlignment="1">
      <alignment horizontal="center" vertical="center"/>
    </xf>
    <xf numFmtId="0" fontId="73" fillId="61" borderId="0" xfId="250" applyFont="1" applyFill="1" applyAlignment="1">
      <alignment vertical="center" wrapText="1"/>
    </xf>
    <xf numFmtId="0" fontId="7" fillId="61" borderId="0" xfId="250" applyFont="1" applyFill="1" applyAlignment="1">
      <alignment vertical="center"/>
    </xf>
    <xf numFmtId="0" fontId="59" fillId="68" borderId="24" xfId="250" applyFont="1" applyFill="1" applyBorder="1" applyAlignment="1">
      <alignment horizontal="center" vertical="center"/>
    </xf>
    <xf numFmtId="0" fontId="2" fillId="0" borderId="0" xfId="250" applyFont="1" applyAlignment="1">
      <alignment horizontal="right" vertical="center"/>
    </xf>
    <xf numFmtId="0" fontId="59" fillId="69" borderId="24" xfId="250" applyFont="1" applyFill="1" applyBorder="1" applyAlignment="1">
      <alignment horizontal="center" vertical="center" shrinkToFit="1"/>
    </xf>
    <xf numFmtId="0" fontId="61" fillId="0" borderId="0" xfId="250" applyFont="1" applyAlignment="1">
      <alignment horizontal="right" vertical="center"/>
    </xf>
    <xf numFmtId="0" fontId="61" fillId="64" borderId="0" xfId="250" applyFont="1" applyFill="1" applyAlignment="1">
      <alignment horizontal="right" vertical="center"/>
    </xf>
    <xf numFmtId="0" fontId="34" fillId="41" borderId="1" xfId="0" applyFont="1" applyFill="1" applyBorder="1" applyAlignment="1">
      <alignment horizontal="center" vertical="center"/>
    </xf>
    <xf numFmtId="0" fontId="33" fillId="48" borderId="1" xfId="0" applyFont="1" applyFill="1" applyBorder="1" applyAlignment="1">
      <alignment horizontal="center" vertical="center"/>
    </xf>
    <xf numFmtId="0" fontId="61" fillId="64" borderId="0" xfId="250" applyFont="1" applyFill="1" applyAlignment="1">
      <alignment horizontal="left" vertical="center"/>
    </xf>
    <xf numFmtId="0" fontId="61" fillId="0" borderId="0" xfId="250" applyFont="1" applyAlignment="1">
      <alignment horizontal="left" vertical="center"/>
    </xf>
    <xf numFmtId="1" fontId="44" fillId="0" borderId="0" xfId="250" applyNumberFormat="1" applyFont="1" applyAlignment="1">
      <alignment horizontal="center" vertical="center"/>
    </xf>
    <xf numFmtId="1" fontId="61" fillId="0" borderId="0" xfId="250" applyNumberFormat="1" applyFont="1" applyAlignment="1">
      <alignment horizontal="right" vertical="center"/>
    </xf>
    <xf numFmtId="1" fontId="61" fillId="0" borderId="0" xfId="250" applyNumberFormat="1" applyFont="1" applyAlignment="1">
      <alignment horizontal="left" vertical="center"/>
    </xf>
    <xf numFmtId="0" fontId="76" fillId="0" borderId="24" xfId="250" applyFont="1" applyBorder="1" applyAlignment="1">
      <alignment horizontal="center" vertical="center" wrapText="1"/>
    </xf>
    <xf numFmtId="0" fontId="33" fillId="36" borderId="1" xfId="0" applyFont="1" applyFill="1" applyBorder="1" applyAlignment="1">
      <alignment horizontal="center" vertical="center"/>
    </xf>
    <xf numFmtId="0" fontId="34" fillId="41" borderId="2" xfId="0" applyFont="1" applyFill="1" applyBorder="1" applyAlignment="1">
      <alignment horizontal="center" vertical="center"/>
    </xf>
    <xf numFmtId="0" fontId="61" fillId="70" borderId="0" xfId="250" applyFont="1" applyFill="1" applyAlignment="1">
      <alignment horizontal="center" vertical="center"/>
    </xf>
    <xf numFmtId="0" fontId="78" fillId="71" borderId="24" xfId="250" applyFont="1" applyFill="1" applyBorder="1" applyAlignment="1">
      <alignment horizontal="center" vertical="center" shrinkToFit="1"/>
    </xf>
    <xf numFmtId="0" fontId="37" fillId="45" borderId="1" xfId="0" applyFont="1" applyFill="1" applyBorder="1" applyAlignment="1">
      <alignment horizontal="center" vertical="center"/>
    </xf>
    <xf numFmtId="0" fontId="34" fillId="37" borderId="1" xfId="0" applyFont="1" applyFill="1" applyBorder="1" applyAlignment="1">
      <alignment horizontal="center" vertical="center"/>
    </xf>
    <xf numFmtId="0" fontId="69" fillId="0" borderId="15" xfId="250" applyFont="1" applyBorder="1" applyAlignment="1">
      <alignment vertical="center"/>
    </xf>
    <xf numFmtId="0" fontId="7" fillId="64" borderId="0" xfId="250" applyFont="1" applyFill="1" applyAlignment="1">
      <alignment horizontal="right" vertical="center"/>
    </xf>
    <xf numFmtId="0" fontId="69" fillId="57" borderId="0" xfId="250" applyFont="1" applyFill="1" applyAlignment="1">
      <alignment vertical="center"/>
    </xf>
    <xf numFmtId="0" fontId="61" fillId="0" borderId="0" xfId="250" applyFont="1" applyAlignment="1">
      <alignment horizontal="right" vertical="center" shrinkToFit="1"/>
    </xf>
    <xf numFmtId="0" fontId="79" fillId="0" borderId="0" xfId="250" applyFont="1" applyAlignment="1">
      <alignment horizontal="center" vertical="center"/>
    </xf>
    <xf numFmtId="0" fontId="44" fillId="61" borderId="15" xfId="250" applyFont="1" applyFill="1" applyBorder="1" applyAlignment="1">
      <alignment horizontal="center" vertical="center"/>
    </xf>
    <xf numFmtId="1" fontId="44" fillId="0" borderId="15" xfId="250" applyNumberFormat="1" applyFont="1" applyBorder="1" applyAlignment="1">
      <alignment horizontal="center" vertical="center"/>
    </xf>
    <xf numFmtId="0" fontId="69" fillId="0" borderId="31" xfId="250" applyFont="1" applyBorder="1" applyAlignment="1">
      <alignment vertical="center"/>
    </xf>
    <xf numFmtId="0" fontId="69" fillId="0" borderId="16" xfId="250" applyFont="1" applyBorder="1" applyAlignment="1">
      <alignment vertical="center"/>
    </xf>
    <xf numFmtId="0" fontId="69" fillId="0" borderId="22" xfId="250" applyFont="1" applyBorder="1" applyAlignment="1">
      <alignment vertical="center"/>
    </xf>
    <xf numFmtId="0" fontId="23" fillId="0" borderId="29" xfId="250" applyFont="1" applyBorder="1" applyAlignment="1">
      <alignment vertical="center"/>
    </xf>
    <xf numFmtId="0" fontId="23" fillId="0" borderId="15" xfId="250" applyFont="1" applyBorder="1" applyAlignment="1">
      <alignment vertical="center"/>
    </xf>
    <xf numFmtId="0" fontId="80" fillId="0" borderId="0" xfId="250" applyFont="1" applyAlignment="1">
      <alignment horizontal="center" vertical="center"/>
    </xf>
    <xf numFmtId="0" fontId="71" fillId="52" borderId="0" xfId="250" applyFont="1" applyFill="1" applyAlignment="1">
      <alignment horizontal="center" vertical="center" shrinkToFit="1"/>
    </xf>
    <xf numFmtId="0" fontId="59" fillId="64" borderId="0" xfId="250" applyFont="1" applyFill="1" applyAlignment="1">
      <alignment horizontal="right" vertical="center"/>
    </xf>
    <xf numFmtId="0" fontId="71" fillId="0" borderId="0" xfId="250" applyFont="1" applyAlignment="1">
      <alignment horizontal="center" vertical="center"/>
    </xf>
    <xf numFmtId="0" fontId="23" fillId="0" borderId="27" xfId="250" applyFont="1" applyBorder="1" applyAlignment="1">
      <alignment vertical="center"/>
    </xf>
    <xf numFmtId="0" fontId="10" fillId="0" borderId="26" xfId="250" applyFont="1" applyBorder="1" applyAlignment="1">
      <alignment vertical="center"/>
    </xf>
    <xf numFmtId="0" fontId="10" fillId="0" borderId="27" xfId="250" applyFont="1" applyBorder="1" applyAlignment="1">
      <alignment vertical="center"/>
    </xf>
    <xf numFmtId="0" fontId="77" fillId="0" borderId="0" xfId="250" applyFont="1" applyAlignment="1">
      <alignment vertical="center"/>
    </xf>
    <xf numFmtId="0" fontId="81" fillId="0" borderId="0" xfId="250" applyFont="1" applyAlignment="1">
      <alignment vertical="center"/>
    </xf>
    <xf numFmtId="0" fontId="82" fillId="0" borderId="24" xfId="250" applyFont="1" applyBorder="1" applyAlignment="1">
      <alignment horizontal="center" vertical="center" shrinkToFit="1"/>
    </xf>
    <xf numFmtId="0" fontId="73" fillId="64" borderId="0" xfId="250" applyFont="1" applyFill="1" applyAlignment="1">
      <alignment horizontal="center" vertical="center"/>
    </xf>
    <xf numFmtId="0" fontId="46" fillId="57" borderId="0" xfId="250" applyFont="1" applyFill="1" applyAlignment="1">
      <alignment horizontal="center" vertical="center"/>
    </xf>
    <xf numFmtId="0" fontId="53" fillId="64" borderId="0" xfId="250" applyFont="1" applyFill="1" applyAlignment="1">
      <alignment horizontal="right" vertical="center"/>
    </xf>
    <xf numFmtId="0" fontId="83" fillId="0" borderId="0" xfId="250" applyFont="1" applyAlignment="1">
      <alignment horizontal="center" vertical="center"/>
    </xf>
    <xf numFmtId="0" fontId="7" fillId="0" borderId="0" xfId="250" applyFont="1" applyAlignment="1">
      <alignment horizontal="center" vertical="center"/>
    </xf>
    <xf numFmtId="0" fontId="55" fillId="0" borderId="0" xfId="250" applyFont="1" applyAlignment="1">
      <alignment horizontal="center" vertical="center"/>
    </xf>
    <xf numFmtId="0" fontId="46" fillId="72" borderId="0" xfId="0" applyFont="1" applyFill="1" applyAlignment="1">
      <alignment horizontal="center" vertical="center"/>
    </xf>
    <xf numFmtId="0" fontId="41" fillId="46" borderId="1" xfId="0" applyFont="1" applyFill="1" applyBorder="1" applyAlignment="1">
      <alignment horizontal="center" vertical="center"/>
    </xf>
    <xf numFmtId="0" fontId="44" fillId="0" borderId="0" xfId="250" applyFont="1" applyAlignment="1">
      <alignment vertical="center"/>
    </xf>
    <xf numFmtId="0" fontId="63" fillId="0" borderId="0" xfId="250" applyFont="1" applyAlignment="1">
      <alignment horizontal="center" vertical="center"/>
    </xf>
    <xf numFmtId="0" fontId="59" fillId="73" borderId="24" xfId="250" applyFont="1" applyFill="1" applyBorder="1" applyAlignment="1">
      <alignment horizontal="center" vertical="center" shrinkToFit="1"/>
    </xf>
    <xf numFmtId="0" fontId="10" fillId="0" borderId="34" xfId="250" applyFont="1" applyBorder="1" applyAlignment="1">
      <alignment vertical="center"/>
    </xf>
    <xf numFmtId="0" fontId="57" fillId="62" borderId="29" xfId="250" applyFont="1" applyFill="1" applyBorder="1" applyAlignment="1">
      <alignment vertical="center"/>
    </xf>
    <xf numFmtId="0" fontId="57" fillId="62" borderId="30" xfId="250" applyFont="1" applyFill="1" applyBorder="1" applyAlignment="1">
      <alignment vertical="center"/>
    </xf>
    <xf numFmtId="0" fontId="7" fillId="0" borderId="0" xfId="250" applyFont="1" applyAlignment="1">
      <alignment vertical="center"/>
    </xf>
    <xf numFmtId="0" fontId="55" fillId="74" borderId="24" xfId="250" applyFont="1" applyFill="1" applyBorder="1" applyAlignment="1">
      <alignment horizontal="center" vertical="center"/>
    </xf>
    <xf numFmtId="0" fontId="10" fillId="0" borderId="35" xfId="250" applyFont="1" applyBorder="1" applyAlignment="1">
      <alignment vertical="center"/>
    </xf>
    <xf numFmtId="0" fontId="51" fillId="61" borderId="0" xfId="250" applyFont="1" applyFill="1" applyAlignment="1">
      <alignment vertical="center"/>
    </xf>
    <xf numFmtId="0" fontId="33" fillId="34" borderId="1" xfId="0" applyFont="1" applyFill="1" applyBorder="1" applyAlignment="1">
      <alignment horizontal="center" vertical="center"/>
    </xf>
    <xf numFmtId="0" fontId="10" fillId="0" borderId="36" xfId="250" applyFont="1" applyBorder="1"/>
    <xf numFmtId="0" fontId="51" fillId="0" borderId="0" xfId="250" applyFont="1" applyAlignment="1">
      <alignment vertical="center"/>
    </xf>
    <xf numFmtId="0" fontId="10" fillId="0" borderId="21" xfId="250" applyFont="1" applyBorder="1" applyAlignment="1">
      <alignment vertical="center"/>
    </xf>
    <xf numFmtId="0" fontId="10" fillId="0" borderId="22" xfId="250" applyFont="1" applyBorder="1" applyAlignment="1">
      <alignment vertical="center"/>
    </xf>
    <xf numFmtId="0" fontId="35" fillId="39" borderId="1" xfId="0" applyFont="1" applyFill="1" applyBorder="1" applyAlignment="1">
      <alignment horizontal="center" vertical="center"/>
    </xf>
    <xf numFmtId="0" fontId="59" fillId="75" borderId="24" xfId="250" applyFont="1" applyFill="1" applyBorder="1" applyAlignment="1">
      <alignment horizontal="center" vertical="center" shrinkToFit="1"/>
    </xf>
    <xf numFmtId="0" fontId="85" fillId="52" borderId="37" xfId="250" applyFont="1" applyFill="1" applyBorder="1" applyAlignment="1">
      <alignment horizontal="center" vertical="center"/>
    </xf>
    <xf numFmtId="0" fontId="50" fillId="51" borderId="31" xfId="250" applyFont="1" applyFill="1" applyBorder="1" applyAlignment="1">
      <alignment vertical="center"/>
    </xf>
    <xf numFmtId="0" fontId="86" fillId="76" borderId="24" xfId="250" applyFont="1" applyFill="1" applyBorder="1" applyAlignment="1">
      <alignment horizontal="center" vertical="center"/>
    </xf>
    <xf numFmtId="0" fontId="65" fillId="0" borderId="0" xfId="250" applyFont="1" applyAlignment="1">
      <alignment horizontal="center" vertical="center"/>
    </xf>
    <xf numFmtId="0" fontId="59" fillId="77" borderId="24" xfId="250" applyFont="1" applyFill="1" applyBorder="1" applyAlignment="1">
      <alignment horizontal="center" vertical="center" shrinkToFit="1"/>
    </xf>
    <xf numFmtId="0" fontId="59" fillId="66" borderId="24" xfId="250" applyFont="1" applyFill="1" applyBorder="1" applyAlignment="1">
      <alignment horizontal="center" vertical="center" shrinkToFit="1"/>
    </xf>
    <xf numFmtId="0" fontId="59" fillId="75" borderId="24" xfId="250" applyFont="1" applyFill="1" applyBorder="1" applyAlignment="1">
      <alignment horizontal="center" vertical="center"/>
    </xf>
    <xf numFmtId="0" fontId="75" fillId="0" borderId="0" xfId="250" applyFont="1" applyAlignment="1">
      <alignment vertical="center"/>
    </xf>
    <xf numFmtId="0" fontId="87" fillId="61" borderId="0" xfId="250" applyFont="1" applyFill="1" applyAlignment="1">
      <alignment vertical="center"/>
    </xf>
    <xf numFmtId="0" fontId="59" fillId="78" borderId="24" xfId="250" applyFont="1" applyFill="1" applyBorder="1" applyAlignment="1">
      <alignment horizontal="center" vertical="center" shrinkToFit="1"/>
    </xf>
    <xf numFmtId="0" fontId="55" fillId="79" borderId="24" xfId="250" applyFont="1" applyFill="1" applyBorder="1" applyAlignment="1">
      <alignment horizontal="center" vertical="center"/>
    </xf>
    <xf numFmtId="0" fontId="69" fillId="55" borderId="0" xfId="250" applyFont="1" applyFill="1" applyAlignment="1">
      <alignment vertical="center"/>
    </xf>
    <xf numFmtId="0" fontId="88" fillId="52" borderId="0" xfId="250" applyFont="1" applyFill="1" applyAlignment="1">
      <alignment horizontal="center" vertical="center"/>
    </xf>
    <xf numFmtId="0" fontId="89" fillId="54" borderId="24" xfId="250" applyFont="1" applyFill="1" applyBorder="1" applyAlignment="1">
      <alignment horizontal="center" vertical="center"/>
    </xf>
    <xf numFmtId="0" fontId="23" fillId="0" borderId="0" xfId="250" applyFont="1" applyAlignment="1">
      <alignment horizontal="left" vertical="center" textRotation="180"/>
    </xf>
    <xf numFmtId="0" fontId="59" fillId="80" borderId="24" xfId="250" applyFont="1" applyFill="1" applyBorder="1" applyAlignment="1">
      <alignment horizontal="center" vertical="center" shrinkToFit="1"/>
    </xf>
    <xf numFmtId="0" fontId="79" fillId="0" borderId="0" xfId="250" applyFont="1" applyAlignment="1">
      <alignment vertical="center"/>
    </xf>
    <xf numFmtId="0" fontId="79" fillId="0" borderId="0" xfId="250" applyFont="1" applyAlignment="1">
      <alignment horizontal="left" vertical="center"/>
    </xf>
    <xf numFmtId="0" fontId="23" fillId="0" borderId="15" xfId="250" applyFont="1" applyBorder="1" applyAlignment="1">
      <alignment horizontal="left" vertical="center" textRotation="180"/>
    </xf>
    <xf numFmtId="0" fontId="10" fillId="0" borderId="0" xfId="250" applyFont="1" applyAlignment="1">
      <alignment horizontal="center" vertical="center"/>
    </xf>
    <xf numFmtId="0" fontId="90" fillId="0" borderId="0" xfId="250" applyFont="1" applyAlignment="1">
      <alignment horizontal="left" vertical="center"/>
    </xf>
    <xf numFmtId="0" fontId="91" fillId="81" borderId="0" xfId="250" applyFont="1" applyFill="1" applyAlignment="1">
      <alignment horizontal="center" vertical="center" shrinkToFit="1"/>
    </xf>
    <xf numFmtId="0" fontId="92" fillId="82" borderId="24" xfId="250" applyFont="1" applyFill="1" applyBorder="1" applyAlignment="1">
      <alignment horizontal="center" vertical="center"/>
    </xf>
    <xf numFmtId="0" fontId="92" fillId="66" borderId="25" xfId="250" applyFont="1" applyFill="1" applyBorder="1" applyAlignment="1">
      <alignment horizontal="center" vertical="center"/>
    </xf>
    <xf numFmtId="0" fontId="61" fillId="61" borderId="0" xfId="250" applyFont="1" applyFill="1" applyAlignment="1">
      <alignment horizontal="right" vertical="center"/>
    </xf>
    <xf numFmtId="0" fontId="79" fillId="81" borderId="0" xfId="250" applyFont="1" applyFill="1" applyAlignment="1">
      <alignment horizontal="center" vertical="center" shrinkToFit="1"/>
    </xf>
    <xf numFmtId="0" fontId="59" fillId="50" borderId="24" xfId="250" applyFont="1" applyFill="1" applyBorder="1" applyAlignment="1">
      <alignment horizontal="center" vertical="center" shrinkToFit="1"/>
    </xf>
    <xf numFmtId="0" fontId="93" fillId="0" borderId="24" xfId="250" applyFont="1" applyBorder="1" applyAlignment="1">
      <alignment horizontal="center" vertical="center"/>
    </xf>
    <xf numFmtId="0" fontId="59" fillId="57" borderId="0" xfId="250" applyFont="1" applyFill="1" applyAlignment="1">
      <alignment horizontal="center" vertical="center"/>
    </xf>
    <xf numFmtId="0" fontId="46" fillId="0" borderId="0" xfId="250" applyFont="1" applyAlignment="1">
      <alignment horizontal="center" vertical="center"/>
    </xf>
    <xf numFmtId="0" fontId="94" fillId="0" borderId="0" xfId="250" applyFont="1" applyAlignment="1">
      <alignment horizontal="center" vertical="center"/>
    </xf>
    <xf numFmtId="0" fontId="95" fillId="72" borderId="0" xfId="0" applyFont="1" applyFill="1" applyAlignment="1">
      <alignment horizontal="center" vertical="center"/>
    </xf>
    <xf numFmtId="0" fontId="33" fillId="47" borderId="1" xfId="0" applyFont="1" applyFill="1" applyBorder="1" applyAlignment="1">
      <alignment horizontal="center" vertical="center"/>
    </xf>
    <xf numFmtId="0" fontId="59" fillId="83" borderId="24" xfId="250" applyFont="1" applyFill="1" applyBorder="1" applyAlignment="1">
      <alignment horizontal="center" vertical="center" shrinkToFit="1"/>
    </xf>
    <xf numFmtId="0" fontId="90" fillId="0" borderId="0" xfId="250" applyFont="1" applyAlignment="1">
      <alignment horizontal="center" vertical="center"/>
    </xf>
    <xf numFmtId="0" fontId="97" fillId="84" borderId="0" xfId="250" applyFont="1" applyFill="1" applyAlignment="1">
      <alignment horizontal="center" vertical="center" shrinkToFit="1"/>
    </xf>
    <xf numFmtId="0" fontId="34" fillId="85" borderId="24" xfId="250" applyFont="1" applyFill="1" applyBorder="1" applyAlignment="1">
      <alignment horizontal="center" vertical="center"/>
    </xf>
    <xf numFmtId="0" fontId="85" fillId="52" borderId="39" xfId="250" applyFont="1" applyFill="1" applyBorder="1" applyAlignment="1">
      <alignment horizontal="center" vertical="center"/>
    </xf>
    <xf numFmtId="0" fontId="59" fillId="52" borderId="24" xfId="250" applyFont="1" applyFill="1" applyBorder="1" applyAlignment="1">
      <alignment horizontal="center" vertical="center" shrinkToFit="1"/>
    </xf>
    <xf numFmtId="0" fontId="79" fillId="84" borderId="0" xfId="250" applyFont="1" applyFill="1" applyAlignment="1">
      <alignment horizontal="center" vertical="center" shrinkToFit="1"/>
    </xf>
    <xf numFmtId="0" fontId="61" fillId="61" borderId="0" xfId="250" applyFont="1" applyFill="1" applyAlignment="1">
      <alignment horizontal="left" vertical="center"/>
    </xf>
    <xf numFmtId="0" fontId="33" fillId="42" borderId="1" xfId="0" applyFont="1" applyFill="1" applyBorder="1" applyAlignment="1">
      <alignment horizontal="center" vertical="center"/>
    </xf>
    <xf numFmtId="0" fontId="41" fillId="46" borderId="2" xfId="0" applyFont="1" applyFill="1" applyBorder="1" applyAlignment="1">
      <alignment horizontal="center" vertical="center"/>
    </xf>
    <xf numFmtId="0" fontId="98" fillId="0" borderId="0" xfId="250" applyFont="1" applyAlignment="1">
      <alignment horizontal="center" vertical="center"/>
    </xf>
    <xf numFmtId="0" fontId="99" fillId="86" borderId="0" xfId="250" applyFont="1" applyFill="1" applyAlignment="1">
      <alignment horizontal="center" vertical="center"/>
    </xf>
    <xf numFmtId="0" fontId="55" fillId="74" borderId="24" xfId="250" applyFont="1" applyFill="1" applyBorder="1" applyAlignment="1">
      <alignment horizontal="center"/>
    </xf>
    <xf numFmtId="0" fontId="61" fillId="64" borderId="0" xfId="250" applyFont="1" applyFill="1" applyAlignment="1">
      <alignment horizontal="center" vertical="center"/>
    </xf>
    <xf numFmtId="0" fontId="79" fillId="86" borderId="0" xfId="250" applyFont="1" applyFill="1" applyAlignment="1">
      <alignment horizontal="center" vertical="center"/>
    </xf>
    <xf numFmtId="0" fontId="100" fillId="61" borderId="0" xfId="250" applyFont="1" applyFill="1" applyAlignment="1">
      <alignment horizontal="center" vertical="center" shrinkToFit="1"/>
    </xf>
    <xf numFmtId="0" fontId="80" fillId="52" borderId="0" xfId="250" applyFont="1" applyFill="1" applyAlignment="1">
      <alignment horizontal="center" vertical="center"/>
    </xf>
    <xf numFmtId="0" fontId="33" fillId="38" borderId="1" xfId="0" applyFont="1" applyFill="1" applyBorder="1" applyAlignment="1">
      <alignment horizontal="center" vertical="center"/>
    </xf>
    <xf numFmtId="0" fontId="78" fillId="52" borderId="24" xfId="250" applyFont="1" applyFill="1" applyBorder="1" applyAlignment="1">
      <alignment horizontal="center" vertical="center" shrinkToFit="1"/>
    </xf>
    <xf numFmtId="0" fontId="59" fillId="0" borderId="0" xfId="250" applyFont="1" applyAlignment="1">
      <alignment horizontal="left" vertical="center" shrinkToFit="1"/>
    </xf>
    <xf numFmtId="0" fontId="92" fillId="87" borderId="24" xfId="250" applyFont="1" applyFill="1" applyBorder="1" applyAlignment="1">
      <alignment horizontal="center" vertical="center"/>
    </xf>
    <xf numFmtId="0" fontId="91" fillId="84" borderId="0" xfId="250" applyFont="1" applyFill="1" applyAlignment="1">
      <alignment horizontal="center" vertical="center" shrinkToFit="1"/>
    </xf>
    <xf numFmtId="0" fontId="50" fillId="64" borderId="0" xfId="250" applyFont="1" applyFill="1" applyAlignment="1">
      <alignment horizontal="center" vertical="center"/>
    </xf>
    <xf numFmtId="0" fontId="2" fillId="64" borderId="0" xfId="250" applyFont="1" applyFill="1" applyAlignment="1">
      <alignment vertical="center"/>
    </xf>
    <xf numFmtId="0" fontId="33" fillId="40" borderId="1" xfId="0" applyFont="1" applyFill="1" applyBorder="1" applyAlignment="1">
      <alignment horizontal="center" vertical="center"/>
    </xf>
    <xf numFmtId="14" fontId="23" fillId="0" borderId="0" xfId="250" applyNumberFormat="1" applyFont="1" applyAlignment="1">
      <alignment vertical="center"/>
    </xf>
    <xf numFmtId="0" fontId="101" fillId="70" borderId="0" xfId="250" applyFont="1" applyFill="1" applyAlignment="1">
      <alignment horizontal="center" vertical="center"/>
    </xf>
    <xf numFmtId="0" fontId="65" fillId="64" borderId="0" xfId="250" applyFont="1" applyFill="1" applyAlignment="1">
      <alignment horizontal="right" vertical="center"/>
    </xf>
    <xf numFmtId="0" fontId="102" fillId="64" borderId="0" xfId="250" applyFont="1" applyFill="1" applyAlignment="1">
      <alignment horizontal="right" vertical="center"/>
    </xf>
    <xf numFmtId="0" fontId="103" fillId="0" borderId="0" xfId="250" applyFont="1" applyAlignment="1">
      <alignment vertical="center"/>
    </xf>
    <xf numFmtId="0" fontId="104" fillId="88" borderId="25" xfId="250" applyFont="1" applyFill="1" applyBorder="1" applyAlignment="1">
      <alignment horizontal="center" vertical="center"/>
    </xf>
    <xf numFmtId="0" fontId="33" fillId="49" borderId="1" xfId="0" applyFont="1" applyFill="1" applyBorder="1" applyAlignment="1">
      <alignment horizontal="center" vertical="center"/>
    </xf>
    <xf numFmtId="0" fontId="105" fillId="0" borderId="0" xfId="250" applyFont="1" applyAlignment="1">
      <alignment vertical="center"/>
    </xf>
    <xf numFmtId="0" fontId="61" fillId="57" borderId="0" xfId="250" applyFont="1" applyFill="1" applyAlignment="1">
      <alignment horizontal="center" vertical="center"/>
    </xf>
    <xf numFmtId="0" fontId="41" fillId="89" borderId="40" xfId="250" applyFont="1" applyFill="1" applyBorder="1" applyAlignment="1">
      <alignment horizontal="center" vertical="center"/>
    </xf>
    <xf numFmtId="0" fontId="34" fillId="58" borderId="41" xfId="250" applyFont="1" applyFill="1" applyBorder="1" applyAlignment="1">
      <alignment horizontal="center" vertical="center"/>
    </xf>
    <xf numFmtId="0" fontId="106" fillId="0" borderId="0" xfId="250" applyFont="1" applyAlignment="1">
      <alignment vertical="center"/>
    </xf>
    <xf numFmtId="0" fontId="41" fillId="89" borderId="42" xfId="250" applyFont="1" applyFill="1" applyBorder="1" applyAlignment="1">
      <alignment horizontal="center" vertical="center"/>
    </xf>
    <xf numFmtId="0" fontId="80" fillId="81" borderId="24" xfId="250" applyFont="1" applyFill="1" applyBorder="1" applyAlignment="1">
      <alignment horizontal="center" vertical="center"/>
    </xf>
    <xf numFmtId="0" fontId="55" fillId="63" borderId="24" xfId="250" applyFont="1" applyFill="1" applyBorder="1" applyAlignment="1">
      <alignment horizontal="center" vertical="center"/>
    </xf>
    <xf numFmtId="0" fontId="37" fillId="45" borderId="2" xfId="0" applyFont="1" applyFill="1" applyBorder="1" applyAlignment="1">
      <alignment horizontal="center" vertical="center"/>
    </xf>
    <xf numFmtId="0" fontId="107" fillId="59" borderId="0" xfId="250" applyFont="1" applyFill="1" applyAlignment="1">
      <alignment horizontal="center" vertical="center"/>
    </xf>
    <xf numFmtId="0" fontId="58" fillId="0" borderId="18" xfId="250" applyFont="1" applyBorder="1" applyAlignment="1">
      <alignment horizontal="center" vertical="center" shrinkToFit="1"/>
    </xf>
    <xf numFmtId="0" fontId="108" fillId="0" borderId="0" xfId="250" applyFont="1" applyAlignment="1">
      <alignment vertical="center"/>
    </xf>
    <xf numFmtId="0" fontId="33" fillId="90" borderId="24" xfId="250" applyFont="1" applyFill="1" applyBorder="1" applyAlignment="1">
      <alignment horizontal="center" vertical="center"/>
    </xf>
    <xf numFmtId="0" fontId="33" fillId="91" borderId="24" xfId="250" applyFont="1" applyFill="1" applyBorder="1" applyAlignment="1">
      <alignment horizontal="center" vertical="center"/>
    </xf>
    <xf numFmtId="0" fontId="90" fillId="0" borderId="0" xfId="250" applyFont="1" applyAlignment="1">
      <alignment vertical="center"/>
    </xf>
    <xf numFmtId="0" fontId="42" fillId="52" borderId="43" xfId="250" applyFont="1" applyFill="1" applyBorder="1" applyAlignment="1">
      <alignment horizontal="center" vertical="center" textRotation="90" wrapText="1"/>
    </xf>
    <xf numFmtId="0" fontId="109" fillId="0" borderId="24" xfId="250" applyFont="1" applyBorder="1" applyAlignment="1">
      <alignment horizontal="center" vertical="center"/>
    </xf>
    <xf numFmtId="0" fontId="59" fillId="91" borderId="24" xfId="250" applyFont="1" applyFill="1" applyBorder="1" applyAlignment="1">
      <alignment horizontal="center" vertical="center" wrapText="1"/>
    </xf>
    <xf numFmtId="0" fontId="42" fillId="52" borderId="44" xfId="250" applyFont="1" applyFill="1" applyBorder="1" applyAlignment="1">
      <alignment horizontal="center" vertical="center" textRotation="90" wrapText="1"/>
    </xf>
    <xf numFmtId="0" fontId="59" fillId="92" borderId="24" xfId="250" applyFont="1" applyFill="1" applyBorder="1" applyAlignment="1">
      <alignment horizontal="center" vertical="center" shrinkToFit="1"/>
    </xf>
    <xf numFmtId="0" fontId="110" fillId="0" borderId="0" xfId="250" applyFont="1" applyAlignment="1">
      <alignment vertical="center"/>
    </xf>
    <xf numFmtId="0" fontId="92" fillId="93" borderId="24" xfId="250" applyFont="1" applyFill="1" applyBorder="1" applyAlignment="1">
      <alignment horizontal="center"/>
    </xf>
    <xf numFmtId="0" fontId="111" fillId="92" borderId="24" xfId="250" applyFont="1" applyFill="1" applyBorder="1" applyAlignment="1">
      <alignment horizontal="center" vertical="center" shrinkToFit="1"/>
    </xf>
    <xf numFmtId="0" fontId="85" fillId="0" borderId="0" xfId="250" applyFont="1" applyAlignment="1">
      <alignment vertical="center"/>
    </xf>
    <xf numFmtId="0" fontId="92" fillId="93" borderId="24" xfId="250" applyFont="1" applyFill="1" applyBorder="1" applyAlignment="1">
      <alignment horizontal="center" vertical="center"/>
    </xf>
    <xf numFmtId="0" fontId="78" fillId="69" borderId="24" xfId="250" applyFont="1" applyFill="1" applyBorder="1" applyAlignment="1">
      <alignment horizontal="center" vertical="center" shrinkToFit="1"/>
    </xf>
    <xf numFmtId="0" fontId="72" fillId="66" borderId="24" xfId="250" applyFont="1" applyFill="1" applyBorder="1" applyAlignment="1">
      <alignment horizontal="center" vertical="center" shrinkToFit="1"/>
    </xf>
    <xf numFmtId="0" fontId="7" fillId="61" borderId="0" xfId="250" applyFont="1" applyFill="1" applyAlignment="1">
      <alignment horizontal="center" vertical="center"/>
    </xf>
    <xf numFmtId="0" fontId="42" fillId="52" borderId="42" xfId="250" applyFont="1" applyFill="1" applyBorder="1" applyAlignment="1">
      <alignment horizontal="center" vertical="center" textRotation="90" wrapText="1"/>
    </xf>
    <xf numFmtId="0" fontId="112" fillId="0" borderId="24" xfId="250" applyFont="1" applyBorder="1" applyAlignment="1">
      <alignment horizontal="center" vertical="center"/>
    </xf>
    <xf numFmtId="0" fontId="61" fillId="68" borderId="0" xfId="250" applyFont="1" applyFill="1" applyAlignment="1">
      <alignment horizontal="center" vertical="center"/>
    </xf>
    <xf numFmtId="0" fontId="2" fillId="61" borderId="21" xfId="250" applyFont="1" applyFill="1" applyBorder="1" applyAlignment="1">
      <alignment vertical="center"/>
    </xf>
    <xf numFmtId="0" fontId="2" fillId="61" borderId="16" xfId="250" applyFont="1" applyFill="1" applyBorder="1" applyAlignment="1">
      <alignment vertical="center"/>
    </xf>
    <xf numFmtId="0" fontId="7" fillId="61" borderId="16" xfId="250" applyFont="1" applyFill="1" applyBorder="1" applyAlignment="1">
      <alignment vertical="center"/>
    </xf>
    <xf numFmtId="0" fontId="7" fillId="61" borderId="22" xfId="250" applyFont="1" applyFill="1" applyBorder="1" applyAlignment="1">
      <alignment vertical="center"/>
    </xf>
    <xf numFmtId="1" fontId="2" fillId="0" borderId="0" xfId="250" applyNumberFormat="1" applyFont="1" applyAlignment="1">
      <alignment horizontal="center" vertical="center"/>
    </xf>
    <xf numFmtId="0" fontId="46" fillId="94" borderId="0" xfId="250" applyFont="1" applyFill="1" applyAlignment="1">
      <alignment horizontal="center" vertical="center"/>
    </xf>
    <xf numFmtId="0" fontId="2" fillId="61" borderId="26" xfId="250" applyFont="1" applyFill="1" applyBorder="1" applyAlignment="1">
      <alignment vertical="center"/>
    </xf>
    <xf numFmtId="0" fontId="7" fillId="61" borderId="27" xfId="250" applyFont="1" applyFill="1" applyBorder="1" applyAlignment="1">
      <alignment vertical="center"/>
    </xf>
    <xf numFmtId="1" fontId="7" fillId="0" borderId="0" xfId="250" applyNumberFormat="1" applyFont="1" applyAlignment="1">
      <alignment horizontal="left" vertical="center"/>
    </xf>
    <xf numFmtId="0" fontId="61" fillId="94" borderId="0" xfId="250" applyFont="1" applyFill="1" applyAlignment="1">
      <alignment horizontal="center" vertical="center"/>
    </xf>
    <xf numFmtId="0" fontId="57" fillId="0" borderId="45" xfId="250" applyFont="1" applyBorder="1" applyAlignment="1">
      <alignment vertical="center"/>
    </xf>
    <xf numFmtId="0" fontId="49" fillId="61" borderId="0" xfId="250" applyFont="1" applyFill="1" applyAlignment="1">
      <alignment vertical="center"/>
    </xf>
    <xf numFmtId="0" fontId="80" fillId="81" borderId="24" xfId="250" applyFont="1" applyFill="1" applyBorder="1" applyAlignment="1">
      <alignment horizontal="center"/>
    </xf>
    <xf numFmtId="0" fontId="2" fillId="61" borderId="45" xfId="250" applyFont="1" applyFill="1" applyBorder="1" applyAlignment="1">
      <alignment vertical="center"/>
    </xf>
    <xf numFmtId="0" fontId="57" fillId="0" borderId="0" xfId="250" applyFont="1"/>
    <xf numFmtId="0" fontId="90" fillId="0" borderId="0" xfId="250" applyFont="1"/>
    <xf numFmtId="0" fontId="113" fillId="0" borderId="0" xfId="250" applyFont="1" applyAlignment="1">
      <alignment horizontal="center" vertical="center"/>
    </xf>
    <xf numFmtId="0" fontId="46" fillId="0" borderId="0" xfId="250" applyFont="1" applyAlignment="1">
      <alignment vertical="center"/>
    </xf>
    <xf numFmtId="0" fontId="104" fillId="88" borderId="24" xfId="250" applyFont="1" applyFill="1" applyBorder="1" applyAlignment="1">
      <alignment horizontal="center" vertical="center"/>
    </xf>
    <xf numFmtId="0" fontId="7" fillId="0" borderId="15" xfId="250" applyFont="1" applyBorder="1" applyAlignment="1">
      <alignment vertical="center"/>
    </xf>
    <xf numFmtId="0" fontId="59" fillId="61" borderId="0" xfId="250" applyFont="1" applyFill="1" applyAlignment="1">
      <alignment vertical="center"/>
    </xf>
    <xf numFmtId="0" fontId="59" fillId="61" borderId="0" xfId="250" applyFont="1" applyFill="1" applyAlignment="1">
      <alignment horizontal="center" vertical="center"/>
    </xf>
    <xf numFmtId="0" fontId="44" fillId="61" borderId="29" xfId="250" applyFont="1" applyFill="1" applyBorder="1" applyAlignment="1">
      <alignment horizontal="center" vertical="center"/>
    </xf>
    <xf numFmtId="0" fontId="59" fillId="61" borderId="15" xfId="250" applyFont="1" applyFill="1" applyBorder="1" applyAlignment="1">
      <alignment horizontal="center" vertical="center"/>
    </xf>
    <xf numFmtId="0" fontId="2" fillId="0" borderId="15" xfId="250" applyFont="1" applyBorder="1" applyAlignment="1">
      <alignment vertical="center"/>
    </xf>
    <xf numFmtId="0" fontId="7" fillId="61" borderId="30" xfId="250" applyFont="1" applyFill="1" applyBorder="1" applyAlignment="1">
      <alignment vertical="center"/>
    </xf>
    <xf numFmtId="0" fontId="90" fillId="0" borderId="45" xfId="250" applyFont="1" applyBorder="1" applyAlignment="1">
      <alignment vertical="center"/>
    </xf>
    <xf numFmtId="0" fontId="114" fillId="0" borderId="0" xfId="250" applyFont="1" applyAlignment="1">
      <alignment vertical="center"/>
    </xf>
    <xf numFmtId="0" fontId="115" fillId="50" borderId="24" xfId="250" applyFont="1" applyFill="1" applyBorder="1" applyAlignment="1">
      <alignment horizontal="center" vertical="center"/>
    </xf>
    <xf numFmtId="0" fontId="2" fillId="61" borderId="46" xfId="250" applyFont="1" applyFill="1" applyBorder="1" applyAlignment="1">
      <alignment vertical="center"/>
    </xf>
    <xf numFmtId="0" fontId="2" fillId="61" borderId="36" xfId="250" applyFont="1" applyFill="1" applyBorder="1" applyAlignment="1">
      <alignment vertical="center"/>
    </xf>
    <xf numFmtId="0" fontId="7" fillId="51" borderId="0" xfId="250" applyFont="1" applyFill="1" applyAlignment="1">
      <alignment horizontal="center" vertical="center"/>
    </xf>
    <xf numFmtId="0" fontId="49" fillId="0" borderId="0" xfId="250" applyFont="1" applyAlignment="1">
      <alignment vertical="center"/>
    </xf>
    <xf numFmtId="0" fontId="61" fillId="61" borderId="0" xfId="250" applyFont="1" applyFill="1" applyAlignment="1">
      <alignment horizontal="center" vertical="center"/>
    </xf>
    <xf numFmtId="1" fontId="61" fillId="0" borderId="0" xfId="250" applyNumberFormat="1" applyFont="1" applyAlignment="1">
      <alignment horizontal="center" vertical="center"/>
    </xf>
    <xf numFmtId="0" fontId="59" fillId="0" borderId="0" xfId="250" applyFont="1" applyAlignment="1">
      <alignment vertical="center"/>
    </xf>
    <xf numFmtId="0" fontId="2" fillId="61" borderId="0" xfId="250" applyFont="1" applyFill="1" applyAlignment="1">
      <alignment horizontal="left" vertical="center"/>
    </xf>
    <xf numFmtId="0" fontId="61" fillId="76" borderId="0" xfId="250" applyFont="1" applyFill="1" applyAlignment="1">
      <alignment horizontal="center" vertical="center"/>
    </xf>
    <xf numFmtId="0" fontId="101" fillId="76" borderId="0" xfId="250" applyFont="1" applyFill="1" applyAlignment="1">
      <alignment horizontal="center" vertical="center"/>
    </xf>
    <xf numFmtId="0" fontId="2" fillId="61" borderId="22" xfId="250" applyFont="1" applyFill="1" applyBorder="1" applyAlignment="1">
      <alignment vertical="center"/>
    </xf>
    <xf numFmtId="0" fontId="23" fillId="0" borderId="26" xfId="250" applyFont="1" applyBorder="1" applyAlignment="1">
      <alignment vertical="center"/>
    </xf>
    <xf numFmtId="0" fontId="2" fillId="61" borderId="27" xfId="250" applyFont="1" applyFill="1" applyBorder="1" applyAlignment="1">
      <alignment vertical="center"/>
    </xf>
    <xf numFmtId="0" fontId="2" fillId="0" borderId="26" xfId="250" applyFont="1" applyBorder="1" applyAlignment="1">
      <alignment vertical="center"/>
    </xf>
    <xf numFmtId="0" fontId="2" fillId="0" borderId="27" xfId="250" applyFont="1" applyBorder="1" applyAlignment="1">
      <alignment vertical="center"/>
    </xf>
    <xf numFmtId="0" fontId="46" fillId="0" borderId="37" xfId="250" applyFont="1" applyBorder="1" applyAlignment="1">
      <alignment horizontal="center" vertical="center" shrinkToFit="1"/>
    </xf>
    <xf numFmtId="0" fontId="117" fillId="0" borderId="0" xfId="250" applyFont="1" applyAlignment="1">
      <alignment horizontal="center" vertical="center"/>
    </xf>
    <xf numFmtId="0" fontId="118" fillId="0" borderId="0" xfId="250" applyFont="1"/>
    <xf numFmtId="0" fontId="101" fillId="0" borderId="0" xfId="250" applyFont="1" applyAlignment="1">
      <alignment horizontal="left" vertical="top" wrapText="1"/>
    </xf>
    <xf numFmtId="0" fontId="102" fillId="0" borderId="0" xfId="250" applyFont="1" applyAlignment="1">
      <alignment horizontal="center" vertical="center" shrinkToFit="1"/>
    </xf>
    <xf numFmtId="0" fontId="46" fillId="0" borderId="0" xfId="250" applyFont="1" applyAlignment="1">
      <alignment vertical="center" shrinkToFit="1"/>
    </xf>
    <xf numFmtId="170" fontId="53" fillId="0" borderId="47" xfId="250" applyNumberFormat="1" applyFont="1" applyBorder="1" applyAlignment="1">
      <alignment horizontal="center" vertical="center" shrinkToFit="1"/>
    </xf>
    <xf numFmtId="0" fontId="44" fillId="0" borderId="0" xfId="250" applyFont="1" applyAlignment="1">
      <alignment vertical="center" shrinkToFit="1"/>
    </xf>
    <xf numFmtId="0" fontId="119" fillId="0" borderId="0" xfId="250" applyFont="1" applyAlignment="1">
      <alignment horizontal="center" vertical="center" shrinkToFit="1"/>
    </xf>
    <xf numFmtId="0" fontId="120" fillId="0" borderId="0" xfId="250" applyFont="1" applyAlignment="1">
      <alignment vertical="center" shrinkToFit="1"/>
    </xf>
    <xf numFmtId="0" fontId="59" fillId="0" borderId="0" xfId="250" applyFont="1" applyAlignment="1">
      <alignment vertical="center" shrinkToFit="1"/>
    </xf>
    <xf numFmtId="170" fontId="53" fillId="95" borderId="33" xfId="250" applyNumberFormat="1" applyFont="1" applyFill="1" applyBorder="1" applyAlignment="1">
      <alignment horizontal="center" vertical="center" shrinkToFit="1"/>
    </xf>
    <xf numFmtId="170" fontId="53" fillId="0" borderId="49" xfId="250" applyNumberFormat="1" applyFont="1" applyBorder="1" applyAlignment="1">
      <alignment horizontal="center" vertical="center" shrinkToFit="1"/>
    </xf>
    <xf numFmtId="170" fontId="44" fillId="96" borderId="49" xfId="250" applyNumberFormat="1" applyFont="1" applyFill="1" applyBorder="1" applyAlignment="1">
      <alignment horizontal="center" vertical="center"/>
    </xf>
    <xf numFmtId="0" fontId="123" fillId="0" borderId="0" xfId="250" applyFont="1"/>
    <xf numFmtId="0" fontId="124" fillId="0" borderId="0" xfId="250" applyFont="1" applyAlignment="1">
      <alignment horizontal="center" shrinkToFit="1"/>
    </xf>
    <xf numFmtId="0" fontId="10" fillId="0" borderId="52" xfId="250" applyFont="1" applyBorder="1"/>
    <xf numFmtId="0" fontId="10" fillId="0" borderId="53" xfId="250" applyFont="1" applyBorder="1"/>
    <xf numFmtId="0" fontId="10" fillId="0" borderId="54" xfId="250" applyFont="1" applyBorder="1"/>
    <xf numFmtId="0" fontId="126" fillId="0" borderId="0" xfId="250" applyFont="1"/>
    <xf numFmtId="0" fontId="59" fillId="0" borderId="24" xfId="250" applyFont="1" applyBorder="1" applyAlignment="1">
      <alignment horizontal="center" vertical="center" shrinkToFit="1"/>
    </xf>
    <xf numFmtId="0" fontId="126" fillId="0" borderId="25" xfId="250" applyFont="1" applyBorder="1"/>
    <xf numFmtId="0" fontId="10" fillId="0" borderId="56" xfId="250" applyFont="1" applyBorder="1"/>
    <xf numFmtId="0" fontId="127" fillId="0" borderId="0" xfId="250" applyFont="1"/>
    <xf numFmtId="0" fontId="122" fillId="0" borderId="33" xfId="250" applyFont="1" applyBorder="1"/>
    <xf numFmtId="0" fontId="122" fillId="0" borderId="22" xfId="250" applyFont="1" applyBorder="1"/>
    <xf numFmtId="170" fontId="44" fillId="0" borderId="24" xfId="250" applyNumberFormat="1" applyFont="1" applyBorder="1" applyAlignment="1">
      <alignment horizontal="center" vertical="center" shrinkToFit="1"/>
    </xf>
    <xf numFmtId="0" fontId="126" fillId="99" borderId="0" xfId="250" applyFont="1" applyFill="1"/>
    <xf numFmtId="0" fontId="44" fillId="0" borderId="18" xfId="250" applyFont="1" applyBorder="1" applyAlignment="1">
      <alignment horizontal="left" vertical="center" shrinkToFit="1"/>
    </xf>
    <xf numFmtId="0" fontId="126" fillId="100" borderId="37" xfId="250" applyFont="1" applyFill="1" applyBorder="1" applyAlignment="1">
      <alignment wrapText="1"/>
    </xf>
    <xf numFmtId="0" fontId="124" fillId="0" borderId="0" xfId="250" applyFont="1" applyAlignment="1">
      <alignment shrinkToFit="1"/>
    </xf>
    <xf numFmtId="0" fontId="59" fillId="95" borderId="24" xfId="250" applyFont="1" applyFill="1" applyBorder="1" applyAlignment="1">
      <alignment horizontal="center" vertical="center" shrinkToFit="1"/>
    </xf>
    <xf numFmtId="0" fontId="59" fillId="101" borderId="24" xfId="250" applyFont="1" applyFill="1" applyBorder="1" applyAlignment="1">
      <alignment horizontal="center" vertical="center" shrinkToFit="1"/>
    </xf>
    <xf numFmtId="0" fontId="126" fillId="100" borderId="0" xfId="250" applyFont="1" applyFill="1" applyAlignment="1">
      <alignment wrapText="1"/>
    </xf>
    <xf numFmtId="0" fontId="128" fillId="0" borderId="0" xfId="250" applyFont="1" applyAlignment="1">
      <alignment horizontal="center" shrinkToFit="1"/>
    </xf>
    <xf numFmtId="0" fontId="92" fillId="0" borderId="24" xfId="250" applyFont="1" applyBorder="1" applyAlignment="1">
      <alignment shrinkToFit="1"/>
    </xf>
    <xf numFmtId="0" fontId="92" fillId="54" borderId="25" xfId="250" applyFont="1" applyFill="1" applyBorder="1" applyAlignment="1">
      <alignment horizontal="center"/>
    </xf>
    <xf numFmtId="170" fontId="10" fillId="0" borderId="24" xfId="250" applyNumberFormat="1" applyFont="1" applyBorder="1" applyAlignment="1">
      <alignment horizontal="center" vertical="center"/>
    </xf>
    <xf numFmtId="9" fontId="10" fillId="0" borderId="24" xfId="250" applyNumberFormat="1" applyFont="1" applyBorder="1" applyAlignment="1">
      <alignment horizontal="center"/>
    </xf>
    <xf numFmtId="0" fontId="72" fillId="0" borderId="24" xfId="250" applyFont="1" applyBorder="1" applyAlignment="1">
      <alignment horizontal="center" vertical="center" shrinkToFit="1"/>
    </xf>
    <xf numFmtId="0" fontId="59" fillId="102" borderId="24" xfId="250" applyFont="1" applyFill="1" applyBorder="1" applyAlignment="1">
      <alignment horizontal="center" vertical="center" shrinkToFit="1"/>
    </xf>
    <xf numFmtId="0" fontId="53" fillId="0" borderId="0" xfId="250" applyFont="1" applyAlignment="1">
      <alignment horizontal="center"/>
    </xf>
    <xf numFmtId="170" fontId="53" fillId="0" borderId="0" xfId="250" applyNumberFormat="1" applyFont="1" applyAlignment="1">
      <alignment horizontal="center"/>
    </xf>
    <xf numFmtId="0" fontId="92" fillId="0" borderId="0" xfId="250" applyFont="1" applyAlignment="1">
      <alignment horizontal="center" vertical="center"/>
    </xf>
    <xf numFmtId="0" fontId="73" fillId="103" borderId="24" xfId="250" applyFont="1" applyFill="1" applyBorder="1" applyAlignment="1">
      <alignment horizontal="center" vertical="center" shrinkToFit="1"/>
    </xf>
    <xf numFmtId="0" fontId="59" fillId="57" borderId="24" xfId="250" applyFont="1" applyFill="1" applyBorder="1" applyAlignment="1">
      <alignment horizontal="center" vertical="center" shrinkToFit="1"/>
    </xf>
    <xf numFmtId="0" fontId="46" fillId="0" borderId="0" xfId="250" applyFont="1" applyAlignment="1">
      <alignment shrinkToFit="1"/>
    </xf>
    <xf numFmtId="0" fontId="2" fillId="0" borderId="24" xfId="250" applyFont="1" applyBorder="1" applyAlignment="1">
      <alignment horizontal="center" vertical="center"/>
    </xf>
    <xf numFmtId="0" fontId="2" fillId="0" borderId="25" xfId="250" applyFont="1" applyBorder="1" applyAlignment="1">
      <alignment horizontal="center" vertical="center"/>
    </xf>
    <xf numFmtId="0" fontId="129" fillId="0" borderId="25" xfId="250" applyFont="1" applyBorder="1" applyAlignment="1">
      <alignment horizontal="center"/>
    </xf>
    <xf numFmtId="0" fontId="59" fillId="103" borderId="24" xfId="250" applyFont="1" applyFill="1" applyBorder="1" applyAlignment="1">
      <alignment horizontal="center" vertical="center" shrinkToFit="1"/>
    </xf>
    <xf numFmtId="0" fontId="3" fillId="0" borderId="18" xfId="250" applyFont="1" applyBorder="1" applyAlignment="1">
      <alignment horizontal="center" vertical="center" shrinkToFit="1"/>
    </xf>
    <xf numFmtId="0" fontId="44" fillId="0" borderId="25" xfId="250" applyFont="1" applyBorder="1" applyAlignment="1">
      <alignment horizontal="center" vertical="center" shrinkToFit="1"/>
    </xf>
    <xf numFmtId="0" fontId="34" fillId="52" borderId="20" xfId="250" applyFont="1" applyFill="1" applyBorder="1" applyAlignment="1">
      <alignment horizontal="center" vertical="center"/>
    </xf>
    <xf numFmtId="0" fontId="44" fillId="96" borderId="0" xfId="250" applyFont="1" applyFill="1" applyAlignment="1">
      <alignment horizontal="center" vertical="center"/>
    </xf>
    <xf numFmtId="0" fontId="3" fillId="95" borderId="0" xfId="250" applyFont="1" applyFill="1" applyAlignment="1">
      <alignment horizontal="center" vertical="center" shrinkToFit="1"/>
    </xf>
    <xf numFmtId="170" fontId="3" fillId="0" borderId="0" xfId="250" applyNumberFormat="1" applyFont="1" applyAlignment="1">
      <alignment horizontal="center" vertical="center" shrinkToFit="1"/>
    </xf>
    <xf numFmtId="170" fontId="74" fillId="104" borderId="0" xfId="250" applyNumberFormat="1" applyFont="1" applyFill="1" applyAlignment="1">
      <alignment horizontal="center" vertical="center"/>
    </xf>
    <xf numFmtId="0" fontId="92" fillId="82" borderId="25" xfId="250" applyFont="1" applyFill="1" applyBorder="1" applyAlignment="1">
      <alignment horizontal="center"/>
    </xf>
    <xf numFmtId="0" fontId="59" fillId="54" borderId="24" xfId="250" applyFont="1" applyFill="1" applyBorder="1" applyAlignment="1">
      <alignment horizontal="center" vertical="center" shrinkToFit="1"/>
    </xf>
    <xf numFmtId="0" fontId="34" fillId="58" borderId="30" xfId="250" applyFont="1" applyFill="1" applyBorder="1" applyAlignment="1">
      <alignment horizontal="center" vertical="center"/>
    </xf>
    <xf numFmtId="0" fontId="92" fillId="95" borderId="25" xfId="250" applyFont="1" applyFill="1" applyBorder="1" applyAlignment="1">
      <alignment horizontal="center"/>
    </xf>
    <xf numFmtId="0" fontId="59" fillId="87" borderId="24" xfId="250" applyFont="1" applyFill="1" applyBorder="1" applyAlignment="1">
      <alignment horizontal="center" vertical="center" shrinkToFit="1"/>
    </xf>
    <xf numFmtId="0" fontId="41" fillId="89" borderId="15" xfId="250" applyFont="1" applyFill="1" applyBorder="1" applyAlignment="1">
      <alignment horizontal="center" vertical="center"/>
    </xf>
    <xf numFmtId="0" fontId="92" fillId="105" borderId="25" xfId="250" applyFont="1" applyFill="1" applyBorder="1" applyAlignment="1">
      <alignment horizontal="center"/>
    </xf>
    <xf numFmtId="0" fontId="59" fillId="76" borderId="24" xfId="250" applyFont="1" applyFill="1" applyBorder="1" applyAlignment="1">
      <alignment horizontal="center" vertical="center" shrinkToFit="1"/>
    </xf>
    <xf numFmtId="0" fontId="34" fillId="54" borderId="30" xfId="250" applyFont="1" applyFill="1" applyBorder="1" applyAlignment="1">
      <alignment horizontal="center" vertical="center"/>
    </xf>
    <xf numFmtId="0" fontId="92" fillId="0" borderId="25" xfId="250" applyFont="1" applyBorder="1" applyAlignment="1">
      <alignment horizontal="center"/>
    </xf>
    <xf numFmtId="0" fontId="59" fillId="91" borderId="24" xfId="250" applyFont="1" applyFill="1" applyBorder="1" applyAlignment="1">
      <alignment horizontal="center" vertical="center" shrinkToFit="1"/>
    </xf>
    <xf numFmtId="0" fontId="33" fillId="91" borderId="0" xfId="250" applyFont="1" applyFill="1" applyAlignment="1">
      <alignment horizontal="center" vertical="center"/>
    </xf>
    <xf numFmtId="0" fontId="115" fillId="54" borderId="24" xfId="250" applyFont="1" applyFill="1" applyBorder="1" applyAlignment="1">
      <alignment horizontal="center"/>
    </xf>
    <xf numFmtId="0" fontId="92" fillId="105" borderId="24" xfId="250" applyFont="1" applyFill="1" applyBorder="1" applyAlignment="1">
      <alignment horizontal="center" vertical="center"/>
    </xf>
    <xf numFmtId="0" fontId="34" fillId="106" borderId="14" xfId="250" applyFont="1" applyFill="1" applyBorder="1" applyAlignment="1">
      <alignment horizontal="center" vertical="center"/>
    </xf>
    <xf numFmtId="170" fontId="3" fillId="95" borderId="0" xfId="250" applyNumberFormat="1" applyFont="1" applyFill="1" applyAlignment="1">
      <alignment horizontal="center" vertical="center" shrinkToFit="1"/>
    </xf>
    <xf numFmtId="0" fontId="92" fillId="66" borderId="25" xfId="250" applyFont="1" applyFill="1" applyBorder="1" applyAlignment="1">
      <alignment horizontal="center"/>
    </xf>
    <xf numFmtId="0" fontId="92" fillId="107" borderId="24" xfId="250" applyFont="1" applyFill="1" applyBorder="1" applyAlignment="1">
      <alignment horizontal="center" vertical="center"/>
    </xf>
    <xf numFmtId="0" fontId="33" fillId="90" borderId="0" xfId="250" applyFont="1" applyFill="1" applyAlignment="1">
      <alignment horizontal="center" vertical="center"/>
    </xf>
    <xf numFmtId="0" fontId="92" fillId="108" borderId="25" xfId="250" applyFont="1" applyFill="1" applyBorder="1" applyAlignment="1">
      <alignment horizontal="center"/>
    </xf>
    <xf numFmtId="0" fontId="80" fillId="0" borderId="24" xfId="250" applyFont="1" applyBorder="1" applyAlignment="1">
      <alignment horizontal="center" vertical="center"/>
    </xf>
    <xf numFmtId="0" fontId="34" fillId="109" borderId="14" xfId="250" applyFont="1" applyFill="1" applyBorder="1" applyAlignment="1">
      <alignment horizontal="center" vertical="center"/>
    </xf>
    <xf numFmtId="0" fontId="92" fillId="103" borderId="25" xfId="250" applyFont="1" applyFill="1" applyBorder="1" applyAlignment="1">
      <alignment horizontal="center"/>
    </xf>
    <xf numFmtId="0" fontId="92" fillId="57" borderId="24" xfId="250" applyFont="1" applyFill="1" applyBorder="1" applyAlignment="1">
      <alignment horizontal="center" vertical="center"/>
    </xf>
    <xf numFmtId="0" fontId="34" fillId="85" borderId="15" xfId="250" applyFont="1" applyFill="1" applyBorder="1" applyAlignment="1">
      <alignment horizontal="center" vertical="center"/>
    </xf>
    <xf numFmtId="0" fontId="92" fillId="0" borderId="24" xfId="250" applyFont="1" applyBorder="1" applyAlignment="1">
      <alignment vertical="center" shrinkToFit="1"/>
    </xf>
    <xf numFmtId="0" fontId="59" fillId="110" borderId="25" xfId="250" applyFont="1" applyFill="1" applyBorder="1" applyAlignment="1">
      <alignment horizontal="center" vertical="center" shrinkToFit="1"/>
    </xf>
    <xf numFmtId="0" fontId="131" fillId="60" borderId="24" xfId="250" applyFont="1" applyFill="1" applyBorder="1" applyAlignment="1">
      <alignment horizontal="center" vertical="center" shrinkToFit="1"/>
    </xf>
    <xf numFmtId="0" fontId="42" fillId="0" borderId="24" xfId="250" applyFont="1" applyBorder="1" applyAlignment="1">
      <alignment horizontal="center" vertical="center" shrinkToFit="1"/>
    </xf>
    <xf numFmtId="0" fontId="92" fillId="0" borderId="24" xfId="250" applyFont="1" applyBorder="1" applyAlignment="1">
      <alignment horizontal="center"/>
    </xf>
    <xf numFmtId="0" fontId="39" fillId="76" borderId="30" xfId="250" applyFont="1" applyFill="1" applyBorder="1" applyAlignment="1">
      <alignment horizontal="center" vertical="center"/>
    </xf>
    <xf numFmtId="0" fontId="59" fillId="103" borderId="25" xfId="250" applyFont="1" applyFill="1" applyBorder="1" applyAlignment="1">
      <alignment horizontal="center" vertical="center" shrinkToFit="1"/>
    </xf>
    <xf numFmtId="0" fontId="92" fillId="111" borderId="24" xfId="250" applyFont="1" applyFill="1" applyBorder="1" applyAlignment="1">
      <alignment horizontal="center" vertical="center"/>
    </xf>
    <xf numFmtId="0" fontId="34" fillId="106" borderId="30" xfId="250" applyFont="1" applyFill="1" applyBorder="1" applyAlignment="1">
      <alignment horizontal="center" vertical="center"/>
    </xf>
    <xf numFmtId="0" fontId="59" fillId="98" borderId="25" xfId="250" applyFont="1" applyFill="1" applyBorder="1" applyAlignment="1">
      <alignment horizontal="center" vertical="center" shrinkToFit="1"/>
    </xf>
    <xf numFmtId="0" fontId="59" fillId="112" borderId="24" xfId="250" applyFont="1" applyFill="1" applyBorder="1" applyAlignment="1">
      <alignment horizontal="center" vertical="center" shrinkToFit="1"/>
    </xf>
    <xf numFmtId="0" fontId="59" fillId="113" borderId="24" xfId="250" applyFont="1" applyFill="1" applyBorder="1" applyAlignment="1">
      <alignment horizontal="center" vertical="center" shrinkToFit="1"/>
    </xf>
    <xf numFmtId="0" fontId="37" fillId="114" borderId="15" xfId="250" applyFont="1" applyFill="1" applyBorder="1" applyAlignment="1">
      <alignment horizontal="center" vertical="center"/>
    </xf>
    <xf numFmtId="0" fontId="132" fillId="0" borderId="24" xfId="250" applyFont="1" applyBorder="1" applyAlignment="1">
      <alignment horizontal="center"/>
    </xf>
    <xf numFmtId="0" fontId="44" fillId="99" borderId="0" xfId="250" applyFont="1" applyFill="1" applyAlignment="1">
      <alignment horizontal="center" vertical="center"/>
    </xf>
    <xf numFmtId="0" fontId="133" fillId="0" borderId="18" xfId="250" applyFont="1" applyBorder="1" applyAlignment="1">
      <alignment horizontal="center" vertical="center" shrinkToFit="1"/>
    </xf>
    <xf numFmtId="0" fontId="86" fillId="76" borderId="24" xfId="250" applyFont="1" applyFill="1" applyBorder="1" applyAlignment="1">
      <alignment horizontal="center"/>
    </xf>
    <xf numFmtId="0" fontId="59" fillId="115" borderId="24" xfId="250" applyFont="1" applyFill="1" applyBorder="1" applyAlignment="1">
      <alignment horizontal="center" vertical="center" shrinkToFit="1"/>
    </xf>
    <xf numFmtId="0" fontId="33" fillId="103" borderId="15" xfId="250" applyFont="1" applyFill="1" applyBorder="1" applyAlignment="1">
      <alignment horizontal="center" vertical="center"/>
    </xf>
    <xf numFmtId="0" fontId="59" fillId="116" borderId="25" xfId="250" applyFont="1" applyFill="1" applyBorder="1" applyAlignment="1">
      <alignment horizontal="center" vertical="center" shrinkToFit="1"/>
    </xf>
    <xf numFmtId="0" fontId="92" fillId="98" borderId="24" xfId="250" applyFont="1" applyFill="1" applyBorder="1" applyAlignment="1">
      <alignment horizontal="center" vertical="center"/>
    </xf>
    <xf numFmtId="0" fontId="34" fillId="117" borderId="15" xfId="250" applyFont="1" applyFill="1" applyBorder="1" applyAlignment="1">
      <alignment horizontal="center" vertical="center"/>
    </xf>
    <xf numFmtId="0" fontId="59" fillId="118" borderId="25" xfId="250" applyFont="1" applyFill="1" applyBorder="1" applyAlignment="1">
      <alignment horizontal="center" vertical="center" shrinkToFit="1"/>
    </xf>
    <xf numFmtId="0" fontId="92" fillId="0" borderId="24" xfId="250" applyFont="1" applyBorder="1" applyAlignment="1">
      <alignment horizontal="center" vertical="center"/>
    </xf>
    <xf numFmtId="0" fontId="33" fillId="119" borderId="15" xfId="250" applyFont="1" applyFill="1" applyBorder="1" applyAlignment="1">
      <alignment horizontal="center" vertical="center"/>
    </xf>
    <xf numFmtId="0" fontId="59" fillId="105" borderId="25" xfId="250" applyFont="1" applyFill="1" applyBorder="1" applyAlignment="1">
      <alignment horizontal="center" vertical="center" shrinkToFit="1"/>
    </xf>
    <xf numFmtId="0" fontId="34" fillId="120" borderId="15" xfId="250" applyFont="1" applyFill="1" applyBorder="1" applyAlignment="1">
      <alignment horizontal="center" vertical="center"/>
    </xf>
    <xf numFmtId="0" fontId="59" fillId="87" borderId="25" xfId="250" applyFont="1" applyFill="1" applyBorder="1" applyAlignment="1">
      <alignment horizontal="center" vertical="center" shrinkToFit="1"/>
    </xf>
    <xf numFmtId="0" fontId="42" fillId="82" borderId="15" xfId="250" applyFont="1" applyFill="1" applyBorder="1" applyAlignment="1">
      <alignment horizontal="center" vertical="center"/>
    </xf>
    <xf numFmtId="0" fontId="37" fillId="121" borderId="15" xfId="250" applyFont="1" applyFill="1" applyBorder="1" applyAlignment="1">
      <alignment horizontal="center" vertical="center"/>
    </xf>
    <xf numFmtId="0" fontId="134" fillId="0" borderId="24" xfId="250" applyFont="1" applyBorder="1" applyAlignment="1">
      <alignment horizontal="center" vertical="center"/>
    </xf>
    <xf numFmtId="0" fontId="34" fillId="122" borderId="15" xfId="250" applyFont="1" applyFill="1" applyBorder="1" applyAlignment="1">
      <alignment horizontal="center" vertical="center"/>
    </xf>
    <xf numFmtId="0" fontId="92" fillId="75" borderId="24" xfId="250" applyFont="1" applyFill="1" applyBorder="1" applyAlignment="1">
      <alignment horizontal="center" vertical="center"/>
    </xf>
    <xf numFmtId="0" fontId="126" fillId="0" borderId="56" xfId="250" applyFont="1" applyBorder="1"/>
    <xf numFmtId="0" fontId="33" fillId="61" borderId="41" xfId="250" applyFont="1" applyFill="1" applyBorder="1" applyAlignment="1">
      <alignment vertical="center" shrinkToFit="1"/>
    </xf>
    <xf numFmtId="170" fontId="44" fillId="96" borderId="0" xfId="250" applyNumberFormat="1" applyFont="1" applyFill="1" applyAlignment="1">
      <alignment horizontal="center" vertical="center"/>
    </xf>
    <xf numFmtId="0" fontId="46" fillId="0" borderId="18" xfId="250" applyFont="1" applyBorder="1" applyAlignment="1">
      <alignment horizontal="center" vertical="center" shrinkToFit="1"/>
    </xf>
    <xf numFmtId="0" fontId="33" fillId="61" borderId="25" xfId="250" applyFont="1" applyFill="1" applyBorder="1" applyAlignment="1">
      <alignment vertical="center" shrinkToFit="1"/>
    </xf>
    <xf numFmtId="0" fontId="92" fillId="124" borderId="24" xfId="250" applyFont="1" applyFill="1" applyBorder="1" applyAlignment="1">
      <alignment horizontal="center"/>
    </xf>
    <xf numFmtId="0" fontId="59" fillId="125" borderId="24" xfId="250" applyFont="1" applyFill="1" applyBorder="1" applyAlignment="1">
      <alignment horizontal="center" vertical="center" shrinkToFit="1"/>
    </xf>
    <xf numFmtId="0" fontId="59" fillId="122" borderId="24" xfId="250" applyFont="1" applyFill="1" applyBorder="1" applyAlignment="1">
      <alignment horizontal="center" vertical="center" shrinkToFit="1"/>
    </xf>
    <xf numFmtId="0" fontId="136" fillId="0" borderId="24" xfId="250" applyFont="1" applyBorder="1" applyAlignment="1">
      <alignment horizontal="center" vertical="center"/>
    </xf>
    <xf numFmtId="0" fontId="3" fillId="0" borderId="46" xfId="250" applyFont="1" applyBorder="1" applyAlignment="1">
      <alignment horizontal="center" vertical="center" shrinkToFit="1"/>
    </xf>
    <xf numFmtId="0" fontId="44" fillId="0" borderId="59" xfId="250" applyFont="1" applyBorder="1" applyAlignment="1">
      <alignment horizontal="center" vertical="center" shrinkToFit="1"/>
    </xf>
    <xf numFmtId="0" fontId="35" fillId="126" borderId="0" xfId="250" applyFont="1" applyFill="1" applyAlignment="1">
      <alignment horizontal="center" vertical="center"/>
    </xf>
    <xf numFmtId="0" fontId="93" fillId="107" borderId="24" xfId="250" applyFont="1" applyFill="1" applyBorder="1" applyAlignment="1">
      <alignment horizontal="center"/>
    </xf>
    <xf numFmtId="0" fontId="92" fillId="127" borderId="24" xfId="250" applyFont="1" applyFill="1" applyBorder="1" applyAlignment="1">
      <alignment horizontal="center" vertical="center"/>
    </xf>
    <xf numFmtId="0" fontId="33" fillId="112" borderId="15" xfId="250" applyFont="1" applyFill="1" applyBorder="1" applyAlignment="1">
      <alignment horizontal="center" vertical="center"/>
    </xf>
    <xf numFmtId="0" fontId="92" fillId="107" borderId="24" xfId="250" applyFont="1" applyFill="1" applyBorder="1" applyAlignment="1">
      <alignment horizontal="center"/>
    </xf>
    <xf numFmtId="0" fontId="73" fillId="60" borderId="24" xfId="250" applyFont="1" applyFill="1" applyBorder="1" applyAlignment="1">
      <alignment horizontal="center" vertical="center" shrinkToFit="1"/>
    </xf>
    <xf numFmtId="0" fontId="46" fillId="128" borderId="42" xfId="250" applyFont="1" applyFill="1" applyBorder="1" applyAlignment="1">
      <alignment horizontal="center" vertical="center"/>
    </xf>
    <xf numFmtId="0" fontId="46" fillId="76" borderId="60" xfId="250" applyFont="1" applyFill="1" applyBorder="1" applyAlignment="1">
      <alignment horizontal="center" vertical="center"/>
    </xf>
    <xf numFmtId="0" fontId="92" fillId="64" borderId="24" xfId="250" applyFont="1" applyFill="1" applyBorder="1" applyAlignment="1">
      <alignment horizontal="center"/>
    </xf>
    <xf numFmtId="0" fontId="73" fillId="129" borderId="24" xfId="250" applyFont="1" applyFill="1" applyBorder="1" applyAlignment="1">
      <alignment horizontal="center" vertical="center" shrinkToFit="1"/>
    </xf>
    <xf numFmtId="0" fontId="59" fillId="130" borderId="24" xfId="250" applyFont="1" applyFill="1" applyBorder="1" applyAlignment="1">
      <alignment horizontal="center" vertical="center" shrinkToFit="1"/>
    </xf>
    <xf numFmtId="0" fontId="43" fillId="54" borderId="20" xfId="250" applyFont="1" applyFill="1" applyBorder="1" applyAlignment="1">
      <alignment horizontal="center" vertical="center"/>
    </xf>
    <xf numFmtId="0" fontId="59" fillId="131" borderId="24" xfId="250" applyFont="1" applyFill="1" applyBorder="1" applyAlignment="1">
      <alignment horizontal="center" vertical="center" shrinkToFit="1"/>
    </xf>
    <xf numFmtId="0" fontId="33" fillId="132" borderId="15" xfId="250" applyFont="1" applyFill="1" applyBorder="1" applyAlignment="1">
      <alignment horizontal="center" vertical="center"/>
    </xf>
    <xf numFmtId="0" fontId="59" fillId="97" borderId="24" xfId="250" applyFont="1" applyFill="1" applyBorder="1" applyAlignment="1">
      <alignment horizontal="center" vertical="center" shrinkToFit="1"/>
    </xf>
    <xf numFmtId="0" fontId="126" fillId="100" borderId="38" xfId="250" applyFont="1" applyFill="1" applyBorder="1" applyAlignment="1">
      <alignment wrapText="1"/>
    </xf>
    <xf numFmtId="0" fontId="34" fillId="133" borderId="16" xfId="250" applyFont="1" applyFill="1" applyBorder="1" applyAlignment="1">
      <alignment horizontal="center" vertical="center"/>
    </xf>
    <xf numFmtId="0" fontId="33" fillId="134" borderId="30" xfId="250" applyFont="1" applyFill="1" applyBorder="1" applyAlignment="1">
      <alignment horizontal="center" vertical="center"/>
    </xf>
    <xf numFmtId="0" fontId="59" fillId="135" borderId="24" xfId="250" applyFont="1" applyFill="1" applyBorder="1" applyAlignment="1">
      <alignment horizontal="center" vertical="center" shrinkToFit="1"/>
    </xf>
    <xf numFmtId="0" fontId="92" fillId="54" borderId="24" xfId="250" applyFont="1" applyFill="1" applyBorder="1" applyAlignment="1">
      <alignment horizontal="center" vertical="center"/>
    </xf>
    <xf numFmtId="0" fontId="33" fillId="75" borderId="24" xfId="250" applyFont="1" applyFill="1" applyBorder="1" applyAlignment="1">
      <alignment horizontal="center" vertical="center"/>
    </xf>
    <xf numFmtId="0" fontId="92" fillId="136" borderId="24" xfId="250" applyFont="1" applyFill="1" applyBorder="1" applyAlignment="1">
      <alignment horizontal="center"/>
    </xf>
    <xf numFmtId="0" fontId="59" fillId="137" borderId="24" xfId="250" applyFont="1" applyFill="1" applyBorder="1" applyAlignment="1">
      <alignment horizontal="center" vertical="center" shrinkToFit="1"/>
    </xf>
    <xf numFmtId="0" fontId="33" fillId="138" borderId="15" xfId="250" applyFont="1" applyFill="1" applyBorder="1" applyAlignment="1">
      <alignment horizontal="center" vertical="center"/>
    </xf>
    <xf numFmtId="0" fontId="59" fillId="139" borderId="24" xfId="250" applyFont="1" applyFill="1" applyBorder="1" applyAlignment="1">
      <alignment horizontal="center" vertical="center" shrinkToFit="1"/>
    </xf>
    <xf numFmtId="0" fontId="46" fillId="0" borderId="24" xfId="250" applyFont="1" applyBorder="1" applyAlignment="1">
      <alignment horizontal="center" vertical="center" shrinkToFit="1"/>
    </xf>
    <xf numFmtId="0" fontId="44" fillId="0" borderId="39" xfId="250" applyFont="1" applyBorder="1" applyAlignment="1">
      <alignment horizontal="left" vertical="center" shrinkToFit="1"/>
    </xf>
    <xf numFmtId="0" fontId="38" fillId="52" borderId="15" xfId="250" applyFont="1" applyFill="1" applyBorder="1" applyAlignment="1">
      <alignment horizontal="center" vertical="center"/>
    </xf>
    <xf numFmtId="0" fontId="73" fillId="52" borderId="24" xfId="250" applyFont="1" applyFill="1" applyBorder="1" applyAlignment="1">
      <alignment horizontal="center" vertical="center"/>
    </xf>
    <xf numFmtId="0" fontId="59" fillId="124" borderId="24" xfId="250" applyFont="1" applyFill="1" applyBorder="1" applyAlignment="1">
      <alignment horizontal="center" vertical="center" shrinkToFit="1"/>
    </xf>
    <xf numFmtId="0" fontId="33" fillId="76" borderId="15" xfId="250" applyFont="1" applyFill="1" applyBorder="1" applyAlignment="1">
      <alignment horizontal="center" vertical="center"/>
    </xf>
    <xf numFmtId="0" fontId="80" fillId="64" borderId="24" xfId="250" applyFont="1" applyFill="1" applyBorder="1" applyAlignment="1">
      <alignment horizontal="center"/>
    </xf>
    <xf numFmtId="0" fontId="61" fillId="0" borderId="24" xfId="250" applyFont="1" applyBorder="1" applyAlignment="1">
      <alignment horizontal="center" vertical="center"/>
    </xf>
    <xf numFmtId="0" fontId="126" fillId="100" borderId="36" xfId="250" applyFont="1" applyFill="1" applyBorder="1" applyAlignment="1">
      <alignment wrapText="1"/>
    </xf>
    <xf numFmtId="0" fontId="40" fillId="124" borderId="15" xfId="250" applyFont="1" applyFill="1" applyBorder="1" applyAlignment="1">
      <alignment horizontal="center" vertical="center"/>
    </xf>
    <xf numFmtId="0" fontId="59" fillId="140" borderId="24" xfId="250" applyFont="1" applyFill="1" applyBorder="1" applyAlignment="1">
      <alignment horizontal="center" vertical="center" shrinkToFit="1"/>
    </xf>
    <xf numFmtId="0" fontId="92" fillId="0" borderId="24" xfId="250" applyFont="1" applyBorder="1"/>
    <xf numFmtId="170" fontId="92" fillId="0" borderId="24" xfId="250" applyNumberFormat="1" applyFont="1" applyBorder="1" applyAlignment="1">
      <alignment horizontal="center" vertical="center"/>
    </xf>
    <xf numFmtId="0" fontId="33" fillId="75" borderId="15" xfId="250" applyFont="1" applyFill="1" applyBorder="1" applyAlignment="1">
      <alignment horizontal="center" vertical="center"/>
    </xf>
    <xf numFmtId="0" fontId="59" fillId="110" borderId="24" xfId="250" applyFont="1" applyFill="1" applyBorder="1" applyAlignment="1">
      <alignment horizontal="center" vertical="center" shrinkToFit="1"/>
    </xf>
    <xf numFmtId="0" fontId="33" fillId="0" borderId="15" xfId="250" applyFont="1" applyBorder="1" applyAlignment="1">
      <alignment horizontal="center" vertical="center"/>
    </xf>
    <xf numFmtId="0" fontId="137" fillId="129" borderId="24" xfId="250" applyFont="1" applyFill="1" applyBorder="1" applyAlignment="1">
      <alignment horizontal="center"/>
    </xf>
    <xf numFmtId="0" fontId="54" fillId="56" borderId="24" xfId="250" applyFont="1" applyFill="1" applyBorder="1" applyAlignment="1">
      <alignment horizontal="center"/>
    </xf>
    <xf numFmtId="0" fontId="59" fillId="0" borderId="24" xfId="250" applyFont="1" applyBorder="1" applyAlignment="1">
      <alignment horizontal="center" vertical="center"/>
    </xf>
    <xf numFmtId="0" fontId="126" fillId="95" borderId="0" xfId="250" applyFont="1" applyFill="1"/>
    <xf numFmtId="0" fontId="3" fillId="0" borderId="39" xfId="250" applyFont="1" applyBorder="1" applyAlignment="1">
      <alignment horizontal="center" vertical="center" shrinkToFit="1"/>
    </xf>
    <xf numFmtId="0" fontId="44" fillId="0" borderId="39" xfId="250" applyFont="1" applyBorder="1" applyAlignment="1">
      <alignment horizontal="center" vertical="center" shrinkToFit="1"/>
    </xf>
    <xf numFmtId="0" fontId="33" fillId="124" borderId="0" xfId="250" applyFont="1" applyFill="1" applyAlignment="1">
      <alignment horizontal="center" vertical="center"/>
    </xf>
    <xf numFmtId="0" fontId="3" fillId="0" borderId="0" xfId="250" applyFont="1" applyAlignment="1">
      <alignment horizontal="center" vertical="center" shrinkToFit="1"/>
    </xf>
    <xf numFmtId="0" fontId="44" fillId="0" borderId="0" xfId="250" applyFont="1" applyAlignment="1">
      <alignment horizontal="center" vertical="center" shrinkToFit="1"/>
    </xf>
    <xf numFmtId="0" fontId="80" fillId="52" borderId="25" xfId="250" applyFont="1" applyFill="1" applyBorder="1" applyAlignment="1">
      <alignment horizontal="center"/>
    </xf>
    <xf numFmtId="0" fontId="59" fillId="100" borderId="24" xfId="250" applyFont="1" applyFill="1" applyBorder="1" applyAlignment="1">
      <alignment horizontal="center" vertical="center" shrinkToFit="1"/>
    </xf>
    <xf numFmtId="0" fontId="93" fillId="0" borderId="24" xfId="250" applyFont="1" applyBorder="1" applyAlignment="1">
      <alignment horizontal="center"/>
    </xf>
    <xf numFmtId="0" fontId="131" fillId="0" borderId="24" xfId="250" applyFont="1" applyBorder="1" applyAlignment="1">
      <alignment horizontal="center" vertical="center"/>
    </xf>
    <xf numFmtId="0" fontId="92" fillId="142" borderId="24" xfId="250" applyFont="1" applyFill="1" applyBorder="1" applyAlignment="1">
      <alignment horizontal="center"/>
    </xf>
    <xf numFmtId="0" fontId="138" fillId="0" borderId="24" xfId="250" applyFont="1" applyBorder="1" applyAlignment="1">
      <alignment horizontal="center" vertical="center" shrinkToFit="1"/>
    </xf>
    <xf numFmtId="0" fontId="59" fillId="118" borderId="24" xfId="250" applyFont="1" applyFill="1" applyBorder="1" applyAlignment="1">
      <alignment horizontal="center" vertical="center" shrinkToFit="1"/>
    </xf>
    <xf numFmtId="0" fontId="59" fillId="104" borderId="24" xfId="250" applyFont="1" applyFill="1" applyBorder="1" applyAlignment="1">
      <alignment horizontal="center" vertical="center" shrinkToFit="1"/>
    </xf>
    <xf numFmtId="0" fontId="92" fillId="52" borderId="24" xfId="250" applyFont="1" applyFill="1" applyBorder="1" applyAlignment="1">
      <alignment horizontal="center"/>
    </xf>
    <xf numFmtId="0" fontId="59" fillId="94" borderId="24" xfId="250" applyFont="1" applyFill="1" applyBorder="1" applyAlignment="1">
      <alignment horizontal="center" vertical="center" shrinkToFit="1"/>
    </xf>
    <xf numFmtId="0" fontId="126" fillId="95" borderId="0" xfId="250" applyFont="1" applyFill="1" applyAlignment="1">
      <alignment wrapText="1"/>
    </xf>
    <xf numFmtId="0" fontId="59" fillId="82" borderId="24" xfId="250" applyFont="1" applyFill="1" applyBorder="1" applyAlignment="1">
      <alignment horizontal="center" vertical="center" shrinkToFit="1"/>
    </xf>
    <xf numFmtId="0" fontId="59" fillId="141" borderId="24" xfId="250" applyFont="1" applyFill="1" applyBorder="1" applyAlignment="1">
      <alignment horizontal="center" vertical="center" shrinkToFit="1"/>
    </xf>
    <xf numFmtId="0" fontId="38" fillId="54" borderId="0" xfId="250" applyFont="1" applyFill="1" applyAlignment="1">
      <alignment horizontal="center" vertical="center"/>
    </xf>
    <xf numFmtId="0" fontId="92" fillId="143" borderId="24" xfId="250" applyFont="1" applyFill="1" applyBorder="1" applyAlignment="1">
      <alignment horizontal="center" vertical="center"/>
    </xf>
    <xf numFmtId="0" fontId="10" fillId="99" borderId="38" xfId="250" applyFont="1" applyFill="1" applyBorder="1" applyAlignment="1">
      <alignment wrapText="1"/>
    </xf>
    <xf numFmtId="0" fontId="59" fillId="76" borderId="24" xfId="250" applyFont="1" applyFill="1" applyBorder="1" applyAlignment="1">
      <alignment horizontal="center" vertical="center"/>
    </xf>
    <xf numFmtId="0" fontId="33" fillId="74" borderId="15" xfId="250" applyFont="1" applyFill="1" applyBorder="1" applyAlignment="1">
      <alignment horizontal="center" vertical="center"/>
    </xf>
    <xf numFmtId="0" fontId="73" fillId="0" borderId="24" xfId="250" applyFont="1" applyBorder="1" applyAlignment="1">
      <alignment horizontal="center" vertical="center" shrinkToFit="1"/>
    </xf>
    <xf numFmtId="0" fontId="33" fillId="144" borderId="15" xfId="250" applyFont="1" applyFill="1" applyBorder="1" applyAlignment="1">
      <alignment horizontal="center" vertical="center"/>
    </xf>
    <xf numFmtId="0" fontId="139" fillId="76" borderId="24" xfId="250" applyFont="1" applyFill="1" applyBorder="1" applyAlignment="1">
      <alignment horizontal="center" vertical="center" shrinkToFit="1"/>
    </xf>
    <xf numFmtId="0" fontId="33" fillId="102" borderId="30" xfId="250" applyFont="1" applyFill="1" applyBorder="1" applyAlignment="1">
      <alignment horizontal="center" vertical="center"/>
    </xf>
    <xf numFmtId="0" fontId="92" fillId="143" borderId="24" xfId="250" applyFont="1" applyFill="1" applyBorder="1" applyAlignment="1">
      <alignment horizontal="center"/>
    </xf>
    <xf numFmtId="0" fontId="46" fillId="54" borderId="0" xfId="250" applyFont="1" applyFill="1" applyAlignment="1">
      <alignment horizontal="center" vertical="center"/>
    </xf>
    <xf numFmtId="0" fontId="59" fillId="136" borderId="24" xfId="250" applyFont="1" applyFill="1" applyBorder="1" applyAlignment="1">
      <alignment horizontal="center" vertical="center" shrinkToFit="1"/>
    </xf>
    <xf numFmtId="0" fontId="59" fillId="128" borderId="24" xfId="250" applyFont="1" applyFill="1" applyBorder="1" applyAlignment="1">
      <alignment horizontal="center" vertical="center" shrinkToFit="1"/>
    </xf>
    <xf numFmtId="0" fontId="59" fillId="91" borderId="24" xfId="250" applyFont="1" applyFill="1" applyBorder="1" applyAlignment="1">
      <alignment horizontal="center" vertical="center"/>
    </xf>
    <xf numFmtId="0" fontId="33" fillId="145" borderId="0" xfId="250" applyFont="1" applyFill="1" applyAlignment="1">
      <alignment horizontal="center" vertical="center"/>
    </xf>
    <xf numFmtId="0" fontId="92" fillId="105" borderId="24" xfId="250" applyFont="1" applyFill="1" applyBorder="1" applyAlignment="1">
      <alignment horizontal="center"/>
    </xf>
    <xf numFmtId="0" fontId="59" fillId="64" borderId="24" xfId="250" applyFont="1" applyFill="1" applyBorder="1" applyAlignment="1">
      <alignment horizontal="center" vertical="center" shrinkToFit="1"/>
    </xf>
    <xf numFmtId="0" fontId="59" fillId="112" borderId="24" xfId="250" applyFont="1" applyFill="1" applyBorder="1" applyAlignment="1">
      <alignment horizontal="center" vertical="center" wrapText="1"/>
    </xf>
    <xf numFmtId="0" fontId="36" fillId="146" borderId="0" xfId="250" applyFont="1" applyFill="1" applyAlignment="1">
      <alignment horizontal="center" vertical="center"/>
    </xf>
    <xf numFmtId="0" fontId="59" fillId="147" borderId="24" xfId="250" applyFont="1" applyFill="1" applyBorder="1" applyAlignment="1">
      <alignment horizontal="center" vertical="center" shrinkToFit="1"/>
    </xf>
    <xf numFmtId="0" fontId="72" fillId="0" borderId="24" xfId="250" applyFont="1" applyBorder="1" applyAlignment="1">
      <alignment horizontal="center" vertical="center"/>
    </xf>
    <xf numFmtId="0" fontId="33" fillId="145" borderId="30" xfId="250" applyFont="1" applyFill="1" applyBorder="1" applyAlignment="1">
      <alignment horizontal="center" vertical="center"/>
    </xf>
    <xf numFmtId="0" fontId="140" fillId="105" borderId="24" xfId="250" applyFont="1" applyFill="1" applyBorder="1" applyAlignment="1">
      <alignment horizontal="center" vertical="center" shrinkToFit="1"/>
    </xf>
    <xf numFmtId="0" fontId="59" fillId="105" borderId="24" xfId="250" applyFont="1" applyFill="1" applyBorder="1" applyAlignment="1">
      <alignment horizontal="center" vertical="center" shrinkToFit="1"/>
    </xf>
    <xf numFmtId="0" fontId="33" fillId="145" borderId="14" xfId="250" applyFont="1" applyFill="1" applyBorder="1" applyAlignment="1">
      <alignment horizontal="center" vertical="center"/>
    </xf>
    <xf numFmtId="0" fontId="33" fillId="148" borderId="0" xfId="250" applyFont="1" applyFill="1" applyAlignment="1">
      <alignment horizontal="center" vertical="center"/>
    </xf>
    <xf numFmtId="0" fontId="92" fillId="112" borderId="24" xfId="250" applyFont="1" applyFill="1" applyBorder="1" applyAlignment="1">
      <alignment horizontal="center"/>
    </xf>
    <xf numFmtId="0" fontId="36" fillId="144" borderId="0" xfId="250" applyFont="1" applyFill="1" applyAlignment="1">
      <alignment horizontal="center" vertical="center"/>
    </xf>
    <xf numFmtId="0" fontId="92" fillId="76" borderId="24" xfId="250" applyFont="1" applyFill="1" applyBorder="1" applyAlignment="1">
      <alignment horizontal="center"/>
    </xf>
    <xf numFmtId="0" fontId="59" fillId="84" borderId="24" xfId="250" applyFont="1" applyFill="1" applyBorder="1" applyAlignment="1">
      <alignment horizontal="center" vertical="center" wrapText="1"/>
    </xf>
    <xf numFmtId="0" fontId="44" fillId="0" borderId="12" xfId="150" applyFont="1" applyBorder="1" applyAlignment="1">
      <alignment horizontal="left" vertical="center" shrinkToFit="1"/>
    </xf>
    <xf numFmtId="0" fontId="44" fillId="0" borderId="61" xfId="150" applyFont="1" applyBorder="1" applyAlignment="1">
      <alignment horizontal="left" vertical="center" shrinkToFit="1"/>
    </xf>
    <xf numFmtId="0" fontId="44" fillId="0" borderId="13" xfId="150" applyFont="1" applyBorder="1" applyAlignment="1">
      <alignment horizontal="left" vertical="center" shrinkToFit="1"/>
    </xf>
    <xf numFmtId="0" fontId="3" fillId="0" borderId="12" xfId="138" applyFont="1" applyBorder="1" applyAlignment="1">
      <alignment horizontal="center" vertical="center" shrinkToFit="1"/>
    </xf>
    <xf numFmtId="0" fontId="44" fillId="0" borderId="62" xfId="138" applyFont="1" applyBorder="1" applyAlignment="1">
      <alignment horizontal="center" vertical="center" shrinkToFit="1"/>
    </xf>
    <xf numFmtId="172" fontId="3" fillId="149" borderId="0" xfId="138" applyNumberFormat="1" applyFont="1" applyFill="1" applyAlignment="1">
      <alignment horizontal="center" vertical="center"/>
    </xf>
    <xf numFmtId="172" fontId="3" fillId="150" borderId="0" xfId="150" applyNumberFormat="1" applyFont="1" applyFill="1" applyAlignment="1">
      <alignment horizontal="center" vertical="center" shrinkToFit="1"/>
    </xf>
    <xf numFmtId="171" fontId="3" fillId="44" borderId="0" xfId="150" applyNumberFormat="1" applyFont="1" applyFill="1" applyAlignment="1">
      <alignment horizontal="center" vertical="center" shrinkToFit="1"/>
    </xf>
    <xf numFmtId="0" fontId="13" fillId="0" borderId="0" xfId="0" applyFont="1" applyAlignment="1">
      <alignment vertical="center"/>
    </xf>
    <xf numFmtId="0" fontId="44" fillId="0" borderId="63" xfId="150" applyFont="1" applyBorder="1" applyAlignment="1">
      <alignment horizontal="left" vertical="center" shrinkToFit="1"/>
    </xf>
    <xf numFmtId="0" fontId="44" fillId="0" borderId="64" xfId="150" applyFont="1" applyBorder="1" applyAlignment="1">
      <alignment horizontal="left" vertical="center" shrinkToFit="1"/>
    </xf>
    <xf numFmtId="171" fontId="74" fillId="151" borderId="0" xfId="138" applyNumberFormat="1" applyFont="1" applyFill="1" applyAlignment="1">
      <alignment horizontal="center" vertical="center"/>
    </xf>
    <xf numFmtId="0" fontId="80" fillId="93" borderId="24" xfId="250" applyFont="1" applyFill="1" applyBorder="1" applyAlignment="1">
      <alignment horizontal="center"/>
    </xf>
    <xf numFmtId="0" fontId="33" fillId="66" borderId="0" xfId="250" applyFont="1" applyFill="1" applyAlignment="1">
      <alignment horizontal="center" vertical="center"/>
    </xf>
    <xf numFmtId="0" fontId="92" fillId="103" borderId="24" xfId="250" applyFont="1" applyFill="1" applyBorder="1" applyAlignment="1">
      <alignment horizontal="center"/>
    </xf>
    <xf numFmtId="0" fontId="40" fillId="0" borderId="15" xfId="250" applyFont="1" applyBorder="1" applyAlignment="1">
      <alignment horizontal="center" vertical="center"/>
    </xf>
    <xf numFmtId="0" fontId="92" fillId="135" borderId="24" xfId="250" applyFont="1" applyFill="1" applyBorder="1" applyAlignment="1">
      <alignment horizontal="center"/>
    </xf>
    <xf numFmtId="0" fontId="46" fillId="0" borderId="0" xfId="250" applyFont="1" applyAlignment="1">
      <alignment horizontal="center" vertical="center" shrinkToFit="1"/>
    </xf>
    <xf numFmtId="0" fontId="33" fillId="61" borderId="0" xfId="250" applyFont="1" applyFill="1" applyAlignment="1">
      <alignment vertical="center" shrinkToFit="1"/>
    </xf>
    <xf numFmtId="170" fontId="10" fillId="0" borderId="0" xfId="250" applyNumberFormat="1" applyFont="1"/>
    <xf numFmtId="0" fontId="59" fillId="99" borderId="24" xfId="250" applyFont="1" applyFill="1" applyBorder="1" applyAlignment="1">
      <alignment horizontal="center" vertical="center"/>
    </xf>
    <xf numFmtId="0" fontId="59" fillId="0" borderId="46" xfId="250" applyFont="1" applyBorder="1" applyAlignment="1">
      <alignment vertical="center" shrinkToFit="1"/>
    </xf>
    <xf numFmtId="0" fontId="59" fillId="84" borderId="24" xfId="250" applyFont="1" applyFill="1" applyBorder="1" applyAlignment="1">
      <alignment horizontal="center" vertical="center" shrinkToFit="1"/>
    </xf>
    <xf numFmtId="0" fontId="72" fillId="60" borderId="24" xfId="250" applyFont="1" applyFill="1" applyBorder="1" applyAlignment="1">
      <alignment horizontal="center" vertical="center" shrinkToFit="1"/>
    </xf>
    <xf numFmtId="0" fontId="141" fillId="0" borderId="24" xfId="250" applyFont="1" applyBorder="1" applyAlignment="1">
      <alignment horizontal="center" vertical="center" shrinkToFit="1"/>
    </xf>
    <xf numFmtId="0" fontId="142" fillId="0" borderId="24" xfId="250" applyFont="1" applyBorder="1" applyAlignment="1">
      <alignment horizontal="center" vertical="center"/>
    </xf>
    <xf numFmtId="0" fontId="141" fillId="0" borderId="43" xfId="250" applyFont="1" applyBorder="1" applyAlignment="1">
      <alignment horizontal="center" vertical="center" shrinkToFit="1"/>
    </xf>
    <xf numFmtId="0" fontId="59" fillId="129" borderId="24" xfId="250" applyFont="1" applyFill="1" applyBorder="1" applyAlignment="1">
      <alignment horizontal="center" vertical="center"/>
    </xf>
    <xf numFmtId="0" fontId="40" fillId="103" borderId="17" xfId="250" applyFont="1" applyFill="1" applyBorder="1" applyAlignment="1">
      <alignment horizontal="center" vertical="center" shrinkToFit="1"/>
    </xf>
    <xf numFmtId="0" fontId="92" fillId="0" borderId="43" xfId="250" applyFont="1" applyBorder="1"/>
    <xf numFmtId="0" fontId="45" fillId="152" borderId="17" xfId="250" applyFont="1" applyFill="1" applyBorder="1" applyAlignment="1">
      <alignment horizontal="center" vertical="center" shrinkToFit="1"/>
    </xf>
    <xf numFmtId="0" fontId="115" fillId="50" borderId="24" xfId="250" applyFont="1" applyFill="1" applyBorder="1" applyAlignment="1">
      <alignment horizontal="center"/>
    </xf>
    <xf numFmtId="0" fontId="122" fillId="54" borderId="65" xfId="250" applyFont="1" applyFill="1" applyBorder="1" applyAlignment="1">
      <alignment horizontal="center"/>
    </xf>
    <xf numFmtId="0" fontId="33" fillId="61" borderId="17" xfId="250" applyFont="1" applyFill="1" applyBorder="1" applyAlignment="1">
      <alignment vertical="center" shrinkToFit="1"/>
    </xf>
    <xf numFmtId="170" fontId="10" fillId="95" borderId="0" xfId="250" applyNumberFormat="1" applyFont="1" applyFill="1"/>
    <xf numFmtId="0" fontId="10" fillId="0" borderId="66" xfId="250" applyFont="1" applyBorder="1"/>
    <xf numFmtId="0" fontId="92" fillId="87" borderId="24" xfId="250" applyFont="1" applyFill="1" applyBorder="1" applyAlignment="1">
      <alignment horizontal="center"/>
    </xf>
    <xf numFmtId="0" fontId="126" fillId="0" borderId="24" xfId="250" applyFont="1" applyBorder="1"/>
    <xf numFmtId="0" fontId="143" fillId="0" borderId="24" xfId="250" applyFont="1" applyBorder="1" applyAlignment="1">
      <alignment horizontal="center" vertical="center" wrapText="1"/>
    </xf>
    <xf numFmtId="0" fontId="126" fillId="66" borderId="0" xfId="250" applyFont="1" applyFill="1" applyAlignment="1">
      <alignment wrapText="1"/>
    </xf>
    <xf numFmtId="0" fontId="92" fillId="153" borderId="24" xfId="250" applyFont="1" applyFill="1" applyBorder="1" applyAlignment="1">
      <alignment horizontal="center"/>
    </xf>
    <xf numFmtId="0" fontId="59" fillId="60" borderId="24" xfId="250" applyFont="1" applyFill="1" applyBorder="1" applyAlignment="1">
      <alignment horizontal="center" vertical="center" wrapText="1"/>
    </xf>
    <xf numFmtId="0" fontId="59" fillId="54" borderId="24" xfId="250" applyFont="1" applyFill="1" applyBorder="1" applyAlignment="1">
      <alignment horizontal="center" vertical="center" wrapText="1"/>
    </xf>
    <xf numFmtId="0" fontId="133" fillId="140" borderId="18" xfId="250" applyFont="1" applyFill="1" applyBorder="1" applyAlignment="1">
      <alignment horizontal="center" vertical="center" shrinkToFit="1"/>
    </xf>
    <xf numFmtId="0" fontId="59" fillId="154" borderId="24" xfId="250" applyFont="1" applyFill="1" applyBorder="1" applyAlignment="1">
      <alignment horizontal="center" vertical="center" shrinkToFit="1"/>
    </xf>
    <xf numFmtId="0" fontId="144" fillId="0" borderId="24" xfId="250" applyFont="1" applyBorder="1" applyAlignment="1">
      <alignment horizontal="center" vertical="center" wrapText="1"/>
    </xf>
    <xf numFmtId="0" fontId="46" fillId="99" borderId="18" xfId="250" applyFont="1" applyFill="1" applyBorder="1" applyAlignment="1">
      <alignment horizontal="center" vertical="center" shrinkToFit="1"/>
    </xf>
    <xf numFmtId="0" fontId="92" fillId="155" borderId="24" xfId="250" applyFont="1" applyFill="1" applyBorder="1" applyAlignment="1">
      <alignment horizontal="center"/>
    </xf>
    <xf numFmtId="0" fontId="59" fillId="0" borderId="24" xfId="250" applyFont="1" applyBorder="1" applyAlignment="1">
      <alignment horizontal="center" vertical="center" wrapText="1"/>
    </xf>
    <xf numFmtId="0" fontId="46" fillId="54" borderId="24" xfId="250" applyFont="1" applyFill="1" applyBorder="1" applyAlignment="1">
      <alignment horizontal="center" vertical="center" shrinkToFit="1"/>
    </xf>
    <xf numFmtId="0" fontId="59" fillId="143" borderId="24" xfId="250" applyFont="1" applyFill="1" applyBorder="1" applyAlignment="1">
      <alignment horizontal="center" vertical="center"/>
    </xf>
    <xf numFmtId="0" fontId="92" fillId="84" borderId="24" xfId="250" applyFont="1" applyFill="1" applyBorder="1" applyAlignment="1">
      <alignment horizontal="center"/>
    </xf>
    <xf numFmtId="0" fontId="135" fillId="0" borderId="0" xfId="250" applyFont="1" applyAlignment="1">
      <alignment shrinkToFit="1"/>
    </xf>
    <xf numFmtId="0" fontId="92" fillId="0" borderId="18" xfId="250" applyFont="1" applyBorder="1" applyAlignment="1">
      <alignment horizontal="left" shrinkToFit="1"/>
    </xf>
    <xf numFmtId="0" fontId="59" fillId="156" borderId="24" xfId="250" applyFont="1" applyFill="1" applyBorder="1" applyAlignment="1">
      <alignment horizontal="center" vertical="center" shrinkToFit="1"/>
    </xf>
    <xf numFmtId="0" fontId="92" fillId="111" borderId="24" xfId="250" applyFont="1" applyFill="1" applyBorder="1" applyAlignment="1">
      <alignment horizontal="center"/>
    </xf>
    <xf numFmtId="0" fontId="59" fillId="66" borderId="43" xfId="250" applyFont="1" applyFill="1" applyBorder="1" applyAlignment="1">
      <alignment horizontal="center" vertical="center"/>
    </xf>
    <xf numFmtId="10" fontId="44" fillId="0" borderId="0" xfId="250" applyNumberFormat="1" applyFont="1" applyAlignment="1">
      <alignment vertical="center" shrinkToFit="1"/>
    </xf>
    <xf numFmtId="0" fontId="45" fillId="0" borderId="18" xfId="250" applyFont="1" applyBorder="1" applyAlignment="1">
      <alignment horizontal="center" vertical="center" shrinkToFit="1"/>
    </xf>
    <xf numFmtId="0" fontId="73" fillId="50" borderId="24" xfId="250" applyFont="1" applyFill="1" applyBorder="1" applyAlignment="1">
      <alignment horizontal="center" vertical="center" shrinkToFit="1"/>
    </xf>
    <xf numFmtId="0" fontId="73" fillId="156" borderId="42" xfId="250" applyFont="1" applyFill="1" applyBorder="1" applyAlignment="1">
      <alignment horizontal="center" vertical="center"/>
    </xf>
    <xf numFmtId="0" fontId="46" fillId="111" borderId="24" xfId="250" applyFont="1" applyFill="1" applyBorder="1" applyAlignment="1">
      <alignment horizontal="center" vertical="center" shrinkToFit="1"/>
    </xf>
    <xf numFmtId="0" fontId="59" fillId="125" borderId="42" xfId="250" applyFont="1" applyFill="1" applyBorder="1" applyAlignment="1">
      <alignment horizontal="center" vertical="center" shrinkToFit="1"/>
    </xf>
    <xf numFmtId="0" fontId="145" fillId="0" borderId="17" xfId="250" applyFont="1" applyBorder="1" applyAlignment="1">
      <alignment horizontal="center" vertical="center" shrinkToFit="1"/>
    </xf>
    <xf numFmtId="0" fontId="45" fillId="0" borderId="17" xfId="250" applyFont="1" applyBorder="1" applyAlignment="1">
      <alignment horizontal="center" vertical="center" shrinkToFit="1"/>
    </xf>
    <xf numFmtId="0" fontId="59" fillId="157" borderId="24" xfId="250" applyFont="1" applyFill="1" applyBorder="1" applyAlignment="1">
      <alignment horizontal="center" vertical="center" shrinkToFit="1"/>
    </xf>
    <xf numFmtId="0" fontId="73" fillId="0" borderId="24" xfId="250" applyFont="1" applyBorder="1" applyAlignment="1">
      <alignment horizontal="center" vertical="center"/>
    </xf>
    <xf numFmtId="0" fontId="73" fillId="64" borderId="24" xfId="250" applyFont="1" applyFill="1" applyBorder="1" applyAlignment="1">
      <alignment horizontal="center" vertical="center" wrapText="1"/>
    </xf>
    <xf numFmtId="0" fontId="92" fillId="129" borderId="24" xfId="250" applyFont="1" applyFill="1" applyBorder="1" applyAlignment="1">
      <alignment horizontal="center"/>
    </xf>
    <xf numFmtId="0" fontId="73" fillId="66" borderId="24" xfId="250" applyFont="1" applyFill="1" applyBorder="1" applyAlignment="1">
      <alignment horizontal="center" vertical="center" wrapText="1"/>
    </xf>
    <xf numFmtId="0" fontId="59" fillId="140" borderId="18" xfId="250" applyFont="1" applyFill="1" applyBorder="1" applyAlignment="1">
      <alignment horizontal="center" vertical="center" shrinkToFit="1"/>
    </xf>
    <xf numFmtId="0" fontId="133" fillId="122" borderId="18" xfId="250" applyFont="1" applyFill="1" applyBorder="1" applyAlignment="1">
      <alignment horizontal="center" vertical="center" shrinkToFit="1"/>
    </xf>
    <xf numFmtId="0" fontId="146" fillId="0" borderId="24" xfId="250" applyFont="1" applyBorder="1" applyAlignment="1">
      <alignment horizontal="center" vertical="center" wrapText="1"/>
    </xf>
    <xf numFmtId="0" fontId="59" fillId="140" borderId="24" xfId="250" applyFont="1" applyFill="1" applyBorder="1" applyAlignment="1">
      <alignment horizontal="center" vertical="center" wrapText="1"/>
    </xf>
    <xf numFmtId="0" fontId="126" fillId="67" borderId="0" xfId="250" applyFont="1" applyFill="1"/>
    <xf numFmtId="0" fontId="46" fillId="52" borderId="18" xfId="250" applyFont="1" applyFill="1" applyBorder="1" applyAlignment="1">
      <alignment horizontal="center" vertical="center" shrinkToFit="1"/>
    </xf>
    <xf numFmtId="0" fontId="46" fillId="105" borderId="24" xfId="250" applyFont="1" applyFill="1" applyBorder="1" applyAlignment="1">
      <alignment horizontal="center" vertical="center" shrinkToFit="1"/>
    </xf>
    <xf numFmtId="0" fontId="147" fillId="52" borderId="24" xfId="250" applyFont="1" applyFill="1" applyBorder="1" applyAlignment="1">
      <alignment horizontal="center" vertical="center" wrapText="1"/>
    </xf>
    <xf numFmtId="0" fontId="59" fillId="103" borderId="24" xfId="250" applyFont="1" applyFill="1" applyBorder="1" applyAlignment="1">
      <alignment horizontal="center" vertical="center"/>
    </xf>
    <xf numFmtId="0" fontId="46" fillId="0" borderId="0" xfId="250" applyFont="1" applyAlignment="1">
      <alignment horizontal="center" shrinkToFit="1"/>
    </xf>
    <xf numFmtId="0" fontId="59" fillId="103" borderId="24" xfId="250" applyFont="1" applyFill="1" applyBorder="1" applyAlignment="1">
      <alignment horizontal="center" vertical="center" wrapText="1"/>
    </xf>
    <xf numFmtId="0" fontId="59" fillId="124" borderId="24" xfId="250" applyFont="1" applyFill="1" applyBorder="1" applyAlignment="1">
      <alignment horizontal="center" vertical="center"/>
    </xf>
    <xf numFmtId="0" fontId="61" fillId="0" borderId="0" xfId="250" applyFont="1" applyAlignment="1">
      <alignment horizontal="center"/>
    </xf>
    <xf numFmtId="0" fontId="33" fillId="61" borderId="59" xfId="250" applyFont="1" applyFill="1" applyBorder="1" applyAlignment="1">
      <alignment vertical="center" shrinkToFit="1"/>
    </xf>
    <xf numFmtId="0" fontId="59" fillId="129" borderId="24" xfId="250" applyFont="1" applyFill="1" applyBorder="1" applyAlignment="1">
      <alignment horizontal="center" vertical="center" shrinkToFit="1"/>
    </xf>
    <xf numFmtId="0" fontId="59" fillId="140" borderId="24" xfId="250" applyFont="1" applyFill="1" applyBorder="1" applyAlignment="1">
      <alignment horizontal="center" vertical="center"/>
    </xf>
    <xf numFmtId="0" fontId="126" fillId="0" borderId="67" xfId="250" applyFont="1" applyBorder="1"/>
    <xf numFmtId="0" fontId="148" fillId="67" borderId="0" xfId="250" applyFont="1" applyFill="1"/>
    <xf numFmtId="170" fontId="149" fillId="0" borderId="49" xfId="250" applyNumberFormat="1" applyFont="1" applyBorder="1" applyAlignment="1">
      <alignment horizontal="center" vertical="center"/>
    </xf>
    <xf numFmtId="0" fontId="150" fillId="0" borderId="24" xfId="250" applyFont="1" applyBorder="1" applyAlignment="1">
      <alignment horizontal="center" vertical="center"/>
    </xf>
    <xf numFmtId="0" fontId="59" fillId="92" borderId="46" xfId="250" applyFont="1" applyFill="1" applyBorder="1" applyAlignment="1">
      <alignment horizontal="center" vertical="center" shrinkToFit="1"/>
    </xf>
    <xf numFmtId="0" fontId="126" fillId="124" borderId="0" xfId="250" applyFont="1" applyFill="1"/>
    <xf numFmtId="0" fontId="59" fillId="52" borderId="18" xfId="250" applyFont="1" applyFill="1" applyBorder="1" applyAlignment="1">
      <alignment horizontal="center" vertical="center" shrinkToFit="1"/>
    </xf>
    <xf numFmtId="0" fontId="112" fillId="0" borderId="24" xfId="250" applyFont="1" applyBorder="1" applyAlignment="1">
      <alignment horizontal="center" vertical="center" wrapText="1"/>
    </xf>
    <xf numFmtId="0" fontId="53" fillId="0" borderId="21" xfId="250" applyFont="1" applyBorder="1" applyAlignment="1">
      <alignment horizontal="center"/>
    </xf>
    <xf numFmtId="0" fontId="53" fillId="0" borderId="16" xfId="250" applyFont="1" applyBorder="1" applyAlignment="1">
      <alignment horizontal="center"/>
    </xf>
    <xf numFmtId="0" fontId="59" fillId="155" borderId="24" xfId="250" applyFont="1" applyFill="1" applyBorder="1" applyAlignment="1">
      <alignment horizontal="center" vertical="center"/>
    </xf>
    <xf numFmtId="0" fontId="59" fillId="152" borderId="24" xfId="250" applyFont="1" applyFill="1" applyBorder="1" applyAlignment="1">
      <alignment horizontal="center" vertical="center" shrinkToFit="1"/>
    </xf>
    <xf numFmtId="0" fontId="126" fillId="0" borderId="37" xfId="250" applyFont="1" applyBorder="1" applyAlignment="1">
      <alignment horizontal="center" wrapText="1"/>
    </xf>
    <xf numFmtId="0" fontId="126" fillId="0" borderId="0" xfId="250" applyFont="1" applyAlignment="1">
      <alignment horizontal="center" wrapText="1"/>
    </xf>
    <xf numFmtId="0" fontId="59" fillId="147" borderId="24" xfId="250" applyFont="1" applyFill="1" applyBorder="1" applyAlignment="1">
      <alignment horizontal="center" vertical="center"/>
    </xf>
    <xf numFmtId="0" fontId="46" fillId="0" borderId="56" xfId="250" applyFont="1" applyBorder="1" applyAlignment="1">
      <alignment horizontal="center" shrinkToFit="1"/>
    </xf>
    <xf numFmtId="0" fontId="59" fillId="118" borderId="18" xfId="250" applyFont="1" applyFill="1" applyBorder="1" applyAlignment="1">
      <alignment horizontal="center" vertical="center"/>
    </xf>
    <xf numFmtId="0" fontId="59" fillId="77" borderId="18" xfId="250" applyFont="1" applyFill="1" applyBorder="1" applyAlignment="1">
      <alignment horizontal="center" vertical="center" shrinkToFit="1"/>
    </xf>
    <xf numFmtId="170" fontId="46" fillId="123" borderId="24" xfId="250" applyNumberFormat="1" applyFont="1" applyFill="1" applyBorder="1" applyAlignment="1">
      <alignment vertical="center" shrinkToFit="1"/>
    </xf>
    <xf numFmtId="0" fontId="59" fillId="69" borderId="17" xfId="250" applyFont="1" applyFill="1" applyBorder="1" applyAlignment="1">
      <alignment horizontal="center" vertical="center" shrinkToFit="1"/>
    </xf>
    <xf numFmtId="0" fontId="151" fillId="0" borderId="0" xfId="250" applyFont="1" applyAlignment="1">
      <alignment horizontal="center" vertical="center" shrinkToFit="1"/>
    </xf>
    <xf numFmtId="0" fontId="59" fillId="66" borderId="24" xfId="250" applyFont="1" applyFill="1" applyBorder="1" applyAlignment="1">
      <alignment horizontal="center" vertical="center"/>
    </xf>
    <xf numFmtId="0" fontId="126" fillId="0" borderId="45" xfId="250" applyFont="1" applyBorder="1"/>
    <xf numFmtId="0" fontId="59" fillId="158" borderId="24" xfId="250" applyFont="1" applyFill="1" applyBorder="1" applyAlignment="1">
      <alignment horizontal="center" vertical="center" wrapText="1"/>
    </xf>
    <xf numFmtId="0" fontId="10" fillId="0" borderId="67" xfId="250" applyFont="1" applyBorder="1"/>
    <xf numFmtId="0" fontId="142" fillId="0" borderId="24" xfId="250" applyFont="1" applyBorder="1" applyAlignment="1">
      <alignment horizontal="center" vertical="center" wrapText="1"/>
    </xf>
    <xf numFmtId="0" fontId="135" fillId="0" borderId="0" xfId="250" applyFont="1" applyAlignment="1">
      <alignment horizontal="center" vertical="center" shrinkToFit="1"/>
    </xf>
    <xf numFmtId="0" fontId="152" fillId="159" borderId="46" xfId="250" applyFont="1" applyFill="1" applyBorder="1" applyAlignment="1">
      <alignment horizontal="center" vertical="center" shrinkToFit="1"/>
    </xf>
    <xf numFmtId="0" fontId="140" fillId="0" borderId="24" xfId="250" applyFont="1" applyBorder="1" applyAlignment="1">
      <alignment horizontal="center" vertical="center"/>
    </xf>
    <xf numFmtId="0" fontId="92" fillId="0" borderId="0" xfId="250" applyFont="1" applyAlignment="1">
      <alignment horizontal="center"/>
    </xf>
    <xf numFmtId="0" fontId="59" fillId="52" borderId="24" xfId="250" applyFont="1" applyFill="1" applyBorder="1" applyAlignment="1">
      <alignment horizontal="center" vertical="center"/>
    </xf>
    <xf numFmtId="0" fontId="143" fillId="0" borderId="24" xfId="250" applyFont="1" applyBorder="1" applyAlignment="1">
      <alignment horizontal="center" vertical="center"/>
    </xf>
    <xf numFmtId="0" fontId="59" fillId="86" borderId="46" xfId="250" applyFont="1" applyFill="1" applyBorder="1" applyAlignment="1">
      <alignment horizontal="center" vertical="center" shrinkToFit="1"/>
    </xf>
    <xf numFmtId="0" fontId="126" fillId="103" borderId="0" xfId="250" applyFont="1" applyFill="1"/>
    <xf numFmtId="0" fontId="59" fillId="112" borderId="18" xfId="250" applyFont="1" applyFill="1" applyBorder="1" applyAlignment="1">
      <alignment horizontal="center" vertical="center" shrinkToFit="1"/>
    </xf>
    <xf numFmtId="0" fontId="59" fillId="52" borderId="46" xfId="250" applyFont="1" applyFill="1" applyBorder="1" applyAlignment="1">
      <alignment horizontal="center" vertical="center"/>
    </xf>
    <xf numFmtId="0" fontId="10" fillId="116" borderId="0" xfId="250" applyFont="1" applyFill="1"/>
    <xf numFmtId="0" fontId="59" fillId="87" borderId="18" xfId="250" applyFont="1" applyFill="1" applyBorder="1" applyAlignment="1">
      <alignment horizontal="center" vertical="center"/>
    </xf>
    <xf numFmtId="0" fontId="59" fillId="101" borderId="24" xfId="250" applyFont="1" applyFill="1" applyBorder="1" applyAlignment="1">
      <alignment horizontal="center" vertical="center"/>
    </xf>
    <xf numFmtId="0" fontId="10" fillId="0" borderId="24" xfId="250" applyFont="1" applyBorder="1"/>
    <xf numFmtId="0" fontId="59" fillId="135" borderId="24" xfId="250" applyFont="1" applyFill="1" applyBorder="1" applyAlignment="1">
      <alignment horizontal="center" vertical="center"/>
    </xf>
    <xf numFmtId="0" fontId="59" fillId="86" borderId="24" xfId="250" applyFont="1" applyFill="1" applyBorder="1" applyAlignment="1">
      <alignment horizontal="center" vertical="center" shrinkToFit="1"/>
    </xf>
    <xf numFmtId="0" fontId="59" fillId="101" borderId="46" xfId="250" applyFont="1" applyFill="1" applyBorder="1" applyAlignment="1">
      <alignment horizontal="center" vertical="center" shrinkToFit="1"/>
    </xf>
    <xf numFmtId="0" fontId="126" fillId="87" borderId="37" xfId="250" applyFont="1" applyFill="1" applyBorder="1" applyAlignment="1">
      <alignment horizontal="center" wrapText="1"/>
    </xf>
    <xf numFmtId="0" fontId="59" fillId="152" borderId="18" xfId="250" applyFont="1" applyFill="1" applyBorder="1" applyAlignment="1">
      <alignment horizontal="center" vertical="center" shrinkToFit="1"/>
    </xf>
    <xf numFmtId="0" fontId="126" fillId="87" borderId="0" xfId="250" applyFont="1" applyFill="1" applyAlignment="1">
      <alignment horizontal="center" wrapText="1"/>
    </xf>
    <xf numFmtId="0" fontId="59" fillId="110" borderId="46" xfId="250" applyFont="1" applyFill="1" applyBorder="1" applyAlignment="1">
      <alignment horizontal="center" vertical="center" shrinkToFit="1"/>
    </xf>
    <xf numFmtId="0" fontId="59" fillId="160" borderId="18" xfId="250" applyFont="1" applyFill="1" applyBorder="1" applyAlignment="1">
      <alignment horizontal="center" vertical="center" shrinkToFit="1"/>
    </xf>
    <xf numFmtId="0" fontId="59" fillId="161" borderId="17" xfId="250" applyFont="1" applyFill="1" applyBorder="1" applyAlignment="1">
      <alignment horizontal="center" vertical="center" shrinkToFit="1"/>
    </xf>
    <xf numFmtId="0" fontId="59" fillId="103" borderId="46" xfId="250" applyFont="1" applyFill="1" applyBorder="1" applyAlignment="1">
      <alignment horizontal="center" vertical="center" shrinkToFit="1"/>
    </xf>
    <xf numFmtId="0" fontId="59" fillId="103" borderId="38" xfId="250" applyFont="1" applyFill="1" applyBorder="1" applyAlignment="1">
      <alignment horizontal="center" vertical="center" shrinkToFit="1"/>
    </xf>
    <xf numFmtId="0" fontId="73" fillId="118" borderId="24" xfId="250" applyFont="1" applyFill="1" applyBorder="1" applyAlignment="1">
      <alignment horizontal="center" vertical="center" shrinkToFit="1"/>
    </xf>
    <xf numFmtId="0" fontId="126" fillId="52" borderId="0" xfId="250" applyFont="1" applyFill="1"/>
    <xf numFmtId="0" fontId="59" fillId="56" borderId="42" xfId="250" applyFont="1" applyFill="1" applyBorder="1" applyAlignment="1">
      <alignment horizontal="center" vertical="center" shrinkToFit="1"/>
    </xf>
    <xf numFmtId="0" fontId="59" fillId="76" borderId="46" xfId="250" applyFont="1" applyFill="1" applyBorder="1" applyAlignment="1">
      <alignment horizontal="center" vertical="center" shrinkToFit="1"/>
    </xf>
    <xf numFmtId="0" fontId="10" fillId="50" borderId="0" xfId="250" applyFont="1" applyFill="1"/>
    <xf numFmtId="0" fontId="59" fillId="0" borderId="24" xfId="250" applyFont="1" applyBorder="1"/>
    <xf numFmtId="0" fontId="126" fillId="118" borderId="0" xfId="250" applyFont="1" applyFill="1"/>
    <xf numFmtId="0" fontId="59" fillId="105" borderId="46" xfId="250" applyFont="1" applyFill="1" applyBorder="1" applyAlignment="1">
      <alignment horizontal="center" vertical="center" shrinkToFit="1"/>
    </xf>
    <xf numFmtId="0" fontId="10" fillId="118" borderId="0" xfId="250" applyFont="1" applyFill="1"/>
    <xf numFmtId="0" fontId="59" fillId="87" borderId="46" xfId="250" applyFont="1" applyFill="1" applyBorder="1" applyAlignment="1">
      <alignment horizontal="center" vertical="center" shrinkToFit="1"/>
    </xf>
    <xf numFmtId="0" fontId="59" fillId="152" borderId="46" xfId="250" applyFont="1" applyFill="1" applyBorder="1" applyAlignment="1">
      <alignment horizontal="center" vertical="center" shrinkToFit="1"/>
    </xf>
    <xf numFmtId="0" fontId="59" fillId="161" borderId="46" xfId="250" applyFont="1" applyFill="1" applyBorder="1" applyAlignment="1">
      <alignment horizontal="center" vertical="center" shrinkToFit="1"/>
    </xf>
    <xf numFmtId="0" fontId="59" fillId="98" borderId="46" xfId="250" applyFont="1" applyFill="1" applyBorder="1" applyAlignment="1">
      <alignment horizontal="center" vertical="center" shrinkToFit="1"/>
    </xf>
    <xf numFmtId="0" fontId="153" fillId="0" borderId="24" xfId="250" applyFont="1" applyBorder="1" applyAlignment="1">
      <alignment horizontal="center" vertical="center" shrinkToFit="1"/>
    </xf>
    <xf numFmtId="0" fontId="59" fillId="162" borderId="46" xfId="250" applyFont="1" applyFill="1" applyBorder="1" applyAlignment="1">
      <alignment horizontal="center" vertical="center" shrinkToFit="1"/>
    </xf>
    <xf numFmtId="0" fontId="154" fillId="0" borderId="24" xfId="250" applyFont="1" applyBorder="1" applyAlignment="1">
      <alignment horizontal="center" vertical="center" shrinkToFit="1"/>
    </xf>
    <xf numFmtId="0" fontId="59" fillId="163" borderId="46" xfId="250" applyFont="1" applyFill="1" applyBorder="1" applyAlignment="1">
      <alignment horizontal="center" vertical="center" shrinkToFit="1"/>
    </xf>
    <xf numFmtId="0" fontId="59" fillId="122" borderId="46" xfId="250" applyFont="1" applyFill="1" applyBorder="1" applyAlignment="1">
      <alignment horizontal="center" vertical="center" shrinkToFit="1"/>
    </xf>
    <xf numFmtId="0" fontId="155" fillId="0" borderId="24" xfId="250" applyFont="1" applyBorder="1" applyAlignment="1">
      <alignment horizontal="center" vertical="center" shrinkToFit="1"/>
    </xf>
    <xf numFmtId="0" fontId="59" fillId="77" borderId="46" xfId="250" applyFont="1" applyFill="1" applyBorder="1" applyAlignment="1">
      <alignment horizontal="center" vertical="center" shrinkToFit="1"/>
    </xf>
    <xf numFmtId="0" fontId="92" fillId="0" borderId="42" xfId="250" applyFont="1" applyBorder="1"/>
    <xf numFmtId="0" fontId="59" fillId="112" borderId="46" xfId="250" applyFont="1" applyFill="1" applyBorder="1" applyAlignment="1">
      <alignment horizontal="center" vertical="center" shrinkToFit="1"/>
    </xf>
    <xf numFmtId="0" fontId="73" fillId="52" borderId="24" xfId="250" applyFont="1" applyFill="1" applyBorder="1" applyAlignment="1">
      <alignment horizontal="center" vertical="center" shrinkToFit="1"/>
    </xf>
    <xf numFmtId="0" fontId="59" fillId="0" borderId="42" xfId="250" applyFont="1" applyBorder="1" applyAlignment="1">
      <alignment horizontal="center" vertical="center" shrinkToFit="1"/>
    </xf>
    <xf numFmtId="0" fontId="59" fillId="0" borderId="67" xfId="250" applyFont="1" applyBorder="1" applyAlignment="1">
      <alignment horizontal="center" vertical="center" shrinkToFit="1"/>
    </xf>
    <xf numFmtId="0" fontId="59" fillId="0" borderId="0" xfId="250" applyFont="1" applyAlignment="1">
      <alignment horizontal="center" vertical="center" shrinkToFit="1"/>
    </xf>
    <xf numFmtId="0" fontId="92" fillId="0" borderId="0" xfId="250" applyFont="1"/>
    <xf numFmtId="170" fontId="92" fillId="0" borderId="0" xfId="250" applyNumberFormat="1" applyFont="1" applyAlignment="1">
      <alignment horizontal="center" vertical="center"/>
    </xf>
    <xf numFmtId="0" fontId="10" fillId="0" borderId="72" xfId="250" applyFont="1" applyBorder="1"/>
    <xf numFmtId="0" fontId="10" fillId="0" borderId="73" xfId="250" applyFont="1" applyBorder="1"/>
    <xf numFmtId="0" fontId="10" fillId="0" borderId="74" xfId="250" applyFont="1" applyBorder="1" applyAlignment="1">
      <alignment horizontal="right"/>
    </xf>
    <xf numFmtId="0" fontId="10" fillId="0" borderId="0" xfId="250" applyFont="1" applyAlignment="1">
      <alignment horizontal="left" vertical="center"/>
    </xf>
    <xf numFmtId="0" fontId="135" fillId="0" borderId="0" xfId="250" applyFont="1" applyAlignment="1">
      <alignment horizontal="center" shrinkToFit="1"/>
    </xf>
    <xf numFmtId="10" fontId="44" fillId="0" borderId="0" xfId="250" applyNumberFormat="1" applyFont="1" applyAlignment="1">
      <alignment horizontal="center" vertical="center" shrinkToFit="1"/>
    </xf>
    <xf numFmtId="0" fontId="52" fillId="0" borderId="24" xfId="250" applyFont="1" applyBorder="1" applyAlignment="1">
      <alignment horizontal="center" vertical="center"/>
    </xf>
    <xf numFmtId="0" fontId="54" fillId="0" borderId="24" xfId="250" applyFont="1" applyBorder="1" applyAlignment="1">
      <alignment horizontal="center" vertical="center"/>
    </xf>
    <xf numFmtId="0" fontId="56" fillId="0" borderId="24" xfId="250" applyFont="1" applyBorder="1" applyAlignment="1">
      <alignment horizontal="center" vertical="center" shrinkToFit="1"/>
    </xf>
    <xf numFmtId="0" fontId="88" fillId="0" borderId="0" xfId="250" applyFont="1" applyAlignment="1">
      <alignment horizontal="center" vertical="center"/>
    </xf>
    <xf numFmtId="0" fontId="99" fillId="0" borderId="0" xfId="250" applyFont="1" applyAlignment="1">
      <alignment horizontal="center" vertical="center"/>
    </xf>
    <xf numFmtId="0" fontId="107" fillId="0" borderId="0" xfId="250" applyFont="1" applyAlignment="1">
      <alignment horizontal="center" vertical="center"/>
    </xf>
    <xf numFmtId="0" fontId="50" fillId="0" borderId="0" xfId="250" applyFont="1" applyAlignment="1">
      <alignment vertical="center"/>
    </xf>
    <xf numFmtId="0" fontId="78" fillId="0" borderId="24" xfId="250" applyFont="1" applyBorder="1" applyAlignment="1">
      <alignment horizontal="center" vertical="center" shrinkToFit="1"/>
    </xf>
    <xf numFmtId="0" fontId="55" fillId="0" borderId="24" xfId="250" applyFont="1" applyBorder="1" applyAlignment="1">
      <alignment horizontal="center" vertical="center"/>
    </xf>
    <xf numFmtId="0" fontId="66" fillId="0" borderId="0" xfId="250" applyFont="1" applyAlignment="1">
      <alignment horizontal="center" vertical="center"/>
    </xf>
    <xf numFmtId="0" fontId="50" fillId="0" borderId="31" xfId="250" applyFont="1" applyBorder="1" applyAlignment="1">
      <alignment vertical="center"/>
    </xf>
    <xf numFmtId="0" fontId="71" fillId="0" borderId="0" xfId="250" applyFont="1" applyAlignment="1">
      <alignment vertical="center"/>
    </xf>
    <xf numFmtId="0" fontId="50" fillId="0" borderId="0" xfId="250" applyFont="1" applyAlignment="1">
      <alignment horizontal="center" vertical="center"/>
    </xf>
    <xf numFmtId="0" fontId="64" fillId="0" borderId="0" xfId="250" applyFont="1" applyAlignment="1">
      <alignment horizontal="center" vertical="center" wrapText="1"/>
    </xf>
    <xf numFmtId="0" fontId="73" fillId="0" borderId="0" xfId="250" applyFont="1" applyAlignment="1">
      <alignment vertical="center" wrapText="1"/>
    </xf>
    <xf numFmtId="0" fontId="92" fillId="0" borderId="25" xfId="250" applyFont="1" applyBorder="1" applyAlignment="1">
      <alignment horizontal="center" vertical="center"/>
    </xf>
    <xf numFmtId="0" fontId="55" fillId="0" borderId="25" xfId="250" applyFont="1" applyBorder="1" applyAlignment="1">
      <alignment horizontal="center" vertical="center"/>
    </xf>
    <xf numFmtId="0" fontId="89" fillId="0" borderId="24" xfId="250" applyFont="1" applyBorder="1" applyAlignment="1">
      <alignment horizontal="center" vertical="center"/>
    </xf>
    <xf numFmtId="0" fontId="85" fillId="0" borderId="39" xfId="250" applyFont="1" applyBorder="1" applyAlignment="1">
      <alignment horizontal="center" vertical="center"/>
    </xf>
    <xf numFmtId="0" fontId="55" fillId="0" borderId="24" xfId="250" applyFont="1" applyBorder="1" applyAlignment="1">
      <alignment horizontal="center"/>
    </xf>
    <xf numFmtId="0" fontId="85" fillId="0" borderId="37" xfId="250" applyFont="1" applyBorder="1" applyAlignment="1">
      <alignment horizontal="center" vertical="center"/>
    </xf>
    <xf numFmtId="0" fontId="101" fillId="0" borderId="0" xfId="250" applyFont="1" applyAlignment="1">
      <alignment horizontal="center" vertical="center"/>
    </xf>
    <xf numFmtId="0" fontId="2" fillId="0" borderId="21" xfId="250" applyFont="1" applyBorder="1" applyAlignment="1">
      <alignment vertical="center"/>
    </xf>
    <xf numFmtId="0" fontId="2" fillId="0" borderId="16" xfId="250" applyFont="1" applyBorder="1" applyAlignment="1">
      <alignment vertical="center"/>
    </xf>
    <xf numFmtId="0" fontId="2" fillId="0" borderId="22" xfId="250" applyFont="1" applyBorder="1" applyAlignment="1">
      <alignment vertical="center"/>
    </xf>
    <xf numFmtId="0" fontId="100" fillId="0" borderId="0" xfId="250" applyFont="1" applyAlignment="1">
      <alignment horizontal="center" vertical="center" shrinkToFit="1"/>
    </xf>
    <xf numFmtId="0" fontId="42" fillId="0" borderId="43" xfId="250" applyFont="1" applyBorder="1" applyAlignment="1">
      <alignment horizontal="center" vertical="center" textRotation="90" wrapText="1"/>
    </xf>
    <xf numFmtId="0" fontId="42" fillId="0" borderId="44" xfId="250" applyFont="1" applyBorder="1" applyAlignment="1">
      <alignment horizontal="center" vertical="center" textRotation="90" wrapText="1"/>
    </xf>
    <xf numFmtId="0" fontId="42" fillId="0" borderId="42" xfId="250" applyFont="1" applyBorder="1" applyAlignment="1">
      <alignment horizontal="center" vertical="center" textRotation="90" wrapText="1"/>
    </xf>
    <xf numFmtId="0" fontId="80" fillId="0" borderId="24" xfId="250" applyFont="1" applyBorder="1" applyAlignment="1">
      <alignment horizontal="center"/>
    </xf>
    <xf numFmtId="0" fontId="115" fillId="0" borderId="24" xfId="250" applyFont="1" applyBorder="1" applyAlignment="1">
      <alignment horizontal="center" vertical="center"/>
    </xf>
    <xf numFmtId="0" fontId="57" fillId="0" borderId="21" xfId="250" applyFont="1" applyBorder="1" applyAlignment="1">
      <alignment vertical="center"/>
    </xf>
    <xf numFmtId="0" fontId="57" fillId="0" borderId="22" xfId="250" applyFont="1" applyBorder="1" applyAlignment="1">
      <alignment vertical="center"/>
    </xf>
    <xf numFmtId="0" fontId="57" fillId="0" borderId="26" xfId="250" applyFont="1" applyBorder="1" applyAlignment="1">
      <alignment vertical="center"/>
    </xf>
    <xf numFmtId="0" fontId="57" fillId="0" borderId="27" xfId="250" applyFont="1" applyBorder="1" applyAlignment="1">
      <alignment vertical="center"/>
    </xf>
    <xf numFmtId="0" fontId="57" fillId="0" borderId="29" xfId="250" applyFont="1" applyBorder="1" applyAlignment="1">
      <alignment vertical="center"/>
    </xf>
    <xf numFmtId="0" fontId="57" fillId="0" borderId="30" xfId="250" applyFont="1" applyBorder="1" applyAlignment="1">
      <alignment vertical="center"/>
    </xf>
    <xf numFmtId="0" fontId="91" fillId="0" borderId="0" xfId="250" applyFont="1" applyAlignment="1">
      <alignment horizontal="center" vertical="center" shrinkToFit="1"/>
    </xf>
    <xf numFmtId="0" fontId="71" fillId="0" borderId="0" xfId="250" applyFont="1" applyAlignment="1">
      <alignment horizontal="center" vertical="center" shrinkToFit="1"/>
    </xf>
    <xf numFmtId="0" fontId="79" fillId="0" borderId="0" xfId="250" applyFont="1" applyAlignment="1">
      <alignment horizontal="center" vertical="center" shrinkToFit="1"/>
    </xf>
    <xf numFmtId="0" fontId="2" fillId="0" borderId="45" xfId="250" applyFont="1" applyBorder="1" applyAlignment="1">
      <alignment vertical="center"/>
    </xf>
    <xf numFmtId="0" fontId="86" fillId="0" borderId="24" xfId="250" applyFont="1" applyBorder="1" applyAlignment="1">
      <alignment horizontal="center" vertical="center"/>
    </xf>
    <xf numFmtId="0" fontId="52" fillId="0" borderId="25" xfId="250" applyFont="1" applyBorder="1" applyAlignment="1">
      <alignment horizontal="center" vertical="center"/>
    </xf>
    <xf numFmtId="0" fontId="97" fillId="0" borderId="0" xfId="250" applyFont="1" applyAlignment="1">
      <alignment horizontal="center" vertical="center" shrinkToFit="1"/>
    </xf>
    <xf numFmtId="0" fontId="104" fillId="0" borderId="25" xfId="250" applyFont="1" applyBorder="1" applyAlignment="1">
      <alignment horizontal="center" vertical="center"/>
    </xf>
    <xf numFmtId="0" fontId="104" fillId="0" borderId="24" xfId="250" applyFont="1" applyBorder="1" applyAlignment="1">
      <alignment horizontal="center" vertical="center"/>
    </xf>
    <xf numFmtId="0" fontId="111" fillId="0" borderId="24" xfId="250" applyFont="1" applyBorder="1" applyAlignment="1">
      <alignment horizontal="center" vertical="center" shrinkToFit="1"/>
    </xf>
    <xf numFmtId="0" fontId="67" fillId="0" borderId="0" xfId="250" applyFont="1" applyAlignment="1">
      <alignment vertical="center"/>
    </xf>
    <xf numFmtId="0" fontId="34" fillId="37" borderId="75" xfId="0" applyFont="1" applyFill="1" applyBorder="1" applyAlignment="1">
      <alignment horizontal="center" vertical="center"/>
    </xf>
    <xf numFmtId="0" fontId="34" fillId="41" borderId="75" xfId="0" applyFont="1" applyFill="1" applyBorder="1" applyAlignment="1">
      <alignment horizontal="center" vertical="center"/>
    </xf>
    <xf numFmtId="0" fontId="10" fillId="0" borderId="36" xfId="250" applyFont="1" applyBorder="1" applyAlignment="1">
      <alignment horizontal="center" vertical="center"/>
    </xf>
    <xf numFmtId="0" fontId="10" fillId="0" borderId="36" xfId="250" applyFont="1" applyBorder="1"/>
    <xf numFmtId="0" fontId="47" fillId="50" borderId="19" xfId="250" applyFont="1" applyFill="1" applyBorder="1" applyAlignment="1">
      <alignment horizontal="center" vertical="center"/>
    </xf>
    <xf numFmtId="0" fontId="10" fillId="0" borderId="14" xfId="250" applyFont="1" applyBorder="1"/>
    <xf numFmtId="0" fontId="10" fillId="0" borderId="20" xfId="250" applyFont="1" applyBorder="1"/>
    <xf numFmtId="0" fontId="42" fillId="0" borderId="19" xfId="250" applyFont="1" applyBorder="1" applyAlignment="1">
      <alignment horizontal="center" vertical="center"/>
    </xf>
    <xf numFmtId="0" fontId="49" fillId="0" borderId="21" xfId="250" applyFont="1" applyBorder="1" applyAlignment="1">
      <alignment horizontal="center" vertical="center"/>
    </xf>
    <xf numFmtId="0" fontId="10" fillId="0" borderId="16" xfId="250" applyFont="1" applyBorder="1"/>
    <xf numFmtId="0" fontId="10" fillId="0" borderId="22" xfId="250" applyFont="1" applyBorder="1"/>
    <xf numFmtId="0" fontId="10" fillId="0" borderId="26" xfId="250" applyFont="1" applyBorder="1"/>
    <xf numFmtId="0" fontId="32" fillId="0" borderId="0" xfId="250"/>
    <xf numFmtId="0" fontId="10" fillId="0" borderId="27" xfId="250" applyFont="1" applyBorder="1"/>
    <xf numFmtId="0" fontId="10" fillId="0" borderId="29" xfId="250" applyFont="1" applyBorder="1"/>
    <xf numFmtId="0" fontId="10" fillId="0" borderId="15" xfId="250" applyFont="1" applyBorder="1"/>
    <xf numFmtId="0" fontId="10" fillId="0" borderId="30" xfId="250" applyFont="1" applyBorder="1"/>
    <xf numFmtId="0" fontId="49" fillId="0" borderId="0" xfId="250" applyFont="1" applyAlignment="1">
      <alignment horizontal="center" vertical="center"/>
    </xf>
    <xf numFmtId="0" fontId="10" fillId="0" borderId="0" xfId="250" applyFont="1"/>
    <xf numFmtId="0" fontId="49" fillId="0" borderId="21" xfId="250" applyFont="1" applyBorder="1" applyAlignment="1">
      <alignment horizontal="center" vertical="center" wrapText="1"/>
    </xf>
    <xf numFmtId="0" fontId="71" fillId="52" borderId="0" xfId="250" applyFont="1" applyFill="1" applyAlignment="1">
      <alignment horizontal="center" vertical="center"/>
    </xf>
    <xf numFmtId="0" fontId="71" fillId="52" borderId="0" xfId="250" applyFont="1" applyFill="1" applyAlignment="1">
      <alignment horizontal="center" vertical="center" wrapText="1"/>
    </xf>
    <xf numFmtId="0" fontId="49" fillId="61" borderId="21" xfId="250" applyFont="1" applyFill="1" applyBorder="1" applyAlignment="1">
      <alignment horizontal="center" vertical="center"/>
    </xf>
    <xf numFmtId="0" fontId="71" fillId="0" borderId="0" xfId="250" applyFont="1" applyAlignment="1">
      <alignment horizontal="center" vertical="center"/>
    </xf>
    <xf numFmtId="0" fontId="74" fillId="0" borderId="33" xfId="250" applyFont="1" applyBorder="1" applyAlignment="1">
      <alignment horizontal="center" vertical="center" wrapText="1"/>
    </xf>
    <xf numFmtId="0" fontId="10" fillId="0" borderId="34" xfId="250" applyFont="1" applyBorder="1"/>
    <xf numFmtId="0" fontId="10" fillId="0" borderId="35" xfId="250" applyFont="1" applyBorder="1"/>
    <xf numFmtId="0" fontId="75" fillId="0" borderId="0" xfId="250" applyFont="1" applyAlignment="1">
      <alignment horizontal="center" vertical="center"/>
    </xf>
    <xf numFmtId="0" fontId="77" fillId="0" borderId="21" xfId="250" applyFont="1" applyBorder="1" applyAlignment="1">
      <alignment horizontal="center" vertical="center"/>
    </xf>
    <xf numFmtId="0" fontId="77" fillId="0" borderId="0" xfId="250" applyFont="1" applyAlignment="1">
      <alignment horizontal="center" vertical="center" wrapText="1"/>
    </xf>
    <xf numFmtId="1" fontId="84" fillId="52" borderId="21" xfId="250" applyNumberFormat="1" applyFont="1" applyFill="1" applyBorder="1" applyAlignment="1">
      <alignment horizontal="center" vertical="center" wrapText="1"/>
    </xf>
    <xf numFmtId="0" fontId="85" fillId="0" borderId="37" xfId="250" applyFont="1" applyBorder="1" applyAlignment="1">
      <alignment horizontal="center" vertical="center"/>
    </xf>
    <xf numFmtId="0" fontId="10" fillId="0" borderId="37" xfId="250" applyFont="1" applyBorder="1"/>
    <xf numFmtId="0" fontId="71" fillId="0" borderId="37" xfId="250" applyFont="1" applyBorder="1" applyAlignment="1">
      <alignment horizontal="center" vertical="center"/>
    </xf>
    <xf numFmtId="0" fontId="88" fillId="0" borderId="38" xfId="250" applyFont="1" applyBorder="1" applyAlignment="1">
      <alignment horizontal="center" vertical="center" wrapText="1"/>
    </xf>
    <xf numFmtId="0" fontId="88" fillId="0" borderId="0" xfId="250" applyFont="1" applyAlignment="1">
      <alignment horizontal="center" vertical="center" wrapText="1"/>
    </xf>
    <xf numFmtId="0" fontId="90" fillId="0" borderId="0" xfId="250" applyFont="1" applyAlignment="1">
      <alignment horizontal="center" vertical="center"/>
    </xf>
    <xf numFmtId="0" fontId="96" fillId="0" borderId="0" xfId="250" applyFont="1" applyAlignment="1">
      <alignment horizontal="center" vertical="center"/>
    </xf>
    <xf numFmtId="0" fontId="90" fillId="0" borderId="36" xfId="250" applyFont="1" applyBorder="1" applyAlignment="1">
      <alignment horizontal="center" vertical="center"/>
    </xf>
    <xf numFmtId="0" fontId="10" fillId="0" borderId="37" xfId="250" applyFont="1" applyBorder="1" applyAlignment="1">
      <alignment horizontal="center" vertical="center"/>
    </xf>
    <xf numFmtId="0" fontId="80" fillId="52" borderId="0" xfId="250" applyFont="1" applyFill="1" applyAlignment="1">
      <alignment horizontal="center" vertical="center"/>
    </xf>
    <xf numFmtId="0" fontId="2" fillId="0" borderId="0" xfId="250" applyFont="1" applyAlignment="1">
      <alignment horizontal="center" vertical="center"/>
    </xf>
    <xf numFmtId="0" fontId="10" fillId="0" borderId="45" xfId="250" applyFont="1" applyBorder="1"/>
    <xf numFmtId="0" fontId="90" fillId="0" borderId="18" xfId="250" applyFont="1" applyBorder="1" applyAlignment="1">
      <alignment horizontal="center" vertical="center"/>
    </xf>
    <xf numFmtId="0" fontId="10" fillId="0" borderId="25" xfId="250" applyFont="1" applyBorder="1"/>
    <xf numFmtId="0" fontId="85" fillId="0" borderId="36" xfId="250" applyFont="1" applyBorder="1" applyAlignment="1">
      <alignment horizontal="center" vertical="center"/>
    </xf>
    <xf numFmtId="0" fontId="46" fillId="0" borderId="19" xfId="250" applyFont="1" applyBorder="1" applyAlignment="1">
      <alignment horizontal="center" vertical="center"/>
    </xf>
    <xf numFmtId="0" fontId="7" fillId="0" borderId="21" xfId="250" applyFont="1" applyBorder="1" applyAlignment="1">
      <alignment horizontal="center" vertical="center"/>
    </xf>
    <xf numFmtId="1" fontId="102" fillId="0" borderId="21" xfId="250" applyNumberFormat="1" applyFont="1" applyBorder="1" applyAlignment="1">
      <alignment horizontal="center" vertical="center" wrapText="1"/>
    </xf>
    <xf numFmtId="0" fontId="2" fillId="0" borderId="37" xfId="250" applyFont="1" applyBorder="1" applyAlignment="1">
      <alignment horizontal="center" vertical="center"/>
    </xf>
    <xf numFmtId="0" fontId="116" fillId="0" borderId="21" xfId="250" applyFont="1" applyBorder="1" applyAlignment="1">
      <alignment horizontal="center" vertical="center"/>
    </xf>
    <xf numFmtId="0" fontId="71" fillId="0" borderId="16" xfId="250" applyFont="1" applyBorder="1" applyAlignment="1">
      <alignment horizontal="center" vertical="center"/>
    </xf>
    <xf numFmtId="0" fontId="85" fillId="52" borderId="37" xfId="250" applyFont="1" applyFill="1" applyBorder="1" applyAlignment="1">
      <alignment horizontal="center" vertical="center"/>
    </xf>
    <xf numFmtId="0" fontId="75" fillId="52" borderId="0" xfId="250" applyFont="1" applyFill="1" applyAlignment="1">
      <alignment horizontal="center" vertical="center"/>
    </xf>
    <xf numFmtId="0" fontId="42" fillId="52" borderId="19" xfId="250" applyFont="1" applyFill="1" applyBorder="1" applyAlignment="1">
      <alignment horizontal="center" vertical="center"/>
    </xf>
    <xf numFmtId="0" fontId="49" fillId="61" borderId="0" xfId="250" applyFont="1" applyFill="1" applyAlignment="1">
      <alignment horizontal="center" vertical="center"/>
    </xf>
    <xf numFmtId="0" fontId="49" fillId="61" borderId="21" xfId="250" applyFont="1" applyFill="1" applyBorder="1" applyAlignment="1">
      <alignment horizontal="center" vertical="center" wrapText="1"/>
    </xf>
    <xf numFmtId="0" fontId="71" fillId="52" borderId="37" xfId="250" applyFont="1" applyFill="1" applyBorder="1" applyAlignment="1">
      <alignment horizontal="center" vertical="center"/>
    </xf>
    <xf numFmtId="0" fontId="88" fillId="52" borderId="38" xfId="250" applyFont="1" applyFill="1" applyBorder="1" applyAlignment="1">
      <alignment horizontal="center" vertical="center" wrapText="1"/>
    </xf>
    <xf numFmtId="0" fontId="88" fillId="52" borderId="0" xfId="250" applyFont="1" applyFill="1" applyAlignment="1">
      <alignment horizontal="center" vertical="center" wrapText="1"/>
    </xf>
    <xf numFmtId="0" fontId="96" fillId="52" borderId="0" xfId="250" applyFont="1" applyFill="1" applyAlignment="1">
      <alignment horizontal="center" vertical="center"/>
    </xf>
    <xf numFmtId="0" fontId="71" fillId="52" borderId="16" xfId="250" applyFont="1" applyFill="1" applyBorder="1" applyAlignment="1">
      <alignment horizontal="center" vertical="center"/>
    </xf>
    <xf numFmtId="0" fontId="90" fillId="52" borderId="18" xfId="250" applyFont="1" applyFill="1" applyBorder="1" applyAlignment="1">
      <alignment horizontal="center" vertical="center"/>
    </xf>
    <xf numFmtId="0" fontId="85" fillId="52" borderId="36" xfId="250" applyFont="1" applyFill="1" applyBorder="1" applyAlignment="1">
      <alignment horizontal="center" vertical="center"/>
    </xf>
    <xf numFmtId="0" fontId="122" fillId="0" borderId="19" xfId="250" applyFont="1" applyBorder="1" applyAlignment="1">
      <alignment horizontal="center"/>
    </xf>
    <xf numFmtId="170" fontId="53" fillId="0" borderId="50" xfId="250" applyNumberFormat="1" applyFont="1" applyBorder="1" applyAlignment="1">
      <alignment horizontal="center"/>
    </xf>
    <xf numFmtId="0" fontId="10" fillId="0" borderId="51" xfId="250" applyFont="1" applyBorder="1"/>
    <xf numFmtId="0" fontId="125" fillId="97" borderId="21" xfId="250" applyFont="1" applyFill="1" applyBorder="1" applyAlignment="1">
      <alignment horizontal="center" vertical="center"/>
    </xf>
    <xf numFmtId="0" fontId="102" fillId="0" borderId="19" xfId="250" applyFont="1" applyBorder="1" applyAlignment="1">
      <alignment horizontal="center" vertical="center" shrinkToFit="1"/>
    </xf>
    <xf numFmtId="0" fontId="53" fillId="0" borderId="19" xfId="250" applyFont="1" applyBorder="1" applyAlignment="1">
      <alignment horizontal="center" vertical="center"/>
    </xf>
    <xf numFmtId="0" fontId="10" fillId="0" borderId="48" xfId="250" applyFont="1" applyBorder="1"/>
    <xf numFmtId="0" fontId="121" fillId="52" borderId="26" xfId="250" applyFont="1" applyFill="1" applyBorder="1" applyAlignment="1">
      <alignment horizontal="center"/>
    </xf>
    <xf numFmtId="0" fontId="116" fillId="61" borderId="21" xfId="250" applyFont="1" applyFill="1" applyBorder="1" applyAlignment="1">
      <alignment horizontal="center" vertical="center"/>
    </xf>
    <xf numFmtId="0" fontId="66" fillId="83" borderId="19" xfId="250" applyFont="1" applyFill="1" applyBorder="1" applyAlignment="1">
      <alignment horizontal="center" vertical="top" shrinkToFit="1"/>
    </xf>
    <xf numFmtId="170" fontId="81" fillId="83" borderId="19" xfId="250" applyNumberFormat="1" applyFont="1" applyFill="1" applyBorder="1" applyAlignment="1">
      <alignment horizontal="center" vertical="center" shrinkToFit="1"/>
    </xf>
    <xf numFmtId="170" fontId="101" fillId="0" borderId="19" xfId="250" applyNumberFormat="1" applyFont="1" applyBorder="1" applyAlignment="1">
      <alignment horizontal="center" vertical="center" shrinkToFit="1"/>
    </xf>
    <xf numFmtId="0" fontId="44" fillId="0" borderId="18" xfId="250" applyFont="1" applyBorder="1" applyAlignment="1">
      <alignment horizontal="left" vertical="center" shrinkToFit="1"/>
    </xf>
    <xf numFmtId="0" fontId="10" fillId="0" borderId="39" xfId="250" applyFont="1" applyBorder="1"/>
    <xf numFmtId="0" fontId="53" fillId="0" borderId="19" xfId="250" applyFont="1" applyBorder="1" applyAlignment="1">
      <alignment horizontal="center"/>
    </xf>
    <xf numFmtId="170" fontId="53" fillId="0" borderId="19" xfId="250" applyNumberFormat="1" applyFont="1" applyBorder="1" applyAlignment="1">
      <alignment horizontal="center"/>
    </xf>
    <xf numFmtId="0" fontId="44" fillId="0" borderId="55" xfId="250" applyFont="1" applyBorder="1" applyAlignment="1">
      <alignment horizontal="left" vertical="center" shrinkToFit="1"/>
    </xf>
    <xf numFmtId="170" fontId="53" fillId="98" borderId="21" xfId="250" applyNumberFormat="1" applyFont="1" applyFill="1" applyBorder="1" applyAlignment="1">
      <alignment horizontal="center"/>
    </xf>
    <xf numFmtId="0" fontId="122" fillId="0" borderId="21" xfId="250" applyFont="1" applyBorder="1" applyAlignment="1">
      <alignment horizontal="center"/>
    </xf>
    <xf numFmtId="0" fontId="59" fillId="0" borderId="18" xfId="250" applyFont="1" applyBorder="1" applyAlignment="1">
      <alignment horizontal="center" vertical="center" shrinkToFit="1"/>
    </xf>
    <xf numFmtId="0" fontId="59" fillId="0" borderId="55" xfId="250" applyFont="1" applyBorder="1" applyAlignment="1">
      <alignment horizontal="center" vertical="center" shrinkToFit="1"/>
    </xf>
    <xf numFmtId="0" fontId="122" fillId="0" borderId="57" xfId="250" applyFont="1" applyBorder="1" applyAlignment="1">
      <alignment horizontal="center"/>
    </xf>
    <xf numFmtId="0" fontId="10" fillId="0" borderId="58" xfId="250" applyFont="1" applyBorder="1"/>
    <xf numFmtId="170" fontId="46" fillId="0" borderId="18" xfId="250" applyNumberFormat="1" applyFont="1" applyBorder="1" applyAlignment="1">
      <alignment horizontal="center" vertical="center" shrinkToFit="1"/>
    </xf>
    <xf numFmtId="0" fontId="59" fillId="75" borderId="38" xfId="250" applyFont="1" applyFill="1" applyBorder="1" applyAlignment="1">
      <alignment horizontal="center" vertical="center" shrinkToFit="1"/>
    </xf>
    <xf numFmtId="0" fontId="135" fillId="103" borderId="18" xfId="250" applyFont="1" applyFill="1" applyBorder="1" applyAlignment="1">
      <alignment horizontal="center" vertical="center" shrinkToFit="1"/>
    </xf>
    <xf numFmtId="0" fontId="44" fillId="0" borderId="46" xfId="250" applyFont="1" applyBorder="1" applyAlignment="1">
      <alignment horizontal="left" vertical="center" shrinkToFit="1"/>
    </xf>
    <xf numFmtId="0" fontId="10" fillId="0" borderId="59" xfId="250" applyFont="1" applyBorder="1"/>
    <xf numFmtId="0" fontId="46" fillId="0" borderId="17" xfId="250" applyFont="1" applyBorder="1" applyAlignment="1">
      <alignment horizontal="center" vertical="center" shrinkToFit="1"/>
    </xf>
    <xf numFmtId="170" fontId="46" fillId="123" borderId="17" xfId="250" applyNumberFormat="1" applyFont="1" applyFill="1" applyBorder="1" applyAlignment="1">
      <alignment horizontal="center" vertical="center" shrinkToFit="1"/>
    </xf>
    <xf numFmtId="0" fontId="10" fillId="0" borderId="41" xfId="250" applyFont="1" applyBorder="1"/>
    <xf numFmtId="0" fontId="46" fillId="0" borderId="18" xfId="250" applyFont="1" applyBorder="1" applyAlignment="1">
      <alignment horizontal="center" vertical="center" shrinkToFit="1"/>
    </xf>
    <xf numFmtId="170" fontId="46" fillId="123" borderId="18" xfId="250" applyNumberFormat="1" applyFont="1" applyFill="1" applyBorder="1" applyAlignment="1">
      <alignment horizontal="center" vertical="center" shrinkToFit="1"/>
    </xf>
    <xf numFmtId="0" fontId="92" fillId="0" borderId="18" xfId="250" applyFont="1" applyBorder="1" applyAlignment="1">
      <alignment horizontal="center"/>
    </xf>
    <xf numFmtId="0" fontId="44" fillId="0" borderId="18" xfId="250" applyFont="1" applyBorder="1" applyAlignment="1">
      <alignment horizontal="left" wrapText="1"/>
    </xf>
    <xf numFmtId="0" fontId="135" fillId="141" borderId="18" xfId="250" applyFont="1" applyFill="1" applyBorder="1" applyAlignment="1">
      <alignment horizontal="center" vertical="center" shrinkToFit="1"/>
    </xf>
    <xf numFmtId="170" fontId="135" fillId="123" borderId="18" xfId="250" applyNumberFormat="1" applyFont="1" applyFill="1" applyBorder="1" applyAlignment="1">
      <alignment horizontal="center" vertical="center" shrinkToFit="1"/>
    </xf>
    <xf numFmtId="0" fontId="135" fillId="83" borderId="18" xfId="250" applyFont="1" applyFill="1" applyBorder="1" applyAlignment="1">
      <alignment horizontal="center" vertical="center" shrinkToFit="1"/>
    </xf>
    <xf numFmtId="171" fontId="46" fillId="0" borderId="12" xfId="138" applyNumberFormat="1" applyFont="1" applyBorder="1" applyAlignment="1">
      <alignment horizontal="center" vertical="center" shrinkToFit="1"/>
    </xf>
    <xf numFmtId="171" fontId="46" fillId="0" borderId="61" xfId="138" applyNumberFormat="1" applyFont="1" applyBorder="1" applyAlignment="1">
      <alignment horizontal="center" vertical="center" shrinkToFit="1"/>
    </xf>
    <xf numFmtId="171" fontId="46" fillId="0" borderId="13" xfId="138" applyNumberFormat="1" applyFont="1" applyBorder="1" applyAlignment="1">
      <alignment horizontal="center" vertical="center" shrinkToFit="1"/>
    </xf>
    <xf numFmtId="171" fontId="46" fillId="0" borderId="1" xfId="138" applyNumberFormat="1" applyFont="1" applyBorder="1" applyAlignment="1">
      <alignment horizontal="center" vertical="center" shrinkToFit="1"/>
    </xf>
    <xf numFmtId="0" fontId="59" fillId="54" borderId="18" xfId="250" applyFont="1" applyFill="1" applyBorder="1" applyAlignment="1">
      <alignment horizontal="center" vertical="center" shrinkToFit="1"/>
    </xf>
    <xf numFmtId="170" fontId="46" fillId="0" borderId="36" xfId="250" applyNumberFormat="1" applyFont="1" applyBorder="1" applyAlignment="1">
      <alignment horizontal="center" vertical="center" shrinkToFit="1"/>
    </xf>
    <xf numFmtId="0" fontId="92" fillId="0" borderId="55" xfId="250" applyFont="1" applyBorder="1" applyAlignment="1">
      <alignment horizontal="center"/>
    </xf>
    <xf numFmtId="170" fontId="46" fillId="0" borderId="39" xfId="250" applyNumberFormat="1" applyFont="1" applyBorder="1" applyAlignment="1">
      <alignment horizontal="center" vertical="center" shrinkToFit="1"/>
    </xf>
    <xf numFmtId="0" fontId="126" fillId="0" borderId="55" xfId="250" applyFont="1" applyBorder="1" applyAlignment="1">
      <alignment horizontal="center"/>
    </xf>
    <xf numFmtId="0" fontId="59" fillId="105" borderId="18" xfId="250" applyFont="1" applyFill="1" applyBorder="1" applyAlignment="1">
      <alignment horizontal="center" vertical="center" shrinkToFit="1"/>
    </xf>
    <xf numFmtId="170" fontId="46" fillId="98" borderId="18" xfId="250" applyNumberFormat="1" applyFont="1" applyFill="1" applyBorder="1" applyAlignment="1">
      <alignment horizontal="center" vertical="center" shrinkToFit="1"/>
    </xf>
    <xf numFmtId="170" fontId="46" fillId="0" borderId="17" xfId="250" applyNumberFormat="1" applyFont="1" applyBorder="1" applyAlignment="1">
      <alignment horizontal="center" vertical="center" shrinkToFit="1"/>
    </xf>
    <xf numFmtId="0" fontId="59" fillId="129" borderId="18" xfId="250" applyFont="1" applyFill="1" applyBorder="1" applyAlignment="1">
      <alignment horizontal="center" vertical="center" shrinkToFit="1"/>
    </xf>
    <xf numFmtId="0" fontId="59" fillId="140" borderId="18" xfId="250" applyFont="1" applyFill="1" applyBorder="1" applyAlignment="1">
      <alignment horizontal="center" vertical="center" shrinkToFit="1"/>
    </xf>
    <xf numFmtId="0" fontId="46" fillId="0" borderId="19" xfId="250" applyFont="1" applyBorder="1" applyAlignment="1">
      <alignment horizontal="center" vertical="center" shrinkToFit="1"/>
    </xf>
    <xf numFmtId="170" fontId="46" fillId="0" borderId="0" xfId="250" applyNumberFormat="1" applyFont="1" applyAlignment="1">
      <alignment horizontal="center" vertical="center" shrinkToFit="1"/>
    </xf>
    <xf numFmtId="173" fontId="53" fillId="0" borderId="19" xfId="250" applyNumberFormat="1" applyFont="1" applyBorder="1" applyAlignment="1">
      <alignment horizontal="center" vertical="center"/>
    </xf>
    <xf numFmtId="0" fontId="121" fillId="52" borderId="0" xfId="250" applyFont="1" applyFill="1" applyAlignment="1">
      <alignment horizontal="center" vertical="center"/>
    </xf>
    <xf numFmtId="0" fontId="75" fillId="111" borderId="19" xfId="250" applyFont="1" applyFill="1" applyBorder="1" applyAlignment="1">
      <alignment horizontal="center" vertical="center"/>
    </xf>
    <xf numFmtId="0" fontId="44" fillId="0" borderId="18" xfId="250" applyFont="1" applyBorder="1" applyAlignment="1">
      <alignment horizontal="left" vertical="center" wrapText="1"/>
    </xf>
    <xf numFmtId="0" fontId="126" fillId="0" borderId="18" xfId="250" applyFont="1" applyBorder="1" applyAlignment="1">
      <alignment horizontal="left" vertical="center" shrinkToFit="1"/>
    </xf>
    <xf numFmtId="0" fontId="126" fillId="0" borderId="46" xfId="250" applyFont="1" applyBorder="1" applyAlignment="1">
      <alignment horizontal="left" vertical="center" shrinkToFit="1"/>
    </xf>
    <xf numFmtId="0" fontId="59" fillId="0" borderId="68" xfId="250" applyFont="1" applyBorder="1" applyAlignment="1">
      <alignment horizontal="center" vertical="center" shrinkToFit="1"/>
    </xf>
    <xf numFmtId="0" fontId="59" fillId="0" borderId="17" xfId="250" applyFont="1" applyBorder="1" applyAlignment="1">
      <alignment horizontal="left" vertical="center" shrinkToFit="1"/>
    </xf>
    <xf numFmtId="0" fontId="59" fillId="0" borderId="19" xfId="250" applyFont="1" applyBorder="1" applyAlignment="1">
      <alignment horizontal="left" vertical="center" shrinkToFit="1"/>
    </xf>
    <xf numFmtId="0" fontId="126" fillId="0" borderId="17" xfId="250" applyFont="1" applyBorder="1" applyAlignment="1">
      <alignment horizontal="left" vertical="center" shrinkToFit="1"/>
    </xf>
    <xf numFmtId="0" fontId="59" fillId="0" borderId="18" xfId="250" applyFont="1" applyBorder="1" applyAlignment="1">
      <alignment horizontal="center" wrapText="1"/>
    </xf>
    <xf numFmtId="0" fontId="59" fillId="0" borderId="69" xfId="250" applyFont="1" applyBorder="1" applyAlignment="1">
      <alignment horizontal="left" vertical="center" shrinkToFit="1"/>
    </xf>
    <xf numFmtId="0" fontId="10" fillId="0" borderId="70" xfId="250" applyFont="1" applyBorder="1"/>
    <xf numFmtId="0" fontId="10" fillId="0" borderId="71" xfId="250" applyFont="1" applyBorder="1"/>
    <xf numFmtId="0" fontId="59" fillId="0" borderId="17" xfId="250" applyFont="1" applyBorder="1" applyAlignment="1">
      <alignment horizontal="center" vertical="center" shrinkToFit="1"/>
    </xf>
    <xf numFmtId="0" fontId="46" fillId="0" borderId="0" xfId="250" applyFont="1" applyAlignment="1">
      <alignment horizontal="center" shrinkToFit="1"/>
    </xf>
    <xf numFmtId="0" fontId="135" fillId="0" borderId="0" xfId="250" applyFont="1" applyAlignment="1">
      <alignment horizontal="center" shrinkToFit="1"/>
    </xf>
    <xf numFmtId="0" fontId="59" fillId="0" borderId="46" xfId="250" applyFont="1" applyBorder="1" applyAlignment="1">
      <alignment horizontal="center" vertical="center" shrinkToFit="1"/>
    </xf>
    <xf numFmtId="0" fontId="44" fillId="0" borderId="0" xfId="250" applyFont="1" applyAlignment="1">
      <alignment horizontal="center" vertical="center" shrinkToFit="1"/>
    </xf>
    <xf numFmtId="0" fontId="59" fillId="0" borderId="0" xfId="250" applyFont="1" applyAlignment="1">
      <alignment horizontal="center" shrinkToFit="1"/>
    </xf>
    <xf numFmtId="174" fontId="47" fillId="50" borderId="19" xfId="250" applyNumberFormat="1" applyFont="1" applyFill="1" applyBorder="1" applyAlignment="1">
      <alignment horizontal="center" vertical="center"/>
    </xf>
    <xf numFmtId="174" fontId="10" fillId="0" borderId="14" xfId="250" applyNumberFormat="1" applyFont="1" applyBorder="1"/>
    <xf numFmtId="174" fontId="10" fillId="0" borderId="20" xfId="250" applyNumberFormat="1" applyFont="1" applyBorder="1"/>
    <xf numFmtId="174" fontId="10" fillId="0" borderId="14" xfId="250" applyNumberFormat="1" applyFont="1" applyBorder="1" applyAlignment="1">
      <alignment vertical="center"/>
    </xf>
    <xf numFmtId="174" fontId="32" fillId="0" borderId="0" xfId="250" applyNumberFormat="1"/>
    <xf numFmtId="174" fontId="23" fillId="0" borderId="0" xfId="250" applyNumberFormat="1" applyFont="1" applyAlignment="1">
      <alignment vertical="center"/>
    </xf>
    <xf numFmtId="174" fontId="48" fillId="0" borderId="0" xfId="250" applyNumberFormat="1" applyFont="1" applyAlignment="1">
      <alignment horizontal="center" vertical="center"/>
    </xf>
    <xf numFmtId="174" fontId="49" fillId="0" borderId="0" xfId="250" applyNumberFormat="1" applyFont="1" applyAlignment="1">
      <alignment horizontal="center" vertical="center"/>
    </xf>
    <xf numFmtId="174" fontId="10" fillId="0" borderId="0" xfId="250" applyNumberFormat="1" applyFont="1" applyAlignment="1">
      <alignment vertical="center"/>
    </xf>
    <xf numFmtId="174" fontId="50" fillId="51" borderId="0" xfId="250" applyNumberFormat="1" applyFont="1" applyFill="1" applyAlignment="1">
      <alignment vertical="center"/>
    </xf>
    <xf numFmtId="174" fontId="50" fillId="0" borderId="0" xfId="250" applyNumberFormat="1" applyFont="1" applyAlignment="1">
      <alignment vertical="center"/>
    </xf>
    <xf numFmtId="174" fontId="51" fillId="51" borderId="0" xfId="250" applyNumberFormat="1" applyFont="1" applyFill="1" applyAlignment="1">
      <alignment horizontal="center" vertical="center"/>
    </xf>
    <xf numFmtId="174" fontId="51" fillId="0" borderId="0" xfId="250" applyNumberFormat="1" applyFont="1" applyAlignment="1">
      <alignment horizontal="center" vertical="center"/>
    </xf>
    <xf numFmtId="174" fontId="50" fillId="0" borderId="0" xfId="250" applyNumberFormat="1" applyFont="1" applyAlignment="1">
      <alignment horizontal="center" vertical="center"/>
    </xf>
    <xf numFmtId="174" fontId="51" fillId="0" borderId="0" xfId="250" applyNumberFormat="1" applyFont="1" applyAlignment="1">
      <alignment vertical="center"/>
    </xf>
    <xf numFmtId="174" fontId="2" fillId="0" borderId="0" xfId="250" applyNumberFormat="1" applyFont="1" applyAlignment="1">
      <alignment vertical="center"/>
    </xf>
    <xf numFmtId="174" fontId="7" fillId="0" borderId="0" xfId="250" applyNumberFormat="1" applyFont="1" applyAlignment="1">
      <alignment vertical="center"/>
    </xf>
    <xf numFmtId="174" fontId="42" fillId="0" borderId="19" xfId="250" applyNumberFormat="1" applyFont="1" applyBorder="1" applyAlignment="1">
      <alignment horizontal="center" vertical="center"/>
    </xf>
    <xf numFmtId="174" fontId="49" fillId="0" borderId="21" xfId="250" applyNumberFormat="1" applyFont="1" applyBorder="1" applyAlignment="1">
      <alignment horizontal="center" vertical="center"/>
    </xf>
    <xf numFmtId="174" fontId="10" fillId="0" borderId="16" xfId="250" applyNumberFormat="1" applyFont="1" applyBorder="1"/>
    <xf numFmtId="174" fontId="10" fillId="0" borderId="22" xfId="250" applyNumberFormat="1" applyFont="1" applyBorder="1"/>
    <xf numFmtId="174" fontId="33" fillId="53" borderId="23" xfId="142" applyNumberFormat="1" applyFont="1" applyFill="1" applyBorder="1" applyAlignment="1" applyProtection="1">
      <alignment horizontal="center" vertical="center" shrinkToFit="1"/>
    </xf>
    <xf numFmtId="174" fontId="52" fillId="0" borderId="24" xfId="250" applyNumberFormat="1" applyFont="1" applyBorder="1" applyAlignment="1">
      <alignment horizontal="center" vertical="center"/>
    </xf>
    <xf numFmtId="174" fontId="53" fillId="55" borderId="0" xfId="250" applyNumberFormat="1" applyFont="1" applyFill="1" applyAlignment="1">
      <alignment horizontal="center" vertical="center"/>
    </xf>
    <xf numFmtId="174" fontId="54" fillId="0" borderId="24" xfId="250" applyNumberFormat="1" applyFont="1" applyBorder="1" applyAlignment="1">
      <alignment horizontal="center" vertical="center"/>
    </xf>
    <xf numFmtId="174" fontId="34" fillId="37" borderId="75" xfId="0" applyNumberFormat="1" applyFont="1" applyFill="1" applyBorder="1" applyAlignment="1">
      <alignment horizontal="center" vertical="center"/>
    </xf>
    <xf numFmtId="174" fontId="55" fillId="59" borderId="0" xfId="250" applyNumberFormat="1" applyFont="1" applyFill="1" applyAlignment="1">
      <alignment horizontal="center" vertical="center"/>
    </xf>
    <xf numFmtId="174" fontId="56" fillId="0" borderId="24" xfId="250" applyNumberFormat="1" applyFont="1" applyBorder="1" applyAlignment="1">
      <alignment horizontal="center" vertical="center" shrinkToFit="1"/>
    </xf>
    <xf numFmtId="174" fontId="57" fillId="61" borderId="0" xfId="250" applyNumberFormat="1" applyFont="1" applyFill="1" applyAlignment="1">
      <alignment vertical="center"/>
    </xf>
    <xf numFmtId="174" fontId="49" fillId="0" borderId="0" xfId="250" applyNumberFormat="1" applyFont="1" applyAlignment="1">
      <alignment horizontal="center" vertical="center"/>
    </xf>
    <xf numFmtId="174" fontId="10" fillId="0" borderId="0" xfId="250" applyNumberFormat="1" applyFont="1"/>
    <xf numFmtId="174" fontId="57" fillId="0" borderId="21" xfId="250" applyNumberFormat="1" applyFont="1" applyBorder="1" applyAlignment="1">
      <alignment vertical="center"/>
    </xf>
    <xf numFmtId="174" fontId="57" fillId="0" borderId="22" xfId="250" applyNumberFormat="1" applyFont="1" applyBorder="1" applyAlignment="1">
      <alignment vertical="center"/>
    </xf>
    <xf numFmtId="174" fontId="58" fillId="0" borderId="24" xfId="250" applyNumberFormat="1" applyFont="1" applyBorder="1" applyAlignment="1">
      <alignment horizontal="center" vertical="center" shrinkToFit="1"/>
    </xf>
    <xf numFmtId="174" fontId="57" fillId="0" borderId="0" xfId="250" applyNumberFormat="1" applyFont="1" applyAlignment="1">
      <alignment vertical="center"/>
    </xf>
    <xf numFmtId="174" fontId="44" fillId="0" borderId="0" xfId="250" applyNumberFormat="1" applyFont="1" applyAlignment="1">
      <alignment horizontal="center" vertical="center"/>
    </xf>
    <xf numFmtId="174" fontId="49" fillId="0" borderId="21" xfId="250" applyNumberFormat="1" applyFont="1" applyBorder="1" applyAlignment="1">
      <alignment horizontal="center" vertical="center" wrapText="1"/>
    </xf>
    <xf numFmtId="174" fontId="55" fillId="0" borderId="25" xfId="250" applyNumberFormat="1" applyFont="1" applyBorder="1" applyAlignment="1">
      <alignment horizontal="center" vertical="center"/>
    </xf>
    <xf numFmtId="174" fontId="52" fillId="0" borderId="25" xfId="250" applyNumberFormat="1" applyFont="1" applyBorder="1" applyAlignment="1">
      <alignment horizontal="center" vertical="center"/>
    </xf>
    <xf numFmtId="174" fontId="59" fillId="0" borderId="0" xfId="250" applyNumberFormat="1" applyFont="1" applyAlignment="1">
      <alignment horizontal="center" vertical="center"/>
    </xf>
    <xf numFmtId="174" fontId="10" fillId="0" borderId="26" xfId="250" applyNumberFormat="1" applyFont="1" applyBorder="1"/>
    <xf numFmtId="174" fontId="32" fillId="0" borderId="0" xfId="250" applyNumberFormat="1"/>
    <xf numFmtId="174" fontId="10" fillId="0" borderId="27" xfId="250" applyNumberFormat="1" applyFont="1" applyBorder="1"/>
    <xf numFmtId="174" fontId="60" fillId="43" borderId="28" xfId="160" applyNumberFormat="1" applyFont="1" applyFill="1" applyBorder="1" applyAlignment="1">
      <alignment horizontal="center" vertical="center"/>
    </xf>
    <xf numFmtId="174" fontId="61" fillId="0" borderId="0" xfId="250" applyNumberFormat="1" applyFont="1" applyAlignment="1">
      <alignment horizontal="center" vertical="center"/>
    </xf>
    <xf numFmtId="174" fontId="62" fillId="0" borderId="0" xfId="250" applyNumberFormat="1" applyFont="1" applyAlignment="1">
      <alignment horizontal="center" vertical="center"/>
    </xf>
    <xf numFmtId="174" fontId="59" fillId="0" borderId="24" xfId="250" applyNumberFormat="1" applyFont="1" applyBorder="1" applyAlignment="1">
      <alignment horizontal="center" vertical="center" shrinkToFit="1"/>
    </xf>
    <xf numFmtId="174" fontId="63" fillId="0" borderId="0" xfId="250" applyNumberFormat="1" applyFont="1" applyAlignment="1">
      <alignment horizontal="center" vertical="center"/>
    </xf>
    <xf numFmtId="174" fontId="44" fillId="61" borderId="0" xfId="250" applyNumberFormat="1" applyFont="1" applyFill="1" applyAlignment="1">
      <alignment horizontal="center" vertical="center"/>
    </xf>
    <xf numFmtId="174" fontId="2" fillId="61" borderId="0" xfId="250" applyNumberFormat="1" applyFont="1" applyFill="1" applyAlignment="1">
      <alignment vertical="center"/>
    </xf>
    <xf numFmtId="174" fontId="64" fillId="0" borderId="0" xfId="250" applyNumberFormat="1" applyFont="1" applyAlignment="1">
      <alignment horizontal="center" vertical="center" wrapText="1"/>
    </xf>
    <xf numFmtId="174" fontId="57" fillId="0" borderId="26" xfId="250" applyNumberFormat="1" applyFont="1" applyBorder="1" applyAlignment="1">
      <alignment vertical="center"/>
    </xf>
    <xf numFmtId="174" fontId="57" fillId="0" borderId="27" xfId="250" applyNumberFormat="1" applyFont="1" applyBorder="1" applyAlignment="1">
      <alignment vertical="center"/>
    </xf>
    <xf numFmtId="174" fontId="2" fillId="0" borderId="0" xfId="250" applyNumberFormat="1" applyFont="1" applyAlignment="1">
      <alignment horizontal="left" vertical="center"/>
    </xf>
    <xf numFmtId="174" fontId="2" fillId="0" borderId="0" xfId="250" applyNumberFormat="1" applyFont="1" applyAlignment="1">
      <alignment horizontal="center" vertical="center"/>
    </xf>
    <xf numFmtId="174" fontId="10" fillId="0" borderId="29" xfId="250" applyNumberFormat="1" applyFont="1" applyBorder="1"/>
    <xf numFmtId="174" fontId="10" fillId="0" borderId="15" xfId="250" applyNumberFormat="1" applyFont="1" applyBorder="1"/>
    <xf numFmtId="174" fontId="10" fillId="0" borderId="30" xfId="250" applyNumberFormat="1" applyFont="1" applyBorder="1"/>
    <xf numFmtId="174" fontId="65" fillId="0" borderId="28" xfId="160" applyNumberFormat="1" applyFont="1" applyBorder="1" applyAlignment="1">
      <alignment horizontal="center" vertical="center"/>
    </xf>
    <xf numFmtId="174" fontId="46" fillId="0" borderId="0" xfId="250" applyNumberFormat="1" applyFont="1" applyAlignment="1">
      <alignment vertical="center"/>
    </xf>
    <xf numFmtId="174" fontId="66" fillId="64" borderId="0" xfId="250" applyNumberFormat="1" applyFont="1" applyFill="1" applyAlignment="1">
      <alignment horizontal="center" vertical="center"/>
    </xf>
    <xf numFmtId="174" fontId="67" fillId="0" borderId="0" xfId="250" applyNumberFormat="1" applyFont="1" applyAlignment="1">
      <alignment vertical="center"/>
    </xf>
    <xf numFmtId="174" fontId="68" fillId="0" borderId="0" xfId="250" applyNumberFormat="1" applyFont="1" applyAlignment="1">
      <alignment horizontal="center" vertical="center"/>
    </xf>
    <xf numFmtId="174" fontId="57" fillId="0" borderId="31" xfId="250" applyNumberFormat="1" applyFont="1" applyBorder="1" applyAlignment="1">
      <alignment vertical="center"/>
    </xf>
    <xf numFmtId="174" fontId="69" fillId="0" borderId="0" xfId="250" applyNumberFormat="1" applyFont="1" applyAlignment="1">
      <alignment vertical="center"/>
    </xf>
    <xf numFmtId="174" fontId="70" fillId="35" borderId="32" xfId="160" applyNumberFormat="1" applyFont="1" applyFill="1" applyBorder="1" applyAlignment="1">
      <alignment horizontal="center" vertical="center" wrapText="1"/>
    </xf>
    <xf numFmtId="174" fontId="71" fillId="52" borderId="0" xfId="250" applyNumberFormat="1" applyFont="1" applyFill="1" applyAlignment="1">
      <alignment horizontal="center" vertical="center"/>
    </xf>
    <xf numFmtId="174" fontId="71" fillId="52" borderId="0" xfId="250" applyNumberFormat="1" applyFont="1" applyFill="1" applyAlignment="1">
      <alignment horizontal="center" vertical="center" wrapText="1"/>
    </xf>
    <xf numFmtId="174" fontId="71" fillId="0" borderId="0" xfId="250" applyNumberFormat="1" applyFont="1" applyAlignment="1">
      <alignment vertical="center"/>
    </xf>
    <xf numFmtId="174" fontId="49" fillId="61" borderId="21" xfId="250" applyNumberFormat="1" applyFont="1" applyFill="1" applyBorder="1" applyAlignment="1">
      <alignment horizontal="center" vertical="center"/>
    </xf>
    <xf numFmtId="174" fontId="59" fillId="0" borderId="0" xfId="250" applyNumberFormat="1" applyFont="1" applyAlignment="1">
      <alignment horizontal="right" vertical="center"/>
    </xf>
    <xf numFmtId="174" fontId="23" fillId="0" borderId="31" xfId="250" applyNumberFormat="1" applyFont="1" applyBorder="1" applyAlignment="1">
      <alignment vertical="center"/>
    </xf>
    <xf numFmtId="174" fontId="59" fillId="0" borderId="24" xfId="250" applyNumberFormat="1" applyFont="1" applyBorder="1" applyAlignment="1">
      <alignment horizontal="center" vertical="center"/>
    </xf>
    <xf numFmtId="174" fontId="71" fillId="0" borderId="0" xfId="250" applyNumberFormat="1" applyFont="1" applyAlignment="1">
      <alignment horizontal="center" vertical="center"/>
    </xf>
    <xf numFmtId="174" fontId="72" fillId="0" borderId="24" xfId="250" applyNumberFormat="1" applyFont="1" applyBorder="1" applyAlignment="1">
      <alignment horizontal="center" vertical="center"/>
    </xf>
    <xf numFmtId="174" fontId="23" fillId="0" borderId="0" xfId="250" applyNumberFormat="1" applyFont="1" applyAlignment="1">
      <alignment horizontal="right" vertical="center"/>
    </xf>
    <xf numFmtId="174" fontId="2" fillId="57" borderId="0" xfId="250" applyNumberFormat="1" applyFont="1" applyFill="1" applyAlignment="1">
      <alignment vertical="center"/>
    </xf>
    <xf numFmtId="174" fontId="73" fillId="0" borderId="0" xfId="250" applyNumberFormat="1" applyFont="1" applyAlignment="1">
      <alignment vertical="center" wrapText="1"/>
    </xf>
    <xf numFmtId="174" fontId="2" fillId="0" borderId="0" xfId="250" applyNumberFormat="1" applyFont="1" applyAlignment="1">
      <alignment horizontal="right" vertical="center"/>
    </xf>
    <xf numFmtId="174" fontId="55" fillId="0" borderId="0" xfId="250" applyNumberFormat="1" applyFont="1" applyAlignment="1">
      <alignment horizontal="center" vertical="center"/>
    </xf>
    <xf numFmtId="174" fontId="74" fillId="0" borderId="33" xfId="250" applyNumberFormat="1" applyFont="1" applyBorder="1" applyAlignment="1">
      <alignment horizontal="center" vertical="center" wrapText="1"/>
    </xf>
    <xf numFmtId="174" fontId="61" fillId="0" borderId="0" xfId="250" applyNumberFormat="1" applyFont="1" applyAlignment="1">
      <alignment horizontal="right" vertical="center"/>
    </xf>
    <xf numFmtId="174" fontId="61" fillId="64" borderId="0" xfId="250" applyNumberFormat="1" applyFont="1" applyFill="1" applyAlignment="1">
      <alignment horizontal="right" vertical="center"/>
    </xf>
    <xf numFmtId="174" fontId="34" fillId="41" borderId="1" xfId="0" applyNumberFormat="1" applyFont="1" applyFill="1" applyBorder="1" applyAlignment="1">
      <alignment horizontal="center" vertical="center"/>
    </xf>
    <xf numFmtId="174" fontId="33" fillId="48" borderId="1" xfId="0" applyNumberFormat="1" applyFont="1" applyFill="1" applyBorder="1" applyAlignment="1">
      <alignment horizontal="center" vertical="center"/>
    </xf>
    <xf numFmtId="174" fontId="61" fillId="64" borderId="0" xfId="250" applyNumberFormat="1" applyFont="1" applyFill="1" applyAlignment="1">
      <alignment horizontal="left" vertical="center"/>
    </xf>
    <xf numFmtId="174" fontId="61" fillId="0" borderId="0" xfId="250" applyNumberFormat="1" applyFont="1" applyAlignment="1">
      <alignment horizontal="left" vertical="center"/>
    </xf>
    <xf numFmtId="174" fontId="75" fillId="0" borderId="0" xfId="250" applyNumberFormat="1" applyFont="1" applyAlignment="1">
      <alignment horizontal="center" vertical="center"/>
    </xf>
    <xf numFmtId="174" fontId="76" fillId="0" borderId="24" xfId="250" applyNumberFormat="1" applyFont="1" applyBorder="1" applyAlignment="1">
      <alignment horizontal="center" vertical="center" wrapText="1"/>
    </xf>
    <xf numFmtId="174" fontId="10" fillId="0" borderId="34" xfId="250" applyNumberFormat="1" applyFont="1" applyBorder="1"/>
    <xf numFmtId="174" fontId="33" fillId="36" borderId="1" xfId="0" applyNumberFormat="1" applyFont="1" applyFill="1" applyBorder="1" applyAlignment="1">
      <alignment horizontal="center" vertical="center"/>
    </xf>
    <xf numFmtId="174" fontId="34" fillId="41" borderId="2" xfId="0" applyNumberFormat="1" applyFont="1" applyFill="1" applyBorder="1" applyAlignment="1">
      <alignment horizontal="center" vertical="center"/>
    </xf>
    <xf numFmtId="174" fontId="77" fillId="0" borderId="21" xfId="250" applyNumberFormat="1" applyFont="1" applyBorder="1" applyAlignment="1">
      <alignment horizontal="center" vertical="center"/>
    </xf>
    <xf numFmtId="174" fontId="78" fillId="0" borderId="24" xfId="250" applyNumberFormat="1" applyFont="1" applyBorder="1" applyAlignment="1">
      <alignment horizontal="center" vertical="center" shrinkToFit="1"/>
    </xf>
    <xf numFmtId="174" fontId="44" fillId="51" borderId="0" xfId="250" applyNumberFormat="1" applyFont="1" applyFill="1" applyAlignment="1">
      <alignment horizontal="center" vertical="center"/>
    </xf>
    <xf numFmtId="174" fontId="37" fillId="45" borderId="1" xfId="0" applyNumberFormat="1" applyFont="1" applyFill="1" applyBorder="1" applyAlignment="1">
      <alignment horizontal="center" vertical="center"/>
    </xf>
    <xf numFmtId="174" fontId="34" fillId="37" borderId="1" xfId="0" applyNumberFormat="1" applyFont="1" applyFill="1" applyBorder="1" applyAlignment="1">
      <alignment horizontal="center" vertical="center"/>
    </xf>
    <xf numFmtId="174" fontId="10" fillId="0" borderId="35" xfId="250" applyNumberFormat="1" applyFont="1" applyBorder="1"/>
    <xf numFmtId="174" fontId="69" fillId="0" borderId="15" xfId="250" applyNumberFormat="1" applyFont="1" applyBorder="1" applyAlignment="1">
      <alignment vertical="center"/>
    </xf>
    <xf numFmtId="174" fontId="7" fillId="64" borderId="0" xfId="250" applyNumberFormat="1" applyFont="1" applyFill="1" applyAlignment="1">
      <alignment horizontal="right" vertical="center"/>
    </xf>
    <xf numFmtId="174" fontId="69" fillId="57" borderId="0" xfId="250" applyNumberFormat="1" applyFont="1" applyFill="1" applyAlignment="1">
      <alignment vertical="center"/>
    </xf>
    <xf numFmtId="174" fontId="61" fillId="0" borderId="0" xfId="250" applyNumberFormat="1" applyFont="1" applyAlignment="1">
      <alignment horizontal="right" vertical="center" shrinkToFit="1"/>
    </xf>
    <xf numFmtId="174" fontId="79" fillId="0" borderId="0" xfId="250" applyNumberFormat="1" applyFont="1" applyAlignment="1">
      <alignment horizontal="center" vertical="center"/>
    </xf>
    <xf numFmtId="174" fontId="44" fillId="61" borderId="15" xfId="250" applyNumberFormat="1" applyFont="1" applyFill="1" applyBorder="1" applyAlignment="1">
      <alignment horizontal="center" vertical="center"/>
    </xf>
    <xf numFmtId="174" fontId="44" fillId="0" borderId="15" xfId="250" applyNumberFormat="1" applyFont="1" applyBorder="1" applyAlignment="1">
      <alignment horizontal="center" vertical="center"/>
    </xf>
    <xf numFmtId="174" fontId="69" fillId="0" borderId="31" xfId="250" applyNumberFormat="1" applyFont="1" applyBorder="1" applyAlignment="1">
      <alignment vertical="center"/>
    </xf>
    <xf numFmtId="174" fontId="69" fillId="0" borderId="16" xfId="250" applyNumberFormat="1" applyFont="1" applyBorder="1" applyAlignment="1">
      <alignment vertical="center"/>
    </xf>
    <xf numFmtId="174" fontId="69" fillId="0" borderId="22" xfId="250" applyNumberFormat="1" applyFont="1" applyBorder="1" applyAlignment="1">
      <alignment vertical="center"/>
    </xf>
    <xf numFmtId="174" fontId="23" fillId="0" borderId="29" xfId="250" applyNumberFormat="1" applyFont="1" applyBorder="1" applyAlignment="1">
      <alignment vertical="center"/>
    </xf>
    <xf numFmtId="174" fontId="23" fillId="0" borderId="15" xfId="250" applyNumberFormat="1" applyFont="1" applyBorder="1" applyAlignment="1">
      <alignment vertical="center"/>
    </xf>
    <xf numFmtId="174" fontId="80" fillId="0" borderId="0" xfId="250" applyNumberFormat="1" applyFont="1" applyAlignment="1">
      <alignment horizontal="center" vertical="center"/>
    </xf>
    <xf numFmtId="174" fontId="71" fillId="52" borderId="0" xfId="250" applyNumberFormat="1" applyFont="1" applyFill="1" applyAlignment="1">
      <alignment horizontal="center" vertical="center" shrinkToFit="1"/>
    </xf>
    <xf numFmtId="174" fontId="59" fillId="64" borderId="0" xfId="250" applyNumberFormat="1" applyFont="1" applyFill="1" applyAlignment="1">
      <alignment horizontal="right" vertical="center"/>
    </xf>
    <xf numFmtId="174" fontId="23" fillId="0" borderId="27" xfId="250" applyNumberFormat="1" applyFont="1" applyBorder="1" applyAlignment="1">
      <alignment vertical="center"/>
    </xf>
    <xf numFmtId="174" fontId="10" fillId="0" borderId="26" xfId="250" applyNumberFormat="1" applyFont="1" applyBorder="1" applyAlignment="1">
      <alignment vertical="center"/>
    </xf>
    <xf numFmtId="174" fontId="10" fillId="0" borderId="27" xfId="250" applyNumberFormat="1" applyFont="1" applyBorder="1" applyAlignment="1">
      <alignment vertical="center"/>
    </xf>
    <xf numFmtId="174" fontId="77" fillId="0" borderId="0" xfId="250" applyNumberFormat="1" applyFont="1" applyAlignment="1">
      <alignment vertical="center"/>
    </xf>
    <xf numFmtId="174" fontId="81" fillId="0" borderId="0" xfId="250" applyNumberFormat="1" applyFont="1" applyAlignment="1">
      <alignment vertical="center"/>
    </xf>
    <xf numFmtId="174" fontId="82" fillId="0" borderId="24" xfId="250" applyNumberFormat="1" applyFont="1" applyBorder="1" applyAlignment="1">
      <alignment horizontal="center" vertical="center" shrinkToFit="1"/>
    </xf>
    <xf numFmtId="174" fontId="73" fillId="64" borderId="0" xfId="250" applyNumberFormat="1" applyFont="1" applyFill="1" applyAlignment="1">
      <alignment horizontal="center" vertical="center"/>
    </xf>
    <xf numFmtId="174" fontId="46" fillId="57" borderId="0" xfId="250" applyNumberFormat="1" applyFont="1" applyFill="1" applyAlignment="1">
      <alignment horizontal="center" vertical="center"/>
    </xf>
    <xf numFmtId="174" fontId="53" fillId="64" borderId="0" xfId="250" applyNumberFormat="1" applyFont="1" applyFill="1" applyAlignment="1">
      <alignment horizontal="right" vertical="center"/>
    </xf>
    <xf numFmtId="174" fontId="83" fillId="0" borderId="0" xfId="250" applyNumberFormat="1" applyFont="1" applyAlignment="1">
      <alignment horizontal="center" vertical="center"/>
    </xf>
    <xf numFmtId="174" fontId="7" fillId="0" borderId="0" xfId="250" applyNumberFormat="1" applyFont="1" applyAlignment="1">
      <alignment horizontal="center" vertical="center"/>
    </xf>
    <xf numFmtId="174" fontId="46" fillId="72" borderId="0" xfId="0" applyNumberFormat="1" applyFont="1" applyFill="1" applyAlignment="1">
      <alignment horizontal="center" vertical="center"/>
    </xf>
    <xf numFmtId="174" fontId="41" fillId="46" borderId="1" xfId="0" applyNumberFormat="1" applyFont="1" applyFill="1" applyBorder="1" applyAlignment="1">
      <alignment horizontal="center" vertical="center"/>
    </xf>
    <xf numFmtId="174" fontId="44" fillId="0" borderId="0" xfId="250" applyNumberFormat="1" applyFont="1" applyAlignment="1">
      <alignment vertical="center"/>
    </xf>
    <xf numFmtId="174" fontId="77" fillId="0" borderId="0" xfId="250" applyNumberFormat="1" applyFont="1" applyAlignment="1">
      <alignment horizontal="center" vertical="center" wrapText="1"/>
    </xf>
    <xf numFmtId="174" fontId="10" fillId="0" borderId="34" xfId="250" applyNumberFormat="1" applyFont="1" applyBorder="1" applyAlignment="1">
      <alignment vertical="center"/>
    </xf>
    <xf numFmtId="174" fontId="57" fillId="0" borderId="29" xfId="250" applyNumberFormat="1" applyFont="1" applyBorder="1" applyAlignment="1">
      <alignment vertical="center"/>
    </xf>
    <xf numFmtId="174" fontId="57" fillId="0" borderId="30" xfId="250" applyNumberFormat="1" applyFont="1" applyBorder="1" applyAlignment="1">
      <alignment vertical="center"/>
    </xf>
    <xf numFmtId="174" fontId="55" fillId="0" borderId="24" xfId="250" applyNumberFormat="1" applyFont="1" applyBorder="1" applyAlignment="1">
      <alignment horizontal="center" vertical="center"/>
    </xf>
    <xf numFmtId="174" fontId="10" fillId="0" borderId="35" xfId="250" applyNumberFormat="1" applyFont="1" applyBorder="1" applyAlignment="1">
      <alignment vertical="center"/>
    </xf>
    <xf numFmtId="174" fontId="51" fillId="61" borderId="0" xfId="250" applyNumberFormat="1" applyFont="1" applyFill="1" applyAlignment="1">
      <alignment vertical="center"/>
    </xf>
    <xf numFmtId="174" fontId="51" fillId="61" borderId="0" xfId="250" applyNumberFormat="1" applyFont="1" applyFill="1" applyAlignment="1">
      <alignment horizontal="center" vertical="center"/>
    </xf>
    <xf numFmtId="174" fontId="33" fillId="34" borderId="1" xfId="0" applyNumberFormat="1" applyFont="1" applyFill="1" applyBorder="1" applyAlignment="1">
      <alignment horizontal="center" vertical="center"/>
    </xf>
    <xf numFmtId="174" fontId="10" fillId="0" borderId="36" xfId="250" applyNumberFormat="1" applyFont="1" applyBorder="1" applyAlignment="1">
      <alignment horizontal="center" vertical="center"/>
    </xf>
    <xf numFmtId="174" fontId="10" fillId="0" borderId="36" xfId="250" applyNumberFormat="1" applyFont="1" applyBorder="1"/>
    <xf numFmtId="174" fontId="10" fillId="0" borderId="21" xfId="250" applyNumberFormat="1" applyFont="1" applyBorder="1" applyAlignment="1">
      <alignment vertical="center"/>
    </xf>
    <xf numFmtId="174" fontId="10" fillId="0" borderId="22" xfId="250" applyNumberFormat="1" applyFont="1" applyBorder="1" applyAlignment="1">
      <alignment vertical="center"/>
    </xf>
    <xf numFmtId="174" fontId="84" fillId="52" borderId="21" xfId="250" applyNumberFormat="1" applyFont="1" applyFill="1" applyBorder="1" applyAlignment="1">
      <alignment horizontal="center" vertical="center" wrapText="1"/>
    </xf>
    <xf numFmtId="174" fontId="35" fillId="39" borderId="1" xfId="0" applyNumberFormat="1" applyFont="1" applyFill="1" applyBorder="1" applyAlignment="1">
      <alignment horizontal="center" vertical="center"/>
    </xf>
    <xf numFmtId="174" fontId="85" fillId="0" borderId="37" xfId="250" applyNumberFormat="1" applyFont="1" applyBorder="1" applyAlignment="1">
      <alignment horizontal="center" vertical="center"/>
    </xf>
    <xf numFmtId="174" fontId="10" fillId="0" borderId="37" xfId="250" applyNumberFormat="1" applyFont="1" applyBorder="1"/>
    <xf numFmtId="174" fontId="50" fillId="0" borderId="31" xfId="250" applyNumberFormat="1" applyFont="1" applyBorder="1" applyAlignment="1">
      <alignment vertical="center"/>
    </xf>
    <xf numFmtId="174" fontId="86" fillId="0" borderId="24" xfId="250" applyNumberFormat="1" applyFont="1" applyBorder="1" applyAlignment="1">
      <alignment horizontal="center" vertical="center"/>
    </xf>
    <xf numFmtId="174" fontId="65" fillId="0" borderId="0" xfId="250" applyNumberFormat="1" applyFont="1" applyAlignment="1">
      <alignment horizontal="center" vertical="center"/>
    </xf>
    <xf numFmtId="174" fontId="75" fillId="0" borderId="0" xfId="250" applyNumberFormat="1" applyFont="1" applyAlignment="1">
      <alignment vertical="center"/>
    </xf>
    <xf numFmtId="174" fontId="87" fillId="61" borderId="0" xfId="250" applyNumberFormat="1" applyFont="1" applyFill="1" applyAlignment="1">
      <alignment vertical="center"/>
    </xf>
    <xf numFmtId="174" fontId="88" fillId="0" borderId="0" xfId="250" applyNumberFormat="1" applyFont="1" applyAlignment="1">
      <alignment horizontal="center" vertical="center"/>
    </xf>
    <xf numFmtId="174" fontId="89" fillId="0" borderId="24" xfId="250" applyNumberFormat="1" applyFont="1" applyBorder="1" applyAlignment="1">
      <alignment horizontal="center" vertical="center"/>
    </xf>
    <xf numFmtId="174" fontId="23" fillId="0" borderId="0" xfId="250" applyNumberFormat="1" applyFont="1" applyAlignment="1">
      <alignment horizontal="left" vertical="center" textRotation="180"/>
    </xf>
    <xf numFmtId="174" fontId="79" fillId="0" borderId="0" xfId="250" applyNumberFormat="1" applyFont="1" applyAlignment="1">
      <alignment vertical="center"/>
    </xf>
    <xf numFmtId="174" fontId="79" fillId="0" borderId="0" xfId="250" applyNumberFormat="1" applyFont="1" applyAlignment="1">
      <alignment horizontal="left" vertical="center"/>
    </xf>
    <xf numFmtId="174" fontId="23" fillId="0" borderId="15" xfId="250" applyNumberFormat="1" applyFont="1" applyBorder="1" applyAlignment="1">
      <alignment horizontal="left" vertical="center" textRotation="180"/>
    </xf>
    <xf numFmtId="174" fontId="71" fillId="0" borderId="37" xfId="250" applyNumberFormat="1" applyFont="1" applyBorder="1" applyAlignment="1">
      <alignment horizontal="center" vertical="center"/>
    </xf>
    <xf numFmtId="174" fontId="10" fillId="0" borderId="0" xfId="250" applyNumberFormat="1" applyFont="1" applyAlignment="1">
      <alignment horizontal="center" vertical="center"/>
    </xf>
    <xf numFmtId="174" fontId="90" fillId="0" borderId="0" xfId="250" applyNumberFormat="1" applyFont="1" applyAlignment="1">
      <alignment horizontal="left" vertical="center"/>
    </xf>
    <xf numFmtId="174" fontId="91" fillId="0" borderId="0" xfId="250" applyNumberFormat="1" applyFont="1" applyAlignment="1">
      <alignment horizontal="center" vertical="center" shrinkToFit="1"/>
    </xf>
    <xf numFmtId="174" fontId="71" fillId="0" borderId="0" xfId="250" applyNumberFormat="1" applyFont="1" applyAlignment="1">
      <alignment horizontal="center" vertical="center"/>
    </xf>
    <xf numFmtId="174" fontId="92" fillId="0" borderId="24" xfId="250" applyNumberFormat="1" applyFont="1" applyBorder="1" applyAlignment="1">
      <alignment horizontal="center" vertical="center"/>
    </xf>
    <xf numFmtId="174" fontId="92" fillId="0" borderId="25" xfId="250" applyNumberFormat="1" applyFont="1" applyBorder="1" applyAlignment="1">
      <alignment horizontal="center" vertical="center"/>
    </xf>
    <xf numFmtId="174" fontId="79" fillId="0" borderId="0" xfId="250" applyNumberFormat="1" applyFont="1" applyAlignment="1">
      <alignment horizontal="center" vertical="center" shrinkToFit="1"/>
    </xf>
    <xf numFmtId="174" fontId="66" fillId="0" borderId="0" xfId="250" applyNumberFormat="1" applyFont="1" applyAlignment="1">
      <alignment horizontal="center" vertical="center"/>
    </xf>
    <xf numFmtId="174" fontId="2" fillId="51" borderId="0" xfId="250" applyNumberFormat="1" applyFont="1" applyFill="1" applyAlignment="1">
      <alignment vertical="center"/>
    </xf>
    <xf numFmtId="174" fontId="93" fillId="0" borderId="24" xfId="250" applyNumberFormat="1" applyFont="1" applyBorder="1" applyAlignment="1">
      <alignment horizontal="center" vertical="center"/>
    </xf>
    <xf numFmtId="174" fontId="59" fillId="57" borderId="0" xfId="250" applyNumberFormat="1" applyFont="1" applyFill="1" applyAlignment="1">
      <alignment horizontal="center" vertical="center"/>
    </xf>
    <xf numFmtId="174" fontId="88" fillId="0" borderId="38" xfId="250" applyNumberFormat="1" applyFont="1" applyBorder="1" applyAlignment="1">
      <alignment horizontal="center" vertical="center" wrapText="1"/>
    </xf>
    <xf numFmtId="174" fontId="88" fillId="0" borderId="0" xfId="250" applyNumberFormat="1" applyFont="1" applyAlignment="1">
      <alignment horizontal="center" vertical="center" wrapText="1"/>
    </xf>
    <xf numFmtId="174" fontId="46" fillId="0" borderId="0" xfId="250" applyNumberFormat="1" applyFont="1" applyAlignment="1">
      <alignment horizontal="center" vertical="center"/>
    </xf>
    <xf numFmtId="174" fontId="94" fillId="0" borderId="0" xfId="250" applyNumberFormat="1" applyFont="1" applyAlignment="1">
      <alignment horizontal="center" vertical="center"/>
    </xf>
    <xf numFmtId="174" fontId="95" fillId="72" borderId="0" xfId="0" applyNumberFormat="1" applyFont="1" applyFill="1" applyAlignment="1">
      <alignment horizontal="center" vertical="center"/>
    </xf>
    <xf numFmtId="174" fontId="33" fillId="47" borderId="1" xfId="0" applyNumberFormat="1" applyFont="1" applyFill="1" applyBorder="1" applyAlignment="1">
      <alignment horizontal="center" vertical="center"/>
    </xf>
    <xf numFmtId="174" fontId="90" fillId="0" borderId="0" xfId="250" applyNumberFormat="1" applyFont="1" applyAlignment="1">
      <alignment horizontal="center" vertical="center"/>
    </xf>
    <xf numFmtId="174" fontId="96" fillId="0" borderId="0" xfId="250" applyNumberFormat="1" applyFont="1" applyAlignment="1">
      <alignment horizontal="center" vertical="center"/>
    </xf>
    <xf numFmtId="174" fontId="97" fillId="0" borderId="0" xfId="250" applyNumberFormat="1" applyFont="1" applyAlignment="1">
      <alignment horizontal="center" vertical="center" shrinkToFit="1"/>
    </xf>
    <xf numFmtId="174" fontId="34" fillId="41" borderId="75" xfId="0" applyNumberFormat="1" applyFont="1" applyFill="1" applyBorder="1" applyAlignment="1">
      <alignment horizontal="center" vertical="center"/>
    </xf>
    <xf numFmtId="174" fontId="85" fillId="0" borderId="39" xfId="250" applyNumberFormat="1" applyFont="1" applyBorder="1" applyAlignment="1">
      <alignment horizontal="center" vertical="center"/>
    </xf>
    <xf numFmtId="174" fontId="33" fillId="42" borderId="1" xfId="0" applyNumberFormat="1" applyFont="1" applyFill="1" applyBorder="1" applyAlignment="1">
      <alignment horizontal="center" vertical="center"/>
    </xf>
    <xf numFmtId="174" fontId="41" fillId="46" borderId="2" xfId="0" applyNumberFormat="1" applyFont="1" applyFill="1" applyBorder="1" applyAlignment="1">
      <alignment horizontal="center" vertical="center"/>
    </xf>
    <xf numFmtId="174" fontId="98" fillId="0" borderId="0" xfId="250" applyNumberFormat="1" applyFont="1" applyAlignment="1">
      <alignment horizontal="center" vertical="center"/>
    </xf>
    <xf numFmtId="174" fontId="99" fillId="0" borderId="0" xfId="250" applyNumberFormat="1" applyFont="1" applyAlignment="1">
      <alignment horizontal="center" vertical="center"/>
    </xf>
    <xf numFmtId="174" fontId="55" fillId="0" borderId="24" xfId="250" applyNumberFormat="1" applyFont="1" applyBorder="1" applyAlignment="1">
      <alignment horizontal="center"/>
    </xf>
    <xf numFmtId="174" fontId="61" fillId="64" borderId="0" xfId="250" applyNumberFormat="1" applyFont="1" applyFill="1" applyAlignment="1">
      <alignment horizontal="center" vertical="center"/>
    </xf>
    <xf numFmtId="174" fontId="100" fillId="0" borderId="0" xfId="250" applyNumberFormat="1" applyFont="1" applyAlignment="1">
      <alignment horizontal="center" vertical="center" shrinkToFit="1"/>
    </xf>
    <xf numFmtId="174" fontId="33" fillId="38" borderId="1" xfId="0" applyNumberFormat="1" applyFont="1" applyFill="1" applyBorder="1" applyAlignment="1">
      <alignment horizontal="center" vertical="center"/>
    </xf>
    <xf numFmtId="174" fontId="59" fillId="0" borderId="0" xfId="250" applyNumberFormat="1" applyFont="1" applyAlignment="1">
      <alignment horizontal="left" vertical="center" shrinkToFit="1"/>
    </xf>
    <xf numFmtId="174" fontId="50" fillId="64" borderId="0" xfId="250" applyNumberFormat="1" applyFont="1" applyFill="1" applyAlignment="1">
      <alignment horizontal="center" vertical="center"/>
    </xf>
    <xf numFmtId="174" fontId="2" fillId="64" borderId="0" xfId="250" applyNumberFormat="1" applyFont="1" applyFill="1" applyAlignment="1">
      <alignment vertical="center"/>
    </xf>
    <xf numFmtId="174" fontId="33" fillId="40" borderId="1" xfId="0" applyNumberFormat="1" applyFont="1" applyFill="1" applyBorder="1" applyAlignment="1">
      <alignment horizontal="center" vertical="center"/>
    </xf>
    <xf numFmtId="174" fontId="101" fillId="0" borderId="0" xfId="250" applyNumberFormat="1" applyFont="1" applyAlignment="1">
      <alignment horizontal="center" vertical="center"/>
    </xf>
    <xf numFmtId="174" fontId="65" fillId="64" borderId="0" xfId="250" applyNumberFormat="1" applyFont="1" applyFill="1" applyAlignment="1">
      <alignment horizontal="right" vertical="center"/>
    </xf>
    <xf numFmtId="174" fontId="102" fillId="64" borderId="0" xfId="250" applyNumberFormat="1" applyFont="1" applyFill="1" applyAlignment="1">
      <alignment horizontal="right" vertical="center"/>
    </xf>
    <xf numFmtId="174" fontId="103" fillId="0" borderId="0" xfId="250" applyNumberFormat="1" applyFont="1" applyAlignment="1">
      <alignment vertical="center"/>
    </xf>
    <xf numFmtId="174" fontId="104" fillId="0" borderId="25" xfId="250" applyNumberFormat="1" applyFont="1" applyBorder="1" applyAlignment="1">
      <alignment horizontal="center" vertical="center"/>
    </xf>
    <xf numFmtId="174" fontId="33" fillId="49" borderId="1" xfId="0" applyNumberFormat="1" applyFont="1" applyFill="1" applyBorder="1" applyAlignment="1">
      <alignment horizontal="center" vertical="center"/>
    </xf>
    <xf numFmtId="174" fontId="105" fillId="0" borderId="0" xfId="250" applyNumberFormat="1" applyFont="1" applyAlignment="1">
      <alignment vertical="center"/>
    </xf>
    <xf numFmtId="174" fontId="61" fillId="57" borderId="0" xfId="250" applyNumberFormat="1" applyFont="1" applyFill="1" applyAlignment="1">
      <alignment horizontal="center" vertical="center"/>
    </xf>
    <xf numFmtId="174" fontId="41" fillId="89" borderId="40" xfId="250" applyNumberFormat="1" applyFont="1" applyFill="1" applyBorder="1" applyAlignment="1">
      <alignment horizontal="center" vertical="center"/>
    </xf>
    <xf numFmtId="174" fontId="34" fillId="58" borderId="41" xfId="250" applyNumberFormat="1" applyFont="1" applyFill="1" applyBorder="1" applyAlignment="1">
      <alignment horizontal="center" vertical="center"/>
    </xf>
    <xf numFmtId="174" fontId="106" fillId="0" borderId="0" xfId="250" applyNumberFormat="1" applyFont="1" applyAlignment="1">
      <alignment vertical="center"/>
    </xf>
    <xf numFmtId="174" fontId="41" fillId="89" borderId="42" xfId="250" applyNumberFormat="1" applyFont="1" applyFill="1" applyBorder="1" applyAlignment="1">
      <alignment horizontal="center" vertical="center"/>
    </xf>
    <xf numFmtId="174" fontId="34" fillId="58" borderId="24" xfId="250" applyNumberFormat="1" applyFont="1" applyFill="1" applyBorder="1" applyAlignment="1">
      <alignment horizontal="center" vertical="center"/>
    </xf>
    <xf numFmtId="174" fontId="80" fillId="0" borderId="24" xfId="250" applyNumberFormat="1" applyFont="1" applyBorder="1" applyAlignment="1">
      <alignment horizontal="center" vertical="center"/>
    </xf>
    <xf numFmtId="174" fontId="37" fillId="45" borderId="2" xfId="0" applyNumberFormat="1" applyFont="1" applyFill="1" applyBorder="1" applyAlignment="1">
      <alignment horizontal="center" vertical="center"/>
    </xf>
    <xf numFmtId="174" fontId="107" fillId="0" borderId="0" xfId="250" applyNumberFormat="1" applyFont="1" applyAlignment="1">
      <alignment horizontal="center" vertical="center"/>
    </xf>
    <xf numFmtId="174" fontId="58" fillId="0" borderId="18" xfId="250" applyNumberFormat="1" applyFont="1" applyBorder="1" applyAlignment="1">
      <alignment horizontal="center" vertical="center" shrinkToFit="1"/>
    </xf>
    <xf numFmtId="174" fontId="108" fillId="0" borderId="0" xfId="250" applyNumberFormat="1" applyFont="1" applyAlignment="1">
      <alignment vertical="center"/>
    </xf>
    <xf numFmtId="174" fontId="10" fillId="0" borderId="37" xfId="250" applyNumberFormat="1" applyFont="1" applyBorder="1" applyAlignment="1">
      <alignment horizontal="center" vertical="center"/>
    </xf>
    <xf numFmtId="174" fontId="33" fillId="90" borderId="24" xfId="250" applyNumberFormat="1" applyFont="1" applyFill="1" applyBorder="1" applyAlignment="1">
      <alignment horizontal="center" vertical="center"/>
    </xf>
    <xf numFmtId="174" fontId="33" fillId="91" borderId="24" xfId="250" applyNumberFormat="1" applyFont="1" applyFill="1" applyBorder="1" applyAlignment="1">
      <alignment horizontal="center" vertical="center"/>
    </xf>
    <xf numFmtId="174" fontId="90" fillId="0" borderId="0" xfId="250" applyNumberFormat="1" applyFont="1" applyAlignment="1">
      <alignment vertical="center"/>
    </xf>
    <xf numFmtId="174" fontId="42" fillId="0" borderId="43" xfId="250" applyNumberFormat="1" applyFont="1" applyBorder="1" applyAlignment="1">
      <alignment horizontal="center" vertical="center" textRotation="90" wrapText="1"/>
    </xf>
    <xf numFmtId="174" fontId="109" fillId="0" borderId="24" xfId="250" applyNumberFormat="1" applyFont="1" applyBorder="1" applyAlignment="1">
      <alignment horizontal="center" vertical="center"/>
    </xf>
    <xf numFmtId="174" fontId="59" fillId="0" borderId="24" xfId="250" applyNumberFormat="1" applyFont="1" applyBorder="1" applyAlignment="1">
      <alignment horizontal="center" vertical="center" wrapText="1"/>
    </xf>
    <xf numFmtId="174" fontId="80" fillId="52" borderId="0" xfId="250" applyNumberFormat="1" applyFont="1" applyFill="1" applyAlignment="1">
      <alignment horizontal="center" vertical="center"/>
    </xf>
    <xf numFmtId="174" fontId="2" fillId="0" borderId="0" xfId="250" applyNumberFormat="1" applyFont="1" applyAlignment="1">
      <alignment horizontal="center" vertical="center"/>
    </xf>
    <xf numFmtId="174" fontId="42" fillId="0" borderId="44" xfId="250" applyNumberFormat="1" applyFont="1" applyBorder="1" applyAlignment="1">
      <alignment horizontal="center" vertical="center" textRotation="90" wrapText="1"/>
    </xf>
    <xf numFmtId="174" fontId="110" fillId="0" borderId="0" xfId="250" applyNumberFormat="1" applyFont="1" applyAlignment="1">
      <alignment vertical="center"/>
    </xf>
    <xf numFmtId="174" fontId="92" fillId="0" borderId="24" xfId="250" applyNumberFormat="1" applyFont="1" applyBorder="1" applyAlignment="1">
      <alignment horizontal="center"/>
    </xf>
    <xf numFmtId="174" fontId="111" fillId="0" borderId="24" xfId="250" applyNumberFormat="1" applyFont="1" applyBorder="1" applyAlignment="1">
      <alignment horizontal="center" vertical="center" shrinkToFit="1"/>
    </xf>
    <xf numFmtId="174" fontId="85" fillId="0" borderId="0" xfId="250" applyNumberFormat="1" applyFont="1" applyAlignment="1">
      <alignment vertical="center"/>
    </xf>
    <xf numFmtId="174" fontId="72" fillId="0" borderId="24" xfId="250" applyNumberFormat="1" applyFont="1" applyBorder="1" applyAlignment="1">
      <alignment horizontal="center" vertical="center" shrinkToFit="1"/>
    </xf>
    <xf numFmtId="174" fontId="7" fillId="61" borderId="0" xfId="250" applyNumberFormat="1" applyFont="1" applyFill="1" applyAlignment="1">
      <alignment horizontal="center" vertical="center"/>
    </xf>
    <xf numFmtId="174" fontId="85" fillId="0" borderId="37" xfId="250" applyNumberFormat="1" applyFont="1" applyBorder="1" applyAlignment="1">
      <alignment horizontal="center" vertical="center"/>
    </xf>
    <xf numFmtId="174" fontId="10" fillId="0" borderId="45" xfId="250" applyNumberFormat="1" applyFont="1" applyBorder="1"/>
    <xf numFmtId="174" fontId="90" fillId="0" borderId="18" xfId="250" applyNumberFormat="1" applyFont="1" applyBorder="1" applyAlignment="1">
      <alignment horizontal="center" vertical="center"/>
    </xf>
    <xf numFmtId="174" fontId="10" fillId="0" borderId="25" xfId="250" applyNumberFormat="1" applyFont="1" applyBorder="1"/>
    <xf numFmtId="174" fontId="42" fillId="0" borderId="42" xfId="250" applyNumberFormat="1" applyFont="1" applyBorder="1" applyAlignment="1">
      <alignment horizontal="center" vertical="center" textRotation="90" wrapText="1"/>
    </xf>
    <xf numFmtId="174" fontId="85" fillId="0" borderId="36" xfId="250" applyNumberFormat="1" applyFont="1" applyBorder="1" applyAlignment="1">
      <alignment horizontal="center" vertical="center"/>
    </xf>
    <xf numFmtId="174" fontId="112" fillId="0" borderId="24" xfId="250" applyNumberFormat="1" applyFont="1" applyBorder="1" applyAlignment="1">
      <alignment horizontal="center" vertical="center"/>
    </xf>
    <xf numFmtId="174" fontId="2" fillId="61" borderId="21" xfId="250" applyNumberFormat="1" applyFont="1" applyFill="1" applyBorder="1" applyAlignment="1">
      <alignment vertical="center"/>
    </xf>
    <xf numFmtId="174" fontId="2" fillId="61" borderId="16" xfId="250" applyNumberFormat="1" applyFont="1" applyFill="1" applyBorder="1" applyAlignment="1">
      <alignment vertical="center"/>
    </xf>
    <xf numFmtId="174" fontId="7" fillId="61" borderId="16" xfId="250" applyNumberFormat="1" applyFont="1" applyFill="1" applyBorder="1" applyAlignment="1">
      <alignment vertical="center"/>
    </xf>
    <xf numFmtId="174" fontId="7" fillId="61" borderId="22" xfId="250" applyNumberFormat="1" applyFont="1" applyFill="1" applyBorder="1" applyAlignment="1">
      <alignment vertical="center"/>
    </xf>
    <xf numFmtId="174" fontId="71" fillId="0" borderId="0" xfId="250" applyNumberFormat="1" applyFont="1" applyAlignment="1">
      <alignment horizontal="center" vertical="center" shrinkToFit="1"/>
    </xf>
    <xf numFmtId="174" fontId="2" fillId="61" borderId="26" xfId="250" applyNumberFormat="1" applyFont="1" applyFill="1" applyBorder="1" applyAlignment="1">
      <alignment vertical="center"/>
    </xf>
    <xf numFmtId="174" fontId="7" fillId="61" borderId="0" xfId="250" applyNumberFormat="1" applyFont="1" applyFill="1" applyAlignment="1">
      <alignment vertical="center"/>
    </xf>
    <xf numFmtId="174" fontId="7" fillId="61" borderId="27" xfId="250" applyNumberFormat="1" applyFont="1" applyFill="1" applyBorder="1" applyAlignment="1">
      <alignment vertical="center"/>
    </xf>
    <xf numFmtId="174" fontId="7" fillId="0" borderId="0" xfId="250" applyNumberFormat="1" applyFont="1" applyAlignment="1">
      <alignment horizontal="left" vertical="center"/>
    </xf>
    <xf numFmtId="174" fontId="46" fillId="0" borderId="19" xfId="250" applyNumberFormat="1" applyFont="1" applyBorder="1" applyAlignment="1">
      <alignment horizontal="center" vertical="center"/>
    </xf>
    <xf numFmtId="174" fontId="57" fillId="0" borderId="45" xfId="250" applyNumberFormat="1" applyFont="1" applyBorder="1" applyAlignment="1">
      <alignment vertical="center"/>
    </xf>
    <xf numFmtId="174" fontId="49" fillId="61" borderId="0" xfId="250" applyNumberFormat="1" applyFont="1" applyFill="1" applyAlignment="1">
      <alignment vertical="center"/>
    </xf>
    <xf numFmtId="174" fontId="80" fillId="0" borderId="24" xfId="250" applyNumberFormat="1" applyFont="1" applyBorder="1" applyAlignment="1">
      <alignment horizontal="center"/>
    </xf>
    <xf numFmtId="174" fontId="2" fillId="0" borderId="45" xfId="250" applyNumberFormat="1" applyFont="1" applyBorder="1" applyAlignment="1">
      <alignment vertical="center"/>
    </xf>
    <xf numFmtId="174" fontId="57" fillId="0" borderId="0" xfId="250" applyNumberFormat="1" applyFont="1"/>
    <xf numFmtId="174" fontId="90" fillId="0" borderId="0" xfId="250" applyNumberFormat="1" applyFont="1"/>
    <xf numFmtId="174" fontId="10" fillId="0" borderId="0" xfId="250" applyNumberFormat="1" applyFont="1"/>
    <xf numFmtId="174" fontId="90" fillId="0" borderId="0" xfId="250" applyNumberFormat="1" applyFont="1" applyAlignment="1">
      <alignment horizontal="center" vertical="center"/>
    </xf>
    <xf numFmtId="174" fontId="2" fillId="61" borderId="45" xfId="250" applyNumberFormat="1" applyFont="1" applyFill="1" applyBorder="1" applyAlignment="1">
      <alignment vertical="center"/>
    </xf>
    <xf numFmtId="174" fontId="90" fillId="0" borderId="36" xfId="250" applyNumberFormat="1" applyFont="1" applyBorder="1" applyAlignment="1">
      <alignment horizontal="center" vertical="center"/>
    </xf>
    <xf numFmtId="174" fontId="113" fillId="0" borderId="0" xfId="250" applyNumberFormat="1" applyFont="1" applyAlignment="1">
      <alignment horizontal="center" vertical="center"/>
    </xf>
    <xf numFmtId="174" fontId="104" fillId="0" borderId="24" xfId="250" applyNumberFormat="1" applyFont="1" applyBorder="1" applyAlignment="1">
      <alignment horizontal="center" vertical="center"/>
    </xf>
    <xf numFmtId="174" fontId="7" fillId="0" borderId="15" xfId="250" applyNumberFormat="1" applyFont="1" applyBorder="1" applyAlignment="1">
      <alignment vertical="center"/>
    </xf>
    <xf numFmtId="174" fontId="59" fillId="0" borderId="0" xfId="250" applyNumberFormat="1" applyFont="1" applyAlignment="1">
      <alignment vertical="center"/>
    </xf>
    <xf numFmtId="174" fontId="59" fillId="61" borderId="0" xfId="250" applyNumberFormat="1" applyFont="1" applyFill="1" applyAlignment="1">
      <alignment horizontal="center" vertical="center"/>
    </xf>
    <xf numFmtId="174" fontId="44" fillId="61" borderId="29" xfId="250" applyNumberFormat="1" applyFont="1" applyFill="1" applyBorder="1" applyAlignment="1">
      <alignment horizontal="center" vertical="center"/>
    </xf>
    <xf numFmtId="174" fontId="59" fillId="61" borderId="15" xfId="250" applyNumberFormat="1" applyFont="1" applyFill="1" applyBorder="1" applyAlignment="1">
      <alignment horizontal="center" vertical="center"/>
    </xf>
    <xf numFmtId="174" fontId="2" fillId="0" borderId="15" xfId="250" applyNumberFormat="1" applyFont="1" applyBorder="1" applyAlignment="1">
      <alignment vertical="center"/>
    </xf>
    <xf numFmtId="174" fontId="7" fillId="61" borderId="30" xfId="250" applyNumberFormat="1" applyFont="1" applyFill="1" applyBorder="1" applyAlignment="1">
      <alignment vertical="center"/>
    </xf>
    <xf numFmtId="174" fontId="90" fillId="0" borderId="45" xfId="250" applyNumberFormat="1" applyFont="1" applyBorder="1" applyAlignment="1">
      <alignment vertical="center"/>
    </xf>
    <xf numFmtId="174" fontId="114" fillId="0" borderId="0" xfId="250" applyNumberFormat="1" applyFont="1" applyAlignment="1">
      <alignment vertical="center"/>
    </xf>
    <xf numFmtId="174" fontId="115" fillId="0" borderId="24" xfId="250" applyNumberFormat="1" applyFont="1" applyBorder="1" applyAlignment="1">
      <alignment horizontal="center" vertical="center"/>
    </xf>
    <xf numFmtId="174" fontId="2" fillId="61" borderId="46" xfId="250" applyNumberFormat="1" applyFont="1" applyFill="1" applyBorder="1" applyAlignment="1">
      <alignment vertical="center"/>
    </xf>
    <xf numFmtId="174" fontId="2" fillId="61" borderId="36" xfId="250" applyNumberFormat="1" applyFont="1" applyFill="1" applyBorder="1" applyAlignment="1">
      <alignment vertical="center"/>
    </xf>
    <xf numFmtId="174" fontId="49" fillId="0" borderId="0" xfId="250" applyNumberFormat="1" applyFont="1" applyAlignment="1">
      <alignment vertical="center"/>
    </xf>
    <xf numFmtId="174" fontId="71" fillId="0" borderId="16" xfId="250" applyNumberFormat="1" applyFont="1" applyBorder="1" applyAlignment="1">
      <alignment horizontal="center" vertical="center"/>
    </xf>
    <xf numFmtId="174" fontId="2" fillId="61" borderId="0" xfId="250" applyNumberFormat="1" applyFont="1" applyFill="1" applyAlignment="1">
      <alignment horizontal="left" vertical="center"/>
    </xf>
    <xf numFmtId="174" fontId="7" fillId="0" borderId="21" xfId="250" applyNumberFormat="1" applyFont="1" applyBorder="1" applyAlignment="1">
      <alignment horizontal="center" vertical="center"/>
    </xf>
    <xf numFmtId="174" fontId="2" fillId="0" borderId="21" xfId="250" applyNumberFormat="1" applyFont="1" applyBorder="1" applyAlignment="1">
      <alignment vertical="center"/>
    </xf>
    <xf numFmtId="174" fontId="2" fillId="0" borderId="16" xfId="250" applyNumberFormat="1" applyFont="1" applyBorder="1" applyAlignment="1">
      <alignment vertical="center"/>
    </xf>
    <xf numFmtId="174" fontId="2" fillId="0" borderId="22" xfId="250" applyNumberFormat="1" applyFont="1" applyBorder="1" applyAlignment="1">
      <alignment vertical="center"/>
    </xf>
    <xf numFmtId="174" fontId="102" fillId="0" borderId="21" xfId="250" applyNumberFormat="1" applyFont="1" applyBorder="1" applyAlignment="1">
      <alignment horizontal="center" vertical="center" wrapText="1"/>
    </xf>
    <xf numFmtId="174" fontId="23" fillId="0" borderId="26" xfId="250" applyNumberFormat="1" applyFont="1" applyBorder="1" applyAlignment="1">
      <alignment vertical="center"/>
    </xf>
    <xf numFmtId="174" fontId="2" fillId="0" borderId="26" xfId="250" applyNumberFormat="1" applyFont="1" applyBorder="1" applyAlignment="1">
      <alignment vertical="center"/>
    </xf>
    <xf numFmtId="174" fontId="2" fillId="0" borderId="27" xfId="250" applyNumberFormat="1" applyFont="1" applyBorder="1" applyAlignment="1">
      <alignment vertical="center"/>
    </xf>
    <xf numFmtId="174" fontId="2" fillId="0" borderId="37" xfId="250" applyNumberFormat="1" applyFont="1" applyBorder="1" applyAlignment="1">
      <alignment horizontal="center" vertical="center"/>
    </xf>
    <xf numFmtId="174" fontId="2" fillId="61" borderId="27" xfId="250" applyNumberFormat="1" applyFont="1" applyFill="1" applyBorder="1" applyAlignment="1">
      <alignment vertical="center"/>
    </xf>
    <xf numFmtId="174" fontId="116" fillId="0" borderId="21" xfId="250" applyNumberFormat="1" applyFont="1" applyBorder="1" applyAlignment="1">
      <alignment horizontal="center" vertical="center"/>
    </xf>
  </cellXfs>
  <cellStyles count="25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F000000}"/>
    <cellStyle name="Excel Built-in Normal" xfId="32" xr:uid="{00000000-0005-0000-0000-000020000000}"/>
    <cellStyle name="headerStyle" xfId="33" xr:uid="{00000000-0005-0000-0000-000021000000}"/>
    <cellStyle name="Hipervínculo 2" xfId="34" xr:uid="{00000000-0005-0000-0000-000022000000}"/>
    <cellStyle name="Hipervínculo 3" xfId="35" xr:uid="{00000000-0005-0000-0000-000023000000}"/>
    <cellStyle name="Hipervínculo 3 2" xfId="36" xr:uid="{00000000-0005-0000-0000-000024000000}"/>
    <cellStyle name="Incorrecto" xfId="37" builtinId="27" customBuiltin="1"/>
    <cellStyle name="Millares 2" xfId="38" xr:uid="{00000000-0005-0000-0000-000026000000}"/>
    <cellStyle name="Millares 2 2" xfId="39" xr:uid="{00000000-0005-0000-0000-000027000000}"/>
    <cellStyle name="Millares 2 2 2" xfId="40" xr:uid="{00000000-0005-0000-0000-000028000000}"/>
    <cellStyle name="Millares 3" xfId="41" xr:uid="{00000000-0005-0000-0000-000029000000}"/>
    <cellStyle name="Millares 3 2" xfId="42" xr:uid="{00000000-0005-0000-0000-00002A000000}"/>
    <cellStyle name="Millares 3 2 2" xfId="43" xr:uid="{00000000-0005-0000-0000-00002B000000}"/>
    <cellStyle name="Millares 3 3" xfId="44" xr:uid="{00000000-0005-0000-0000-00002C000000}"/>
    <cellStyle name="Millares 3 3 2" xfId="45" xr:uid="{00000000-0005-0000-0000-00002D000000}"/>
    <cellStyle name="Millares 3 4" xfId="46" xr:uid="{00000000-0005-0000-0000-00002E000000}"/>
    <cellStyle name="Millares 3 5" xfId="47" xr:uid="{00000000-0005-0000-0000-00002F000000}"/>
    <cellStyle name="Millares 4" xfId="48" xr:uid="{00000000-0005-0000-0000-000030000000}"/>
    <cellStyle name="Millares 4 2" xfId="49" xr:uid="{00000000-0005-0000-0000-000031000000}"/>
    <cellStyle name="Millares 4 2 2" xfId="50" xr:uid="{00000000-0005-0000-0000-000032000000}"/>
    <cellStyle name="Millares 4 3" xfId="51" xr:uid="{00000000-0005-0000-0000-000033000000}"/>
    <cellStyle name="Millares 4 3 2" xfId="52" xr:uid="{00000000-0005-0000-0000-000034000000}"/>
    <cellStyle name="Millares 4 4" xfId="53" xr:uid="{00000000-0005-0000-0000-000035000000}"/>
    <cellStyle name="Millares 5" xfId="54" xr:uid="{00000000-0005-0000-0000-000036000000}"/>
    <cellStyle name="Millares 5 2" xfId="55" xr:uid="{00000000-0005-0000-0000-000037000000}"/>
    <cellStyle name="Millares 5 2 2" xfId="56" xr:uid="{00000000-0005-0000-0000-000038000000}"/>
    <cellStyle name="Millares 5 2 2 2" xfId="57" xr:uid="{00000000-0005-0000-0000-000039000000}"/>
    <cellStyle name="Millares 5 2 2 2 2" xfId="58" xr:uid="{00000000-0005-0000-0000-00003A000000}"/>
    <cellStyle name="Millares 5 2 2 2 2 2" xfId="59" xr:uid="{00000000-0005-0000-0000-00003B000000}"/>
    <cellStyle name="Millares 5 2 2 2 2 3" xfId="60" xr:uid="{00000000-0005-0000-0000-00003C000000}"/>
    <cellStyle name="Millares 5 2 2 2 2 4" xfId="61" xr:uid="{00000000-0005-0000-0000-00003D000000}"/>
    <cellStyle name="Millares 5 2 2 2 3" xfId="62" xr:uid="{00000000-0005-0000-0000-00003E000000}"/>
    <cellStyle name="Millares 5 2 2 2 4" xfId="63" xr:uid="{00000000-0005-0000-0000-00003F000000}"/>
    <cellStyle name="Millares 5 2 2 3" xfId="64" xr:uid="{00000000-0005-0000-0000-000040000000}"/>
    <cellStyle name="Millares 5 2 2 3 2" xfId="65" xr:uid="{00000000-0005-0000-0000-000041000000}"/>
    <cellStyle name="Millares 5 2 2 3 2 2" xfId="66" xr:uid="{00000000-0005-0000-0000-000042000000}"/>
    <cellStyle name="Millares 5 2 2 3 2 3" xfId="67" xr:uid="{00000000-0005-0000-0000-000043000000}"/>
    <cellStyle name="Millares 5 2 2 3 2 4" xfId="68" xr:uid="{00000000-0005-0000-0000-000044000000}"/>
    <cellStyle name="Millares 5 2 2 3 3" xfId="69" xr:uid="{00000000-0005-0000-0000-000045000000}"/>
    <cellStyle name="Millares 5 2 2 3 4" xfId="70" xr:uid="{00000000-0005-0000-0000-000046000000}"/>
    <cellStyle name="Millares 5 2 2 4" xfId="71" xr:uid="{00000000-0005-0000-0000-000047000000}"/>
    <cellStyle name="Millares 5 2 2 4 2" xfId="72" xr:uid="{00000000-0005-0000-0000-000048000000}"/>
    <cellStyle name="Millares 5 2 2 4 3" xfId="73" xr:uid="{00000000-0005-0000-0000-000049000000}"/>
    <cellStyle name="Millares 5 2 2 4 4" xfId="74" xr:uid="{00000000-0005-0000-0000-00004A000000}"/>
    <cellStyle name="Millares 5 2 2 5" xfId="75" xr:uid="{00000000-0005-0000-0000-00004B000000}"/>
    <cellStyle name="Millares 5 2 2 6" xfId="76" xr:uid="{00000000-0005-0000-0000-00004C000000}"/>
    <cellStyle name="Millares 5 2 3" xfId="77" xr:uid="{00000000-0005-0000-0000-00004D000000}"/>
    <cellStyle name="Millares 5 3" xfId="78" xr:uid="{00000000-0005-0000-0000-00004E000000}"/>
    <cellStyle name="Millares 5 4" xfId="79" xr:uid="{00000000-0005-0000-0000-00004F000000}"/>
    <cellStyle name="Millares 6" xfId="80" xr:uid="{00000000-0005-0000-0000-000050000000}"/>
    <cellStyle name="Millares 6 2" xfId="81" xr:uid="{00000000-0005-0000-0000-000051000000}"/>
    <cellStyle name="Moneda 2" xfId="82" xr:uid="{00000000-0005-0000-0000-000052000000}"/>
    <cellStyle name="Moneda 2 2" xfId="83" xr:uid="{00000000-0005-0000-0000-000053000000}"/>
    <cellStyle name="Moneda 2 2 2" xfId="84" xr:uid="{00000000-0005-0000-0000-000054000000}"/>
    <cellStyle name="Moneda 2 2 2 2" xfId="85" xr:uid="{00000000-0005-0000-0000-000055000000}"/>
    <cellStyle name="Moneda 2 2 2 3" xfId="86" xr:uid="{00000000-0005-0000-0000-000056000000}"/>
    <cellStyle name="Moneda 2 2 2 4" xfId="87" xr:uid="{00000000-0005-0000-0000-000057000000}"/>
    <cellStyle name="Moneda 2 2 3" xfId="88" xr:uid="{00000000-0005-0000-0000-000058000000}"/>
    <cellStyle name="Moneda 2 2 4" xfId="89" xr:uid="{00000000-0005-0000-0000-000059000000}"/>
    <cellStyle name="Moneda 2 3" xfId="90" xr:uid="{00000000-0005-0000-0000-00005A000000}"/>
    <cellStyle name="Moneda 2 4" xfId="91" xr:uid="{00000000-0005-0000-0000-00005B000000}"/>
    <cellStyle name="Moneda 2 4 2" xfId="92" xr:uid="{00000000-0005-0000-0000-00005C000000}"/>
    <cellStyle name="Moneda 2 4 3" xfId="93" xr:uid="{00000000-0005-0000-0000-00005D000000}"/>
    <cellStyle name="Moneda 2 4 4" xfId="94" xr:uid="{00000000-0005-0000-0000-00005E000000}"/>
    <cellStyle name="Moneda 2 5" xfId="95" xr:uid="{00000000-0005-0000-0000-00005F000000}"/>
    <cellStyle name="Moneda 2 6" xfId="96" xr:uid="{00000000-0005-0000-0000-000060000000}"/>
    <cellStyle name="Moneda 3" xfId="97" xr:uid="{00000000-0005-0000-0000-000061000000}"/>
    <cellStyle name="Moneda 3 2" xfId="98" xr:uid="{00000000-0005-0000-0000-000062000000}"/>
    <cellStyle name="Moneda 3 3" xfId="99" xr:uid="{00000000-0005-0000-0000-000063000000}"/>
    <cellStyle name="Moneda 3 4" xfId="100" xr:uid="{00000000-0005-0000-0000-000064000000}"/>
    <cellStyle name="Moneda 4" xfId="101" xr:uid="{00000000-0005-0000-0000-000065000000}"/>
    <cellStyle name="Moneda 4 3" xfId="102" xr:uid="{00000000-0005-0000-0000-000066000000}"/>
    <cellStyle name="Neutral" xfId="103" builtinId="28" customBuiltin="1"/>
    <cellStyle name="Normal" xfId="0" builtinId="0"/>
    <cellStyle name="Normal 10" xfId="104" xr:uid="{00000000-0005-0000-0000-000069000000}"/>
    <cellStyle name="Normal 11" xfId="105" xr:uid="{00000000-0005-0000-0000-00006A000000}"/>
    <cellStyle name="Normal 11 2" xfId="106" xr:uid="{00000000-0005-0000-0000-00006B000000}"/>
    <cellStyle name="Normal 12" xfId="107" xr:uid="{00000000-0005-0000-0000-00006C000000}"/>
    <cellStyle name="Normal 12 2" xfId="108" xr:uid="{00000000-0005-0000-0000-00006D000000}"/>
    <cellStyle name="Normal 124" xfId="109" xr:uid="{00000000-0005-0000-0000-00006E000000}"/>
    <cellStyle name="Normal 125" xfId="110" xr:uid="{00000000-0005-0000-0000-00006F000000}"/>
    <cellStyle name="Normal 13" xfId="111" xr:uid="{00000000-0005-0000-0000-000070000000}"/>
    <cellStyle name="Normal 14" xfId="112" xr:uid="{00000000-0005-0000-0000-000071000000}"/>
    <cellStyle name="Normal 14 2" xfId="113" xr:uid="{00000000-0005-0000-0000-000072000000}"/>
    <cellStyle name="Normal 15" xfId="114" xr:uid="{00000000-0005-0000-0000-000073000000}"/>
    <cellStyle name="Normal 16" xfId="115" xr:uid="{00000000-0005-0000-0000-000074000000}"/>
    <cellStyle name="Normal 17" xfId="116" xr:uid="{00000000-0005-0000-0000-000075000000}"/>
    <cellStyle name="Normal 18" xfId="252" xr:uid="{6E45DA1C-33D5-4E79-816D-6A0E7F1E1544}"/>
    <cellStyle name="Normal 19" xfId="117" xr:uid="{00000000-0005-0000-0000-000076000000}"/>
    <cellStyle name="Normal 2" xfId="118" xr:uid="{00000000-0005-0000-0000-000077000000}"/>
    <cellStyle name="Normal 2 10 2" xfId="119" xr:uid="{00000000-0005-0000-0000-000078000000}"/>
    <cellStyle name="Normal 2 10 2 2" xfId="120" xr:uid="{00000000-0005-0000-0000-000079000000}"/>
    <cellStyle name="Normal 2 100" xfId="121" xr:uid="{00000000-0005-0000-0000-00007A000000}"/>
    <cellStyle name="Normal 2 100 2" xfId="122" xr:uid="{00000000-0005-0000-0000-00007B000000}"/>
    <cellStyle name="Normal 2 2" xfId="123" xr:uid="{00000000-0005-0000-0000-00007C000000}"/>
    <cellStyle name="Normal 2 2 10" xfId="124" xr:uid="{00000000-0005-0000-0000-00007D000000}"/>
    <cellStyle name="Normal 2 2 10 2" xfId="125" xr:uid="{00000000-0005-0000-0000-00007E000000}"/>
    <cellStyle name="Normal 2 2 2" xfId="126" xr:uid="{00000000-0005-0000-0000-00007F000000}"/>
    <cellStyle name="Normal 2 2 2 2" xfId="127" xr:uid="{00000000-0005-0000-0000-000080000000}"/>
    <cellStyle name="Normal 2 2 2 3" xfId="128" xr:uid="{00000000-0005-0000-0000-000081000000}"/>
    <cellStyle name="Normal 2 2 2 4" xfId="129" xr:uid="{00000000-0005-0000-0000-000082000000}"/>
    <cellStyle name="Normal 2 2 3" xfId="130" xr:uid="{00000000-0005-0000-0000-000083000000}"/>
    <cellStyle name="Normal 2 2 4" xfId="131" xr:uid="{00000000-0005-0000-0000-000084000000}"/>
    <cellStyle name="Normal 2 2 4 2" xfId="132" xr:uid="{00000000-0005-0000-0000-000085000000}"/>
    <cellStyle name="Normal 2 2 4 2 2" xfId="133" xr:uid="{00000000-0005-0000-0000-000086000000}"/>
    <cellStyle name="Normal 2 2 4 2 2 3" xfId="134" xr:uid="{00000000-0005-0000-0000-000087000000}"/>
    <cellStyle name="Normal 2 2 4 3" xfId="135" xr:uid="{00000000-0005-0000-0000-000088000000}"/>
    <cellStyle name="Normal 2 2 4 4" xfId="136" xr:uid="{00000000-0005-0000-0000-000089000000}"/>
    <cellStyle name="Normal 2 2 4 5" xfId="251" xr:uid="{066261C3-5497-4AA6-B013-558DEB177923}"/>
    <cellStyle name="Normal 2 2 5" xfId="137" xr:uid="{00000000-0005-0000-0000-00008A000000}"/>
    <cellStyle name="Normal 2 3" xfId="138" xr:uid="{00000000-0005-0000-0000-00008B000000}"/>
    <cellStyle name="Normal 2 3 2" xfId="139" xr:uid="{00000000-0005-0000-0000-00008C000000}"/>
    <cellStyle name="Normal 2 3 2 2" xfId="140" xr:uid="{00000000-0005-0000-0000-00008D000000}"/>
    <cellStyle name="Normal 2 3 2 2 2 2" xfId="141" xr:uid="{00000000-0005-0000-0000-00008E000000}"/>
    <cellStyle name="Normal 2 3 2 3" xfId="142" xr:uid="{00000000-0005-0000-0000-00008F000000}"/>
    <cellStyle name="Normal 2 3 3" xfId="143" xr:uid="{00000000-0005-0000-0000-000090000000}"/>
    <cellStyle name="Normal 2 3 3 2 3 2" xfId="144" xr:uid="{00000000-0005-0000-0000-000091000000}"/>
    <cellStyle name="Normal 2 3 4" xfId="145" xr:uid="{00000000-0005-0000-0000-000092000000}"/>
    <cellStyle name="Normal 2 3 5" xfId="146" xr:uid="{00000000-0005-0000-0000-000093000000}"/>
    <cellStyle name="Normal 2 3 6" xfId="147" xr:uid="{00000000-0005-0000-0000-000094000000}"/>
    <cellStyle name="Normal 2 4" xfId="148" xr:uid="{00000000-0005-0000-0000-000095000000}"/>
    <cellStyle name="Normal 2 5" xfId="149" xr:uid="{00000000-0005-0000-0000-000096000000}"/>
    <cellStyle name="Normal 2 6" xfId="150" xr:uid="{00000000-0005-0000-0000-000097000000}"/>
    <cellStyle name="Normal 2 6 10" xfId="151" xr:uid="{00000000-0005-0000-0000-000098000000}"/>
    <cellStyle name="Normal 2 6 10 2" xfId="152" xr:uid="{00000000-0005-0000-0000-000099000000}"/>
    <cellStyle name="Normal 2 6 2" xfId="153" xr:uid="{00000000-0005-0000-0000-00009A000000}"/>
    <cellStyle name="Normal 2 7" xfId="154" xr:uid="{00000000-0005-0000-0000-00009B000000}"/>
    <cellStyle name="Normal 2 9" xfId="155" xr:uid="{00000000-0005-0000-0000-00009C000000}"/>
    <cellStyle name="Normal 2_2010 Enero METEPEC(1)" xfId="156" xr:uid="{00000000-0005-0000-0000-00009D000000}"/>
    <cellStyle name="Normal 20" xfId="250" xr:uid="{69F2DF8A-6121-4215-B854-DB67EC77F713}"/>
    <cellStyle name="Normal 21" xfId="157" xr:uid="{00000000-0005-0000-0000-00009E000000}"/>
    <cellStyle name="Normal 22" xfId="158" xr:uid="{00000000-0005-0000-0000-00009F000000}"/>
    <cellStyle name="Normal 23" xfId="159" xr:uid="{00000000-0005-0000-0000-0000A0000000}"/>
    <cellStyle name="Normal 3" xfId="160" xr:uid="{00000000-0005-0000-0000-0000A1000000}"/>
    <cellStyle name="Normal 3 2" xfId="161" xr:uid="{00000000-0005-0000-0000-0000A2000000}"/>
    <cellStyle name="Normal 3 2 2" xfId="162" xr:uid="{00000000-0005-0000-0000-0000A3000000}"/>
    <cellStyle name="Normal 3 3" xfId="163" xr:uid="{00000000-0005-0000-0000-0000A4000000}"/>
    <cellStyle name="Normal 3 4" xfId="164" xr:uid="{00000000-0005-0000-0000-0000A5000000}"/>
    <cellStyle name="Normal 3 4 2 4" xfId="165" xr:uid="{00000000-0005-0000-0000-0000A6000000}"/>
    <cellStyle name="Normal 3 5" xfId="166" xr:uid="{00000000-0005-0000-0000-0000A7000000}"/>
    <cellStyle name="Normal 3 5 2" xfId="167" xr:uid="{00000000-0005-0000-0000-0000A8000000}"/>
    <cellStyle name="Normal 3 6" xfId="168" xr:uid="{00000000-0005-0000-0000-0000A9000000}"/>
    <cellStyle name="Normal 3 7" xfId="169" xr:uid="{00000000-0005-0000-0000-0000AA000000}"/>
    <cellStyle name="Normal 3_2010-09-30-PUEBLA(1)" xfId="170" xr:uid="{00000000-0005-0000-0000-0000AB000000}"/>
    <cellStyle name="Normal 4" xfId="171" xr:uid="{00000000-0005-0000-0000-0000AC000000}"/>
    <cellStyle name="Normal 4 2" xfId="172" xr:uid="{00000000-0005-0000-0000-0000AD000000}"/>
    <cellStyle name="Normal 4 3" xfId="173" xr:uid="{00000000-0005-0000-0000-0000AE000000}"/>
    <cellStyle name="Normal 4 4" xfId="174" xr:uid="{00000000-0005-0000-0000-0000AF000000}"/>
    <cellStyle name="Normal 5" xfId="175" xr:uid="{00000000-0005-0000-0000-0000B0000000}"/>
    <cellStyle name="Normal 5 2" xfId="176" xr:uid="{00000000-0005-0000-0000-0000B1000000}"/>
    <cellStyle name="Normal 5 2 2" xfId="177" xr:uid="{00000000-0005-0000-0000-0000B2000000}"/>
    <cellStyle name="Normal 5 2 2 3" xfId="178" xr:uid="{00000000-0005-0000-0000-0000B3000000}"/>
    <cellStyle name="Normal 5 3" xfId="179" xr:uid="{00000000-0005-0000-0000-0000B4000000}"/>
    <cellStyle name="Normal 5 3 2" xfId="180" xr:uid="{00000000-0005-0000-0000-0000B5000000}"/>
    <cellStyle name="Normal 5 4" xfId="181" xr:uid="{00000000-0005-0000-0000-0000B6000000}"/>
    <cellStyle name="Normal 5 5" xfId="182" xr:uid="{00000000-0005-0000-0000-0000B7000000}"/>
    <cellStyle name="Normal 5_CAMBIO DE MIX CAPRI SATELITE CON PWB y FISH 2-11-11(1)" xfId="183" xr:uid="{00000000-0005-0000-0000-0000B8000000}"/>
    <cellStyle name="Normal 6" xfId="184" xr:uid="{00000000-0005-0000-0000-0000B9000000}"/>
    <cellStyle name="Normal 6 2" xfId="185" xr:uid="{00000000-0005-0000-0000-0000BA000000}"/>
    <cellStyle name="Normal 6 3" xfId="186" xr:uid="{00000000-0005-0000-0000-0000BB000000}"/>
    <cellStyle name="Normal 7" xfId="187" xr:uid="{00000000-0005-0000-0000-0000BC000000}"/>
    <cellStyle name="Normal 8" xfId="188" xr:uid="{00000000-0005-0000-0000-0000BD000000}"/>
    <cellStyle name="Normal 8 2" xfId="189" xr:uid="{00000000-0005-0000-0000-0000BE000000}"/>
    <cellStyle name="Normal 8_PROPUESTA MIX PALACE CANCUN 5-03-12-P(1)" xfId="190" xr:uid="{00000000-0005-0000-0000-0000BF000000}"/>
    <cellStyle name="Normal 9" xfId="191" xr:uid="{00000000-0005-0000-0000-0000C0000000}"/>
    <cellStyle name="Normal 9 2 2" xfId="192" xr:uid="{00000000-0005-0000-0000-0000C1000000}"/>
    <cellStyle name="Notas 2" xfId="193" xr:uid="{00000000-0005-0000-0000-0000C2000000}"/>
    <cellStyle name="Notas 2 2" xfId="194" xr:uid="{00000000-0005-0000-0000-0000C3000000}"/>
    <cellStyle name="Notas 2 2 2" xfId="195" xr:uid="{00000000-0005-0000-0000-0000C4000000}"/>
    <cellStyle name="Notas 2 2 3" xfId="196" xr:uid="{00000000-0005-0000-0000-0000C5000000}"/>
    <cellStyle name="Notas 2 2 4" xfId="197" xr:uid="{00000000-0005-0000-0000-0000C6000000}"/>
    <cellStyle name="Notas 2 3" xfId="198" xr:uid="{00000000-0005-0000-0000-0000C7000000}"/>
    <cellStyle name="Notas 2 4" xfId="199" xr:uid="{00000000-0005-0000-0000-0000C8000000}"/>
    <cellStyle name="Porcentaje 2" xfId="200" xr:uid="{00000000-0005-0000-0000-0000C9000000}"/>
    <cellStyle name="Porcentaje 2 2" xfId="201" xr:uid="{00000000-0005-0000-0000-0000CA000000}"/>
    <cellStyle name="Porcentaje 2 2 2" xfId="202" xr:uid="{00000000-0005-0000-0000-0000CB000000}"/>
    <cellStyle name="Porcentaje 2 2 2 2" xfId="203" xr:uid="{00000000-0005-0000-0000-0000CC000000}"/>
    <cellStyle name="Porcentaje 2 2 2 3" xfId="204" xr:uid="{00000000-0005-0000-0000-0000CD000000}"/>
    <cellStyle name="Porcentaje 2 2 2 4" xfId="205" xr:uid="{00000000-0005-0000-0000-0000CE000000}"/>
    <cellStyle name="Porcentaje 2 2 2 4 2" xfId="206" xr:uid="{00000000-0005-0000-0000-0000CF000000}"/>
    <cellStyle name="Porcentaje 2 2 3" xfId="207" xr:uid="{00000000-0005-0000-0000-0000D0000000}"/>
    <cellStyle name="Porcentaje 2 2 4" xfId="208" xr:uid="{00000000-0005-0000-0000-0000D1000000}"/>
    <cellStyle name="Porcentaje 2 3" xfId="209" xr:uid="{00000000-0005-0000-0000-0000D2000000}"/>
    <cellStyle name="Porcentaje 2 4" xfId="210" xr:uid="{00000000-0005-0000-0000-0000D3000000}"/>
    <cellStyle name="Porcentaje 2 4 2" xfId="211" xr:uid="{00000000-0005-0000-0000-0000D4000000}"/>
    <cellStyle name="Porcentaje 2 4 2 2" xfId="212" xr:uid="{00000000-0005-0000-0000-0000D5000000}"/>
    <cellStyle name="Porcentaje 2 4 2 3" xfId="213" xr:uid="{00000000-0005-0000-0000-0000D6000000}"/>
    <cellStyle name="Porcentaje 2 4 2 4" xfId="214" xr:uid="{00000000-0005-0000-0000-0000D7000000}"/>
    <cellStyle name="Porcentaje 2 4 3" xfId="215" xr:uid="{00000000-0005-0000-0000-0000D8000000}"/>
    <cellStyle name="Porcentaje 2 4 4" xfId="216" xr:uid="{00000000-0005-0000-0000-0000D9000000}"/>
    <cellStyle name="Porcentaje 2 5" xfId="217" xr:uid="{00000000-0005-0000-0000-0000DA000000}"/>
    <cellStyle name="Porcentaje 2 5 2" xfId="218" xr:uid="{00000000-0005-0000-0000-0000DB000000}"/>
    <cellStyle name="Porcentaje 2 5 3" xfId="219" xr:uid="{00000000-0005-0000-0000-0000DC000000}"/>
    <cellStyle name="Porcentaje 2 5 4" xfId="220" xr:uid="{00000000-0005-0000-0000-0000DD000000}"/>
    <cellStyle name="Porcentaje 2 6" xfId="221" xr:uid="{00000000-0005-0000-0000-0000DE000000}"/>
    <cellStyle name="Porcentaje 3" xfId="222" xr:uid="{00000000-0005-0000-0000-0000DF000000}"/>
    <cellStyle name="Porcentaje 3 2" xfId="223" xr:uid="{00000000-0005-0000-0000-0000E0000000}"/>
    <cellStyle name="Porcentaje 4" xfId="224" xr:uid="{00000000-0005-0000-0000-0000E1000000}"/>
    <cellStyle name="Porcentaje 4 2" xfId="225" xr:uid="{00000000-0005-0000-0000-0000E2000000}"/>
    <cellStyle name="Porcentaje 4 2 2" xfId="226" xr:uid="{00000000-0005-0000-0000-0000E3000000}"/>
    <cellStyle name="Porcentaje 4 2 2 2" xfId="227" xr:uid="{00000000-0005-0000-0000-0000E4000000}"/>
    <cellStyle name="Porcentaje 4 2 2 3" xfId="228" xr:uid="{00000000-0005-0000-0000-0000E5000000}"/>
    <cellStyle name="Porcentaje 4 2 2 4" xfId="229" xr:uid="{00000000-0005-0000-0000-0000E6000000}"/>
    <cellStyle name="Porcentaje 4 2 3" xfId="230" xr:uid="{00000000-0005-0000-0000-0000E7000000}"/>
    <cellStyle name="Porcentaje 4 2 4" xfId="231" xr:uid="{00000000-0005-0000-0000-0000E8000000}"/>
    <cellStyle name="Porcentaje 4 2 5" xfId="232" xr:uid="{00000000-0005-0000-0000-0000E9000000}"/>
    <cellStyle name="Porcentaje 4 3" xfId="233" xr:uid="{00000000-0005-0000-0000-0000EA000000}"/>
    <cellStyle name="Porcentaje 4 4" xfId="234" xr:uid="{00000000-0005-0000-0000-0000EB000000}"/>
    <cellStyle name="Porcentaje 4 5" xfId="235" xr:uid="{00000000-0005-0000-0000-0000EC000000}"/>
    <cellStyle name="Porcentaje 4 6" xfId="236" xr:uid="{00000000-0005-0000-0000-0000ED000000}"/>
    <cellStyle name="Porcentaje 4 7" xfId="237" xr:uid="{00000000-0005-0000-0000-0000EE000000}"/>
    <cellStyle name="Porcentual 2" xfId="238" xr:uid="{00000000-0005-0000-0000-0000EF000000}"/>
    <cellStyle name="Salida" xfId="239" builtinId="21" customBuiltin="1"/>
    <cellStyle name="Style 1 10" xfId="240" xr:uid="{00000000-0005-0000-0000-0000F1000000}"/>
    <cellStyle name="Style 1 12" xfId="241" xr:uid="{00000000-0005-0000-0000-0000F2000000}"/>
    <cellStyle name="TableStyleLight1" xfId="242" xr:uid="{00000000-0005-0000-0000-0000F3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38"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  <dxf>
      <font>
        <color rgb="FFBFBFBF"/>
      </font>
      <fill>
        <patternFill patternType="solid">
          <fgColor rgb="FFDAEEF3"/>
          <bgColor rgb="FFDAEE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476250</xdr:colOff>
      <xdr:row>52</xdr:row>
      <xdr:rowOff>238125</xdr:rowOff>
    </xdr:from>
    <xdr:ext cx="4210050" cy="24098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EC3D6C77-CD7C-4911-B916-BC74BAF033BD}"/>
            </a:ext>
          </a:extLst>
        </xdr:cNvPr>
        <xdr:cNvSpPr/>
      </xdr:nvSpPr>
      <xdr:spPr>
        <a:xfrm>
          <a:off x="13335000" y="13068300"/>
          <a:ext cx="4210050" cy="24098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 fLocksWithSheet="0"/>
  </xdr:oneCellAnchor>
  <xdr:oneCellAnchor>
    <xdr:from>
      <xdr:col>60</xdr:col>
      <xdr:colOff>561975</xdr:colOff>
      <xdr:row>29</xdr:row>
      <xdr:rowOff>200025</xdr:rowOff>
    </xdr:from>
    <xdr:ext cx="3324225" cy="1019175"/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B590FCCC-2114-4519-BF8E-120A9B2605FE}"/>
            </a:ext>
          </a:extLst>
        </xdr:cNvPr>
        <xdr:cNvSpPr/>
      </xdr:nvSpPr>
      <xdr:spPr>
        <a:xfrm>
          <a:off x="43424475" y="8467725"/>
          <a:ext cx="3324225" cy="10191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8</xdr:col>
      <xdr:colOff>990600</xdr:colOff>
      <xdr:row>22</xdr:row>
      <xdr:rowOff>190500</xdr:rowOff>
    </xdr:from>
    <xdr:ext cx="2771775" cy="1009650"/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A4A26D3B-C3CC-4FE8-A245-A7FA0D925F1E}"/>
            </a:ext>
          </a:extLst>
        </xdr:cNvPr>
        <xdr:cNvSpPr/>
      </xdr:nvSpPr>
      <xdr:spPr>
        <a:xfrm>
          <a:off x="6429375" y="7058025"/>
          <a:ext cx="2771775" cy="10096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 fLocksWithSheet="0"/>
  </xdr:oneCellAnchor>
  <xdr:oneCellAnchor>
    <xdr:from>
      <xdr:col>41</xdr:col>
      <xdr:colOff>752475</xdr:colOff>
      <xdr:row>50</xdr:row>
      <xdr:rowOff>142875</xdr:rowOff>
    </xdr:from>
    <xdr:ext cx="1438275" cy="1104900"/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C1E3C18A-9B3C-4DE2-8412-9BEDF3494AB6}"/>
            </a:ext>
          </a:extLst>
        </xdr:cNvPr>
        <xdr:cNvSpPr/>
      </xdr:nvSpPr>
      <xdr:spPr>
        <a:xfrm>
          <a:off x="30003750" y="12611100"/>
          <a:ext cx="1438275" cy="11049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 fLocksWithSheet="0"/>
  </xdr:oneCellAnchor>
  <xdr:oneCellAnchor>
    <xdr:from>
      <xdr:col>93</xdr:col>
      <xdr:colOff>228600</xdr:colOff>
      <xdr:row>25</xdr:row>
      <xdr:rowOff>228600</xdr:rowOff>
    </xdr:from>
    <xdr:ext cx="3162300" cy="1009650"/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2ECF528E-6CA8-4910-8180-8DBBAF97DA90}"/>
            </a:ext>
          </a:extLst>
        </xdr:cNvPr>
        <xdr:cNvSpPr/>
      </xdr:nvSpPr>
      <xdr:spPr>
        <a:xfrm>
          <a:off x="66665475" y="7667625"/>
          <a:ext cx="3162300" cy="10096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40</xdr:col>
      <xdr:colOff>38100</xdr:colOff>
      <xdr:row>42</xdr:row>
      <xdr:rowOff>123825</xdr:rowOff>
    </xdr:from>
    <xdr:ext cx="3371850" cy="1295400"/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E799ACC4-9E34-4376-8E70-C2E5A3E0F379}"/>
            </a:ext>
          </a:extLst>
        </xdr:cNvPr>
        <xdr:cNvSpPr/>
      </xdr:nvSpPr>
      <xdr:spPr>
        <a:xfrm>
          <a:off x="28613100" y="10991850"/>
          <a:ext cx="3371850" cy="12954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62</xdr:col>
      <xdr:colOff>428625</xdr:colOff>
      <xdr:row>34</xdr:row>
      <xdr:rowOff>190500</xdr:rowOff>
    </xdr:from>
    <xdr:ext cx="1000125" cy="609600"/>
    <xdr:pic>
      <xdr:nvPicPr>
        <xdr:cNvPr id="8" name="image11.png">
          <a:extLst>
            <a:ext uri="{FF2B5EF4-FFF2-40B4-BE49-F238E27FC236}">
              <a16:creationId xmlns:a16="http://schemas.microsoft.com/office/drawing/2014/main" id="{32FFB512-5330-4CA2-85C6-33425ACFA7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719875" y="9458325"/>
          <a:ext cx="100012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180975</xdr:colOff>
      <xdr:row>52</xdr:row>
      <xdr:rowOff>190500</xdr:rowOff>
    </xdr:from>
    <xdr:ext cx="2838450" cy="1209675"/>
    <xdr:pic>
      <xdr:nvPicPr>
        <xdr:cNvPr id="9" name="image12.png">
          <a:extLst>
            <a:ext uri="{FF2B5EF4-FFF2-40B4-BE49-F238E27FC236}">
              <a16:creationId xmlns:a16="http://schemas.microsoft.com/office/drawing/2014/main" id="{112D70AB-340B-4C4B-8D93-3469BA24918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754100" y="13058775"/>
          <a:ext cx="28384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781050</xdr:colOff>
      <xdr:row>26</xdr:row>
      <xdr:rowOff>200025</xdr:rowOff>
    </xdr:from>
    <xdr:ext cx="476250" cy="647700"/>
    <xdr:pic>
      <xdr:nvPicPr>
        <xdr:cNvPr id="10" name="image13.png">
          <a:extLst>
            <a:ext uri="{FF2B5EF4-FFF2-40B4-BE49-F238E27FC236}">
              <a16:creationId xmlns:a16="http://schemas.microsoft.com/office/drawing/2014/main" id="{9DDCCCCD-5326-4012-9548-9224F1E07AB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58125" y="7867650"/>
          <a:ext cx="4762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95</xdr:col>
      <xdr:colOff>19050</xdr:colOff>
      <xdr:row>29</xdr:row>
      <xdr:rowOff>200025</xdr:rowOff>
    </xdr:from>
    <xdr:ext cx="723900" cy="638175"/>
    <xdr:pic>
      <xdr:nvPicPr>
        <xdr:cNvPr id="11" name="image14.png">
          <a:extLst>
            <a:ext uri="{FF2B5EF4-FFF2-40B4-BE49-F238E27FC236}">
              <a16:creationId xmlns:a16="http://schemas.microsoft.com/office/drawing/2014/main" id="{DCB04001-366C-45C9-9E9B-301091CED91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884675" y="8467725"/>
          <a:ext cx="7239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276225</xdr:colOff>
      <xdr:row>47</xdr:row>
      <xdr:rowOff>190500</xdr:rowOff>
    </xdr:from>
    <xdr:ext cx="1543050" cy="733425"/>
    <xdr:pic>
      <xdr:nvPicPr>
        <xdr:cNvPr id="12" name="image15.png">
          <a:extLst>
            <a:ext uri="{FF2B5EF4-FFF2-40B4-BE49-F238E27FC236}">
              <a16:creationId xmlns:a16="http://schemas.microsoft.com/office/drawing/2014/main" id="{CA77269B-4602-49A0-B84B-EA9ED9BDC9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65600" y="12058650"/>
          <a:ext cx="1543050" cy="733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476250</xdr:colOff>
      <xdr:row>52</xdr:row>
      <xdr:rowOff>238125</xdr:rowOff>
    </xdr:from>
    <xdr:ext cx="4210050" cy="24098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F8616E7F-34C5-4E60-9B7F-C063FF01228B}"/>
            </a:ext>
          </a:extLst>
        </xdr:cNvPr>
        <xdr:cNvSpPr/>
      </xdr:nvSpPr>
      <xdr:spPr>
        <a:xfrm>
          <a:off x="13335000" y="13068300"/>
          <a:ext cx="4210050" cy="24098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 fLocksWithSheet="0"/>
  </xdr:oneCellAnchor>
  <xdr:oneCellAnchor>
    <xdr:from>
      <xdr:col>60</xdr:col>
      <xdr:colOff>561975</xdr:colOff>
      <xdr:row>29</xdr:row>
      <xdr:rowOff>200025</xdr:rowOff>
    </xdr:from>
    <xdr:ext cx="3324225" cy="1019175"/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0C164CA3-25D3-4F40-80F2-58731CE3BD5F}"/>
            </a:ext>
          </a:extLst>
        </xdr:cNvPr>
        <xdr:cNvSpPr/>
      </xdr:nvSpPr>
      <xdr:spPr>
        <a:xfrm>
          <a:off x="43424475" y="8467725"/>
          <a:ext cx="3324225" cy="10191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8</xdr:col>
      <xdr:colOff>990600</xdr:colOff>
      <xdr:row>22</xdr:row>
      <xdr:rowOff>190500</xdr:rowOff>
    </xdr:from>
    <xdr:ext cx="2771775" cy="1009650"/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386F6341-20E8-4B85-869D-9FED6305FE9D}"/>
            </a:ext>
          </a:extLst>
        </xdr:cNvPr>
        <xdr:cNvSpPr/>
      </xdr:nvSpPr>
      <xdr:spPr>
        <a:xfrm>
          <a:off x="6429375" y="7058025"/>
          <a:ext cx="2771775" cy="10096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 fLocksWithSheet="0"/>
  </xdr:oneCellAnchor>
  <xdr:oneCellAnchor>
    <xdr:from>
      <xdr:col>41</xdr:col>
      <xdr:colOff>752475</xdr:colOff>
      <xdr:row>50</xdr:row>
      <xdr:rowOff>142875</xdr:rowOff>
    </xdr:from>
    <xdr:ext cx="1438275" cy="1104900"/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BD31F99B-F720-41F1-AC5E-94FA95FB9699}"/>
            </a:ext>
          </a:extLst>
        </xdr:cNvPr>
        <xdr:cNvSpPr/>
      </xdr:nvSpPr>
      <xdr:spPr>
        <a:xfrm>
          <a:off x="30003750" y="12611100"/>
          <a:ext cx="1438275" cy="11049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 fLocksWithSheet="0"/>
  </xdr:oneCellAnchor>
  <xdr:oneCellAnchor>
    <xdr:from>
      <xdr:col>93</xdr:col>
      <xdr:colOff>228600</xdr:colOff>
      <xdr:row>25</xdr:row>
      <xdr:rowOff>228600</xdr:rowOff>
    </xdr:from>
    <xdr:ext cx="3162300" cy="1009650"/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35468FA1-4183-4955-8711-96AEA96B2AE9}"/>
            </a:ext>
          </a:extLst>
        </xdr:cNvPr>
        <xdr:cNvSpPr/>
      </xdr:nvSpPr>
      <xdr:spPr>
        <a:xfrm>
          <a:off x="66665475" y="7667625"/>
          <a:ext cx="3162300" cy="10096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40</xdr:col>
      <xdr:colOff>38100</xdr:colOff>
      <xdr:row>42</xdr:row>
      <xdr:rowOff>123825</xdr:rowOff>
    </xdr:from>
    <xdr:ext cx="3371850" cy="1295400"/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A2FAB54B-C9EC-414D-905A-8846974B1DAA}"/>
            </a:ext>
          </a:extLst>
        </xdr:cNvPr>
        <xdr:cNvSpPr/>
      </xdr:nvSpPr>
      <xdr:spPr>
        <a:xfrm>
          <a:off x="28613100" y="10991850"/>
          <a:ext cx="3371850" cy="12954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62</xdr:col>
      <xdr:colOff>428625</xdr:colOff>
      <xdr:row>34</xdr:row>
      <xdr:rowOff>190500</xdr:rowOff>
    </xdr:from>
    <xdr:ext cx="1000125" cy="609600"/>
    <xdr:pic>
      <xdr:nvPicPr>
        <xdr:cNvPr id="8" name="image11.png">
          <a:extLst>
            <a:ext uri="{FF2B5EF4-FFF2-40B4-BE49-F238E27FC236}">
              <a16:creationId xmlns:a16="http://schemas.microsoft.com/office/drawing/2014/main" id="{1F77708B-FB54-4427-A296-7E397A8E98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719875" y="9458325"/>
          <a:ext cx="100012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180975</xdr:colOff>
      <xdr:row>52</xdr:row>
      <xdr:rowOff>190500</xdr:rowOff>
    </xdr:from>
    <xdr:ext cx="2838450" cy="1209675"/>
    <xdr:pic>
      <xdr:nvPicPr>
        <xdr:cNvPr id="9" name="image12.png">
          <a:extLst>
            <a:ext uri="{FF2B5EF4-FFF2-40B4-BE49-F238E27FC236}">
              <a16:creationId xmlns:a16="http://schemas.microsoft.com/office/drawing/2014/main" id="{346C4398-5B23-40CA-9634-B7B0960C25F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754100" y="13058775"/>
          <a:ext cx="28384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781050</xdr:colOff>
      <xdr:row>26</xdr:row>
      <xdr:rowOff>200025</xdr:rowOff>
    </xdr:from>
    <xdr:ext cx="476250" cy="647700"/>
    <xdr:pic>
      <xdr:nvPicPr>
        <xdr:cNvPr id="10" name="image13.png">
          <a:extLst>
            <a:ext uri="{FF2B5EF4-FFF2-40B4-BE49-F238E27FC236}">
              <a16:creationId xmlns:a16="http://schemas.microsoft.com/office/drawing/2014/main" id="{05FC22B6-8661-41E7-91B5-8C12CE9CB66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58125" y="7867650"/>
          <a:ext cx="4762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95</xdr:col>
      <xdr:colOff>19050</xdr:colOff>
      <xdr:row>29</xdr:row>
      <xdr:rowOff>200025</xdr:rowOff>
    </xdr:from>
    <xdr:ext cx="723900" cy="638175"/>
    <xdr:pic>
      <xdr:nvPicPr>
        <xdr:cNvPr id="11" name="image14.png">
          <a:extLst>
            <a:ext uri="{FF2B5EF4-FFF2-40B4-BE49-F238E27FC236}">
              <a16:creationId xmlns:a16="http://schemas.microsoft.com/office/drawing/2014/main" id="{F50F601C-74D6-41F9-86E4-F94C74AA72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884675" y="8467725"/>
          <a:ext cx="7239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276225</xdr:colOff>
      <xdr:row>47</xdr:row>
      <xdr:rowOff>190500</xdr:rowOff>
    </xdr:from>
    <xdr:ext cx="1543050" cy="733425"/>
    <xdr:pic>
      <xdr:nvPicPr>
        <xdr:cNvPr id="12" name="image15.png">
          <a:extLst>
            <a:ext uri="{FF2B5EF4-FFF2-40B4-BE49-F238E27FC236}">
              <a16:creationId xmlns:a16="http://schemas.microsoft.com/office/drawing/2014/main" id="{CFFD0CE6-2B48-4D3B-8292-80323A5C4A7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565600" y="12058650"/>
          <a:ext cx="1543050" cy="7334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476250</xdr:colOff>
      <xdr:row>52</xdr:row>
      <xdr:rowOff>238125</xdr:rowOff>
    </xdr:from>
    <xdr:ext cx="4210050" cy="24098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2CC95345-41DD-449B-8D06-D98A96AD28DC}"/>
            </a:ext>
          </a:extLst>
        </xdr:cNvPr>
        <xdr:cNvSpPr/>
      </xdr:nvSpPr>
      <xdr:spPr>
        <a:xfrm>
          <a:off x="8010525" y="12649200"/>
          <a:ext cx="4210050" cy="24098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 fLocksWithSheet="0"/>
  </xdr:oneCellAnchor>
  <xdr:oneCellAnchor>
    <xdr:from>
      <xdr:col>60</xdr:col>
      <xdr:colOff>561975</xdr:colOff>
      <xdr:row>29</xdr:row>
      <xdr:rowOff>200025</xdr:rowOff>
    </xdr:from>
    <xdr:ext cx="3324225" cy="1019175"/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A3D2416C-1369-42A9-A5B0-CE546D327D1C}"/>
            </a:ext>
          </a:extLst>
        </xdr:cNvPr>
        <xdr:cNvSpPr/>
      </xdr:nvSpPr>
      <xdr:spPr>
        <a:xfrm>
          <a:off x="14887575" y="8048625"/>
          <a:ext cx="3324225" cy="10191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8</xdr:col>
      <xdr:colOff>990600</xdr:colOff>
      <xdr:row>22</xdr:row>
      <xdr:rowOff>190500</xdr:rowOff>
    </xdr:from>
    <xdr:ext cx="2771775" cy="1009650"/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10900720-4A7F-4367-BFCA-C3EC58AC581C}"/>
            </a:ext>
          </a:extLst>
        </xdr:cNvPr>
        <xdr:cNvSpPr/>
      </xdr:nvSpPr>
      <xdr:spPr>
        <a:xfrm>
          <a:off x="6429375" y="6638925"/>
          <a:ext cx="2771775" cy="10096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 fLocksWithSheet="0"/>
  </xdr:oneCellAnchor>
  <xdr:oneCellAnchor>
    <xdr:from>
      <xdr:col>41</xdr:col>
      <xdr:colOff>752475</xdr:colOff>
      <xdr:row>50</xdr:row>
      <xdr:rowOff>142875</xdr:rowOff>
    </xdr:from>
    <xdr:ext cx="1438275" cy="1104900"/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B2A717C-E80D-4D08-A8A9-96C9233FEA2A}"/>
            </a:ext>
          </a:extLst>
        </xdr:cNvPr>
        <xdr:cNvSpPr/>
      </xdr:nvSpPr>
      <xdr:spPr>
        <a:xfrm>
          <a:off x="13420725" y="12192000"/>
          <a:ext cx="1438275" cy="11049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 fLocksWithSheet="0"/>
  </xdr:oneCellAnchor>
  <xdr:oneCellAnchor>
    <xdr:from>
      <xdr:col>93</xdr:col>
      <xdr:colOff>228600</xdr:colOff>
      <xdr:row>25</xdr:row>
      <xdr:rowOff>228600</xdr:rowOff>
    </xdr:from>
    <xdr:ext cx="3162300" cy="1009650"/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5C61BB72-769A-454B-BD52-DC1267F4BBB1}"/>
            </a:ext>
          </a:extLst>
        </xdr:cNvPr>
        <xdr:cNvSpPr/>
      </xdr:nvSpPr>
      <xdr:spPr>
        <a:xfrm>
          <a:off x="20735925" y="7248525"/>
          <a:ext cx="3162300" cy="10096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40</xdr:col>
      <xdr:colOff>38100</xdr:colOff>
      <xdr:row>42</xdr:row>
      <xdr:rowOff>123825</xdr:rowOff>
    </xdr:from>
    <xdr:ext cx="3371850" cy="1295400"/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C682A592-C408-4832-B82F-6D21F3A10C80}"/>
            </a:ext>
          </a:extLst>
        </xdr:cNvPr>
        <xdr:cNvSpPr/>
      </xdr:nvSpPr>
      <xdr:spPr>
        <a:xfrm>
          <a:off x="13268325" y="10572750"/>
          <a:ext cx="3371850" cy="12954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62</xdr:col>
      <xdr:colOff>428625</xdr:colOff>
      <xdr:row>34</xdr:row>
      <xdr:rowOff>190500</xdr:rowOff>
    </xdr:from>
    <xdr:ext cx="1000125" cy="609600"/>
    <xdr:pic>
      <xdr:nvPicPr>
        <xdr:cNvPr id="8" name="image11.png">
          <a:extLst>
            <a:ext uri="{FF2B5EF4-FFF2-40B4-BE49-F238E27FC236}">
              <a16:creationId xmlns:a16="http://schemas.microsoft.com/office/drawing/2014/main" id="{B376A0F8-5015-47CC-BDF1-88BC4D5FFB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20925" y="9039225"/>
          <a:ext cx="100012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180975</xdr:colOff>
      <xdr:row>52</xdr:row>
      <xdr:rowOff>190500</xdr:rowOff>
    </xdr:from>
    <xdr:ext cx="2838450" cy="1209675"/>
    <xdr:pic>
      <xdr:nvPicPr>
        <xdr:cNvPr id="9" name="image12.png">
          <a:extLst>
            <a:ext uri="{FF2B5EF4-FFF2-40B4-BE49-F238E27FC236}">
              <a16:creationId xmlns:a16="http://schemas.microsoft.com/office/drawing/2014/main" id="{E8A8B83B-1668-414A-9021-E91A9A87025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12639675"/>
          <a:ext cx="28384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781050</xdr:colOff>
      <xdr:row>26</xdr:row>
      <xdr:rowOff>200025</xdr:rowOff>
    </xdr:from>
    <xdr:ext cx="476250" cy="647700"/>
    <xdr:pic>
      <xdr:nvPicPr>
        <xdr:cNvPr id="10" name="image13.png">
          <a:extLst>
            <a:ext uri="{FF2B5EF4-FFF2-40B4-BE49-F238E27FC236}">
              <a16:creationId xmlns:a16="http://schemas.microsoft.com/office/drawing/2014/main" id="{A805B5F8-A457-4ED3-8C10-51DF12DA429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58125" y="7448550"/>
          <a:ext cx="4762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95</xdr:col>
      <xdr:colOff>19050</xdr:colOff>
      <xdr:row>29</xdr:row>
      <xdr:rowOff>200025</xdr:rowOff>
    </xdr:from>
    <xdr:ext cx="723900" cy="638175"/>
    <xdr:pic>
      <xdr:nvPicPr>
        <xdr:cNvPr id="11" name="image14.png">
          <a:extLst>
            <a:ext uri="{FF2B5EF4-FFF2-40B4-BE49-F238E27FC236}">
              <a16:creationId xmlns:a16="http://schemas.microsoft.com/office/drawing/2014/main" id="{906FB50E-D195-4BD4-B7DC-BE22A3CD48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774025" y="8048625"/>
          <a:ext cx="7239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276225</xdr:colOff>
      <xdr:row>47</xdr:row>
      <xdr:rowOff>190500</xdr:rowOff>
    </xdr:from>
    <xdr:ext cx="1543050" cy="733425"/>
    <xdr:pic>
      <xdr:nvPicPr>
        <xdr:cNvPr id="12" name="image15.png">
          <a:extLst>
            <a:ext uri="{FF2B5EF4-FFF2-40B4-BE49-F238E27FC236}">
              <a16:creationId xmlns:a16="http://schemas.microsoft.com/office/drawing/2014/main" id="{873F93D0-4FBC-41BA-85BA-3E2804272B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20725" y="11639550"/>
          <a:ext cx="1543050" cy="7334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476250</xdr:colOff>
      <xdr:row>52</xdr:row>
      <xdr:rowOff>238125</xdr:rowOff>
    </xdr:from>
    <xdr:ext cx="4210050" cy="2409825"/>
    <xdr:sp macro="" textlink="">
      <xdr:nvSpPr>
        <xdr:cNvPr id="2" name="rect">
          <a:extLst>
            <a:ext uri="{FF2B5EF4-FFF2-40B4-BE49-F238E27FC236}">
              <a16:creationId xmlns:a16="http://schemas.microsoft.com/office/drawing/2014/main" id="{56F941FF-2346-4DA3-ADD0-2B0922502B0F}"/>
            </a:ext>
          </a:extLst>
        </xdr:cNvPr>
        <xdr:cNvSpPr/>
      </xdr:nvSpPr>
      <xdr:spPr>
        <a:xfrm>
          <a:off x="8010525" y="12649200"/>
          <a:ext cx="4210050" cy="240982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 fLocksWithSheet="0"/>
  </xdr:oneCellAnchor>
  <xdr:oneCellAnchor>
    <xdr:from>
      <xdr:col>60</xdr:col>
      <xdr:colOff>561975</xdr:colOff>
      <xdr:row>29</xdr:row>
      <xdr:rowOff>200025</xdr:rowOff>
    </xdr:from>
    <xdr:ext cx="3324225" cy="1019175"/>
    <xdr:sp macro="" textlink="">
      <xdr:nvSpPr>
        <xdr:cNvPr id="3" name="rect">
          <a:extLst>
            <a:ext uri="{FF2B5EF4-FFF2-40B4-BE49-F238E27FC236}">
              <a16:creationId xmlns:a16="http://schemas.microsoft.com/office/drawing/2014/main" id="{483326DA-82B4-4F29-A7E4-CF42EC80DD0B}"/>
            </a:ext>
          </a:extLst>
        </xdr:cNvPr>
        <xdr:cNvSpPr/>
      </xdr:nvSpPr>
      <xdr:spPr>
        <a:xfrm>
          <a:off x="14887575" y="8048625"/>
          <a:ext cx="3324225" cy="10191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8</xdr:col>
      <xdr:colOff>990600</xdr:colOff>
      <xdr:row>22</xdr:row>
      <xdr:rowOff>190500</xdr:rowOff>
    </xdr:from>
    <xdr:ext cx="2771775" cy="1009650"/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F4797B2E-4FC3-493A-93A0-B2B83C115AF6}"/>
            </a:ext>
          </a:extLst>
        </xdr:cNvPr>
        <xdr:cNvSpPr/>
      </xdr:nvSpPr>
      <xdr:spPr>
        <a:xfrm>
          <a:off x="6429375" y="6638925"/>
          <a:ext cx="2771775" cy="10096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 fLocksWithSheet="0"/>
  </xdr:oneCellAnchor>
  <xdr:oneCellAnchor>
    <xdr:from>
      <xdr:col>41</xdr:col>
      <xdr:colOff>752475</xdr:colOff>
      <xdr:row>50</xdr:row>
      <xdr:rowOff>142875</xdr:rowOff>
    </xdr:from>
    <xdr:ext cx="1438275" cy="1104900"/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46A64CCF-8FC1-4A02-8AD8-19D352301D13}"/>
            </a:ext>
          </a:extLst>
        </xdr:cNvPr>
        <xdr:cNvSpPr/>
      </xdr:nvSpPr>
      <xdr:spPr>
        <a:xfrm>
          <a:off x="13420725" y="12192000"/>
          <a:ext cx="1438275" cy="11049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 FUMAR</a:t>
          </a:r>
        </a:p>
      </xdr:txBody>
    </xdr:sp>
    <xdr:clientData fLocksWithSheet="0"/>
  </xdr:oneCellAnchor>
  <xdr:oneCellAnchor>
    <xdr:from>
      <xdr:col>93</xdr:col>
      <xdr:colOff>228600</xdr:colOff>
      <xdr:row>25</xdr:row>
      <xdr:rowOff>228600</xdr:rowOff>
    </xdr:from>
    <xdr:ext cx="3162300" cy="1009650"/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1C27BF0C-C8DD-4015-95E7-263D798A6E85}"/>
            </a:ext>
          </a:extLst>
        </xdr:cNvPr>
        <xdr:cNvSpPr/>
      </xdr:nvSpPr>
      <xdr:spPr>
        <a:xfrm>
          <a:off x="20735925" y="7248525"/>
          <a:ext cx="3162300" cy="100965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40</xdr:col>
      <xdr:colOff>38100</xdr:colOff>
      <xdr:row>42</xdr:row>
      <xdr:rowOff>123825</xdr:rowOff>
    </xdr:from>
    <xdr:ext cx="3371850" cy="1295400"/>
    <xdr:sp macro="" textlink="">
      <xdr:nvSpPr>
        <xdr:cNvPr id="7" name="rect">
          <a:extLst>
            <a:ext uri="{FF2B5EF4-FFF2-40B4-BE49-F238E27FC236}">
              <a16:creationId xmlns:a16="http://schemas.microsoft.com/office/drawing/2014/main" id="{17782524-E631-441F-9F61-5E17FB04A9FA}"/>
            </a:ext>
          </a:extLst>
        </xdr:cNvPr>
        <xdr:cNvSpPr/>
      </xdr:nvSpPr>
      <xdr:spPr>
        <a:xfrm>
          <a:off x="13268325" y="10572750"/>
          <a:ext cx="3371850" cy="129540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lvl="0" algn="ctr"/>
          <a:r>
            <a:rPr lang="en-US" altLang="zh-CN" sz="48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NO FUMAR</a:t>
          </a:r>
        </a:p>
      </xdr:txBody>
    </xdr:sp>
    <xdr:clientData fLocksWithSheet="0"/>
  </xdr:oneCellAnchor>
  <xdr:oneCellAnchor>
    <xdr:from>
      <xdr:col>62</xdr:col>
      <xdr:colOff>428625</xdr:colOff>
      <xdr:row>34</xdr:row>
      <xdr:rowOff>190500</xdr:rowOff>
    </xdr:from>
    <xdr:ext cx="1000125" cy="609600"/>
    <xdr:pic>
      <xdr:nvPicPr>
        <xdr:cNvPr id="8" name="image11.png">
          <a:extLst>
            <a:ext uri="{FF2B5EF4-FFF2-40B4-BE49-F238E27FC236}">
              <a16:creationId xmlns:a16="http://schemas.microsoft.com/office/drawing/2014/main" id="{85B00D68-9F67-4AE2-B271-69C6D68A518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20925" y="9039225"/>
          <a:ext cx="1000125" cy="60960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180975</xdr:colOff>
      <xdr:row>52</xdr:row>
      <xdr:rowOff>190500</xdr:rowOff>
    </xdr:from>
    <xdr:ext cx="2838450" cy="1209675"/>
    <xdr:pic>
      <xdr:nvPicPr>
        <xdr:cNvPr id="9" name="image12.png">
          <a:extLst>
            <a:ext uri="{FF2B5EF4-FFF2-40B4-BE49-F238E27FC236}">
              <a16:creationId xmlns:a16="http://schemas.microsoft.com/office/drawing/2014/main" id="{0F232D3D-5111-4428-B9C9-096586F6B5A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29575" y="12639675"/>
          <a:ext cx="28384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781050</xdr:colOff>
      <xdr:row>26</xdr:row>
      <xdr:rowOff>200025</xdr:rowOff>
    </xdr:from>
    <xdr:ext cx="476250" cy="647700"/>
    <xdr:pic>
      <xdr:nvPicPr>
        <xdr:cNvPr id="10" name="image13.png">
          <a:extLst>
            <a:ext uri="{FF2B5EF4-FFF2-40B4-BE49-F238E27FC236}">
              <a16:creationId xmlns:a16="http://schemas.microsoft.com/office/drawing/2014/main" id="{ED93FCAF-0302-4C77-B0E0-7B4F551F7B5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58125" y="7448550"/>
          <a:ext cx="4762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95</xdr:col>
      <xdr:colOff>19050</xdr:colOff>
      <xdr:row>29</xdr:row>
      <xdr:rowOff>200025</xdr:rowOff>
    </xdr:from>
    <xdr:ext cx="723900" cy="638175"/>
    <xdr:pic>
      <xdr:nvPicPr>
        <xdr:cNvPr id="11" name="image14.png">
          <a:extLst>
            <a:ext uri="{FF2B5EF4-FFF2-40B4-BE49-F238E27FC236}">
              <a16:creationId xmlns:a16="http://schemas.microsoft.com/office/drawing/2014/main" id="{B3C35BB1-1131-4B6E-9BB4-98BABC7343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774025" y="8048625"/>
          <a:ext cx="7239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276225</xdr:colOff>
      <xdr:row>47</xdr:row>
      <xdr:rowOff>190500</xdr:rowOff>
    </xdr:from>
    <xdr:ext cx="1543050" cy="733425"/>
    <xdr:pic>
      <xdr:nvPicPr>
        <xdr:cNvPr id="12" name="image15.png">
          <a:extLst>
            <a:ext uri="{FF2B5EF4-FFF2-40B4-BE49-F238E27FC236}">
              <a16:creationId xmlns:a16="http://schemas.microsoft.com/office/drawing/2014/main" id="{F88EFD09-7B95-4429-B1C3-D4B0EA0ECE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20725" y="11639550"/>
          <a:ext cx="1543050" cy="7334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/>
  <dimension ref="A1:DD79"/>
  <sheetViews>
    <sheetView tabSelected="1" zoomScale="40" zoomScaleNormal="40" workbookViewId="0">
      <selection sqref="A1:XFD1048576"/>
    </sheetView>
  </sheetViews>
  <sheetFormatPr baseColWidth="10" defaultColWidth="14.42578125" defaultRowHeight="15"/>
  <cols>
    <col min="1" max="11" width="10.7109375" style="854" customWidth="1"/>
    <col min="12" max="24" width="0.28515625" style="854" customWidth="1"/>
    <col min="25" max="28" width="1" style="854" customWidth="1"/>
    <col min="29" max="34" width="10.7109375" style="854" customWidth="1"/>
    <col min="35" max="49" width="1.42578125" style="854" customWidth="1"/>
    <col min="50" max="63" width="1" style="854" customWidth="1"/>
    <col min="64" max="70" width="10.7109375" style="854" customWidth="1"/>
    <col min="71" max="79" width="0.7109375" style="854" customWidth="1"/>
    <col min="80" max="95" width="0.28515625" style="854" customWidth="1"/>
    <col min="96" max="108" width="10.7109375" style="854" customWidth="1"/>
    <col min="109" max="16384" width="14.42578125" style="854"/>
  </cols>
  <sheetData>
    <row r="1" spans="1:108" ht="45.75" thickBot="1">
      <c r="A1" s="850" t="s">
        <v>118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851"/>
      <c r="O1" s="851"/>
      <c r="P1" s="851"/>
      <c r="Q1" s="851"/>
      <c r="R1" s="851"/>
      <c r="S1" s="851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1"/>
      <c r="AL1" s="851"/>
      <c r="AM1" s="851"/>
      <c r="AN1" s="851"/>
      <c r="AO1" s="851"/>
      <c r="AP1" s="851"/>
      <c r="AQ1" s="851"/>
      <c r="AR1" s="851"/>
      <c r="AS1" s="851"/>
      <c r="AT1" s="851"/>
      <c r="AU1" s="851"/>
      <c r="AV1" s="851"/>
      <c r="AW1" s="851"/>
      <c r="AX1" s="851"/>
      <c r="AY1" s="851"/>
      <c r="AZ1" s="851"/>
      <c r="BA1" s="851"/>
      <c r="BB1" s="851"/>
      <c r="BC1" s="851"/>
      <c r="BD1" s="851"/>
      <c r="BE1" s="851"/>
      <c r="BF1" s="851"/>
      <c r="BG1" s="851"/>
      <c r="BH1" s="851"/>
      <c r="BI1" s="851"/>
      <c r="BJ1" s="851"/>
      <c r="BK1" s="851"/>
      <c r="BL1" s="851"/>
      <c r="BM1" s="851"/>
      <c r="BN1" s="851"/>
      <c r="BO1" s="851"/>
      <c r="BP1" s="851"/>
      <c r="BQ1" s="851"/>
      <c r="BR1" s="851"/>
      <c r="BS1" s="851"/>
      <c r="BT1" s="851"/>
      <c r="BU1" s="851"/>
      <c r="BV1" s="851"/>
      <c r="BW1" s="851"/>
      <c r="BX1" s="851"/>
      <c r="BY1" s="851"/>
      <c r="BZ1" s="851"/>
      <c r="CA1" s="851"/>
      <c r="CB1" s="851"/>
      <c r="CC1" s="851"/>
      <c r="CD1" s="851"/>
      <c r="CE1" s="851"/>
      <c r="CF1" s="851"/>
      <c r="CG1" s="851"/>
      <c r="CH1" s="851"/>
      <c r="CI1" s="851"/>
      <c r="CJ1" s="851"/>
      <c r="CK1" s="851"/>
      <c r="CL1" s="851"/>
      <c r="CM1" s="851"/>
      <c r="CN1" s="851"/>
      <c r="CO1" s="851"/>
      <c r="CP1" s="851"/>
      <c r="CQ1" s="851"/>
      <c r="CR1" s="851"/>
      <c r="CS1" s="851"/>
      <c r="CT1" s="851"/>
      <c r="CU1" s="851"/>
      <c r="CV1" s="851"/>
      <c r="CW1" s="851"/>
      <c r="CX1" s="851"/>
      <c r="CY1" s="851"/>
      <c r="CZ1" s="851"/>
      <c r="DA1" s="851"/>
      <c r="DB1" s="851"/>
      <c r="DC1" s="852"/>
      <c r="DD1" s="853"/>
    </row>
    <row r="2" spans="1:108" ht="33.75">
      <c r="A2" s="855"/>
      <c r="B2" s="855"/>
      <c r="C2" s="855"/>
      <c r="D2" s="855"/>
      <c r="E2" s="855"/>
      <c r="F2" s="855"/>
      <c r="G2" s="855"/>
      <c r="H2" s="855"/>
      <c r="I2" s="855"/>
      <c r="J2" s="855"/>
      <c r="K2" s="855"/>
      <c r="L2" s="856" t="s">
        <v>119</v>
      </c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5"/>
      <c r="Z2" s="855"/>
      <c r="AA2" s="855"/>
      <c r="AB2" s="855"/>
      <c r="AC2" s="855"/>
      <c r="AD2" s="855"/>
      <c r="AE2" s="855"/>
      <c r="AF2" s="855"/>
      <c r="AG2" s="855"/>
      <c r="AH2" s="855"/>
      <c r="AI2" s="855"/>
      <c r="AJ2" s="855"/>
      <c r="AK2" s="855"/>
      <c r="AL2" s="855"/>
      <c r="AM2" s="855"/>
      <c r="AN2" s="855"/>
      <c r="AO2" s="855"/>
      <c r="AP2" s="855"/>
      <c r="AQ2" s="855"/>
      <c r="AR2" s="855"/>
      <c r="AS2" s="855"/>
      <c r="AT2" s="855"/>
      <c r="AU2" s="855"/>
      <c r="AV2" s="855"/>
      <c r="AW2" s="855"/>
      <c r="AX2" s="855"/>
      <c r="AY2" s="855"/>
      <c r="AZ2" s="857" t="s">
        <v>120</v>
      </c>
      <c r="BA2" s="856"/>
      <c r="BB2" s="856"/>
      <c r="BC2" s="856"/>
      <c r="BD2" s="856"/>
      <c r="BE2" s="856"/>
      <c r="BF2" s="856"/>
      <c r="BG2" s="856"/>
      <c r="BH2" s="856"/>
      <c r="BI2" s="856"/>
      <c r="BJ2" s="856"/>
      <c r="BK2" s="856"/>
      <c r="BL2" s="856"/>
      <c r="BM2" s="855"/>
      <c r="BN2" s="855"/>
      <c r="BO2" s="855"/>
      <c r="BP2" s="855"/>
      <c r="BQ2" s="855"/>
      <c r="BR2" s="855"/>
      <c r="BS2" s="855"/>
      <c r="BT2" s="855"/>
      <c r="BU2" s="855"/>
      <c r="BV2" s="855"/>
      <c r="BW2" s="855"/>
      <c r="BX2" s="855"/>
      <c r="BY2" s="855"/>
      <c r="BZ2" s="855"/>
      <c r="CA2" s="855"/>
      <c r="CB2" s="855"/>
      <c r="CC2" s="855"/>
      <c r="CD2" s="855"/>
      <c r="CE2" s="855"/>
      <c r="CF2" s="855"/>
      <c r="CG2" s="855"/>
      <c r="CH2" s="855"/>
      <c r="CI2" s="855"/>
      <c r="CJ2" s="856" t="s">
        <v>121</v>
      </c>
      <c r="CK2" s="856"/>
      <c r="CL2" s="856"/>
      <c r="CM2" s="856"/>
      <c r="CN2" s="856"/>
      <c r="CO2" s="856"/>
      <c r="CP2" s="856"/>
      <c r="CQ2" s="856"/>
      <c r="CR2" s="856"/>
      <c r="CS2" s="856"/>
      <c r="CT2" s="856"/>
      <c r="CU2" s="856"/>
      <c r="CV2" s="856"/>
      <c r="CW2" s="855"/>
      <c r="CX2" s="855"/>
      <c r="CY2" s="855"/>
      <c r="CZ2" s="855"/>
      <c r="DA2" s="855"/>
      <c r="DB2" s="855"/>
      <c r="DC2" s="855"/>
      <c r="DD2" s="858"/>
    </row>
    <row r="3" spans="1:108" ht="33.75">
      <c r="A3" s="855"/>
      <c r="B3" s="855"/>
      <c r="C3" s="855"/>
      <c r="D3" s="855"/>
      <c r="E3" s="855"/>
      <c r="F3" s="855"/>
      <c r="G3" s="855"/>
      <c r="H3" s="855"/>
      <c r="I3" s="855"/>
      <c r="J3" s="855"/>
      <c r="K3" s="855"/>
      <c r="L3" s="856"/>
      <c r="M3" s="856"/>
      <c r="N3" s="856"/>
      <c r="O3" s="856"/>
      <c r="P3" s="856"/>
      <c r="Q3" s="856"/>
      <c r="R3" s="856"/>
      <c r="S3" s="856"/>
      <c r="T3" s="856"/>
      <c r="U3" s="856"/>
      <c r="V3" s="856"/>
      <c r="W3" s="856"/>
      <c r="X3" s="856"/>
      <c r="Y3" s="855"/>
      <c r="Z3" s="855"/>
      <c r="AA3" s="855"/>
      <c r="AB3" s="855"/>
      <c r="AC3" s="855"/>
      <c r="AD3" s="855"/>
      <c r="AE3" s="855"/>
      <c r="AF3" s="855"/>
      <c r="AG3" s="855"/>
      <c r="AH3" s="855"/>
      <c r="AI3" s="855"/>
      <c r="AJ3" s="855"/>
      <c r="AK3" s="855"/>
      <c r="AL3" s="855"/>
      <c r="AM3" s="855"/>
      <c r="AN3" s="855"/>
      <c r="AO3" s="855"/>
      <c r="AP3" s="855"/>
      <c r="AQ3" s="855"/>
      <c r="AR3" s="855"/>
      <c r="AS3" s="855"/>
      <c r="AT3" s="855"/>
      <c r="AU3" s="855"/>
      <c r="AV3" s="855"/>
      <c r="AW3" s="855"/>
      <c r="AX3" s="855"/>
      <c r="AY3" s="855"/>
      <c r="AZ3" s="856"/>
      <c r="BA3" s="856"/>
      <c r="BB3" s="856"/>
      <c r="BC3" s="856"/>
      <c r="BD3" s="856"/>
      <c r="BE3" s="856"/>
      <c r="BF3" s="856"/>
      <c r="BG3" s="856"/>
      <c r="BH3" s="856"/>
      <c r="BI3" s="856"/>
      <c r="BJ3" s="856"/>
      <c r="BK3" s="856"/>
      <c r="BL3" s="856"/>
      <c r="BM3" s="855"/>
      <c r="BN3" s="855"/>
      <c r="BO3" s="855"/>
      <c r="BP3" s="855"/>
      <c r="BQ3" s="855"/>
      <c r="BR3" s="855"/>
      <c r="BS3" s="855"/>
      <c r="BT3" s="855"/>
      <c r="BU3" s="855"/>
      <c r="BV3" s="855"/>
      <c r="BW3" s="855"/>
      <c r="BX3" s="855"/>
      <c r="BY3" s="855"/>
      <c r="BZ3" s="855"/>
      <c r="CA3" s="855"/>
      <c r="CB3" s="855"/>
      <c r="CC3" s="855"/>
      <c r="CD3" s="855"/>
      <c r="CE3" s="855"/>
      <c r="CF3" s="855"/>
      <c r="CG3" s="855"/>
      <c r="CH3" s="855"/>
      <c r="CI3" s="855"/>
      <c r="CJ3" s="856"/>
      <c r="CK3" s="856"/>
      <c r="CL3" s="856"/>
      <c r="CM3" s="856"/>
      <c r="CN3" s="856"/>
      <c r="CO3" s="856"/>
      <c r="CP3" s="856"/>
      <c r="CQ3" s="856"/>
      <c r="CR3" s="856"/>
      <c r="CS3" s="856"/>
      <c r="CT3" s="856"/>
      <c r="CU3" s="856"/>
      <c r="CV3" s="856"/>
      <c r="CW3" s="855"/>
      <c r="CX3" s="855"/>
      <c r="CY3" s="855"/>
      <c r="CZ3" s="855"/>
      <c r="DA3" s="855"/>
      <c r="DB3" s="855"/>
      <c r="DC3" s="855"/>
      <c r="DD3" s="858"/>
    </row>
    <row r="4" spans="1:108" ht="34.5" thickBot="1">
      <c r="A4" s="855"/>
      <c r="B4" s="855"/>
      <c r="C4" s="855"/>
      <c r="D4" s="855"/>
      <c r="E4" s="855"/>
      <c r="F4" s="855"/>
      <c r="G4" s="855"/>
      <c r="H4" s="855"/>
      <c r="I4" s="855"/>
      <c r="J4" s="855"/>
      <c r="K4" s="855"/>
      <c r="L4" s="856"/>
      <c r="M4" s="856"/>
      <c r="N4" s="856"/>
      <c r="O4" s="856"/>
      <c r="P4" s="856"/>
      <c r="Q4" s="856"/>
      <c r="R4" s="856"/>
      <c r="S4" s="856"/>
      <c r="T4" s="856"/>
      <c r="U4" s="856"/>
      <c r="V4" s="856"/>
      <c r="W4" s="856"/>
      <c r="X4" s="856"/>
      <c r="Y4" s="855"/>
      <c r="Z4" s="855"/>
      <c r="AA4" s="855"/>
      <c r="AB4" s="855"/>
      <c r="AC4" s="855"/>
      <c r="AD4" s="855"/>
      <c r="AE4" s="855"/>
      <c r="AF4" s="855"/>
      <c r="AG4" s="855"/>
      <c r="AH4" s="855"/>
      <c r="AI4" s="855"/>
      <c r="AJ4" s="855"/>
      <c r="AK4" s="855"/>
      <c r="AL4" s="855"/>
      <c r="AM4" s="855"/>
      <c r="AN4" s="855"/>
      <c r="AO4" s="855"/>
      <c r="AP4" s="855"/>
      <c r="AQ4" s="855"/>
      <c r="AR4" s="855"/>
      <c r="AS4" s="855"/>
      <c r="AT4" s="855"/>
      <c r="AU4" s="855"/>
      <c r="AV4" s="855"/>
      <c r="AW4" s="855"/>
      <c r="AX4" s="855"/>
      <c r="AY4" s="855"/>
      <c r="AZ4" s="856"/>
      <c r="BA4" s="856"/>
      <c r="BB4" s="856"/>
      <c r="BC4" s="856"/>
      <c r="BD4" s="856"/>
      <c r="BE4" s="856"/>
      <c r="BF4" s="856"/>
      <c r="BG4" s="856"/>
      <c r="BH4" s="856"/>
      <c r="BI4" s="856"/>
      <c r="BJ4" s="856"/>
      <c r="BK4" s="856"/>
      <c r="BL4" s="856"/>
      <c r="BM4" s="855"/>
      <c r="BN4" s="855"/>
      <c r="BO4" s="855"/>
      <c r="BP4" s="855"/>
      <c r="BQ4" s="855"/>
      <c r="BR4" s="855"/>
      <c r="BS4" s="855"/>
      <c r="BT4" s="855"/>
      <c r="BU4" s="855"/>
      <c r="BV4" s="855"/>
      <c r="BW4" s="855"/>
      <c r="BX4" s="855"/>
      <c r="BY4" s="855"/>
      <c r="BZ4" s="855"/>
      <c r="CA4" s="855"/>
      <c r="CB4" s="855"/>
      <c r="CC4" s="855"/>
      <c r="CD4" s="855"/>
      <c r="CE4" s="855"/>
      <c r="CF4" s="855"/>
      <c r="CG4" s="855"/>
      <c r="CH4" s="855"/>
      <c r="CI4" s="855"/>
      <c r="CJ4" s="856"/>
      <c r="CK4" s="856"/>
      <c r="CL4" s="856"/>
      <c r="CM4" s="856"/>
      <c r="CN4" s="856"/>
      <c r="CO4" s="856"/>
      <c r="CP4" s="856"/>
      <c r="CQ4" s="856"/>
      <c r="CR4" s="856"/>
      <c r="CS4" s="856"/>
      <c r="CT4" s="856"/>
      <c r="CU4" s="856"/>
      <c r="CV4" s="856"/>
      <c r="CW4" s="855"/>
      <c r="CX4" s="855"/>
      <c r="CY4" s="855"/>
      <c r="CZ4" s="855"/>
      <c r="DA4" s="855"/>
      <c r="DB4" s="855"/>
      <c r="DC4" s="855"/>
      <c r="DD4" s="858"/>
    </row>
    <row r="5" spans="1:108" ht="18.75" thickBot="1">
      <c r="A5" s="859"/>
      <c r="B5" s="859"/>
      <c r="C5" s="859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59"/>
      <c r="O5" s="860"/>
      <c r="P5" s="861"/>
      <c r="Q5" s="861"/>
      <c r="R5" s="861"/>
      <c r="S5" s="861"/>
      <c r="T5" s="861"/>
      <c r="U5" s="861"/>
      <c r="V5" s="861"/>
      <c r="W5" s="861"/>
      <c r="X5" s="861"/>
      <c r="Y5" s="861"/>
      <c r="Z5" s="861"/>
      <c r="AA5" s="862"/>
      <c r="AB5" s="862"/>
      <c r="AC5" s="862"/>
      <c r="AD5" s="862"/>
      <c r="AE5" s="863"/>
      <c r="AF5" s="864"/>
      <c r="AG5" s="864"/>
      <c r="AH5" s="865"/>
      <c r="AI5" s="866"/>
      <c r="AJ5" s="866"/>
      <c r="AK5" s="866"/>
      <c r="AL5" s="855"/>
      <c r="AM5" s="860"/>
      <c r="AN5" s="859"/>
      <c r="AO5" s="859"/>
      <c r="AP5" s="859"/>
      <c r="AQ5" s="859"/>
      <c r="AR5" s="859"/>
      <c r="AS5" s="859"/>
      <c r="AT5" s="859"/>
      <c r="AU5" s="859"/>
      <c r="AV5" s="859"/>
      <c r="AW5" s="859"/>
      <c r="AX5" s="860"/>
      <c r="AY5" s="860"/>
      <c r="AZ5" s="860"/>
      <c r="BA5" s="860"/>
      <c r="BB5" s="860"/>
      <c r="BC5" s="860"/>
      <c r="BD5" s="860"/>
      <c r="BE5" s="860"/>
      <c r="BF5" s="860"/>
      <c r="BG5" s="862"/>
      <c r="BH5" s="862"/>
      <c r="BI5" s="862"/>
      <c r="BJ5" s="861"/>
      <c r="BK5" s="861"/>
      <c r="BL5" s="862"/>
      <c r="BM5" s="862"/>
      <c r="BN5" s="862"/>
      <c r="BO5" s="862"/>
      <c r="BP5" s="862"/>
      <c r="BQ5" s="867"/>
      <c r="BR5" s="851"/>
      <c r="BS5" s="852"/>
      <c r="BT5" s="864"/>
      <c r="BU5" s="864"/>
      <c r="BV5" s="864"/>
      <c r="BW5" s="864"/>
      <c r="BX5" s="865"/>
      <c r="BY5" s="865"/>
      <c r="BZ5" s="866"/>
      <c r="CA5" s="866"/>
      <c r="CB5" s="866"/>
      <c r="CC5" s="855"/>
      <c r="CD5" s="860"/>
      <c r="CE5" s="860"/>
      <c r="CF5" s="860"/>
      <c r="CG5" s="860"/>
      <c r="CH5" s="862"/>
      <c r="CI5" s="862"/>
      <c r="CJ5" s="862"/>
      <c r="CK5" s="862"/>
      <c r="CL5" s="862"/>
      <c r="CM5" s="862"/>
      <c r="CN5" s="862"/>
      <c r="CO5" s="862"/>
      <c r="CP5" s="862"/>
      <c r="CQ5" s="862"/>
      <c r="CR5" s="862"/>
      <c r="CS5" s="862"/>
      <c r="CT5" s="862"/>
      <c r="CU5" s="862"/>
      <c r="CV5" s="862"/>
      <c r="CW5" s="863"/>
      <c r="CX5" s="864"/>
      <c r="CY5" s="865"/>
      <c r="CZ5" s="865"/>
      <c r="DA5" s="866"/>
      <c r="DB5" s="866"/>
      <c r="DC5" s="866"/>
      <c r="DD5" s="858"/>
    </row>
    <row r="6" spans="1:108" ht="21">
      <c r="A6" s="868" t="s">
        <v>123</v>
      </c>
      <c r="B6" s="869"/>
      <c r="C6" s="870"/>
      <c r="D6" s="871">
        <v>110228</v>
      </c>
      <c r="E6" s="872"/>
      <c r="F6" s="873"/>
      <c r="G6" s="874"/>
      <c r="H6" s="873"/>
      <c r="I6" s="865"/>
      <c r="J6" s="875">
        <v>110134</v>
      </c>
      <c r="K6" s="876"/>
      <c r="L6" s="874"/>
      <c r="M6" s="877"/>
      <c r="N6" s="855"/>
      <c r="O6" s="860"/>
      <c r="P6" s="878"/>
      <c r="Q6" s="878"/>
      <c r="R6" s="878"/>
      <c r="S6" s="878"/>
      <c r="T6" s="878"/>
      <c r="U6" s="878"/>
      <c r="V6" s="878"/>
      <c r="W6" s="878"/>
      <c r="X6" s="878"/>
      <c r="Y6" s="878"/>
      <c r="Z6" s="878"/>
      <c r="AA6" s="862"/>
      <c r="AB6" s="879"/>
      <c r="AC6" s="880"/>
      <c r="AD6" s="880"/>
      <c r="AE6" s="880"/>
      <c r="AF6" s="880"/>
      <c r="AG6" s="880"/>
      <c r="AH6" s="880"/>
      <c r="AI6" s="880"/>
      <c r="AJ6" s="880"/>
      <c r="AK6" s="866"/>
      <c r="AL6" s="855"/>
      <c r="AM6" s="860"/>
      <c r="AN6" s="858"/>
      <c r="AO6" s="858"/>
      <c r="AP6" s="858"/>
      <c r="AQ6" s="858"/>
      <c r="AR6" s="858"/>
      <c r="AS6" s="858"/>
      <c r="AT6" s="858"/>
      <c r="AU6" s="858"/>
      <c r="AV6" s="858"/>
      <c r="AW6" s="858"/>
      <c r="AX6" s="858"/>
      <c r="AY6" s="858"/>
      <c r="AZ6" s="881"/>
      <c r="BA6" s="882"/>
      <c r="BB6" s="883"/>
      <c r="BC6" s="884"/>
      <c r="BD6" s="858"/>
      <c r="BE6" s="884"/>
      <c r="BF6" s="884"/>
      <c r="BG6" s="884"/>
      <c r="BH6" s="884"/>
      <c r="BI6" s="884"/>
      <c r="BJ6" s="884"/>
      <c r="BK6" s="884"/>
      <c r="BL6" s="884"/>
      <c r="BM6" s="884"/>
      <c r="BN6" s="884"/>
      <c r="BO6" s="884"/>
      <c r="BP6" s="884"/>
      <c r="BQ6" s="885"/>
      <c r="BR6" s="885"/>
      <c r="BS6" s="885"/>
      <c r="BT6" s="885"/>
      <c r="BU6" s="885"/>
      <c r="BV6" s="885"/>
      <c r="BW6" s="885"/>
      <c r="BX6" s="885"/>
      <c r="BY6" s="885"/>
      <c r="BZ6" s="886"/>
      <c r="CA6" s="870"/>
      <c r="CB6" s="866"/>
      <c r="CC6" s="855"/>
      <c r="CD6" s="860"/>
      <c r="CE6" s="855"/>
      <c r="CF6" s="865"/>
      <c r="CG6" s="858"/>
      <c r="CH6" s="858"/>
      <c r="CI6" s="887"/>
      <c r="CJ6" s="887"/>
      <c r="CK6" s="887"/>
      <c r="CL6" s="887"/>
      <c r="CM6" s="887"/>
      <c r="CN6" s="887"/>
      <c r="CO6" s="858"/>
      <c r="CP6" s="855"/>
      <c r="CQ6" s="858"/>
      <c r="CR6" s="858"/>
      <c r="CS6" s="872"/>
      <c r="CT6" s="888"/>
      <c r="CU6" s="888"/>
      <c r="CV6" s="888"/>
      <c r="CW6" s="888"/>
      <c r="CX6" s="888"/>
      <c r="CY6" s="888"/>
      <c r="CZ6" s="888"/>
      <c r="DA6" s="889"/>
      <c r="DB6" s="889"/>
      <c r="DC6" s="866"/>
      <c r="DD6" s="858"/>
    </row>
    <row r="7" spans="1:108" ht="18">
      <c r="A7" s="890"/>
      <c r="B7" s="891"/>
      <c r="C7" s="892"/>
      <c r="D7" s="893" t="s">
        <v>132</v>
      </c>
      <c r="E7" s="858"/>
      <c r="F7" s="858"/>
      <c r="G7" s="894"/>
      <c r="H7" s="895" t="s">
        <v>134</v>
      </c>
      <c r="I7" s="865"/>
      <c r="J7" s="896"/>
      <c r="K7" s="895" t="s">
        <v>136</v>
      </c>
      <c r="L7" s="897"/>
      <c r="M7" s="855"/>
      <c r="N7" s="855"/>
      <c r="O7" s="860"/>
      <c r="P7" s="878"/>
      <c r="Q7" s="878"/>
      <c r="R7" s="878"/>
      <c r="S7" s="878"/>
      <c r="T7" s="878"/>
      <c r="U7" s="898"/>
      <c r="V7" s="898"/>
      <c r="W7" s="878"/>
      <c r="X7" s="878"/>
      <c r="Y7" s="899"/>
      <c r="Z7" s="899"/>
      <c r="AA7" s="900"/>
      <c r="AB7" s="880"/>
      <c r="AC7" s="891"/>
      <c r="AD7" s="891"/>
      <c r="AE7" s="891"/>
      <c r="AF7" s="891"/>
      <c r="AG7" s="891"/>
      <c r="AH7" s="891"/>
      <c r="AI7" s="891"/>
      <c r="AJ7" s="880"/>
      <c r="AK7" s="866"/>
      <c r="AL7" s="855"/>
      <c r="AM7" s="860"/>
      <c r="AN7" s="858"/>
      <c r="AO7" s="858"/>
      <c r="AP7" s="858"/>
      <c r="AQ7" s="858"/>
      <c r="AR7" s="858"/>
      <c r="AS7" s="858"/>
      <c r="AT7" s="858"/>
      <c r="AU7" s="858"/>
      <c r="AV7" s="858"/>
      <c r="AW7" s="858"/>
      <c r="AX7" s="858"/>
      <c r="AY7" s="858"/>
      <c r="AZ7" s="901"/>
      <c r="BA7" s="902"/>
      <c r="BB7" s="883"/>
      <c r="BC7" s="884"/>
      <c r="BD7" s="858"/>
      <c r="BE7" s="858"/>
      <c r="BF7" s="884"/>
      <c r="BG7" s="884"/>
      <c r="BH7" s="884"/>
      <c r="BI7" s="884"/>
      <c r="BJ7" s="884"/>
      <c r="BK7" s="884"/>
      <c r="BL7" s="884"/>
      <c r="BM7" s="884"/>
      <c r="BN7" s="884"/>
      <c r="BO7" s="884"/>
      <c r="BP7" s="884"/>
      <c r="BQ7" s="885"/>
      <c r="BR7" s="885"/>
      <c r="BS7" s="885"/>
      <c r="BT7" s="885"/>
      <c r="BU7" s="885"/>
      <c r="BV7" s="885"/>
      <c r="BW7" s="885"/>
      <c r="BX7" s="885"/>
      <c r="BY7" s="885"/>
      <c r="BZ7" s="890"/>
      <c r="CA7" s="892"/>
      <c r="CB7" s="866"/>
      <c r="CC7" s="855"/>
      <c r="CD7" s="860"/>
      <c r="CE7" s="888"/>
      <c r="CF7" s="903"/>
      <c r="CG7" s="862"/>
      <c r="CH7" s="862"/>
      <c r="CI7" s="904"/>
      <c r="CJ7" s="904"/>
      <c r="CK7" s="904"/>
      <c r="CL7" s="904"/>
      <c r="CM7" s="904"/>
      <c r="CN7" s="904"/>
      <c r="CO7" s="904"/>
      <c r="CP7" s="855"/>
      <c r="CQ7" s="855"/>
      <c r="CR7" s="855"/>
      <c r="CS7" s="858"/>
      <c r="CT7" s="858"/>
      <c r="CU7" s="858"/>
      <c r="CV7" s="858"/>
      <c r="CW7" s="858"/>
      <c r="CX7" s="858"/>
      <c r="CY7" s="858"/>
      <c r="CZ7" s="858"/>
      <c r="DA7" s="889"/>
      <c r="DB7" s="889"/>
      <c r="DC7" s="866"/>
      <c r="DD7" s="858"/>
    </row>
    <row r="8" spans="1:108" ht="21.75" thickBot="1">
      <c r="A8" s="905"/>
      <c r="B8" s="906"/>
      <c r="C8" s="907"/>
      <c r="D8" s="908">
        <v>3</v>
      </c>
      <c r="E8" s="858"/>
      <c r="F8" s="858"/>
      <c r="G8" s="894">
        <v>1</v>
      </c>
      <c r="H8" s="909"/>
      <c r="I8" s="910" t="s">
        <v>136</v>
      </c>
      <c r="J8" s="911"/>
      <c r="K8" s="855"/>
      <c r="L8" s="894"/>
      <c r="M8" s="855"/>
      <c r="N8" s="855"/>
      <c r="O8" s="860"/>
      <c r="P8" s="878"/>
      <c r="Q8" s="878"/>
      <c r="R8" s="878"/>
      <c r="S8" s="878"/>
      <c r="T8" s="878"/>
      <c r="U8" s="898"/>
      <c r="V8" s="898"/>
      <c r="W8" s="878"/>
      <c r="X8" s="878"/>
      <c r="Y8" s="899"/>
      <c r="Z8" s="899"/>
      <c r="AA8" s="900"/>
      <c r="AB8" s="880"/>
      <c r="AC8" s="891"/>
      <c r="AD8" s="891"/>
      <c r="AE8" s="891"/>
      <c r="AF8" s="891"/>
      <c r="AG8" s="891"/>
      <c r="AH8" s="891"/>
      <c r="AI8" s="891"/>
      <c r="AJ8" s="880"/>
      <c r="AK8" s="866"/>
      <c r="AL8" s="855"/>
      <c r="AM8" s="860"/>
      <c r="AN8" s="858"/>
      <c r="AO8" s="858"/>
      <c r="AP8" s="858"/>
      <c r="AQ8" s="858"/>
      <c r="AR8" s="858"/>
      <c r="AS8" s="858"/>
      <c r="AT8" s="858"/>
      <c r="AU8" s="858"/>
      <c r="AV8" s="858"/>
      <c r="AW8" s="858"/>
      <c r="AX8" s="858"/>
      <c r="AY8" s="858"/>
      <c r="AZ8" s="901"/>
      <c r="BA8" s="902"/>
      <c r="BB8" s="858"/>
      <c r="BC8" s="884"/>
      <c r="BD8" s="858"/>
      <c r="BE8" s="858"/>
      <c r="BF8" s="884"/>
      <c r="BG8" s="884"/>
      <c r="BH8" s="884"/>
      <c r="BI8" s="884"/>
      <c r="BJ8" s="884"/>
      <c r="BK8" s="884"/>
      <c r="BL8" s="884"/>
      <c r="BM8" s="884"/>
      <c r="BN8" s="884"/>
      <c r="BO8" s="884"/>
      <c r="BP8" s="884"/>
      <c r="BQ8" s="862"/>
      <c r="BR8" s="862"/>
      <c r="BS8" s="862"/>
      <c r="BT8" s="912"/>
      <c r="BU8" s="912"/>
      <c r="BV8" s="862"/>
      <c r="BW8" s="862"/>
      <c r="BX8" s="865"/>
      <c r="BY8" s="865"/>
      <c r="BZ8" s="890"/>
      <c r="CA8" s="892"/>
      <c r="CB8" s="866"/>
      <c r="CC8" s="855"/>
      <c r="CD8" s="860"/>
      <c r="CE8" s="855"/>
      <c r="CF8" s="903"/>
      <c r="CG8" s="855"/>
      <c r="CH8" s="855"/>
      <c r="CI8" s="855"/>
      <c r="CJ8" s="855"/>
      <c r="CK8" s="855"/>
      <c r="CL8" s="855"/>
      <c r="CM8" s="855"/>
      <c r="CN8" s="855"/>
      <c r="CO8" s="855"/>
      <c r="CP8" s="855"/>
      <c r="CQ8" s="855"/>
      <c r="CR8" s="855"/>
      <c r="CS8" s="855"/>
      <c r="CT8" s="855"/>
      <c r="CU8" s="855"/>
      <c r="CV8" s="855"/>
      <c r="CW8" s="855"/>
      <c r="CX8" s="855"/>
      <c r="CY8" s="855"/>
      <c r="CZ8" s="855"/>
      <c r="DA8" s="889"/>
      <c r="DB8" s="889"/>
      <c r="DC8" s="866"/>
      <c r="DD8" s="858"/>
    </row>
    <row r="9" spans="1:108" ht="23.25" thickBot="1">
      <c r="A9" s="913"/>
      <c r="B9" s="914"/>
      <c r="C9" s="914"/>
      <c r="D9" s="915" t="s">
        <v>139</v>
      </c>
      <c r="E9" s="858"/>
      <c r="F9" s="858"/>
      <c r="G9" s="916" t="s">
        <v>140</v>
      </c>
      <c r="H9" s="880"/>
      <c r="I9" s="917" t="s">
        <v>141</v>
      </c>
      <c r="J9" s="880"/>
      <c r="K9" s="858"/>
      <c r="L9" s="918"/>
      <c r="M9" s="858"/>
      <c r="N9" s="855"/>
      <c r="O9" s="860"/>
      <c r="P9" s="878"/>
      <c r="Q9" s="919" t="s">
        <v>128</v>
      </c>
      <c r="R9" s="869"/>
      <c r="S9" s="869"/>
      <c r="T9" s="869"/>
      <c r="U9" s="869"/>
      <c r="V9" s="869"/>
      <c r="W9" s="869"/>
      <c r="X9" s="870"/>
      <c r="Y9" s="899"/>
      <c r="Z9" s="899"/>
      <c r="AA9" s="900"/>
      <c r="AB9" s="880"/>
      <c r="AC9" s="880"/>
      <c r="AD9" s="880"/>
      <c r="AE9" s="880"/>
      <c r="AF9" s="880"/>
      <c r="AG9" s="880"/>
      <c r="AH9" s="880"/>
      <c r="AI9" s="880"/>
      <c r="AJ9" s="880"/>
      <c r="AK9" s="866"/>
      <c r="AL9" s="855"/>
      <c r="AM9" s="860"/>
      <c r="AN9" s="858"/>
      <c r="AO9" s="858"/>
      <c r="AP9" s="858"/>
      <c r="AQ9" s="858"/>
      <c r="AR9" s="858"/>
      <c r="AS9" s="858"/>
      <c r="AT9" s="858"/>
      <c r="AU9" s="858"/>
      <c r="AV9" s="858"/>
      <c r="AW9" s="858"/>
      <c r="AX9" s="858"/>
      <c r="AY9" s="858"/>
      <c r="AZ9" s="901"/>
      <c r="BA9" s="902"/>
      <c r="BB9" s="883"/>
      <c r="BC9" s="884"/>
      <c r="BD9" s="858"/>
      <c r="BE9" s="858"/>
      <c r="BF9" s="858"/>
      <c r="BG9" s="858"/>
      <c r="BH9" s="858"/>
      <c r="BI9" s="884"/>
      <c r="BJ9" s="884"/>
      <c r="BK9" s="884"/>
      <c r="BL9" s="884"/>
      <c r="BM9" s="884"/>
      <c r="BN9" s="884"/>
      <c r="BO9" s="884"/>
      <c r="BP9" s="884"/>
      <c r="BQ9" s="862"/>
      <c r="BR9" s="862"/>
      <c r="BS9" s="862"/>
      <c r="BT9" s="865"/>
      <c r="BU9" s="862"/>
      <c r="BV9" s="862"/>
      <c r="BW9" s="862"/>
      <c r="BX9" s="865"/>
      <c r="BY9" s="865"/>
      <c r="BZ9" s="890"/>
      <c r="CA9" s="892"/>
      <c r="CB9" s="866"/>
      <c r="CC9" s="855"/>
      <c r="CD9" s="860"/>
      <c r="CE9" s="888"/>
      <c r="CF9" s="903"/>
      <c r="CG9" s="858"/>
      <c r="CH9" s="858"/>
      <c r="CI9" s="858"/>
      <c r="CJ9" s="858"/>
      <c r="CK9" s="858"/>
      <c r="CL9" s="858"/>
      <c r="CM9" s="858"/>
      <c r="CN9" s="858"/>
      <c r="CO9" s="858"/>
      <c r="CP9" s="858"/>
      <c r="CQ9" s="855"/>
      <c r="CR9" s="855"/>
      <c r="CS9" s="855"/>
      <c r="CT9" s="855"/>
      <c r="CU9" s="855"/>
      <c r="CV9" s="858"/>
      <c r="CW9" s="858"/>
      <c r="CX9" s="855"/>
      <c r="CY9" s="855"/>
      <c r="CZ9" s="855"/>
      <c r="DA9" s="920"/>
      <c r="DB9" s="858"/>
      <c r="DC9" s="866"/>
      <c r="DD9" s="858"/>
    </row>
    <row r="10" spans="1:108" ht="21.75" thickBot="1">
      <c r="A10" s="921"/>
      <c r="B10" s="855"/>
      <c r="C10" s="855"/>
      <c r="D10" s="855"/>
      <c r="E10" s="858"/>
      <c r="F10" s="916" t="s">
        <v>141</v>
      </c>
      <c r="G10" s="880"/>
      <c r="H10" s="858"/>
      <c r="I10" s="858"/>
      <c r="J10" s="855"/>
      <c r="K10" s="914"/>
      <c r="L10" s="855"/>
      <c r="M10" s="855"/>
      <c r="N10" s="855"/>
      <c r="O10" s="860"/>
      <c r="P10" s="878"/>
      <c r="Q10" s="890"/>
      <c r="R10" s="891"/>
      <c r="S10" s="891"/>
      <c r="T10" s="891"/>
      <c r="U10" s="891"/>
      <c r="V10" s="891"/>
      <c r="W10" s="891"/>
      <c r="X10" s="892"/>
      <c r="Y10" s="899"/>
      <c r="Z10" s="899"/>
      <c r="AA10" s="862"/>
      <c r="AB10" s="862"/>
      <c r="AC10" s="862"/>
      <c r="AD10" s="862"/>
      <c r="AE10" s="862"/>
      <c r="AF10" s="862"/>
      <c r="AG10" s="862"/>
      <c r="AH10" s="862"/>
      <c r="AI10" s="862"/>
      <c r="AJ10" s="862"/>
      <c r="AK10" s="885"/>
      <c r="AL10" s="855"/>
      <c r="AM10" s="860"/>
      <c r="AN10" s="858"/>
      <c r="AO10" s="858"/>
      <c r="AP10" s="858"/>
      <c r="AQ10" s="858"/>
      <c r="AR10" s="858"/>
      <c r="AS10" s="858"/>
      <c r="AT10" s="858"/>
      <c r="AU10" s="858"/>
      <c r="AV10" s="858"/>
      <c r="AW10" s="858"/>
      <c r="AX10" s="858"/>
      <c r="AY10" s="858"/>
      <c r="AZ10" s="901"/>
      <c r="BA10" s="902"/>
      <c r="BB10" s="884"/>
      <c r="BC10" s="884"/>
      <c r="BD10" s="858"/>
      <c r="BE10" s="858"/>
      <c r="BF10" s="858"/>
      <c r="BG10" s="922"/>
      <c r="BH10" s="922"/>
      <c r="BI10" s="884"/>
      <c r="BJ10" s="884"/>
      <c r="BK10" s="884"/>
      <c r="BL10" s="884"/>
      <c r="BM10" s="884"/>
      <c r="BN10" s="884"/>
      <c r="BO10" s="884"/>
      <c r="BP10" s="884"/>
      <c r="BQ10" s="862"/>
      <c r="BR10" s="862"/>
      <c r="BS10" s="862"/>
      <c r="BT10" s="862"/>
      <c r="BU10" s="862"/>
      <c r="BV10" s="865"/>
      <c r="BW10" s="865"/>
      <c r="BX10" s="865"/>
      <c r="BY10" s="865"/>
      <c r="BZ10" s="905"/>
      <c r="CA10" s="907"/>
      <c r="CB10" s="885"/>
      <c r="CC10" s="855"/>
      <c r="CD10" s="862"/>
      <c r="CE10" s="855"/>
      <c r="CF10" s="903"/>
      <c r="CG10" s="858"/>
      <c r="CH10" s="923"/>
      <c r="CI10" s="880"/>
      <c r="CJ10" s="858"/>
      <c r="CK10" s="858"/>
      <c r="CL10" s="858"/>
      <c r="CM10" s="872"/>
      <c r="CN10" s="888"/>
      <c r="CO10" s="858"/>
      <c r="CP10" s="858"/>
      <c r="CQ10" s="855"/>
      <c r="CR10" s="855"/>
      <c r="CS10" s="855"/>
      <c r="CT10" s="855"/>
      <c r="CU10" s="855"/>
      <c r="CV10" s="855"/>
      <c r="CW10" s="855"/>
      <c r="CX10" s="855"/>
      <c r="CY10" s="855"/>
      <c r="CZ10" s="855"/>
      <c r="DA10" s="889"/>
      <c r="DB10" s="924"/>
      <c r="DC10" s="904"/>
      <c r="DD10" s="858"/>
    </row>
    <row r="11" spans="1:108" ht="21" thickBot="1">
      <c r="A11" s="913"/>
      <c r="B11" s="855"/>
      <c r="C11" s="855"/>
      <c r="D11" s="925"/>
      <c r="E11" s="910" t="s">
        <v>146</v>
      </c>
      <c r="F11" s="926"/>
      <c r="G11" s="926"/>
      <c r="H11" s="910"/>
      <c r="I11" s="855"/>
      <c r="J11" s="855"/>
      <c r="K11" s="896"/>
      <c r="L11" s="896"/>
      <c r="M11" s="855"/>
      <c r="N11" s="855"/>
      <c r="O11" s="860"/>
      <c r="P11" s="878"/>
      <c r="Q11" s="890"/>
      <c r="R11" s="891"/>
      <c r="S11" s="891"/>
      <c r="T11" s="891"/>
      <c r="U11" s="891"/>
      <c r="V11" s="891"/>
      <c r="W11" s="891"/>
      <c r="X11" s="892"/>
      <c r="Y11" s="878"/>
      <c r="Z11" s="878"/>
      <c r="AA11" s="884"/>
      <c r="AB11" s="862"/>
      <c r="AC11" s="927"/>
      <c r="AD11" s="927"/>
      <c r="AE11" s="865"/>
      <c r="AF11" s="865"/>
      <c r="AG11" s="865"/>
      <c r="AH11" s="865"/>
      <c r="AI11" s="885"/>
      <c r="AJ11" s="866"/>
      <c r="AK11" s="885"/>
      <c r="AL11" s="855"/>
      <c r="AM11" s="860"/>
      <c r="AN11" s="858"/>
      <c r="AO11" s="858"/>
      <c r="AP11" s="858"/>
      <c r="AQ11" s="858"/>
      <c r="AR11" s="858"/>
      <c r="AS11" s="858"/>
      <c r="AT11" s="858"/>
      <c r="AU11" s="858"/>
      <c r="AV11" s="858"/>
      <c r="AW11" s="858"/>
      <c r="AX11" s="858"/>
      <c r="AY11" s="858"/>
      <c r="AZ11" s="901"/>
      <c r="BA11" s="902"/>
      <c r="BB11" s="883"/>
      <c r="BC11" s="884"/>
      <c r="BD11" s="858"/>
      <c r="BE11" s="858"/>
      <c r="BF11" s="858"/>
      <c r="BG11" s="922"/>
      <c r="BH11" s="922"/>
      <c r="BI11" s="928"/>
      <c r="BJ11" s="884"/>
      <c r="BK11" s="884"/>
      <c r="BL11" s="884"/>
      <c r="BM11" s="884"/>
      <c r="BN11" s="884"/>
      <c r="BO11" s="884"/>
      <c r="BP11" s="884"/>
      <c r="BQ11" s="862"/>
      <c r="BR11" s="862"/>
      <c r="BS11" s="862"/>
      <c r="BT11" s="862"/>
      <c r="BU11" s="862"/>
      <c r="BV11" s="865"/>
      <c r="BW11" s="865"/>
      <c r="BX11" s="865"/>
      <c r="BY11" s="865"/>
      <c r="BZ11" s="885"/>
      <c r="CA11" s="866"/>
      <c r="CB11" s="885"/>
      <c r="CC11" s="855"/>
      <c r="CD11" s="862"/>
      <c r="CE11" s="888"/>
      <c r="CF11" s="865"/>
      <c r="CG11" s="895"/>
      <c r="CH11" s="929"/>
      <c r="CI11" s="929"/>
      <c r="CJ11" s="858"/>
      <c r="CK11" s="858"/>
      <c r="CL11" s="858"/>
      <c r="CM11" s="858"/>
      <c r="CN11" s="858"/>
      <c r="CO11" s="858"/>
      <c r="CP11" s="858"/>
      <c r="CQ11" s="855"/>
      <c r="CR11" s="855"/>
      <c r="CS11" s="855"/>
      <c r="CT11" s="855"/>
      <c r="CU11" s="855"/>
      <c r="CV11" s="855"/>
      <c r="CW11" s="855"/>
      <c r="CX11" s="855"/>
      <c r="CY11" s="855"/>
      <c r="CZ11" s="855"/>
      <c r="DA11" s="889"/>
      <c r="DB11" s="896"/>
      <c r="DC11" s="904"/>
      <c r="DD11" s="858"/>
    </row>
    <row r="12" spans="1:108" ht="19.5" thickBot="1">
      <c r="A12" s="930" t="s">
        <v>150</v>
      </c>
      <c r="B12" s="855"/>
      <c r="C12" s="931"/>
      <c r="D12" s="932">
        <v>1</v>
      </c>
      <c r="E12" s="926"/>
      <c r="F12" s="933">
        <v>110139</v>
      </c>
      <c r="G12" s="934">
        <v>113883</v>
      </c>
      <c r="H12" s="926"/>
      <c r="I12" s="935">
        <v>6</v>
      </c>
      <c r="J12" s="936"/>
      <c r="K12" s="872"/>
      <c r="L12" s="872"/>
      <c r="M12" s="937"/>
      <c r="N12" s="880"/>
      <c r="O12" s="860"/>
      <c r="P12" s="878"/>
      <c r="Q12" s="890"/>
      <c r="R12" s="891"/>
      <c r="S12" s="891"/>
      <c r="T12" s="891"/>
      <c r="U12" s="891"/>
      <c r="V12" s="891"/>
      <c r="W12" s="891"/>
      <c r="X12" s="892"/>
      <c r="Y12" s="858"/>
      <c r="Z12" s="858"/>
      <c r="AA12" s="858"/>
      <c r="AB12" s="858"/>
      <c r="AC12" s="858"/>
      <c r="AD12" s="858"/>
      <c r="AE12" s="858"/>
      <c r="AF12" s="858"/>
      <c r="AG12" s="858"/>
      <c r="AH12" s="858"/>
      <c r="AI12" s="858"/>
      <c r="AJ12" s="858"/>
      <c r="AK12" s="885"/>
      <c r="AL12" s="855"/>
      <c r="AM12" s="860"/>
      <c r="AN12" s="858"/>
      <c r="AO12" s="858"/>
      <c r="AP12" s="858"/>
      <c r="AQ12" s="858"/>
      <c r="AR12" s="858"/>
      <c r="AS12" s="858"/>
      <c r="AT12" s="858"/>
      <c r="AU12" s="858"/>
      <c r="AV12" s="858"/>
      <c r="AW12" s="858"/>
      <c r="AX12" s="858"/>
      <c r="AY12" s="858"/>
      <c r="AZ12" s="901"/>
      <c r="BA12" s="902"/>
      <c r="BB12" s="858"/>
      <c r="BC12" s="884"/>
      <c r="BD12" s="858"/>
      <c r="BE12" s="858"/>
      <c r="BF12" s="858"/>
      <c r="BG12" s="922"/>
      <c r="BH12" s="922"/>
      <c r="BI12" s="928"/>
      <c r="BJ12" s="884"/>
      <c r="BK12" s="884"/>
      <c r="BL12" s="884"/>
      <c r="BM12" s="884"/>
      <c r="BN12" s="884"/>
      <c r="BO12" s="884"/>
      <c r="BP12" s="884"/>
      <c r="BQ12" s="862"/>
      <c r="BR12" s="862"/>
      <c r="BS12" s="862"/>
      <c r="BT12" s="865"/>
      <c r="BU12" s="865"/>
      <c r="BV12" s="865"/>
      <c r="BW12" s="855"/>
      <c r="BX12" s="855"/>
      <c r="BY12" s="855"/>
      <c r="BZ12" s="885"/>
      <c r="CA12" s="885"/>
      <c r="CB12" s="885"/>
      <c r="CC12" s="855"/>
      <c r="CD12" s="862"/>
      <c r="CE12" s="904"/>
      <c r="CF12" s="931"/>
      <c r="CG12" s="897"/>
      <c r="CH12" s="874"/>
      <c r="CI12" s="874"/>
      <c r="CJ12" s="897"/>
      <c r="CK12" s="936"/>
      <c r="CL12" s="858"/>
      <c r="CM12" s="872"/>
      <c r="CN12" s="888"/>
      <c r="CO12" s="858"/>
      <c r="CP12" s="858"/>
      <c r="CQ12" s="855"/>
      <c r="CR12" s="855"/>
      <c r="CS12" s="855"/>
      <c r="CT12" s="855"/>
      <c r="CU12" s="855"/>
      <c r="CV12" s="855"/>
      <c r="CW12" s="855"/>
      <c r="CX12" s="855"/>
      <c r="CY12" s="858"/>
      <c r="CZ12" s="855"/>
      <c r="DA12" s="889"/>
      <c r="DB12" s="938"/>
      <c r="DC12" s="904"/>
      <c r="DD12" s="858"/>
    </row>
    <row r="13" spans="1:108" ht="18">
      <c r="A13" s="939"/>
      <c r="B13" s="855"/>
      <c r="C13" s="931"/>
      <c r="D13" s="932">
        <v>2</v>
      </c>
      <c r="E13" s="926"/>
      <c r="F13" s="940">
        <v>113908</v>
      </c>
      <c r="G13" s="941">
        <v>113102</v>
      </c>
      <c r="H13" s="926"/>
      <c r="I13" s="935">
        <v>5</v>
      </c>
      <c r="J13" s="936"/>
      <c r="M13" s="895"/>
      <c r="N13" s="894"/>
      <c r="O13" s="860"/>
      <c r="P13" s="878"/>
      <c r="Q13" s="890"/>
      <c r="R13" s="891"/>
      <c r="S13" s="891"/>
      <c r="T13" s="891"/>
      <c r="U13" s="891"/>
      <c r="V13" s="891"/>
      <c r="W13" s="891"/>
      <c r="X13" s="892"/>
      <c r="Y13" s="858"/>
      <c r="Z13" s="942" t="s">
        <v>153</v>
      </c>
      <c r="AA13" s="869"/>
      <c r="AB13" s="869"/>
      <c r="AC13" s="869"/>
      <c r="AD13" s="869"/>
      <c r="AE13" s="869"/>
      <c r="AF13" s="869"/>
      <c r="AG13" s="869"/>
      <c r="AH13" s="870"/>
      <c r="AI13" s="858"/>
      <c r="AJ13" s="858"/>
      <c r="AK13" s="885"/>
      <c r="AL13" s="855"/>
      <c r="AM13" s="860"/>
      <c r="AN13" s="858"/>
      <c r="AO13" s="858"/>
      <c r="AP13" s="858"/>
      <c r="AQ13" s="858"/>
      <c r="AR13" s="858"/>
      <c r="AS13" s="858"/>
      <c r="AT13" s="858"/>
      <c r="AU13" s="858"/>
      <c r="AV13" s="858"/>
      <c r="AW13" s="858"/>
      <c r="AX13" s="858"/>
      <c r="AY13" s="858"/>
      <c r="AZ13" s="901"/>
      <c r="BA13" s="902"/>
      <c r="BB13" s="883"/>
      <c r="BC13" s="884"/>
      <c r="BD13" s="858"/>
      <c r="BE13" s="858"/>
      <c r="BF13" s="858"/>
      <c r="BG13" s="943"/>
      <c r="BH13" s="883"/>
      <c r="BI13" s="884"/>
      <c r="BJ13" s="884"/>
      <c r="BK13" s="884"/>
      <c r="BL13" s="884"/>
      <c r="BM13" s="884"/>
      <c r="BN13" s="884"/>
      <c r="BO13" s="884"/>
      <c r="BP13" s="884"/>
      <c r="BQ13" s="862"/>
      <c r="BR13" s="862"/>
      <c r="BS13" s="862"/>
      <c r="BT13" s="858"/>
      <c r="BU13" s="858"/>
      <c r="BV13" s="858"/>
      <c r="BW13" s="858"/>
      <c r="BX13" s="858"/>
      <c r="BY13" s="858"/>
      <c r="BZ13" s="858"/>
      <c r="CA13" s="858"/>
      <c r="CB13" s="944"/>
      <c r="CC13" s="855"/>
      <c r="CD13" s="862"/>
      <c r="CE13" s="888"/>
      <c r="CF13" s="931"/>
      <c r="CG13" s="897"/>
      <c r="CH13" s="874"/>
      <c r="CI13" s="874"/>
      <c r="CJ13" s="897"/>
      <c r="CK13" s="936"/>
      <c r="CL13" s="858"/>
      <c r="CM13" s="858"/>
      <c r="CN13" s="858"/>
      <c r="CO13" s="858"/>
      <c r="CP13" s="858"/>
      <c r="CQ13" s="858"/>
      <c r="CR13" s="855"/>
      <c r="CS13" s="855"/>
      <c r="CT13" s="855"/>
      <c r="CU13" s="855"/>
      <c r="CV13" s="855"/>
      <c r="CW13" s="855"/>
      <c r="CX13" s="855"/>
      <c r="CY13" s="858"/>
      <c r="CZ13" s="855"/>
      <c r="DA13" s="889"/>
      <c r="DB13" s="924"/>
      <c r="DC13" s="904"/>
      <c r="DD13" s="858"/>
    </row>
    <row r="14" spans="1:108" ht="18">
      <c r="A14" s="939"/>
      <c r="B14" s="858"/>
      <c r="C14" s="931"/>
      <c r="D14" s="932">
        <v>3</v>
      </c>
      <c r="E14" s="926"/>
      <c r="F14" s="945">
        <v>114013</v>
      </c>
      <c r="G14" s="946">
        <v>106306</v>
      </c>
      <c r="H14" s="926"/>
      <c r="I14" s="935">
        <v>4</v>
      </c>
      <c r="J14" s="936"/>
      <c r="M14" s="894"/>
      <c r="N14" s="874"/>
      <c r="O14" s="860"/>
      <c r="P14" s="878"/>
      <c r="Q14" s="890"/>
      <c r="R14" s="891"/>
      <c r="S14" s="891"/>
      <c r="T14" s="891"/>
      <c r="U14" s="891"/>
      <c r="V14" s="891"/>
      <c r="W14" s="891"/>
      <c r="X14" s="892"/>
      <c r="Y14" s="858"/>
      <c r="Z14" s="890"/>
      <c r="AA14" s="891"/>
      <c r="AB14" s="891"/>
      <c r="AC14" s="891"/>
      <c r="AD14" s="891"/>
      <c r="AE14" s="891"/>
      <c r="AF14" s="891"/>
      <c r="AG14" s="891"/>
      <c r="AH14" s="892"/>
      <c r="AI14" s="858"/>
      <c r="AJ14" s="858"/>
      <c r="AK14" s="885"/>
      <c r="AL14" s="855"/>
      <c r="AM14" s="860"/>
      <c r="AN14" s="858"/>
      <c r="AO14" s="858"/>
      <c r="AP14" s="858"/>
      <c r="AQ14" s="858"/>
      <c r="AR14" s="858"/>
      <c r="AS14" s="858"/>
      <c r="AT14" s="858"/>
      <c r="AU14" s="858"/>
      <c r="AV14" s="858"/>
      <c r="AW14" s="858"/>
      <c r="AX14" s="858"/>
      <c r="AY14" s="858"/>
      <c r="AZ14" s="901"/>
      <c r="BA14" s="902"/>
      <c r="BB14" s="884"/>
      <c r="BC14" s="884"/>
      <c r="BD14" s="858"/>
      <c r="BE14" s="858"/>
      <c r="BF14" s="858"/>
      <c r="BG14" s="877"/>
      <c r="BH14" s="883"/>
      <c r="BI14" s="884"/>
      <c r="BJ14" s="884"/>
      <c r="BK14" s="884"/>
      <c r="BL14" s="884"/>
      <c r="BM14" s="884"/>
      <c r="BN14" s="884"/>
      <c r="BO14" s="884"/>
      <c r="BP14" s="884"/>
      <c r="BQ14" s="862"/>
      <c r="BR14" s="862"/>
      <c r="BS14" s="862"/>
      <c r="BT14" s="858"/>
      <c r="BU14" s="858"/>
      <c r="BV14" s="858"/>
      <c r="BW14" s="858"/>
      <c r="BX14" s="858"/>
      <c r="BY14" s="858"/>
      <c r="BZ14" s="858"/>
      <c r="CA14" s="858"/>
      <c r="CB14" s="944"/>
      <c r="CC14" s="855"/>
      <c r="CD14" s="862"/>
      <c r="CE14" s="904"/>
      <c r="CF14" s="903"/>
      <c r="CG14" s="855"/>
      <c r="CH14" s="929"/>
      <c r="CI14" s="929"/>
      <c r="CJ14" s="858"/>
      <c r="CK14" s="858"/>
      <c r="CL14" s="855"/>
      <c r="CM14" s="872"/>
      <c r="CN14" s="888"/>
      <c r="CO14" s="858"/>
      <c r="CP14" s="855"/>
      <c r="CQ14" s="855"/>
      <c r="CR14" s="855"/>
      <c r="CS14" s="855"/>
      <c r="CT14" s="855"/>
      <c r="CU14" s="855"/>
      <c r="CV14" s="855"/>
      <c r="CW14" s="855"/>
      <c r="CX14" s="855"/>
      <c r="CY14" s="858"/>
      <c r="CZ14" s="855"/>
      <c r="DA14" s="889"/>
      <c r="DB14" s="889"/>
      <c r="DC14" s="904"/>
      <c r="DD14" s="858"/>
    </row>
    <row r="15" spans="1:108" ht="19.5" thickBot="1">
      <c r="A15" s="947"/>
      <c r="B15" s="948"/>
      <c r="C15" s="948"/>
      <c r="D15" s="948"/>
      <c r="E15" s="949"/>
      <c r="F15" s="950"/>
      <c r="G15" s="950"/>
      <c r="H15" s="935"/>
      <c r="I15" s="914"/>
      <c r="J15" s="914"/>
      <c r="K15" s="914"/>
      <c r="L15" s="951"/>
      <c r="M15" s="894"/>
      <c r="N15" s="874"/>
      <c r="O15" s="860"/>
      <c r="P15" s="878"/>
      <c r="Q15" s="890"/>
      <c r="R15" s="891"/>
      <c r="S15" s="891"/>
      <c r="T15" s="891"/>
      <c r="U15" s="891"/>
      <c r="V15" s="891"/>
      <c r="W15" s="891"/>
      <c r="X15" s="892"/>
      <c r="Y15" s="858"/>
      <c r="Z15" s="890"/>
      <c r="AA15" s="891"/>
      <c r="AB15" s="891"/>
      <c r="AC15" s="891"/>
      <c r="AD15" s="891"/>
      <c r="AE15" s="891"/>
      <c r="AF15" s="891"/>
      <c r="AG15" s="891"/>
      <c r="AH15" s="892"/>
      <c r="AI15" s="858"/>
      <c r="AJ15" s="858"/>
      <c r="AK15" s="885"/>
      <c r="AL15" s="855"/>
      <c r="AM15" s="860"/>
      <c r="AN15" s="858"/>
      <c r="AO15" s="858"/>
      <c r="AP15" s="858"/>
      <c r="AQ15" s="858"/>
      <c r="AR15" s="858"/>
      <c r="AS15" s="858"/>
      <c r="AT15" s="858"/>
      <c r="AU15" s="858"/>
      <c r="AV15" s="858"/>
      <c r="AW15" s="858"/>
      <c r="AX15" s="858"/>
      <c r="AY15" s="858"/>
      <c r="AZ15" s="901"/>
      <c r="BA15" s="902"/>
      <c r="BB15" s="884"/>
      <c r="BC15" s="884"/>
      <c r="BD15" s="858"/>
      <c r="BE15" s="858"/>
      <c r="BF15" s="952"/>
      <c r="BG15" s="877"/>
      <c r="BH15" s="883"/>
      <c r="BI15" s="858"/>
      <c r="BJ15" s="884"/>
      <c r="BK15" s="884"/>
      <c r="BL15" s="884"/>
      <c r="BM15" s="884"/>
      <c r="BN15" s="884"/>
      <c r="BO15" s="884"/>
      <c r="BP15" s="884"/>
      <c r="BQ15" s="862"/>
      <c r="BR15" s="862"/>
      <c r="BS15" s="862"/>
      <c r="BT15" s="855"/>
      <c r="BU15" s="855"/>
      <c r="BV15" s="855"/>
      <c r="BW15" s="855"/>
      <c r="BX15" s="953"/>
      <c r="BY15" s="954"/>
      <c r="BZ15" s="953"/>
      <c r="CA15" s="954"/>
      <c r="CB15" s="944"/>
      <c r="CC15" s="855"/>
      <c r="CD15" s="862"/>
      <c r="CE15" s="888"/>
      <c r="CF15" s="903"/>
      <c r="CG15" s="865"/>
      <c r="CH15" s="858"/>
      <c r="CI15" s="858"/>
      <c r="CJ15" s="858"/>
      <c r="CK15" s="858"/>
      <c r="CL15" s="855"/>
      <c r="CM15" s="858"/>
      <c r="CN15" s="858"/>
      <c r="CO15" s="858"/>
      <c r="CP15" s="855"/>
      <c r="CQ15" s="855"/>
      <c r="CR15" s="855"/>
      <c r="CS15" s="855"/>
      <c r="CT15" s="855"/>
      <c r="CU15" s="872"/>
      <c r="CV15" s="888"/>
      <c r="CW15" s="855"/>
      <c r="CX15" s="855"/>
      <c r="CY15" s="858"/>
      <c r="CZ15" s="855"/>
      <c r="DA15" s="889"/>
      <c r="DB15" s="889"/>
      <c r="DC15" s="904"/>
      <c r="DD15" s="858"/>
    </row>
    <row r="16" spans="1:108" ht="21.75" thickBot="1">
      <c r="A16" s="955"/>
      <c r="B16" s="914"/>
      <c r="C16" s="914"/>
      <c r="D16" s="914"/>
      <c r="E16" s="956"/>
      <c r="F16" s="957"/>
      <c r="G16" s="958"/>
      <c r="H16" s="959"/>
      <c r="I16" s="855"/>
      <c r="J16" s="855"/>
      <c r="K16" s="960"/>
      <c r="L16" s="951"/>
      <c r="M16" s="894"/>
      <c r="N16" s="874"/>
      <c r="O16" s="860"/>
      <c r="P16" s="878"/>
      <c r="Q16" s="890"/>
      <c r="R16" s="891"/>
      <c r="S16" s="891"/>
      <c r="T16" s="891"/>
      <c r="U16" s="891"/>
      <c r="V16" s="891"/>
      <c r="W16" s="891"/>
      <c r="X16" s="892"/>
      <c r="Y16" s="858"/>
      <c r="Z16" s="890"/>
      <c r="AA16" s="891"/>
      <c r="AB16" s="891"/>
      <c r="AC16" s="891"/>
      <c r="AD16" s="891"/>
      <c r="AE16" s="891"/>
      <c r="AF16" s="891"/>
      <c r="AG16" s="891"/>
      <c r="AH16" s="892"/>
      <c r="AI16" s="858"/>
      <c r="AJ16" s="858"/>
      <c r="AK16" s="885"/>
      <c r="AL16" s="855"/>
      <c r="AM16" s="860"/>
      <c r="AN16" s="858"/>
      <c r="AO16" s="858"/>
      <c r="AP16" s="858"/>
      <c r="AQ16" s="858"/>
      <c r="AR16" s="858"/>
      <c r="AS16" s="858"/>
      <c r="AT16" s="858"/>
      <c r="AU16" s="858"/>
      <c r="AV16" s="858"/>
      <c r="AW16" s="858"/>
      <c r="AX16" s="858"/>
      <c r="AY16" s="858"/>
      <c r="AZ16" s="901"/>
      <c r="BA16" s="902"/>
      <c r="BB16" s="883"/>
      <c r="BC16" s="884"/>
      <c r="BD16" s="858"/>
      <c r="BE16" s="858"/>
      <c r="BF16" s="952"/>
      <c r="BG16" s="877"/>
      <c r="BH16" s="883"/>
      <c r="BI16" s="884"/>
      <c r="BJ16" s="884"/>
      <c r="BK16" s="884"/>
      <c r="BL16" s="884"/>
      <c r="BM16" s="960"/>
      <c r="BN16" s="961" t="s">
        <v>155</v>
      </c>
      <c r="BO16" s="962"/>
      <c r="BP16" s="962"/>
      <c r="BQ16" s="862"/>
      <c r="BR16" s="862"/>
      <c r="BS16" s="862"/>
      <c r="BT16" s="862"/>
      <c r="BU16" s="862"/>
      <c r="BV16" s="862"/>
      <c r="BW16" s="855"/>
      <c r="BX16" s="858"/>
      <c r="BY16" s="858"/>
      <c r="BZ16" s="858"/>
      <c r="CA16" s="858"/>
      <c r="CB16" s="944"/>
      <c r="CC16" s="855"/>
      <c r="CD16" s="862"/>
      <c r="CE16" s="904"/>
      <c r="CF16" s="904"/>
      <c r="CG16" s="928"/>
      <c r="CH16" s="862"/>
      <c r="CI16" s="865"/>
      <c r="CJ16" s="855"/>
      <c r="CK16" s="858"/>
      <c r="CL16" s="858"/>
      <c r="CM16" s="923"/>
      <c r="CN16" s="891"/>
      <c r="CO16" s="855"/>
      <c r="CP16" s="855"/>
      <c r="CQ16" s="855"/>
      <c r="CR16" s="855"/>
      <c r="CS16" s="855"/>
      <c r="CT16" s="855"/>
      <c r="CU16" s="872"/>
      <c r="CV16" s="888"/>
      <c r="CW16" s="855"/>
      <c r="CX16" s="855"/>
      <c r="CY16" s="858"/>
      <c r="CZ16" s="855"/>
      <c r="DA16" s="889"/>
      <c r="DB16" s="889"/>
      <c r="DC16" s="904"/>
      <c r="DD16" s="858"/>
    </row>
    <row r="17" spans="1:108" ht="27.75">
      <c r="A17" s="955"/>
      <c r="B17" s="914"/>
      <c r="C17" s="858"/>
      <c r="D17" s="858"/>
      <c r="E17" s="855"/>
      <c r="F17" s="963"/>
      <c r="G17" s="964"/>
      <c r="H17" s="965"/>
      <c r="I17" s="855"/>
      <c r="J17" s="855"/>
      <c r="K17" s="855"/>
      <c r="L17" s="951"/>
      <c r="M17" s="894"/>
      <c r="N17" s="874"/>
      <c r="O17" s="860"/>
      <c r="P17" s="878"/>
      <c r="Q17" s="890"/>
      <c r="R17" s="891"/>
      <c r="S17" s="891"/>
      <c r="T17" s="891"/>
      <c r="U17" s="891"/>
      <c r="V17" s="891"/>
      <c r="W17" s="891"/>
      <c r="X17" s="892"/>
      <c r="Y17" s="858"/>
      <c r="Z17" s="890"/>
      <c r="AA17" s="891"/>
      <c r="AB17" s="891"/>
      <c r="AC17" s="891"/>
      <c r="AD17" s="891"/>
      <c r="AE17" s="891"/>
      <c r="AF17" s="891"/>
      <c r="AG17" s="891"/>
      <c r="AH17" s="892"/>
      <c r="AI17" s="858"/>
      <c r="AJ17" s="858"/>
      <c r="AK17" s="885"/>
      <c r="AL17" s="855"/>
      <c r="AM17" s="860"/>
      <c r="AN17" s="858"/>
      <c r="AO17" s="858"/>
      <c r="AP17" s="858"/>
      <c r="AQ17" s="966" t="s">
        <v>156</v>
      </c>
      <c r="AR17" s="967"/>
      <c r="AS17" s="967"/>
      <c r="AT17" s="858"/>
      <c r="AU17" s="858"/>
      <c r="AV17" s="858"/>
      <c r="AW17" s="858"/>
      <c r="AX17" s="858"/>
      <c r="AY17" s="858"/>
      <c r="AZ17" s="901"/>
      <c r="BA17" s="902"/>
      <c r="BB17" s="884"/>
      <c r="BC17" s="884"/>
      <c r="BD17" s="884"/>
      <c r="BE17" s="858"/>
      <c r="BF17" s="952"/>
      <c r="BG17" s="877"/>
      <c r="BH17" s="968"/>
      <c r="BI17" s="865"/>
      <c r="BJ17" s="884"/>
      <c r="BK17" s="884"/>
      <c r="BL17" s="884"/>
      <c r="BM17" s="884"/>
      <c r="BN17" s="969" t="s">
        <v>158</v>
      </c>
      <c r="BO17" s="970"/>
      <c r="BP17" s="970"/>
      <c r="BQ17" s="971"/>
      <c r="BR17" s="972"/>
      <c r="BS17" s="862"/>
      <c r="BT17" s="973"/>
      <c r="BU17" s="862"/>
      <c r="BV17" s="862"/>
      <c r="BW17" s="862"/>
      <c r="BX17" s="862"/>
      <c r="BY17" s="855"/>
      <c r="BZ17" s="855"/>
      <c r="CA17" s="855"/>
      <c r="CB17" s="944"/>
      <c r="CC17" s="855"/>
      <c r="CD17" s="862"/>
      <c r="CE17" s="888"/>
      <c r="CF17" s="855"/>
      <c r="CG17" s="928"/>
      <c r="CH17" s="872"/>
      <c r="CI17" s="872"/>
      <c r="CJ17" s="855"/>
      <c r="CK17" s="858"/>
      <c r="CL17" s="858"/>
      <c r="CM17" s="929"/>
      <c r="CN17" s="929"/>
      <c r="CO17" s="855"/>
      <c r="CP17" s="855"/>
      <c r="CQ17" s="855"/>
      <c r="CR17" s="855"/>
      <c r="CS17" s="855"/>
      <c r="CT17" s="855"/>
      <c r="CU17" s="855"/>
      <c r="CV17" s="855"/>
      <c r="CW17" s="855"/>
      <c r="CX17" s="855"/>
      <c r="CY17" s="858"/>
      <c r="CZ17" s="855"/>
      <c r="DA17" s="889"/>
      <c r="DB17" s="889"/>
      <c r="DC17" s="904"/>
      <c r="DD17" s="858"/>
    </row>
    <row r="18" spans="1:108" ht="19.5" thickBot="1">
      <c r="A18" s="955"/>
      <c r="B18" s="914"/>
      <c r="C18" s="858"/>
      <c r="D18" s="858"/>
      <c r="E18" s="858"/>
      <c r="F18" s="858"/>
      <c r="G18" s="964"/>
      <c r="H18" s="965"/>
      <c r="I18" s="855"/>
      <c r="J18" s="855"/>
      <c r="K18" s="884"/>
      <c r="L18" s="858"/>
      <c r="M18" s="858"/>
      <c r="N18" s="894"/>
      <c r="O18" s="860"/>
      <c r="P18" s="878"/>
      <c r="Q18" s="905"/>
      <c r="R18" s="906"/>
      <c r="S18" s="906"/>
      <c r="T18" s="906"/>
      <c r="U18" s="906"/>
      <c r="V18" s="906"/>
      <c r="W18" s="906"/>
      <c r="X18" s="907"/>
      <c r="Y18" s="858"/>
      <c r="Z18" s="905"/>
      <c r="AA18" s="906"/>
      <c r="AB18" s="906"/>
      <c r="AC18" s="906"/>
      <c r="AD18" s="906"/>
      <c r="AE18" s="906"/>
      <c r="AF18" s="906"/>
      <c r="AG18" s="906"/>
      <c r="AH18" s="907"/>
      <c r="AI18" s="858"/>
      <c r="AJ18" s="858"/>
      <c r="AK18" s="885"/>
      <c r="AL18" s="855"/>
      <c r="AM18" s="860"/>
      <c r="AN18" s="858"/>
      <c r="AO18" s="858"/>
      <c r="AP18" s="858"/>
      <c r="AQ18" s="858"/>
      <c r="AR18" s="858"/>
      <c r="AS18" s="858"/>
      <c r="AT18" s="858"/>
      <c r="AU18" s="858"/>
      <c r="AV18" s="858"/>
      <c r="AW18" s="858"/>
      <c r="AX18" s="858"/>
      <c r="AY18" s="858"/>
      <c r="AZ18" s="901"/>
      <c r="BA18" s="902"/>
      <c r="BB18" s="883"/>
      <c r="BC18" s="884"/>
      <c r="BD18" s="884"/>
      <c r="BE18" s="858"/>
      <c r="BF18" s="858"/>
      <c r="BG18" s="884"/>
      <c r="BH18" s="884"/>
      <c r="BI18" s="884"/>
      <c r="BJ18" s="858"/>
      <c r="BK18" s="858"/>
      <c r="BL18" s="858"/>
      <c r="BM18" s="932">
        <v>1</v>
      </c>
      <c r="BN18" s="974" t="s">
        <v>132</v>
      </c>
      <c r="BO18" s="975">
        <v>115266</v>
      </c>
      <c r="BP18" s="975">
        <v>106738</v>
      </c>
      <c r="BQ18" s="974" t="s">
        <v>132</v>
      </c>
      <c r="BR18" s="935">
        <v>8</v>
      </c>
      <c r="BS18" s="858"/>
      <c r="BT18" s="973"/>
      <c r="BU18" s="862"/>
      <c r="BV18" s="862"/>
      <c r="BW18" s="862"/>
      <c r="BX18" s="862"/>
      <c r="BY18" s="973"/>
      <c r="BZ18" s="976"/>
      <c r="CA18" s="862"/>
      <c r="CB18" s="885"/>
      <c r="CC18" s="855"/>
      <c r="CD18" s="862"/>
      <c r="CE18" s="903"/>
      <c r="CF18" s="855"/>
      <c r="CG18" s="928"/>
      <c r="CH18" s="872"/>
      <c r="CI18" s="872"/>
      <c r="CJ18" s="855"/>
      <c r="CK18" s="931"/>
      <c r="CL18" s="897"/>
      <c r="CM18" s="896"/>
      <c r="CN18" s="896"/>
      <c r="CO18" s="897"/>
      <c r="CP18" s="936"/>
      <c r="CQ18" s="865"/>
      <c r="CR18" s="855"/>
      <c r="CS18" s="855"/>
      <c r="CT18" s="855"/>
      <c r="CU18" s="855"/>
      <c r="CV18" s="855"/>
      <c r="CW18" s="855"/>
      <c r="CX18" s="855"/>
      <c r="CY18" s="858"/>
      <c r="CZ18" s="855"/>
      <c r="DA18" s="889"/>
      <c r="DB18" s="858"/>
      <c r="DC18" s="904"/>
      <c r="DD18" s="858"/>
    </row>
    <row r="19" spans="1:108" ht="19.5" thickBot="1">
      <c r="A19" s="955"/>
      <c r="B19" s="914"/>
      <c r="C19" s="977" t="s">
        <v>160</v>
      </c>
      <c r="D19" s="891"/>
      <c r="E19" s="858"/>
      <c r="F19" s="858"/>
      <c r="G19" s="978"/>
      <c r="H19" s="965"/>
      <c r="I19" s="855"/>
      <c r="J19" s="855"/>
      <c r="K19" s="855"/>
      <c r="L19" s="858"/>
      <c r="M19" s="858"/>
      <c r="N19" s="858"/>
      <c r="O19" s="860"/>
      <c r="P19" s="878"/>
      <c r="Q19" s="858"/>
      <c r="R19" s="858"/>
      <c r="S19" s="878"/>
      <c r="T19" s="878"/>
      <c r="U19" s="878"/>
      <c r="V19" s="878"/>
      <c r="W19" s="878"/>
      <c r="X19" s="878"/>
      <c r="Y19" s="858"/>
      <c r="Z19" s="858"/>
      <c r="AA19" s="887"/>
      <c r="AB19" s="887"/>
      <c r="AC19" s="858"/>
      <c r="AD19" s="855"/>
      <c r="AE19" s="855"/>
      <c r="AF19" s="855"/>
      <c r="AG19" s="855"/>
      <c r="AH19" s="855"/>
      <c r="AI19" s="858"/>
      <c r="AJ19" s="858"/>
      <c r="AK19" s="885"/>
      <c r="AL19" s="855"/>
      <c r="AM19" s="860"/>
      <c r="AN19" s="858"/>
      <c r="AO19" s="858"/>
      <c r="AP19" s="858"/>
      <c r="AQ19" s="858"/>
      <c r="AR19" s="858"/>
      <c r="AS19" s="858"/>
      <c r="AT19" s="858"/>
      <c r="AU19" s="858"/>
      <c r="AV19" s="858"/>
      <c r="AW19" s="858"/>
      <c r="AX19" s="858"/>
      <c r="AY19" s="858"/>
      <c r="AZ19" s="979"/>
      <c r="BA19" s="980"/>
      <c r="BB19" s="884"/>
      <c r="BC19" s="884"/>
      <c r="BD19" s="884"/>
      <c r="BE19" s="858"/>
      <c r="BF19" s="858"/>
      <c r="BG19" s="884"/>
      <c r="BH19" s="884"/>
      <c r="BI19" s="884"/>
      <c r="BJ19" s="884"/>
      <c r="BK19" s="858"/>
      <c r="BL19" s="858"/>
      <c r="BM19" s="932">
        <v>2</v>
      </c>
      <c r="BN19" s="974" t="s">
        <v>132</v>
      </c>
      <c r="BO19" s="946">
        <v>113304</v>
      </c>
      <c r="BP19" s="946">
        <v>106372</v>
      </c>
      <c r="BQ19" s="974" t="s">
        <v>132</v>
      </c>
      <c r="BR19" s="935">
        <v>7</v>
      </c>
      <c r="BS19" s="928"/>
      <c r="BT19" s="973"/>
      <c r="BU19" s="862"/>
      <c r="BX19" s="855"/>
      <c r="BY19" s="866"/>
      <c r="BZ19" s="889"/>
      <c r="CA19" s="862"/>
      <c r="CB19" s="885"/>
      <c r="CC19" s="855"/>
      <c r="CD19" s="862"/>
      <c r="CE19" s="858"/>
      <c r="CF19" s="855"/>
      <c r="CG19" s="928"/>
      <c r="CH19" s="981"/>
      <c r="CI19" s="981"/>
      <c r="CJ19" s="855"/>
      <c r="CK19" s="931"/>
      <c r="CL19" s="897"/>
      <c r="CM19" s="896"/>
      <c r="CN19" s="896"/>
      <c r="CO19" s="897"/>
      <c r="CP19" s="936"/>
      <c r="CQ19" s="865"/>
      <c r="CR19" s="855"/>
      <c r="CS19" s="855"/>
      <c r="CT19" s="855"/>
      <c r="CU19" s="855"/>
      <c r="CV19" s="855"/>
      <c r="CW19" s="855"/>
      <c r="CX19" s="855"/>
      <c r="CY19" s="858"/>
      <c r="CZ19" s="855"/>
      <c r="DA19" s="889"/>
      <c r="DB19" s="858"/>
      <c r="DC19" s="904"/>
      <c r="DD19" s="858"/>
    </row>
    <row r="20" spans="1:108" ht="19.5" thickBot="1">
      <c r="A20" s="955"/>
      <c r="B20" s="914"/>
      <c r="C20" s="914"/>
      <c r="D20" s="894"/>
      <c r="E20" s="858"/>
      <c r="F20" s="858"/>
      <c r="G20" s="982"/>
      <c r="H20" s="965"/>
      <c r="I20" s="855"/>
      <c r="J20" s="858"/>
      <c r="K20" s="865"/>
      <c r="L20" s="858"/>
      <c r="M20" s="858"/>
      <c r="N20" s="858"/>
      <c r="O20" s="860"/>
      <c r="P20" s="878"/>
      <c r="Q20" s="858"/>
      <c r="R20" s="858"/>
      <c r="S20" s="858"/>
      <c r="T20" s="899"/>
      <c r="U20" s="899"/>
      <c r="V20" s="899"/>
      <c r="W20" s="983"/>
      <c r="X20" s="984"/>
      <c r="Y20" s="858"/>
      <c r="Z20" s="858"/>
      <c r="AA20" s="887"/>
      <c r="AB20" s="887"/>
      <c r="AC20" s="858"/>
      <c r="AD20" s="858"/>
      <c r="AE20" s="887"/>
      <c r="AF20" s="887"/>
      <c r="AG20" s="858"/>
      <c r="AH20" s="855"/>
      <c r="AI20" s="858"/>
      <c r="AJ20" s="858"/>
      <c r="AK20" s="885"/>
      <c r="AL20" s="855"/>
      <c r="AM20" s="860"/>
      <c r="AN20" s="858"/>
      <c r="AO20" s="858"/>
      <c r="AP20" s="858"/>
      <c r="AQ20" s="858"/>
      <c r="AR20" s="858"/>
      <c r="AS20" s="858"/>
      <c r="AT20" s="858"/>
      <c r="AU20" s="858"/>
      <c r="AV20" s="858"/>
      <c r="AW20" s="858"/>
      <c r="AX20" s="858"/>
      <c r="AY20" s="858"/>
      <c r="AZ20" s="884"/>
      <c r="BA20" s="884"/>
      <c r="BB20" s="884"/>
      <c r="BC20" s="884"/>
      <c r="BD20" s="884"/>
      <c r="BE20" s="858"/>
      <c r="BF20" s="858"/>
      <c r="BG20" s="884"/>
      <c r="BH20" s="884"/>
      <c r="BI20" s="884"/>
      <c r="BJ20" s="884"/>
      <c r="BK20" s="865"/>
      <c r="BL20" s="858"/>
      <c r="BM20" s="932">
        <v>3</v>
      </c>
      <c r="BN20" s="974" t="s">
        <v>132</v>
      </c>
      <c r="BO20" s="933">
        <v>113872</v>
      </c>
      <c r="BP20" s="985">
        <v>110238</v>
      </c>
      <c r="BQ20" s="974" t="s">
        <v>132</v>
      </c>
      <c r="BR20" s="935">
        <v>6</v>
      </c>
      <c r="BS20" s="928"/>
      <c r="BT20" s="858"/>
      <c r="BU20" s="862"/>
      <c r="BV20" s="986"/>
      <c r="BW20" s="987"/>
      <c r="BX20" s="855"/>
      <c r="BY20" s="866"/>
      <c r="BZ20" s="889"/>
      <c r="CA20" s="862"/>
      <c r="CB20" s="885"/>
      <c r="CC20" s="855"/>
      <c r="CD20" s="862"/>
      <c r="CE20" s="858"/>
      <c r="CF20" s="855"/>
      <c r="CG20" s="928"/>
      <c r="CH20" s="981"/>
      <c r="CI20" s="981"/>
      <c r="CJ20" s="855"/>
      <c r="CK20" s="858"/>
      <c r="CL20" s="858"/>
      <c r="CM20" s="896"/>
      <c r="CN20" s="896"/>
      <c r="CO20" s="858"/>
      <c r="CP20" s="858"/>
      <c r="CQ20" s="864"/>
      <c r="CR20" s="855"/>
      <c r="CS20" s="855"/>
      <c r="CT20" s="855"/>
      <c r="CU20" s="855"/>
      <c r="CV20" s="855"/>
      <c r="CW20" s="855"/>
      <c r="CX20" s="855"/>
      <c r="CY20" s="858"/>
      <c r="CZ20" s="855"/>
      <c r="DA20" s="889"/>
      <c r="DB20" s="858"/>
      <c r="DC20" s="904"/>
      <c r="DD20" s="858"/>
    </row>
    <row r="21" spans="1:108" ht="15.75" customHeight="1">
      <c r="A21" s="955"/>
      <c r="B21" s="914"/>
      <c r="C21" s="914"/>
      <c r="D21" s="914"/>
      <c r="E21" s="858"/>
      <c r="F21" s="858"/>
      <c r="G21" s="988"/>
      <c r="H21" s="989"/>
      <c r="I21" s="855"/>
      <c r="J21" s="855"/>
      <c r="K21" s="865"/>
      <c r="L21" s="858"/>
      <c r="M21" s="858"/>
      <c r="N21" s="990" t="s">
        <v>164</v>
      </c>
      <c r="O21" s="870"/>
      <c r="P21" s="878"/>
      <c r="Q21" s="858"/>
      <c r="R21" s="858"/>
      <c r="S21" s="858"/>
      <c r="T21" s="983"/>
      <c r="U21" s="983"/>
      <c r="V21" s="983"/>
      <c r="W21" s="983"/>
      <c r="X21" s="983"/>
      <c r="Y21" s="858"/>
      <c r="Z21" s="858"/>
      <c r="AA21" s="887"/>
      <c r="AB21" s="887"/>
      <c r="AC21" s="858"/>
      <c r="AD21" s="858"/>
      <c r="AE21" s="887"/>
      <c r="AF21" s="887"/>
      <c r="AG21" s="858"/>
      <c r="AH21" s="855"/>
      <c r="AI21" s="858"/>
      <c r="AJ21" s="858"/>
      <c r="AK21" s="885"/>
      <c r="AL21" s="855"/>
      <c r="AM21" s="860"/>
      <c r="AN21" s="858"/>
      <c r="AO21" s="858"/>
      <c r="AP21" s="858"/>
      <c r="AQ21" s="858"/>
      <c r="AR21" s="858"/>
      <c r="AS21" s="858"/>
      <c r="AT21" s="858"/>
      <c r="AU21" s="858"/>
      <c r="AV21" s="858"/>
      <c r="AW21" s="858"/>
      <c r="AX21" s="858"/>
      <c r="AY21" s="858"/>
      <c r="AZ21" s="884"/>
      <c r="BA21" s="884"/>
      <c r="BB21" s="884"/>
      <c r="BC21" s="884"/>
      <c r="BD21" s="884"/>
      <c r="BE21" s="919" t="s">
        <v>165</v>
      </c>
      <c r="BF21" s="869"/>
      <c r="BG21" s="869"/>
      <c r="BH21" s="869"/>
      <c r="BI21" s="870"/>
      <c r="BJ21" s="858"/>
      <c r="BK21" s="858"/>
      <c r="BL21" s="858"/>
      <c r="BM21" s="932">
        <v>4</v>
      </c>
      <c r="BN21" s="974" t="s">
        <v>132</v>
      </c>
      <c r="BO21" s="945">
        <v>106303</v>
      </c>
      <c r="BP21" s="991">
        <v>113890</v>
      </c>
      <c r="BQ21" s="974" t="s">
        <v>132</v>
      </c>
      <c r="BR21" s="935">
        <v>5</v>
      </c>
      <c r="BS21" s="858"/>
      <c r="BT21" s="858"/>
      <c r="BU21" s="858"/>
      <c r="BV21" s="896"/>
      <c r="BW21" s="896"/>
      <c r="BX21" s="855"/>
      <c r="BY21" s="855"/>
      <c r="BZ21" s="855"/>
      <c r="CA21" s="855"/>
      <c r="CB21" s="885"/>
      <c r="CC21" s="855"/>
      <c r="CD21" s="862"/>
      <c r="CE21" s="903"/>
      <c r="CF21" s="855"/>
      <c r="CG21" s="928"/>
      <c r="CH21" s="981"/>
      <c r="CI21" s="981"/>
      <c r="CJ21" s="855"/>
      <c r="CK21" s="858"/>
      <c r="CL21" s="858"/>
      <c r="CM21" s="992"/>
      <c r="CN21" s="993"/>
      <c r="CO21" s="858"/>
      <c r="CP21" s="858"/>
      <c r="CQ21" s="858"/>
      <c r="CR21" s="855"/>
      <c r="CS21" s="855"/>
      <c r="CT21" s="855"/>
      <c r="CU21" s="855"/>
      <c r="CV21" s="855"/>
      <c r="CW21" s="855"/>
      <c r="CX21" s="855"/>
      <c r="CY21" s="858"/>
      <c r="CZ21" s="855"/>
      <c r="DA21" s="889"/>
      <c r="DB21" s="858"/>
      <c r="DC21" s="904"/>
      <c r="DD21" s="858"/>
    </row>
    <row r="22" spans="1:108" ht="15.75" customHeight="1" thickBot="1">
      <c r="A22" s="994"/>
      <c r="B22" s="860"/>
      <c r="C22" s="914"/>
      <c r="D22" s="914"/>
      <c r="E22" s="855"/>
      <c r="F22" s="963"/>
      <c r="G22" s="964"/>
      <c r="H22" s="965"/>
      <c r="I22" s="855"/>
      <c r="J22" s="855"/>
      <c r="K22" s="865"/>
      <c r="L22" s="858"/>
      <c r="M22" s="858"/>
      <c r="N22" s="890"/>
      <c r="O22" s="892"/>
      <c r="P22" s="878"/>
      <c r="Q22" s="858"/>
      <c r="R22" s="858"/>
      <c r="S22" s="858"/>
      <c r="T22" s="983"/>
      <c r="U22" s="983"/>
      <c r="V22" s="889"/>
      <c r="W22" s="889"/>
      <c r="X22" s="889"/>
      <c r="Y22" s="858"/>
      <c r="Z22" s="855"/>
      <c r="AA22" s="887"/>
      <c r="AB22" s="887"/>
      <c r="AC22" s="855"/>
      <c r="AD22" s="858"/>
      <c r="AE22" s="887"/>
      <c r="AF22" s="887"/>
      <c r="AG22" s="858"/>
      <c r="AH22" s="858"/>
      <c r="AI22" s="858"/>
      <c r="AJ22" s="858"/>
      <c r="AK22" s="885"/>
      <c r="AL22" s="855"/>
      <c r="AM22" s="860"/>
      <c r="AN22" s="858"/>
      <c r="AO22" s="858"/>
      <c r="AP22" s="858"/>
      <c r="AQ22" s="858"/>
      <c r="AR22" s="858"/>
      <c r="AS22" s="858"/>
      <c r="AT22" s="858"/>
      <c r="AU22" s="858"/>
      <c r="AV22" s="858"/>
      <c r="AW22" s="858"/>
      <c r="AX22" s="858"/>
      <c r="AY22" s="858"/>
      <c r="AZ22" s="889"/>
      <c r="BA22" s="884"/>
      <c r="BB22" s="884"/>
      <c r="BC22" s="884"/>
      <c r="BD22" s="884"/>
      <c r="BE22" s="890"/>
      <c r="BF22" s="891"/>
      <c r="BG22" s="891"/>
      <c r="BH22" s="891"/>
      <c r="BI22" s="892"/>
      <c r="BJ22" s="858"/>
      <c r="BK22" s="858"/>
      <c r="BL22" s="858"/>
      <c r="BM22" s="858"/>
      <c r="BN22" s="962"/>
      <c r="BO22" s="970"/>
      <c r="BP22" s="970"/>
      <c r="BQ22" s="962"/>
      <c r="BR22" s="858"/>
      <c r="BS22" s="858"/>
      <c r="BT22" s="858"/>
      <c r="BU22" s="858"/>
      <c r="BV22" s="896"/>
      <c r="BW22" s="896"/>
      <c r="BX22" s="858"/>
      <c r="BY22" s="855"/>
      <c r="BZ22" s="855"/>
      <c r="CA22" s="855"/>
      <c r="CB22" s="885"/>
      <c r="CC22" s="855"/>
      <c r="CD22" s="862"/>
      <c r="CE22" s="903"/>
      <c r="CF22" s="903"/>
      <c r="CG22" s="928"/>
      <c r="CH22" s="862"/>
      <c r="CI22" s="862"/>
      <c r="CJ22" s="855"/>
      <c r="CK22" s="858"/>
      <c r="CL22" s="858"/>
      <c r="CM22" s="858"/>
      <c r="CN22" s="858"/>
      <c r="CO22" s="858"/>
      <c r="CP22" s="855"/>
      <c r="CQ22" s="858"/>
      <c r="CR22" s="855"/>
      <c r="CS22" s="855"/>
      <c r="CT22" s="855"/>
      <c r="CU22" s="995"/>
      <c r="CV22" s="995"/>
      <c r="CW22" s="855"/>
      <c r="CX22" s="855"/>
      <c r="CY22" s="858"/>
      <c r="CZ22" s="858"/>
      <c r="DA22" s="889"/>
      <c r="DB22" s="858"/>
      <c r="DC22" s="904"/>
      <c r="DD22" s="858"/>
    </row>
    <row r="23" spans="1:108" ht="15.75" customHeight="1" thickBot="1">
      <c r="A23" s="994"/>
      <c r="B23" s="860"/>
      <c r="C23" s="855"/>
      <c r="D23" s="858"/>
      <c r="E23" s="855"/>
      <c r="F23" s="963"/>
      <c r="G23" s="964"/>
      <c r="H23" s="965"/>
      <c r="I23" s="855"/>
      <c r="J23" s="996"/>
      <c r="K23" s="855"/>
      <c r="L23" s="858"/>
      <c r="M23" s="858"/>
      <c r="N23" s="890"/>
      <c r="O23" s="892"/>
      <c r="P23" s="878"/>
      <c r="Q23" s="858"/>
      <c r="R23" s="858"/>
      <c r="S23" s="858"/>
      <c r="T23" s="858"/>
      <c r="U23" s="858"/>
      <c r="V23" s="899"/>
      <c r="W23" s="899"/>
      <c r="X23" s="899"/>
      <c r="Y23" s="858"/>
      <c r="Z23" s="855"/>
      <c r="AA23" s="887"/>
      <c r="AB23" s="887"/>
      <c r="AC23" s="858"/>
      <c r="AD23" s="858"/>
      <c r="AE23" s="887"/>
      <c r="AF23" s="887"/>
      <c r="AG23" s="858"/>
      <c r="AH23" s="858"/>
      <c r="AI23" s="858"/>
      <c r="AJ23" s="858"/>
      <c r="AK23" s="885"/>
      <c r="AL23" s="855"/>
      <c r="AM23" s="860"/>
      <c r="AN23" s="858"/>
      <c r="AO23" s="858"/>
      <c r="AP23" s="858"/>
      <c r="AQ23" s="858"/>
      <c r="AR23" s="858"/>
      <c r="AS23" s="858"/>
      <c r="AT23" s="858"/>
      <c r="AU23" s="858"/>
      <c r="AV23" s="858"/>
      <c r="AW23" s="858"/>
      <c r="AX23" s="858"/>
      <c r="AY23" s="858"/>
      <c r="AZ23" s="884"/>
      <c r="BA23" s="884"/>
      <c r="BB23" s="884"/>
      <c r="BC23" s="884"/>
      <c r="BD23" s="884"/>
      <c r="BE23" s="890"/>
      <c r="BF23" s="891"/>
      <c r="BG23" s="891"/>
      <c r="BH23" s="891"/>
      <c r="BI23" s="892"/>
      <c r="BJ23" s="858"/>
      <c r="BK23" s="858"/>
      <c r="BL23" s="858"/>
      <c r="BM23" s="858"/>
      <c r="BN23" s="858"/>
      <c r="BO23" s="962"/>
      <c r="BP23" s="962"/>
      <c r="BQ23" s="858"/>
      <c r="BR23" s="858"/>
      <c r="BS23" s="858"/>
      <c r="BT23" s="858"/>
      <c r="BU23" s="858"/>
      <c r="BV23" s="896"/>
      <c r="BW23" s="896"/>
      <c r="BX23" s="858"/>
      <c r="BY23" s="855"/>
      <c r="BZ23" s="855"/>
      <c r="CA23" s="855"/>
      <c r="CB23" s="885"/>
      <c r="CC23" s="855"/>
      <c r="CD23" s="865"/>
      <c r="CE23" s="868"/>
      <c r="CF23" s="869"/>
      <c r="CG23" s="869"/>
      <c r="CH23" s="869"/>
      <c r="CI23" s="870"/>
      <c r="CJ23" s="888"/>
      <c r="CK23" s="858"/>
      <c r="CL23" s="858"/>
      <c r="CM23" s="858"/>
      <c r="CN23" s="858"/>
      <c r="CO23" s="858"/>
      <c r="CP23" s="855"/>
      <c r="CQ23" s="858"/>
      <c r="CR23" s="855"/>
      <c r="CS23" s="855"/>
      <c r="CT23" s="855"/>
      <c r="CU23" s="995"/>
      <c r="CV23" s="995"/>
      <c r="CW23" s="855"/>
      <c r="CX23" s="855"/>
      <c r="CY23" s="858"/>
      <c r="CZ23" s="855"/>
      <c r="DA23" s="889"/>
      <c r="DB23" s="922"/>
      <c r="DC23" s="904"/>
      <c r="DD23" s="858"/>
    </row>
    <row r="24" spans="1:108" ht="15.75" customHeight="1" thickBot="1">
      <c r="A24" s="994"/>
      <c r="B24" s="860"/>
      <c r="C24" s="956"/>
      <c r="D24" s="956"/>
      <c r="E24" s="956"/>
      <c r="F24" s="956"/>
      <c r="G24" s="923"/>
      <c r="H24" s="880"/>
      <c r="I24" s="997"/>
      <c r="J24" s="855"/>
      <c r="K24" s="855"/>
      <c r="L24" s="858"/>
      <c r="M24" s="858"/>
      <c r="N24" s="905"/>
      <c r="O24" s="907"/>
      <c r="P24" s="878"/>
      <c r="Q24" s="858"/>
      <c r="R24" s="878"/>
      <c r="S24" s="998"/>
      <c r="T24" s="858"/>
      <c r="U24" s="899"/>
      <c r="V24" s="899"/>
      <c r="W24" s="899"/>
      <c r="X24" s="899"/>
      <c r="Y24" s="858"/>
      <c r="Z24" s="855"/>
      <c r="AA24" s="887"/>
      <c r="AB24" s="887"/>
      <c r="AC24" s="858"/>
      <c r="AD24" s="858"/>
      <c r="AE24" s="887"/>
      <c r="AF24" s="887"/>
      <c r="AG24" s="858"/>
      <c r="AH24" s="858"/>
      <c r="AI24" s="858"/>
      <c r="AJ24" s="858"/>
      <c r="AK24" s="885"/>
      <c r="AL24" s="855"/>
      <c r="AM24" s="860"/>
      <c r="AN24" s="858"/>
      <c r="AO24" s="858"/>
      <c r="AP24" s="858"/>
      <c r="AQ24" s="858"/>
      <c r="AR24" s="858"/>
      <c r="AS24" s="858"/>
      <c r="AT24" s="858"/>
      <c r="AU24" s="858"/>
      <c r="AV24" s="858"/>
      <c r="AW24" s="858"/>
      <c r="AX24" s="858"/>
      <c r="AY24" s="858"/>
      <c r="AZ24" s="884"/>
      <c r="BA24" s="884"/>
      <c r="BB24" s="884"/>
      <c r="BC24" s="884"/>
      <c r="BD24" s="884"/>
      <c r="BE24" s="890"/>
      <c r="BF24" s="891"/>
      <c r="BG24" s="891"/>
      <c r="BH24" s="891"/>
      <c r="BI24" s="892"/>
      <c r="BJ24" s="858"/>
      <c r="BK24" s="858"/>
      <c r="BL24" s="858"/>
      <c r="BM24" s="858"/>
      <c r="BN24" s="858"/>
      <c r="BO24" s="916" t="s">
        <v>139</v>
      </c>
      <c r="BP24" s="880"/>
      <c r="BQ24" s="858"/>
      <c r="BR24" s="858"/>
      <c r="BS24" s="858"/>
      <c r="BT24" s="855"/>
      <c r="BU24" s="858"/>
      <c r="BV24" s="896"/>
      <c r="BW24" s="896"/>
      <c r="BX24" s="855"/>
      <c r="BY24" s="855"/>
      <c r="BZ24" s="855"/>
      <c r="CA24" s="855"/>
      <c r="CB24" s="885"/>
      <c r="CC24" s="855"/>
      <c r="CD24" s="865"/>
      <c r="CE24" s="890"/>
      <c r="CF24" s="891"/>
      <c r="CG24" s="891"/>
      <c r="CH24" s="891"/>
      <c r="CI24" s="892"/>
      <c r="CJ24" s="888"/>
      <c r="CK24" s="858"/>
      <c r="CL24" s="858"/>
      <c r="CM24" s="858"/>
      <c r="CN24" s="858"/>
      <c r="CO24" s="858"/>
      <c r="CP24" s="855"/>
      <c r="CQ24" s="864"/>
      <c r="CR24" s="855"/>
      <c r="CS24" s="855"/>
      <c r="CT24" s="855"/>
      <c r="CU24" s="995"/>
      <c r="CV24" s="995"/>
      <c r="CW24" s="855"/>
      <c r="CX24" s="855"/>
      <c r="CY24" s="858"/>
      <c r="CZ24" s="855"/>
      <c r="DA24" s="889"/>
      <c r="DB24" s="896"/>
      <c r="DC24" s="904"/>
      <c r="DD24" s="858"/>
    </row>
    <row r="25" spans="1:108" ht="15.75" customHeight="1" thickBot="1">
      <c r="A25" s="860"/>
      <c r="B25" s="981"/>
      <c r="C25" s="858"/>
      <c r="D25" s="858"/>
      <c r="E25" s="855"/>
      <c r="F25" s="895"/>
      <c r="G25" s="914"/>
      <c r="H25" s="914"/>
      <c r="I25" s="999"/>
      <c r="J25" s="855"/>
      <c r="K25" s="855"/>
      <c r="L25" s="858"/>
      <c r="M25" s="858"/>
      <c r="N25" s="859"/>
      <c r="O25" s="859"/>
      <c r="P25" s="878"/>
      <c r="Q25" s="858"/>
      <c r="R25" s="878"/>
      <c r="S25" s="899"/>
      <c r="T25" s="899"/>
      <c r="U25" s="899"/>
      <c r="V25" s="899"/>
      <c r="W25" s="899"/>
      <c r="X25" s="899"/>
      <c r="Y25" s="858"/>
      <c r="AD25" s="858"/>
      <c r="AE25" s="1000"/>
      <c r="AF25" s="1000"/>
      <c r="AG25" s="858"/>
      <c r="AH25" s="858"/>
      <c r="AI25" s="858"/>
      <c r="AJ25" s="858"/>
      <c r="AK25" s="885"/>
      <c r="AL25" s="855"/>
      <c r="AM25" s="860"/>
      <c r="AN25" s="858"/>
      <c r="AO25" s="858"/>
      <c r="AP25" s="858"/>
      <c r="AQ25" s="858"/>
      <c r="AR25" s="858"/>
      <c r="AS25" s="858"/>
      <c r="AT25" s="858"/>
      <c r="AU25" s="858"/>
      <c r="AV25" s="858"/>
      <c r="AW25" s="858"/>
      <c r="AX25" s="858"/>
      <c r="AY25" s="858"/>
      <c r="AZ25" s="1001"/>
      <c r="BA25" s="884"/>
      <c r="BB25" s="884"/>
      <c r="BC25" s="884"/>
      <c r="BD25" s="884"/>
      <c r="BE25" s="905"/>
      <c r="BF25" s="906"/>
      <c r="BG25" s="906"/>
      <c r="BH25" s="906"/>
      <c r="BI25" s="907"/>
      <c r="BJ25" s="858"/>
      <c r="BK25" s="858"/>
      <c r="BL25" s="858"/>
      <c r="BM25" s="858"/>
      <c r="BN25" s="858"/>
      <c r="BO25" s="858"/>
      <c r="BP25" s="858"/>
      <c r="BQ25" s="858"/>
      <c r="BR25" s="858"/>
      <c r="BS25" s="858"/>
      <c r="BT25" s="889"/>
      <c r="BU25" s="885"/>
      <c r="BV25" s="858"/>
      <c r="BW25" s="858"/>
      <c r="BX25" s="855"/>
      <c r="BY25" s="855"/>
      <c r="BZ25" s="855"/>
      <c r="CA25" s="1000"/>
      <c r="CB25" s="885"/>
      <c r="CC25" s="855"/>
      <c r="CD25" s="865"/>
      <c r="CE25" s="890"/>
      <c r="CF25" s="891"/>
      <c r="CG25" s="891"/>
      <c r="CH25" s="891"/>
      <c r="CI25" s="892"/>
      <c r="CJ25" s="888"/>
      <c r="CK25" s="858"/>
      <c r="CL25" s="858"/>
      <c r="CM25" s="858"/>
      <c r="CN25" s="858"/>
      <c r="CO25" s="858"/>
      <c r="CP25" s="855"/>
      <c r="CQ25" s="864"/>
      <c r="CR25" s="855"/>
      <c r="CS25" s="855"/>
      <c r="CT25" s="855"/>
      <c r="CU25" s="995"/>
      <c r="CV25" s="995"/>
      <c r="CW25" s="855"/>
      <c r="CX25" s="855"/>
      <c r="CY25" s="858"/>
      <c r="CZ25" s="855"/>
      <c r="DA25" s="889"/>
      <c r="DB25" s="896"/>
      <c r="DC25" s="904"/>
      <c r="DD25" s="858"/>
    </row>
    <row r="26" spans="1:108" ht="15.75" customHeight="1" thickBot="1">
      <c r="A26" s="860"/>
      <c r="B26" s="923"/>
      <c r="C26" s="880"/>
      <c r="D26" s="858"/>
      <c r="E26" s="1002"/>
      <c r="F26" s="894"/>
      <c r="G26" s="874"/>
      <c r="H26" s="874"/>
      <c r="I26" s="894"/>
      <c r="J26" s="1003"/>
      <c r="K26" s="855"/>
      <c r="L26" s="858"/>
      <c r="M26" s="858"/>
      <c r="N26" s="855"/>
      <c r="O26" s="860"/>
      <c r="P26" s="878"/>
      <c r="Q26" s="858"/>
      <c r="R26" s="899"/>
      <c r="S26" s="899"/>
      <c r="T26" s="899"/>
      <c r="U26" s="899"/>
      <c r="V26" s="899"/>
      <c r="W26" s="899"/>
      <c r="X26" s="899"/>
      <c r="Y26" s="858"/>
      <c r="AA26" s="887"/>
      <c r="AB26" s="887"/>
      <c r="AD26" s="858"/>
      <c r="AE26" s="1000"/>
      <c r="AF26" s="1000"/>
      <c r="AG26" s="855"/>
      <c r="AH26" s="855"/>
      <c r="AI26" s="858"/>
      <c r="AJ26" s="858"/>
      <c r="AK26" s="885"/>
      <c r="AL26" s="855"/>
      <c r="AM26" s="860"/>
      <c r="AN26" s="858"/>
      <c r="AO26" s="858"/>
      <c r="AP26" s="858"/>
      <c r="AQ26" s="858"/>
      <c r="AR26" s="858"/>
      <c r="AS26" s="858"/>
      <c r="AT26" s="858"/>
      <c r="AU26" s="858"/>
      <c r="AV26" s="858"/>
      <c r="AW26" s="858"/>
      <c r="AX26" s="858"/>
      <c r="AY26" s="858"/>
      <c r="AZ26" s="1004"/>
      <c r="BA26" s="884"/>
      <c r="BB26" s="884"/>
      <c r="BC26" s="884"/>
      <c r="BD26" s="884"/>
      <c r="BE26" s="855"/>
      <c r="BF26" s="855"/>
      <c r="BG26" s="855"/>
      <c r="BH26" s="855"/>
      <c r="BI26" s="858"/>
      <c r="BJ26" s="858"/>
      <c r="BK26" s="858"/>
      <c r="BL26" s="865"/>
      <c r="BM26" s="858"/>
      <c r="BN26" s="858"/>
      <c r="BO26" s="896"/>
      <c r="BP26" s="896"/>
      <c r="BQ26" s="855"/>
      <c r="BR26" s="858"/>
      <c r="BS26" s="858"/>
      <c r="BT26" s="855"/>
      <c r="BU26" s="889"/>
      <c r="BV26" s="995"/>
      <c r="BW26" s="995"/>
      <c r="BX26" s="855"/>
      <c r="BY26" s="855"/>
      <c r="BZ26" s="855"/>
      <c r="CA26" s="1000"/>
      <c r="CB26" s="885"/>
      <c r="CC26" s="855"/>
      <c r="CD26" s="865"/>
      <c r="CE26" s="890"/>
      <c r="CF26" s="891"/>
      <c r="CG26" s="891"/>
      <c r="CH26" s="891"/>
      <c r="CI26" s="892"/>
      <c r="CJ26" s="888"/>
      <c r="CK26" s="858"/>
      <c r="CL26" s="858"/>
      <c r="CM26" s="1005"/>
      <c r="CN26" s="993"/>
      <c r="CO26" s="858"/>
      <c r="CP26" s="858"/>
      <c r="CQ26" s="858"/>
      <c r="CR26" s="855"/>
      <c r="CS26" s="855"/>
      <c r="CT26" s="858"/>
      <c r="CU26" s="858"/>
      <c r="CV26" s="858"/>
      <c r="CW26" s="858"/>
      <c r="CX26" s="855"/>
      <c r="CY26" s="858"/>
      <c r="CZ26" s="855"/>
      <c r="DA26" s="889"/>
      <c r="DB26" s="896"/>
      <c r="DC26" s="904"/>
      <c r="DD26" s="858"/>
    </row>
    <row r="27" spans="1:108" ht="15.75" customHeight="1">
      <c r="A27" s="860"/>
      <c r="B27" s="874"/>
      <c r="C27" s="894"/>
      <c r="D27" s="1003"/>
      <c r="E27" s="855"/>
      <c r="F27" s="855"/>
      <c r="G27" s="914"/>
      <c r="H27" s="914"/>
      <c r="I27" s="855"/>
      <c r="J27" s="855"/>
      <c r="K27" s="855"/>
      <c r="L27" s="858"/>
      <c r="M27" s="858"/>
      <c r="N27" s="855"/>
      <c r="O27" s="860"/>
      <c r="P27" s="878"/>
      <c r="Q27" s="878"/>
      <c r="R27" s="899"/>
      <c r="S27" s="899"/>
      <c r="T27" s="899"/>
      <c r="U27" s="899"/>
      <c r="V27" s="899"/>
      <c r="W27" s="899"/>
      <c r="X27" s="899"/>
      <c r="Y27" s="858"/>
      <c r="AB27" s="1006"/>
      <c r="AD27" s="858"/>
      <c r="AE27" s="1000"/>
      <c r="AF27" s="1000"/>
      <c r="AG27" s="858"/>
      <c r="AH27" s="858"/>
      <c r="AI27" s="858"/>
      <c r="AJ27" s="858"/>
      <c r="AK27" s="885"/>
      <c r="AL27" s="855"/>
      <c r="AM27" s="860"/>
      <c r="AN27" s="858"/>
      <c r="AO27" s="858"/>
      <c r="AP27" s="858"/>
      <c r="AQ27" s="858"/>
      <c r="AR27" s="858"/>
      <c r="AS27" s="858"/>
      <c r="AT27" s="858"/>
      <c r="AU27" s="858"/>
      <c r="AV27" s="858"/>
      <c r="AW27" s="858"/>
      <c r="AX27" s="858"/>
      <c r="AY27" s="858"/>
      <c r="AZ27" s="881"/>
      <c r="BA27" s="882"/>
      <c r="BB27" s="884"/>
      <c r="BC27" s="884"/>
      <c r="BD27" s="884"/>
      <c r="BE27" s="855"/>
      <c r="BF27" s="855"/>
      <c r="BG27" s="855"/>
      <c r="BH27" s="855"/>
      <c r="BI27" s="855"/>
      <c r="BJ27" s="855"/>
      <c r="BK27" s="858"/>
      <c r="BL27" s="855"/>
      <c r="BM27" s="1007"/>
      <c r="BN27" s="858"/>
      <c r="BO27" s="896"/>
      <c r="BP27" s="896"/>
      <c r="BQ27" s="855"/>
      <c r="BR27" s="858"/>
      <c r="BS27" s="858"/>
      <c r="BT27" s="855"/>
      <c r="BU27" s="865"/>
      <c r="BV27" s="995"/>
      <c r="BW27" s="995"/>
      <c r="BX27" s="855"/>
      <c r="BY27" s="855"/>
      <c r="BZ27" s="855"/>
      <c r="CA27" s="1000"/>
      <c r="CB27" s="885"/>
      <c r="CC27" s="855"/>
      <c r="CD27" s="865"/>
      <c r="CE27" s="890"/>
      <c r="CF27" s="891"/>
      <c r="CG27" s="891"/>
      <c r="CH27" s="891"/>
      <c r="CI27" s="892"/>
      <c r="CJ27" s="888"/>
      <c r="CK27" s="858"/>
      <c r="CL27" s="895"/>
      <c r="CM27" s="1008"/>
      <c r="CN27" s="1008"/>
      <c r="CO27" s="1009"/>
      <c r="CP27" s="858"/>
      <c r="CQ27" s="858"/>
      <c r="CR27" s="855"/>
      <c r="CS27" s="855"/>
      <c r="CT27" s="858"/>
      <c r="CU27" s="858"/>
      <c r="CV27" s="858"/>
      <c r="CW27" s="858"/>
      <c r="CX27" s="855"/>
      <c r="CY27" s="858"/>
      <c r="CZ27" s="855"/>
      <c r="DA27" s="889"/>
      <c r="DB27" s="855"/>
      <c r="DC27" s="904"/>
      <c r="DD27" s="858"/>
    </row>
    <row r="28" spans="1:108" ht="15.75" customHeight="1" thickBot="1">
      <c r="A28" s="860"/>
      <c r="B28" s="1010"/>
      <c r="C28" s="895"/>
      <c r="D28" s="858"/>
      <c r="E28" s="1002"/>
      <c r="F28" s="894"/>
      <c r="G28" s="874"/>
      <c r="H28" s="874"/>
      <c r="I28" s="894"/>
      <c r="J28" s="1003"/>
      <c r="K28" s="855"/>
      <c r="L28" s="858"/>
      <c r="M28" s="858"/>
      <c r="N28" s="855"/>
      <c r="O28" s="860"/>
      <c r="P28" s="878"/>
      <c r="Q28" s="878"/>
      <c r="R28" s="878"/>
      <c r="S28" s="899"/>
      <c r="T28" s="899"/>
      <c r="U28" s="899"/>
      <c r="V28" s="899"/>
      <c r="W28" s="899"/>
      <c r="X28" s="865"/>
      <c r="Y28" s="858"/>
      <c r="Z28" s="855"/>
      <c r="AA28" s="981"/>
      <c r="AB28" s="1011"/>
      <c r="AC28" s="858"/>
      <c r="AD28" s="858"/>
      <c r="AE28" s="1000"/>
      <c r="AF28" s="1000"/>
      <c r="AG28" s="858"/>
      <c r="AH28" s="855"/>
      <c r="AI28" s="858"/>
      <c r="AJ28" s="858"/>
      <c r="AK28" s="885"/>
      <c r="AL28" s="855"/>
      <c r="AM28" s="860"/>
      <c r="AN28" s="858"/>
      <c r="AO28" s="858"/>
      <c r="AP28" s="858"/>
      <c r="AQ28" s="858"/>
      <c r="AR28" s="858"/>
      <c r="AS28" s="858"/>
      <c r="AT28" s="858"/>
      <c r="AU28" s="858"/>
      <c r="AV28" s="858"/>
      <c r="AW28" s="858"/>
      <c r="AX28" s="858"/>
      <c r="AY28" s="858"/>
      <c r="AZ28" s="901"/>
      <c r="BA28" s="902"/>
      <c r="BB28" s="884"/>
      <c r="BC28" s="884"/>
      <c r="BD28" s="884"/>
      <c r="BE28" s="855"/>
      <c r="BF28" s="855"/>
      <c r="BG28" s="855"/>
      <c r="BH28" s="855"/>
      <c r="BI28" s="855"/>
      <c r="BJ28" s="855"/>
      <c r="BK28" s="858"/>
      <c r="BL28" s="858"/>
      <c r="BM28" s="1007"/>
      <c r="BN28" s="858"/>
      <c r="BO28" s="858"/>
      <c r="BP28" s="858"/>
      <c r="BQ28" s="855"/>
      <c r="BR28" s="858"/>
      <c r="BS28" s="858"/>
      <c r="BT28" s="858"/>
      <c r="BU28" s="858"/>
      <c r="BV28" s="981"/>
      <c r="BW28" s="981"/>
      <c r="BX28" s="855"/>
      <c r="BY28" s="855"/>
      <c r="BZ28" s="855"/>
      <c r="CA28" s="855"/>
      <c r="CB28" s="885"/>
      <c r="CC28" s="855"/>
      <c r="CD28" s="865"/>
      <c r="CE28" s="905"/>
      <c r="CF28" s="906"/>
      <c r="CG28" s="906"/>
      <c r="CH28" s="906"/>
      <c r="CI28" s="907"/>
      <c r="CJ28" s="888"/>
      <c r="CK28" s="931"/>
      <c r="CL28" s="1012"/>
      <c r="CM28" s="874"/>
      <c r="CN28" s="874"/>
      <c r="CO28" s="1012"/>
      <c r="CP28" s="936"/>
      <c r="CQ28" s="855"/>
      <c r="CR28" s="855"/>
      <c r="CS28" s="855"/>
      <c r="CT28" s="858"/>
      <c r="CU28" s="858"/>
      <c r="CV28" s="858"/>
      <c r="CW28" s="858"/>
      <c r="CX28" s="855"/>
      <c r="CY28" s="858"/>
      <c r="CZ28" s="855"/>
      <c r="DA28" s="889"/>
      <c r="DB28" s="1013"/>
      <c r="DC28" s="904"/>
      <c r="DD28" s="858"/>
    </row>
    <row r="29" spans="1:108" ht="15.75" customHeight="1" thickBot="1">
      <c r="A29" s="860"/>
      <c r="B29" s="883"/>
      <c r="C29" s="858"/>
      <c r="D29" s="858"/>
      <c r="E29" s="855"/>
      <c r="F29" s="855"/>
      <c r="G29" s="914"/>
      <c r="H29" s="914"/>
      <c r="I29" s="855"/>
      <c r="J29" s="855"/>
      <c r="K29" s="1003"/>
      <c r="L29" s="858"/>
      <c r="M29" s="858"/>
      <c r="N29" s="883"/>
      <c r="O29" s="860"/>
      <c r="P29" s="878"/>
      <c r="Q29" s="878"/>
      <c r="R29" s="878"/>
      <c r="S29" s="899"/>
      <c r="T29" s="899"/>
      <c r="U29" s="899"/>
      <c r="V29" s="899"/>
      <c r="W29" s="899"/>
      <c r="X29" s="865"/>
      <c r="Y29" s="858"/>
      <c r="Z29" s="855"/>
      <c r="AA29" s="981"/>
      <c r="AB29" s="1011"/>
      <c r="AC29" s="858"/>
      <c r="AD29" s="858"/>
      <c r="AE29" s="1000"/>
      <c r="AF29" s="1000"/>
      <c r="AG29" s="858"/>
      <c r="AH29" s="855"/>
      <c r="AI29" s="858"/>
      <c r="AJ29" s="858"/>
      <c r="AK29" s="885"/>
      <c r="AL29" s="855"/>
      <c r="AM29" s="860"/>
      <c r="AN29" s="858"/>
      <c r="AO29" s="858"/>
      <c r="AP29" s="858"/>
      <c r="AQ29" s="858"/>
      <c r="AR29" s="858"/>
      <c r="AS29" s="858"/>
      <c r="AT29" s="858"/>
      <c r="AU29" s="858"/>
      <c r="AV29" s="858"/>
      <c r="AW29" s="858"/>
      <c r="AX29" s="858"/>
      <c r="AY29" s="858"/>
      <c r="AZ29" s="901"/>
      <c r="BA29" s="902"/>
      <c r="BB29" s="884"/>
      <c r="BC29" s="884"/>
      <c r="BD29" s="858"/>
      <c r="BE29" s="855"/>
      <c r="BF29" s="855"/>
      <c r="BG29" s="855"/>
      <c r="BH29" s="855"/>
      <c r="BI29" s="855"/>
      <c r="BJ29" s="855"/>
      <c r="BK29" s="858"/>
      <c r="BL29" s="889"/>
      <c r="BM29" s="855"/>
      <c r="BN29" s="858"/>
      <c r="BO29" s="858"/>
      <c r="BP29" s="858"/>
      <c r="BQ29" s="858"/>
      <c r="BR29" s="858"/>
      <c r="BS29" s="858"/>
      <c r="BT29" s="858"/>
      <c r="BU29" s="858"/>
      <c r="BV29" s="981"/>
      <c r="BW29" s="981"/>
      <c r="BX29" s="855"/>
      <c r="BY29" s="855"/>
      <c r="BZ29" s="855"/>
      <c r="CA29" s="855"/>
      <c r="CB29" s="885"/>
      <c r="CC29" s="855"/>
      <c r="CD29" s="1014"/>
      <c r="CE29" s="896"/>
      <c r="CF29" s="855"/>
      <c r="CG29" s="855"/>
      <c r="CH29" s="858"/>
      <c r="CI29" s="858"/>
      <c r="CJ29" s="855"/>
      <c r="CK29" s="931"/>
      <c r="CL29" s="1012"/>
      <c r="CM29" s="874"/>
      <c r="CN29" s="874"/>
      <c r="CO29" s="1012"/>
      <c r="CP29" s="936"/>
      <c r="CQ29" s="858"/>
      <c r="CR29" s="858"/>
      <c r="CS29" s="855"/>
      <c r="CT29" s="855"/>
      <c r="CU29" s="1015"/>
      <c r="CV29" s="1015"/>
      <c r="CW29" s="855"/>
      <c r="CX29" s="855"/>
      <c r="CY29" s="858"/>
      <c r="CZ29" s="920"/>
      <c r="DA29" s="910"/>
      <c r="DB29" s="1016"/>
      <c r="DC29" s="904"/>
      <c r="DD29" s="858"/>
    </row>
    <row r="30" spans="1:108" ht="15.75" customHeight="1" thickBot="1">
      <c r="A30" s="860"/>
      <c r="B30" s="883"/>
      <c r="C30" s="1017"/>
      <c r="D30" s="1018"/>
      <c r="E30" s="1002"/>
      <c r="F30" s="894"/>
      <c r="G30" s="874"/>
      <c r="H30" s="874"/>
      <c r="I30" s="894"/>
      <c r="J30" s="1003"/>
      <c r="K30" s="855"/>
      <c r="L30" s="858"/>
      <c r="M30" s="858"/>
      <c r="N30" s="883"/>
      <c r="O30" s="860"/>
      <c r="P30" s="919" t="s">
        <v>128</v>
      </c>
      <c r="Q30" s="869"/>
      <c r="R30" s="869"/>
      <c r="S30" s="869"/>
      <c r="T30" s="869"/>
      <c r="U30" s="869"/>
      <c r="V30" s="869"/>
      <c r="W30" s="870"/>
      <c r="X30" s="855"/>
      <c r="Y30" s="855"/>
      <c r="Z30" s="855"/>
      <c r="AA30" s="981"/>
      <c r="AB30" s="1011"/>
      <c r="AC30" s="858"/>
      <c r="AD30" s="858"/>
      <c r="AE30" s="858"/>
      <c r="AF30" s="858"/>
      <c r="AG30" s="858"/>
      <c r="AH30" s="855"/>
      <c r="AI30" s="858"/>
      <c r="AJ30" s="885"/>
      <c r="AK30" s="885"/>
      <c r="AL30" s="855"/>
      <c r="AM30" s="860"/>
      <c r="AN30" s="858"/>
      <c r="AO30" s="858"/>
      <c r="AP30" s="858"/>
      <c r="AQ30" s="858"/>
      <c r="AR30" s="858"/>
      <c r="AS30" s="858"/>
      <c r="AT30" s="858"/>
      <c r="AU30" s="858"/>
      <c r="AV30" s="858"/>
      <c r="AW30" s="858"/>
      <c r="AX30" s="858"/>
      <c r="AY30" s="858"/>
      <c r="AZ30" s="979"/>
      <c r="BA30" s="980"/>
      <c r="BB30" s="855"/>
      <c r="BC30" s="884"/>
      <c r="BD30" s="858"/>
      <c r="BE30" s="855"/>
      <c r="BF30" s="855"/>
      <c r="BG30" s="855"/>
      <c r="BH30" s="855"/>
      <c r="BI30" s="855"/>
      <c r="BJ30" s="855"/>
      <c r="BK30" s="858"/>
      <c r="BL30" s="1019"/>
      <c r="BM30" s="1020"/>
      <c r="BN30" s="858"/>
      <c r="BO30" s="858"/>
      <c r="BP30" s="858"/>
      <c r="BQ30" s="858"/>
      <c r="BR30" s="858"/>
      <c r="BS30" s="858"/>
      <c r="BT30" s="855"/>
      <c r="BU30" s="855"/>
      <c r="BX30" s="855"/>
      <c r="BY30" s="855"/>
      <c r="BZ30" s="855"/>
      <c r="CA30" s="855"/>
      <c r="CB30" s="866"/>
      <c r="CC30" s="855"/>
      <c r="CD30" s="1014"/>
      <c r="CE30" s="896"/>
      <c r="CF30" s="855"/>
      <c r="CG30" s="858"/>
      <c r="CH30" s="923"/>
      <c r="CI30" s="880"/>
      <c r="CJ30" s="855"/>
      <c r="CK30" s="931"/>
      <c r="CL30" s="1012"/>
      <c r="CM30" s="874"/>
      <c r="CN30" s="874"/>
      <c r="CO30" s="1012"/>
      <c r="CP30" s="936"/>
      <c r="CQ30" s="858"/>
      <c r="CR30" s="858"/>
      <c r="CS30" s="855"/>
      <c r="CT30" s="855"/>
      <c r="CU30" s="1015"/>
      <c r="CV30" s="1015"/>
      <c r="CW30" s="858"/>
      <c r="CX30" s="858"/>
      <c r="CY30" s="858"/>
      <c r="CZ30" s="932">
        <v>1</v>
      </c>
      <c r="DA30" s="1021" t="s">
        <v>132</v>
      </c>
      <c r="DB30" s="1022">
        <v>106275</v>
      </c>
      <c r="DC30" s="866"/>
      <c r="DD30" s="858"/>
    </row>
    <row r="31" spans="1:108" ht="15.75" customHeight="1" thickBot="1">
      <c r="A31" s="860"/>
      <c r="B31" s="883"/>
      <c r="C31" s="1013"/>
      <c r="E31" s="855"/>
      <c r="F31" s="855"/>
      <c r="G31" s="914"/>
      <c r="H31" s="914"/>
      <c r="I31" s="855"/>
      <c r="J31" s="855"/>
      <c r="K31" s="1003"/>
      <c r="L31" s="858"/>
      <c r="M31" s="858"/>
      <c r="N31" s="877"/>
      <c r="O31" s="860"/>
      <c r="P31" s="890"/>
      <c r="Q31" s="891"/>
      <c r="R31" s="891"/>
      <c r="S31" s="891"/>
      <c r="T31" s="891"/>
      <c r="U31" s="891"/>
      <c r="V31" s="891"/>
      <c r="W31" s="892"/>
      <c r="X31" s="865"/>
      <c r="Y31" s="858"/>
      <c r="Z31" s="855"/>
      <c r="AA31" s="981"/>
      <c r="AB31" s="1011"/>
      <c r="AC31" s="858"/>
      <c r="AD31" s="858"/>
      <c r="AE31" s="922"/>
      <c r="AF31" s="896"/>
      <c r="AG31" s="858"/>
      <c r="AH31" s="855"/>
      <c r="AI31" s="885"/>
      <c r="AJ31" s="858"/>
      <c r="AK31" s="866"/>
      <c r="AL31" s="855"/>
      <c r="AM31" s="860"/>
      <c r="AN31" s="858"/>
      <c r="AO31" s="858"/>
      <c r="AP31" s="858"/>
      <c r="AQ31" s="858"/>
      <c r="AR31" s="858"/>
      <c r="AS31" s="858"/>
      <c r="AT31" s="858"/>
      <c r="AU31" s="858"/>
      <c r="AV31" s="858"/>
      <c r="AW31" s="858"/>
      <c r="AX31" s="858"/>
      <c r="AY31" s="858"/>
      <c r="AZ31" s="884"/>
      <c r="BA31" s="884"/>
      <c r="BB31" s="855"/>
      <c r="BC31" s="884"/>
      <c r="BD31" s="858"/>
      <c r="BE31" s="855"/>
      <c r="BF31" s="855"/>
      <c r="BG31" s="855"/>
      <c r="BH31" s="855"/>
      <c r="BI31" s="855"/>
      <c r="BJ31" s="855"/>
      <c r="BK31" s="858"/>
      <c r="BL31" s="855"/>
      <c r="BM31" s="1007"/>
      <c r="BN31" s="858"/>
      <c r="BO31" s="896"/>
      <c r="BP31" s="896"/>
      <c r="BQ31" s="858"/>
      <c r="BR31" s="858"/>
      <c r="BS31" s="858"/>
      <c r="BT31" s="858"/>
      <c r="BU31" s="858"/>
      <c r="BV31" s="858"/>
      <c r="BW31" s="858"/>
      <c r="BX31" s="858"/>
      <c r="BY31" s="855"/>
      <c r="BZ31" s="1023"/>
      <c r="CA31" s="891"/>
      <c r="CB31" s="885"/>
      <c r="CC31" s="855"/>
      <c r="CD31" s="1014"/>
      <c r="CE31" s="1024"/>
      <c r="CF31" s="880"/>
      <c r="CG31" s="895"/>
      <c r="CH31" s="1025"/>
      <c r="CI31" s="1025"/>
      <c r="CJ31" s="858"/>
      <c r="CK31" s="931"/>
      <c r="CL31" s="1012"/>
      <c r="CM31" s="874"/>
      <c r="CN31" s="874"/>
      <c r="CO31" s="1012"/>
      <c r="CP31" s="936"/>
      <c r="CQ31" s="858"/>
      <c r="CR31" s="858"/>
      <c r="CS31" s="855"/>
      <c r="CT31" s="855"/>
      <c r="CU31" s="1015"/>
      <c r="CV31" s="1015"/>
      <c r="CW31" s="855"/>
      <c r="CX31" s="858"/>
      <c r="CY31" s="858"/>
      <c r="CZ31" s="932">
        <v>2</v>
      </c>
      <c r="DA31" s="1021" t="s">
        <v>132</v>
      </c>
      <c r="DB31" s="991">
        <v>110143</v>
      </c>
      <c r="DC31" s="904"/>
      <c r="DD31" s="858"/>
    </row>
    <row r="32" spans="1:108" ht="15.75" customHeight="1">
      <c r="A32" s="860"/>
      <c r="B32" s="1026">
        <v>106342</v>
      </c>
      <c r="C32" s="926"/>
      <c r="D32" s="935">
        <v>1</v>
      </c>
      <c r="E32" s="855"/>
      <c r="F32" s="855"/>
      <c r="G32" s="923"/>
      <c r="H32" s="880"/>
      <c r="I32" s="855"/>
      <c r="J32" s="855"/>
      <c r="K32" s="855"/>
      <c r="L32" s="855"/>
      <c r="M32" s="858"/>
      <c r="N32" s="883"/>
      <c r="O32" s="860"/>
      <c r="P32" s="890"/>
      <c r="Q32" s="891"/>
      <c r="R32" s="891"/>
      <c r="S32" s="891"/>
      <c r="T32" s="891"/>
      <c r="U32" s="891"/>
      <c r="V32" s="891"/>
      <c r="W32" s="892"/>
      <c r="X32" s="865"/>
      <c r="Y32" s="931"/>
      <c r="Z32" s="855"/>
      <c r="AA32" s="1027"/>
      <c r="AB32" s="1027"/>
      <c r="AC32" s="858"/>
      <c r="AD32" s="858"/>
      <c r="AE32" s="896"/>
      <c r="AF32" s="896"/>
      <c r="AG32" s="858"/>
      <c r="AH32" s="858"/>
      <c r="AI32" s="868" t="s">
        <v>123</v>
      </c>
      <c r="AJ32" s="870"/>
      <c r="AK32" s="885"/>
      <c r="AL32" s="855"/>
      <c r="AM32" s="860"/>
      <c r="AN32" s="858"/>
      <c r="AO32" s="858"/>
      <c r="AP32" s="858"/>
      <c r="AQ32" s="858"/>
      <c r="AR32" s="858"/>
      <c r="AS32" s="858"/>
      <c r="AT32" s="858"/>
      <c r="AU32" s="858"/>
      <c r="AV32" s="858"/>
      <c r="AW32" s="858"/>
      <c r="AX32" s="858"/>
      <c r="AY32" s="858"/>
      <c r="AZ32" s="973"/>
      <c r="BA32" s="884"/>
      <c r="BB32" s="858"/>
      <c r="BC32" s="884"/>
      <c r="BD32" s="858"/>
      <c r="BE32" s="855"/>
      <c r="BF32" s="855"/>
      <c r="BG32" s="896"/>
      <c r="BH32" s="896"/>
      <c r="BI32" s="855"/>
      <c r="BJ32" s="858"/>
      <c r="BK32" s="855"/>
      <c r="BL32" s="858"/>
      <c r="BM32" s="1007"/>
      <c r="BN32" s="858"/>
      <c r="BO32" s="896"/>
      <c r="BP32" s="896"/>
      <c r="BQ32" s="855"/>
      <c r="BR32" s="858"/>
      <c r="BS32" s="858"/>
      <c r="BT32" s="858"/>
      <c r="BY32" s="855"/>
      <c r="BZ32" s="855"/>
      <c r="CA32" s="981"/>
      <c r="CB32" s="885"/>
      <c r="CC32" s="855"/>
      <c r="CD32" s="1014"/>
      <c r="CE32" s="855"/>
      <c r="CF32" s="931"/>
      <c r="CG32" s="1012"/>
      <c r="CH32" s="874"/>
      <c r="CI32" s="874"/>
      <c r="CJ32" s="1012"/>
      <c r="CK32" s="936"/>
      <c r="CL32" s="855"/>
      <c r="CM32" s="1008"/>
      <c r="CN32" s="1008"/>
      <c r="CO32" s="855"/>
      <c r="CP32" s="858"/>
      <c r="CQ32" s="855"/>
      <c r="CR32" s="858"/>
      <c r="CS32" s="855"/>
      <c r="CT32" s="858"/>
      <c r="CU32" s="858"/>
      <c r="CV32" s="858"/>
      <c r="CW32" s="855"/>
      <c r="CX32" s="855"/>
      <c r="CY32" s="858"/>
      <c r="CZ32" s="932">
        <v>3</v>
      </c>
      <c r="DA32" s="1021" t="s">
        <v>132</v>
      </c>
      <c r="DB32" s="1028">
        <v>113881</v>
      </c>
      <c r="DC32" s="904"/>
      <c r="DD32" s="858"/>
    </row>
    <row r="33" spans="1:108" ht="15.75" customHeight="1">
      <c r="A33" s="860"/>
      <c r="B33" s="1029">
        <v>110140</v>
      </c>
      <c r="C33" s="926"/>
      <c r="D33" s="935">
        <v>1</v>
      </c>
      <c r="E33" s="1030"/>
      <c r="F33" s="895"/>
      <c r="G33" s="1031"/>
      <c r="H33" s="1031"/>
      <c r="I33" s="855"/>
      <c r="J33" s="855"/>
      <c r="K33" s="1003"/>
      <c r="L33" s="855"/>
      <c r="M33" s="858"/>
      <c r="N33" s="858"/>
      <c r="O33" s="860"/>
      <c r="P33" s="890"/>
      <c r="Q33" s="891"/>
      <c r="R33" s="891"/>
      <c r="S33" s="891"/>
      <c r="T33" s="891"/>
      <c r="U33" s="891"/>
      <c r="V33" s="891"/>
      <c r="W33" s="892"/>
      <c r="X33" s="855"/>
      <c r="Y33" s="858"/>
      <c r="Z33" s="858"/>
      <c r="AA33" s="1032"/>
      <c r="AB33" s="1032"/>
      <c r="AC33" s="858"/>
      <c r="AD33" s="858"/>
      <c r="AE33" s="896"/>
      <c r="AF33" s="896"/>
      <c r="AG33" s="858"/>
      <c r="AH33" s="858"/>
      <c r="AI33" s="890"/>
      <c r="AJ33" s="892"/>
      <c r="AK33" s="885"/>
      <c r="AL33" s="855"/>
      <c r="AM33" s="860"/>
      <c r="AN33" s="858"/>
      <c r="AO33" s="858"/>
      <c r="AP33" s="858"/>
      <c r="AQ33" s="858"/>
      <c r="AR33" s="858"/>
      <c r="AS33" s="858"/>
      <c r="AT33" s="858"/>
      <c r="AU33" s="858"/>
      <c r="AV33" s="858"/>
      <c r="AW33" s="858"/>
      <c r="AX33" s="858"/>
      <c r="AY33" s="858"/>
      <c r="AZ33" s="885"/>
      <c r="BA33" s="885"/>
      <c r="BB33" s="1007"/>
      <c r="BC33" s="884"/>
      <c r="BD33" s="858"/>
      <c r="BE33" s="855"/>
      <c r="BF33" s="855"/>
      <c r="BG33" s="896"/>
      <c r="BH33" s="883"/>
      <c r="BI33" s="855"/>
      <c r="BJ33" s="858"/>
      <c r="BK33" s="855"/>
      <c r="BL33" s="858"/>
      <c r="BM33" s="865"/>
      <c r="BN33" s="858"/>
      <c r="BO33" s="896"/>
      <c r="BP33" s="896"/>
      <c r="BQ33" s="855"/>
      <c r="BR33" s="858"/>
      <c r="BS33" s="858"/>
      <c r="BT33" s="858"/>
      <c r="BU33" s="858"/>
      <c r="BV33" s="923"/>
      <c r="BW33" s="880"/>
      <c r="BX33" s="858"/>
      <c r="BY33" s="855"/>
      <c r="BZ33" s="855"/>
      <c r="CA33" s="981"/>
      <c r="CB33" s="885"/>
      <c r="CC33" s="855"/>
      <c r="CD33" s="1014"/>
      <c r="CE33" s="995"/>
      <c r="CF33" s="931"/>
      <c r="CG33" s="1012"/>
      <c r="CH33" s="874"/>
      <c r="CI33" s="874"/>
      <c r="CJ33" s="1012"/>
      <c r="CK33" s="936"/>
      <c r="CL33" s="858"/>
      <c r="CM33" s="1005"/>
      <c r="CN33" s="993"/>
      <c r="CO33" s="858"/>
      <c r="CP33" s="858"/>
      <c r="CQ33" s="855"/>
      <c r="CR33" s="858"/>
      <c r="CS33" s="855"/>
      <c r="CT33" s="858"/>
      <c r="CU33" s="858"/>
      <c r="CV33" s="858"/>
      <c r="CW33" s="855"/>
      <c r="CX33" s="855"/>
      <c r="CY33" s="858"/>
      <c r="CZ33" s="932">
        <v>4</v>
      </c>
      <c r="DA33" s="1021" t="s">
        <v>132</v>
      </c>
      <c r="DB33" s="934">
        <v>110133</v>
      </c>
      <c r="DC33" s="904"/>
      <c r="DD33" s="858"/>
    </row>
    <row r="34" spans="1:108" ht="15.75" customHeight="1">
      <c r="A34" s="860"/>
      <c r="C34" s="1033"/>
      <c r="E34" s="1002"/>
      <c r="F34" s="952"/>
      <c r="G34" s="874"/>
      <c r="H34" s="874"/>
      <c r="I34" s="952"/>
      <c r="J34" s="1003"/>
      <c r="K34" s="855"/>
      <c r="L34" s="855"/>
      <c r="M34" s="858"/>
      <c r="N34" s="924"/>
      <c r="O34" s="860"/>
      <c r="P34" s="890"/>
      <c r="Q34" s="891"/>
      <c r="R34" s="891"/>
      <c r="S34" s="891"/>
      <c r="T34" s="891"/>
      <c r="U34" s="891"/>
      <c r="V34" s="891"/>
      <c r="W34" s="892"/>
      <c r="X34" s="865"/>
      <c r="Y34" s="996"/>
      <c r="Z34" s="895"/>
      <c r="AA34" s="929"/>
      <c r="AB34" s="929"/>
      <c r="AC34" s="858"/>
      <c r="AI34" s="890"/>
      <c r="AJ34" s="892"/>
      <c r="AK34" s="885"/>
      <c r="AL34" s="855"/>
      <c r="AM34" s="860"/>
      <c r="AN34" s="858"/>
      <c r="AO34" s="858"/>
      <c r="AP34" s="858"/>
      <c r="AQ34" s="858"/>
      <c r="AR34" s="858"/>
      <c r="AS34" s="858"/>
      <c r="AT34" s="858"/>
      <c r="AU34" s="858"/>
      <c r="AV34" s="858"/>
      <c r="AW34" s="858"/>
      <c r="AX34" s="858"/>
      <c r="AY34" s="858"/>
      <c r="AZ34" s="1034"/>
      <c r="BA34" s="1034"/>
      <c r="BB34" s="1007"/>
      <c r="BC34" s="1007"/>
      <c r="BD34" s="858"/>
      <c r="BE34" s="855"/>
      <c r="BF34" s="855"/>
      <c r="BG34" s="896"/>
      <c r="BH34" s="968"/>
      <c r="BI34" s="855"/>
      <c r="BJ34" s="858"/>
      <c r="BK34" s="855"/>
      <c r="BL34" s="889"/>
      <c r="BM34" s="855"/>
      <c r="BN34" s="858"/>
      <c r="BO34" s="858"/>
      <c r="BP34" s="858"/>
      <c r="BQ34" s="855"/>
      <c r="BR34" s="858"/>
      <c r="BS34" s="858"/>
      <c r="BT34" s="858"/>
      <c r="BU34" s="895"/>
      <c r="BV34" s="897"/>
      <c r="BW34" s="897"/>
      <c r="BX34" s="960"/>
      <c r="BY34" s="855"/>
      <c r="BZ34" s="855"/>
      <c r="CA34" s="858"/>
      <c r="CB34" s="885"/>
      <c r="CC34" s="855"/>
      <c r="CD34" s="1014"/>
      <c r="CE34" s="995"/>
      <c r="CF34" s="931"/>
      <c r="CG34" s="1012"/>
      <c r="CH34" s="874"/>
      <c r="CI34" s="874"/>
      <c r="CJ34" s="1012"/>
      <c r="CK34" s="936"/>
      <c r="CL34" s="858"/>
      <c r="CM34" s="858"/>
      <c r="CN34" s="858"/>
      <c r="CO34" s="858"/>
      <c r="CP34" s="858"/>
      <c r="CQ34" s="858"/>
      <c r="CR34" s="858"/>
      <c r="CS34" s="855"/>
      <c r="CT34" s="855"/>
      <c r="CU34" s="858"/>
      <c r="CV34" s="858"/>
      <c r="CW34" s="855"/>
      <c r="CX34" s="855"/>
      <c r="CY34" s="858"/>
      <c r="CZ34" s="932">
        <v>5</v>
      </c>
      <c r="DA34" s="1021" t="s">
        <v>132</v>
      </c>
      <c r="DB34" s="1035">
        <v>116261</v>
      </c>
      <c r="DC34" s="904"/>
      <c r="DD34" s="858"/>
    </row>
    <row r="35" spans="1:108" ht="15.75" customHeight="1">
      <c r="A35" s="860"/>
      <c r="B35" s="943"/>
      <c r="C35" s="865"/>
      <c r="D35" s="1036"/>
      <c r="E35" s="855"/>
      <c r="F35" s="855"/>
      <c r="G35" s="1031"/>
      <c r="H35" s="1031"/>
      <c r="I35" s="855"/>
      <c r="J35" s="1003"/>
      <c r="K35" s="855"/>
      <c r="L35" s="855"/>
      <c r="M35" s="858"/>
      <c r="N35" s="924"/>
      <c r="O35" s="860"/>
      <c r="P35" s="890"/>
      <c r="Q35" s="891"/>
      <c r="R35" s="891"/>
      <c r="S35" s="891"/>
      <c r="T35" s="891"/>
      <c r="U35" s="891"/>
      <c r="V35" s="891"/>
      <c r="W35" s="892"/>
      <c r="X35" s="865"/>
      <c r="Y35" s="865"/>
      <c r="Z35" s="897"/>
      <c r="AA35" s="874"/>
      <c r="AB35" s="874"/>
      <c r="AC35" s="897"/>
      <c r="AI35" s="890"/>
      <c r="AJ35" s="892"/>
      <c r="AK35" s="885"/>
      <c r="AL35" s="855"/>
      <c r="AM35" s="860"/>
      <c r="AN35" s="860"/>
      <c r="AO35" s="860"/>
      <c r="AP35" s="860"/>
      <c r="AQ35" s="860"/>
      <c r="AR35" s="860"/>
      <c r="AS35" s="860"/>
      <c r="AT35" s="860"/>
      <c r="AU35" s="860"/>
      <c r="AV35" s="860"/>
      <c r="AW35" s="860"/>
      <c r="AX35" s="860"/>
      <c r="AY35" s="860"/>
      <c r="AZ35" s="860"/>
      <c r="BA35" s="860"/>
      <c r="BB35" s="855"/>
      <c r="BC35" s="865"/>
      <c r="BD35" s="865"/>
      <c r="BE35" s="855"/>
      <c r="BF35" s="855"/>
      <c r="BG35" s="855"/>
      <c r="BH35" s="855"/>
      <c r="BI35" s="855"/>
      <c r="BJ35" s="858"/>
      <c r="BK35" s="855"/>
      <c r="BL35" s="855"/>
      <c r="BM35" s="855"/>
      <c r="BN35" s="858"/>
      <c r="BO35" s="1010"/>
      <c r="BP35" s="1010"/>
      <c r="BQ35" s="855"/>
      <c r="BR35" s="858"/>
      <c r="BS35" s="858"/>
      <c r="BT35" s="865"/>
      <c r="BU35" s="897"/>
      <c r="BV35" s="874"/>
      <c r="BW35" s="874"/>
      <c r="BX35" s="897"/>
      <c r="BY35" s="855"/>
      <c r="BZ35" s="858"/>
      <c r="CA35" s="995"/>
      <c r="CB35" s="866"/>
      <c r="CC35" s="855"/>
      <c r="CD35" s="1014"/>
      <c r="CE35" s="995"/>
      <c r="CF35" s="855"/>
      <c r="CG35" s="855"/>
      <c r="CH35" s="1008"/>
      <c r="CI35" s="1008"/>
      <c r="CJ35" s="855"/>
      <c r="CK35" s="931"/>
      <c r="CL35" s="858"/>
      <c r="CM35" s="858"/>
      <c r="CN35" s="858"/>
      <c r="CO35" s="858"/>
      <c r="CP35" s="936"/>
      <c r="CQ35" s="858"/>
      <c r="CR35" s="858"/>
      <c r="CS35" s="855"/>
      <c r="CT35" s="858"/>
      <c r="CU35" s="1037"/>
      <c r="CV35" s="1038"/>
      <c r="CW35" s="855"/>
      <c r="CX35" s="855"/>
      <c r="CY35" s="858"/>
      <c r="CZ35" s="932">
        <v>6</v>
      </c>
      <c r="DA35" s="1021" t="s">
        <v>132</v>
      </c>
      <c r="DB35" s="1039">
        <v>113310</v>
      </c>
      <c r="DC35" s="866"/>
      <c r="DD35" s="858"/>
    </row>
    <row r="36" spans="1:108" ht="15.75" customHeight="1">
      <c r="A36" s="860"/>
      <c r="B36" s="883"/>
      <c r="C36" s="858"/>
      <c r="D36" s="858"/>
      <c r="E36" s="1002"/>
      <c r="F36" s="952"/>
      <c r="G36" s="874"/>
      <c r="H36" s="874"/>
      <c r="I36" s="952"/>
      <c r="J36" s="1003"/>
      <c r="K36" s="855"/>
      <c r="L36" s="855"/>
      <c r="M36" s="858"/>
      <c r="N36" s="858"/>
      <c r="O36" s="860"/>
      <c r="P36" s="890"/>
      <c r="Q36" s="891"/>
      <c r="R36" s="891"/>
      <c r="S36" s="891"/>
      <c r="T36" s="891"/>
      <c r="U36" s="891"/>
      <c r="V36" s="891"/>
      <c r="W36" s="892"/>
      <c r="X36" s="865"/>
      <c r="Y36" s="858"/>
      <c r="Z36" s="858"/>
      <c r="AA36" s="929"/>
      <c r="AB36" s="929"/>
      <c r="AC36" s="855"/>
      <c r="AD36" s="855"/>
      <c r="AE36" s="962"/>
      <c r="AF36" s="962"/>
      <c r="AG36" s="855"/>
      <c r="AH36" s="858"/>
      <c r="AI36" s="890"/>
      <c r="AJ36" s="892"/>
      <c r="AK36" s="866"/>
      <c r="AL36" s="855"/>
      <c r="AM36" s="860"/>
      <c r="AN36" s="981"/>
      <c r="AO36" s="855"/>
      <c r="AP36" s="1010"/>
      <c r="AQ36" s="855"/>
      <c r="AR36" s="1040"/>
      <c r="AS36" s="874"/>
      <c r="AT36" s="1040"/>
      <c r="AU36" s="874"/>
      <c r="AV36" s="1040"/>
      <c r="AW36" s="874"/>
      <c r="AX36" s="1040"/>
      <c r="AY36" s="874"/>
      <c r="AZ36" s="1040"/>
      <c r="BA36" s="860"/>
      <c r="BB36" s="855"/>
      <c r="BC36" s="855"/>
      <c r="BD36" s="855"/>
      <c r="BE36" s="855"/>
      <c r="BF36" s="855"/>
      <c r="BG36" s="896"/>
      <c r="BH36" s="896"/>
      <c r="BI36" s="858"/>
      <c r="BJ36" s="858"/>
      <c r="BK36" s="855"/>
      <c r="BL36" s="855"/>
      <c r="BM36" s="855"/>
      <c r="BN36" s="858"/>
      <c r="BO36" s="1010"/>
      <c r="BP36" s="1010"/>
      <c r="BQ36" s="855"/>
      <c r="BR36" s="858"/>
      <c r="BS36" s="858"/>
      <c r="BT36" s="865"/>
      <c r="BU36" s="897"/>
      <c r="BV36" s="874"/>
      <c r="BW36" s="874"/>
      <c r="BX36" s="897"/>
      <c r="BY36" s="855"/>
      <c r="BZ36" s="855"/>
      <c r="CA36" s="995"/>
      <c r="CB36" s="885"/>
      <c r="CC36" s="855"/>
      <c r="CD36" s="1014"/>
      <c r="CE36" s="995"/>
      <c r="CF36" s="855"/>
      <c r="CG36" s="855"/>
      <c r="CH36" s="896"/>
      <c r="CI36" s="896"/>
      <c r="CJ36" s="855"/>
      <c r="CK36" s="931"/>
      <c r="CL36" s="858"/>
      <c r="CM36" s="858"/>
      <c r="CN36" s="858"/>
      <c r="CO36" s="858"/>
      <c r="CP36" s="936"/>
      <c r="CQ36" s="858"/>
      <c r="CR36" s="858"/>
      <c r="CS36" s="855"/>
      <c r="CT36" s="1041"/>
      <c r="CU36" s="926"/>
      <c r="CV36" s="926"/>
      <c r="CW36" s="1042"/>
      <c r="CX36" s="855"/>
      <c r="CY36" s="858"/>
      <c r="CZ36" s="1043"/>
      <c r="DA36" s="971"/>
      <c r="DB36" s="1016"/>
      <c r="DC36" s="904"/>
      <c r="DD36" s="858"/>
    </row>
    <row r="37" spans="1:108" ht="15.75" customHeight="1" thickBot="1">
      <c r="A37" s="860"/>
      <c r="B37" s="883"/>
      <c r="C37" s="858"/>
      <c r="D37" s="858"/>
      <c r="E37" s="855"/>
      <c r="F37" s="855"/>
      <c r="G37" s="1031"/>
      <c r="H37" s="1031"/>
      <c r="I37" s="923"/>
      <c r="J37" s="880"/>
      <c r="K37" s="1003"/>
      <c r="L37" s="855"/>
      <c r="M37" s="858"/>
      <c r="N37" s="883"/>
      <c r="O37" s="860"/>
      <c r="P37" s="890"/>
      <c r="Q37" s="891"/>
      <c r="R37" s="891"/>
      <c r="S37" s="891"/>
      <c r="T37" s="891"/>
      <c r="U37" s="891"/>
      <c r="V37" s="891"/>
      <c r="W37" s="892"/>
      <c r="X37" s="865"/>
      <c r="Y37" s="996"/>
      <c r="Z37" s="858"/>
      <c r="AA37" s="1009"/>
      <c r="AB37" s="1009"/>
      <c r="AC37" s="855"/>
      <c r="AD37" s="962"/>
      <c r="AE37" s="970"/>
      <c r="AF37" s="970"/>
      <c r="AG37" s="962"/>
      <c r="AH37" s="858"/>
      <c r="AI37" s="890"/>
      <c r="AJ37" s="892"/>
      <c r="AK37" s="885"/>
      <c r="AL37" s="855"/>
      <c r="AM37" s="860"/>
      <c r="AN37" s="884"/>
      <c r="AO37" s="855"/>
      <c r="AP37" s="1023"/>
      <c r="AQ37" s="891"/>
      <c r="AR37" s="895"/>
      <c r="AS37" s="894"/>
      <c r="AT37" s="858"/>
      <c r="AU37" s="894"/>
      <c r="AV37" s="855"/>
      <c r="AW37" s="894"/>
      <c r="AX37" s="855"/>
      <c r="AY37" s="894"/>
      <c r="AZ37" s="884"/>
      <c r="BA37" s="860"/>
      <c r="BB37" s="884"/>
      <c r="BC37" s="858"/>
      <c r="BD37" s="858"/>
      <c r="BE37" s="855"/>
      <c r="BF37" s="855"/>
      <c r="BG37" s="896"/>
      <c r="BH37" s="896"/>
      <c r="BI37" s="855"/>
      <c r="BJ37" s="858"/>
      <c r="BK37" s="855"/>
      <c r="BL37" s="855"/>
      <c r="BM37" s="858"/>
      <c r="BN37" s="858"/>
      <c r="BO37" s="1010"/>
      <c r="BP37" s="1010"/>
      <c r="BQ37" s="855"/>
      <c r="BR37" s="858"/>
      <c r="BS37" s="858"/>
      <c r="BT37" s="865"/>
      <c r="BU37" s="897"/>
      <c r="BV37" s="874"/>
      <c r="BW37" s="874"/>
      <c r="BX37" s="897"/>
      <c r="BY37" s="855"/>
      <c r="BZ37" s="855"/>
      <c r="CA37" s="995"/>
      <c r="CB37" s="885"/>
      <c r="CC37" s="855"/>
      <c r="CD37" s="1014"/>
      <c r="CE37" s="1044"/>
      <c r="CF37" s="855"/>
      <c r="CG37" s="855"/>
      <c r="CH37" s="896"/>
      <c r="CI37" s="896"/>
      <c r="CJ37" s="855"/>
      <c r="CK37" s="931"/>
      <c r="CL37" s="858"/>
      <c r="CM37" s="858"/>
      <c r="CN37" s="858"/>
      <c r="CO37" s="858"/>
      <c r="CP37" s="936"/>
      <c r="CQ37" s="858"/>
      <c r="CR37" s="858"/>
      <c r="CS37" s="932"/>
      <c r="CT37" s="1021" t="s">
        <v>132</v>
      </c>
      <c r="CU37" s="1045">
        <v>113901</v>
      </c>
      <c r="CV37" s="975">
        <v>116291</v>
      </c>
      <c r="CW37" s="1021" t="s">
        <v>132</v>
      </c>
      <c r="CX37" s="935"/>
      <c r="CY37" s="858"/>
      <c r="CZ37" s="858"/>
      <c r="DA37" s="858"/>
      <c r="DB37" s="971"/>
      <c r="DC37" s="904"/>
      <c r="DD37" s="858"/>
    </row>
    <row r="38" spans="1:108" ht="15.75" customHeight="1" thickBot="1">
      <c r="A38" s="860"/>
      <c r="B38" s="858"/>
      <c r="C38" s="858"/>
      <c r="D38" s="858"/>
      <c r="E38" s="858"/>
      <c r="F38" s="1046"/>
      <c r="G38" s="1010"/>
      <c r="H38" s="1010"/>
      <c r="J38" s="855"/>
      <c r="K38" s="855"/>
      <c r="L38" s="855"/>
      <c r="M38" s="858"/>
      <c r="N38" s="883"/>
      <c r="O38" s="860"/>
      <c r="P38" s="890"/>
      <c r="Q38" s="891"/>
      <c r="R38" s="891"/>
      <c r="S38" s="891"/>
      <c r="T38" s="891"/>
      <c r="U38" s="891"/>
      <c r="V38" s="891"/>
      <c r="W38" s="892"/>
      <c r="X38" s="855"/>
      <c r="Y38" s="865"/>
      <c r="Z38" s="855"/>
      <c r="AA38" s="981"/>
      <c r="AB38" s="981"/>
      <c r="AC38" s="932">
        <v>1</v>
      </c>
      <c r="AD38" s="1047"/>
      <c r="AE38" s="1048">
        <v>113308</v>
      </c>
      <c r="AF38" s="1049">
        <v>113242</v>
      </c>
      <c r="AG38" s="1047" t="s">
        <v>132</v>
      </c>
      <c r="AH38" s="935">
        <v>4</v>
      </c>
      <c r="AI38" s="890"/>
      <c r="AJ38" s="892"/>
      <c r="AK38" s="885"/>
      <c r="AL38" s="855"/>
      <c r="AM38" s="860"/>
      <c r="AN38" s="855"/>
      <c r="AO38" s="855"/>
      <c r="AP38" s="855"/>
      <c r="AQ38" s="855"/>
      <c r="AR38" s="855"/>
      <c r="AS38" s="894"/>
      <c r="AT38" s="855"/>
      <c r="AU38" s="894"/>
      <c r="AV38" s="855"/>
      <c r="AW38" s="894"/>
      <c r="AX38" s="1050"/>
      <c r="AY38" s="894"/>
      <c r="AZ38" s="884"/>
      <c r="BA38" s="860"/>
      <c r="BB38" s="884"/>
      <c r="BC38" s="858"/>
      <c r="BD38" s="858"/>
      <c r="BE38" s="855"/>
      <c r="BF38" s="855"/>
      <c r="BG38" s="896"/>
      <c r="BH38" s="896"/>
      <c r="BI38" s="855"/>
      <c r="BJ38" s="858"/>
      <c r="BK38" s="855"/>
      <c r="BL38" s="855"/>
      <c r="BM38" s="858"/>
      <c r="BN38" s="858"/>
      <c r="BO38" s="992"/>
      <c r="BP38" s="993"/>
      <c r="BQ38" s="855"/>
      <c r="BR38" s="858"/>
      <c r="BS38" s="858"/>
      <c r="BT38" s="865"/>
      <c r="BU38" s="858"/>
      <c r="BV38" s="897"/>
      <c r="BW38" s="897"/>
      <c r="BX38" s="858"/>
      <c r="BY38" s="855"/>
      <c r="BZ38" s="1023"/>
      <c r="CA38" s="891"/>
      <c r="CB38" s="885"/>
      <c r="CC38" s="855"/>
      <c r="CD38" s="1014"/>
      <c r="CE38" s="1044"/>
      <c r="CF38" s="855"/>
      <c r="CG38" s="855"/>
      <c r="CH38" s="896"/>
      <c r="CI38" s="896"/>
      <c r="CJ38" s="855"/>
      <c r="CK38" s="858"/>
      <c r="CL38" s="858"/>
      <c r="CM38" s="897"/>
      <c r="CN38" s="897"/>
      <c r="CO38" s="858"/>
      <c r="CP38" s="858"/>
      <c r="CQ38" s="855"/>
      <c r="CR38" s="858"/>
      <c r="CS38" s="932"/>
      <c r="CT38" s="1021" t="s">
        <v>132</v>
      </c>
      <c r="CU38" s="1045">
        <v>116259</v>
      </c>
      <c r="CV38" s="975">
        <v>115246</v>
      </c>
      <c r="CW38" s="1021" t="s">
        <v>132</v>
      </c>
      <c r="CX38" s="935"/>
      <c r="CY38" s="858"/>
      <c r="CZ38" s="855"/>
      <c r="DA38" s="855"/>
      <c r="DB38" s="855"/>
      <c r="DC38" s="904"/>
      <c r="DD38" s="858"/>
    </row>
    <row r="39" spans="1:108" ht="15.75" customHeight="1" thickBot="1">
      <c r="B39" s="860"/>
      <c r="C39" s="858"/>
      <c r="D39" s="858"/>
      <c r="E39" s="858"/>
      <c r="F39" s="1033">
        <v>1</v>
      </c>
      <c r="G39" s="1033">
        <v>2</v>
      </c>
      <c r="H39" s="894"/>
      <c r="I39" s="884"/>
      <c r="J39" s="884"/>
      <c r="K39" s="884"/>
      <c r="L39" s="884"/>
      <c r="M39" s="858"/>
      <c r="N39" s="858"/>
      <c r="O39" s="860"/>
      <c r="P39" s="890"/>
      <c r="Q39" s="891"/>
      <c r="R39" s="891"/>
      <c r="S39" s="891"/>
      <c r="T39" s="891"/>
      <c r="U39" s="891"/>
      <c r="V39" s="891"/>
      <c r="W39" s="892"/>
      <c r="X39" s="865"/>
      <c r="Y39" s="855"/>
      <c r="Z39" s="855"/>
      <c r="AA39" s="1027"/>
      <c r="AB39" s="1027"/>
      <c r="AC39" s="932">
        <v>2</v>
      </c>
      <c r="AD39" s="1047" t="s">
        <v>132</v>
      </c>
      <c r="AE39" s="1051">
        <v>114356</v>
      </c>
      <c r="AF39" s="1052">
        <v>105977</v>
      </c>
      <c r="AG39" s="1047" t="s">
        <v>132</v>
      </c>
      <c r="AH39" s="935">
        <v>3</v>
      </c>
      <c r="AI39" s="905"/>
      <c r="AJ39" s="907"/>
      <c r="AK39" s="885"/>
      <c r="AL39" s="855"/>
      <c r="AM39" s="860"/>
      <c r="AN39" s="896"/>
      <c r="AO39" s="855"/>
      <c r="AP39" s="855"/>
      <c r="AQ39" s="855"/>
      <c r="AR39" s="855"/>
      <c r="AS39" s="923"/>
      <c r="AT39" s="880"/>
      <c r="AU39" s="880"/>
      <c r="AV39" s="880"/>
      <c r="AW39" s="880"/>
      <c r="AX39" s="880"/>
      <c r="AY39" s="880"/>
      <c r="AZ39" s="884"/>
      <c r="BA39" s="860"/>
      <c r="BB39" s="884"/>
      <c r="BC39" s="858"/>
      <c r="BD39" s="858"/>
      <c r="BE39" s="855"/>
      <c r="BF39" s="855"/>
      <c r="BG39" s="896"/>
      <c r="BH39" s="896"/>
      <c r="BI39" s="855"/>
      <c r="BJ39" s="858"/>
      <c r="BK39" s="855"/>
      <c r="BL39" s="865"/>
      <c r="BM39" s="858"/>
      <c r="BN39" s="858"/>
      <c r="BO39" s="1053"/>
      <c r="BP39" s="1053"/>
      <c r="BR39" s="858"/>
      <c r="BS39" s="858"/>
      <c r="BT39" s="865"/>
      <c r="BU39" s="865"/>
      <c r="BV39" s="858"/>
      <c r="BW39" s="858"/>
      <c r="BX39" s="855"/>
      <c r="BY39" s="855"/>
      <c r="BZ39" s="855"/>
      <c r="CA39" s="855"/>
      <c r="CB39" s="885"/>
      <c r="CC39" s="855"/>
      <c r="CD39" s="1014"/>
      <c r="CE39" s="1044"/>
      <c r="CF39" s="855"/>
      <c r="CG39" s="855"/>
      <c r="CH39" s="992"/>
      <c r="CI39" s="993"/>
      <c r="CJ39" s="855"/>
      <c r="CK39" s="858"/>
      <c r="CL39" s="858"/>
      <c r="CM39" s="981"/>
      <c r="CN39" s="981"/>
      <c r="CO39" s="858"/>
      <c r="CP39" s="858"/>
      <c r="CQ39" s="858"/>
      <c r="CR39" s="858"/>
      <c r="CS39" s="932"/>
      <c r="CT39" s="1021" t="s">
        <v>132</v>
      </c>
      <c r="CU39" s="1022">
        <v>115259</v>
      </c>
      <c r="CV39" s="1054">
        <v>106238</v>
      </c>
      <c r="CW39" s="1021" t="s">
        <v>132</v>
      </c>
      <c r="CX39" s="935"/>
      <c r="CY39" s="858"/>
      <c r="CZ39" s="858"/>
      <c r="DA39" s="858"/>
      <c r="DB39" s="858"/>
      <c r="DC39" s="904"/>
      <c r="DD39" s="858"/>
    </row>
    <row r="40" spans="1:108" ht="15.75" customHeight="1">
      <c r="A40" s="860"/>
      <c r="B40" s="858"/>
      <c r="C40" s="858"/>
      <c r="D40" s="858"/>
      <c r="E40" s="858"/>
      <c r="F40" s="1047" t="s">
        <v>132</v>
      </c>
      <c r="G40" s="1047" t="s">
        <v>132</v>
      </c>
      <c r="H40" s="1055"/>
      <c r="I40" s="1055"/>
      <c r="J40" s="895"/>
      <c r="K40" s="960"/>
      <c r="L40" s="960"/>
      <c r="M40" s="858"/>
      <c r="N40" s="858"/>
      <c r="O40" s="860"/>
      <c r="P40" s="890"/>
      <c r="Q40" s="891"/>
      <c r="R40" s="891"/>
      <c r="S40" s="891"/>
      <c r="T40" s="891"/>
      <c r="U40" s="891"/>
      <c r="V40" s="891"/>
      <c r="W40" s="892"/>
      <c r="X40" s="865"/>
      <c r="Y40" s="855"/>
      <c r="Z40" s="996"/>
      <c r="AA40" s="883"/>
      <c r="AB40" s="1056"/>
      <c r="AD40" s="962"/>
      <c r="AE40" s="970"/>
      <c r="AF40" s="970"/>
      <c r="AG40" s="962"/>
      <c r="AH40" s="858"/>
      <c r="AI40" s="868" t="s">
        <v>208</v>
      </c>
      <c r="AJ40" s="870"/>
      <c r="AK40" s="885"/>
      <c r="AL40" s="855"/>
      <c r="AM40" s="860"/>
      <c r="AN40" s="896"/>
      <c r="AO40" s="855"/>
      <c r="AP40" s="855"/>
      <c r="AQ40" s="855"/>
      <c r="AR40" s="884"/>
      <c r="AS40" s="884"/>
      <c r="AT40" s="858"/>
      <c r="AU40" s="858"/>
      <c r="AV40" s="858"/>
      <c r="AW40" s="884"/>
      <c r="AX40" s="884"/>
      <c r="AY40" s="1057"/>
      <c r="AZ40" s="884"/>
      <c r="BA40" s="860"/>
      <c r="BB40" s="884"/>
      <c r="BC40" s="858"/>
      <c r="BD40" s="858"/>
      <c r="BE40" s="855"/>
      <c r="BF40" s="855"/>
      <c r="BG40" s="1058"/>
      <c r="BH40" s="993"/>
      <c r="BI40" s="858"/>
      <c r="BJ40" s="858"/>
      <c r="BK40" s="855"/>
      <c r="BL40" s="858"/>
      <c r="BM40" s="858"/>
      <c r="BN40" s="858"/>
      <c r="BO40" s="1053"/>
      <c r="BP40" s="1053"/>
      <c r="BR40" s="858"/>
      <c r="BS40" s="858"/>
      <c r="BT40" s="865"/>
      <c r="BU40" s="865"/>
      <c r="BX40" s="855"/>
      <c r="BY40" s="865"/>
      <c r="BZ40" s="855"/>
      <c r="CA40" s="855"/>
      <c r="CB40" s="866"/>
      <c r="CC40" s="855"/>
      <c r="CD40" s="1014"/>
      <c r="CE40" s="1044"/>
      <c r="CF40" s="855"/>
      <c r="CG40" s="855"/>
      <c r="CH40" s="981"/>
      <c r="CI40" s="981"/>
      <c r="CJ40" s="855"/>
      <c r="CK40" s="858"/>
      <c r="CL40" s="858"/>
      <c r="CM40" s="981"/>
      <c r="CN40" s="981"/>
      <c r="CO40" s="855"/>
      <c r="CP40" s="858"/>
      <c r="CQ40" s="858"/>
      <c r="CR40" s="855"/>
      <c r="CS40" s="932"/>
      <c r="CT40" s="1021" t="s">
        <v>132</v>
      </c>
      <c r="CU40" s="1022">
        <v>110126</v>
      </c>
      <c r="CV40" s="1054">
        <v>113909</v>
      </c>
      <c r="CW40" s="1021" t="s">
        <v>132</v>
      </c>
      <c r="CX40" s="935"/>
      <c r="CY40" s="858"/>
      <c r="CZ40" s="858"/>
      <c r="DA40" s="858"/>
      <c r="DB40" s="858"/>
      <c r="DC40" s="866"/>
      <c r="DD40" s="858"/>
    </row>
    <row r="41" spans="1:108" ht="15.75" customHeight="1">
      <c r="A41" s="860"/>
      <c r="B41" s="858"/>
      <c r="C41" s="858"/>
      <c r="D41" s="896"/>
      <c r="E41" s="968"/>
      <c r="F41" s="1059">
        <v>113700</v>
      </c>
      <c r="G41" s="1060">
        <v>106390</v>
      </c>
      <c r="H41" s="874"/>
      <c r="I41" s="874"/>
      <c r="J41" s="883"/>
      <c r="K41" s="858"/>
      <c r="L41" s="858"/>
      <c r="M41" s="858"/>
      <c r="N41" s="858"/>
      <c r="O41" s="860"/>
      <c r="P41" s="890"/>
      <c r="Q41" s="891"/>
      <c r="R41" s="891"/>
      <c r="S41" s="891"/>
      <c r="T41" s="891"/>
      <c r="U41" s="891"/>
      <c r="V41" s="891"/>
      <c r="W41" s="892"/>
      <c r="X41" s="865"/>
      <c r="Y41" s="865"/>
      <c r="Z41" s="865"/>
      <c r="AA41" s="883"/>
      <c r="AB41" s="883"/>
      <c r="AC41" s="858"/>
      <c r="AD41" s="855"/>
      <c r="AE41" s="962"/>
      <c r="AF41" s="962"/>
      <c r="AG41" s="855"/>
      <c r="AH41" s="858"/>
      <c r="AI41" s="890"/>
      <c r="AJ41" s="892"/>
      <c r="AK41" s="866"/>
      <c r="AL41" s="855"/>
      <c r="AM41" s="860"/>
      <c r="AN41" s="896"/>
      <c r="AO41" s="858"/>
      <c r="AP41" s="855"/>
      <c r="AQ41" s="855"/>
      <c r="AR41" s="884"/>
      <c r="AS41" s="1061"/>
      <c r="AT41" s="858"/>
      <c r="AU41" s="858"/>
      <c r="AV41" s="858"/>
      <c r="AW41" s="884"/>
      <c r="AX41" s="884"/>
      <c r="AY41" s="884"/>
      <c r="AZ41" s="884"/>
      <c r="BA41" s="860"/>
      <c r="BB41" s="884"/>
      <c r="BC41" s="858"/>
      <c r="BD41" s="858"/>
      <c r="BE41" s="855"/>
      <c r="BF41" s="855"/>
      <c r="BG41" s="858"/>
      <c r="BH41" s="858"/>
      <c r="BI41" s="858"/>
      <c r="BJ41" s="858"/>
      <c r="BK41" s="855"/>
      <c r="BL41" s="858"/>
      <c r="BM41" s="858"/>
      <c r="BN41" s="858"/>
      <c r="BO41" s="1053"/>
      <c r="BP41" s="1053"/>
      <c r="BR41" s="858"/>
      <c r="BS41" s="858"/>
      <c r="BT41" s="855"/>
      <c r="BU41" s="865"/>
      <c r="BX41" s="855"/>
      <c r="BY41" s="855"/>
      <c r="BZ41" s="855"/>
      <c r="CA41" s="1000"/>
      <c r="CB41" s="885"/>
      <c r="CC41" s="855"/>
      <c r="CD41" s="1014"/>
      <c r="CE41" s="1044"/>
      <c r="CF41" s="855"/>
      <c r="CG41" s="855"/>
      <c r="CH41" s="981"/>
      <c r="CI41" s="981"/>
      <c r="CJ41" s="855"/>
      <c r="CK41" s="858"/>
      <c r="CL41" s="858"/>
      <c r="CM41" s="981"/>
      <c r="CN41" s="981"/>
      <c r="CO41" s="855"/>
      <c r="CP41" s="858"/>
      <c r="CQ41" s="858"/>
      <c r="CR41" s="855"/>
      <c r="CS41" s="855"/>
      <c r="CT41" s="1041"/>
      <c r="CU41" s="926"/>
      <c r="CV41" s="926"/>
      <c r="CW41" s="1042"/>
      <c r="CX41" s="1046"/>
      <c r="CY41" s="858"/>
      <c r="CZ41" s="858"/>
      <c r="DA41" s="858"/>
      <c r="DC41" s="904"/>
      <c r="DD41" s="858"/>
    </row>
    <row r="42" spans="1:108" ht="15.75" customHeight="1">
      <c r="A42" s="860"/>
      <c r="B42" s="859"/>
      <c r="C42" s="859"/>
      <c r="D42" s="859"/>
      <c r="E42" s="859"/>
      <c r="F42" s="859"/>
      <c r="G42" s="859"/>
      <c r="H42" s="860"/>
      <c r="I42" s="860"/>
      <c r="J42" s="860"/>
      <c r="K42" s="859"/>
      <c r="L42" s="859"/>
      <c r="M42" s="859"/>
      <c r="N42" s="860"/>
      <c r="O42" s="860"/>
      <c r="P42" s="890"/>
      <c r="Q42" s="891"/>
      <c r="R42" s="891"/>
      <c r="S42" s="891"/>
      <c r="T42" s="891"/>
      <c r="U42" s="891"/>
      <c r="V42" s="891"/>
      <c r="W42" s="892"/>
      <c r="X42" s="865"/>
      <c r="Y42" s="865"/>
      <c r="Z42" s="855"/>
      <c r="AA42" s="883"/>
      <c r="AB42" s="896"/>
      <c r="AC42" s="855"/>
      <c r="AE42" s="858"/>
      <c r="AF42" s="858"/>
      <c r="AG42" s="858"/>
      <c r="AH42" s="858"/>
      <c r="AI42" s="890"/>
      <c r="AJ42" s="892"/>
      <c r="AK42" s="885"/>
      <c r="AL42" s="855"/>
      <c r="AM42" s="860"/>
      <c r="AN42" s="1006"/>
      <c r="AO42" s="858"/>
      <c r="AP42" s="855"/>
      <c r="AQ42" s="855"/>
      <c r="AR42" s="855"/>
      <c r="AS42" s="855"/>
      <c r="AT42" s="858"/>
      <c r="AU42" s="858"/>
      <c r="AV42" s="1061"/>
      <c r="AW42" s="884"/>
      <c r="AX42" s="884"/>
      <c r="AY42" s="884"/>
      <c r="AZ42" s="884"/>
      <c r="BA42" s="1062"/>
      <c r="BB42" s="884"/>
      <c r="BC42" s="858"/>
      <c r="BD42" s="858"/>
      <c r="BE42" s="855"/>
      <c r="BF42" s="855"/>
      <c r="BG42" s="1063"/>
      <c r="BH42" s="1064"/>
      <c r="BI42" s="855"/>
      <c r="BJ42" s="858"/>
      <c r="BK42" s="855"/>
      <c r="BL42" s="858"/>
      <c r="BM42" s="858"/>
      <c r="BN42" s="858"/>
      <c r="BO42" s="1053"/>
      <c r="BP42" s="1053"/>
      <c r="BR42" s="858"/>
      <c r="BS42" s="858"/>
      <c r="BT42" s="855"/>
      <c r="BU42" s="855"/>
      <c r="BV42" s="887"/>
      <c r="BW42" s="887"/>
      <c r="BX42" s="855"/>
      <c r="BY42" s="855"/>
      <c r="BZ42" s="855"/>
      <c r="CA42" s="1000"/>
      <c r="CB42" s="885"/>
      <c r="CC42" s="855"/>
      <c r="CD42" s="1014"/>
      <c r="CE42" s="1053"/>
      <c r="CF42" s="855"/>
      <c r="CG42" s="855"/>
      <c r="CH42" s="992"/>
      <c r="CI42" s="993"/>
      <c r="CJ42" s="855"/>
      <c r="CK42" s="858"/>
      <c r="CL42" s="858"/>
      <c r="CM42" s="981"/>
      <c r="CN42" s="981"/>
      <c r="CO42" s="855"/>
      <c r="CP42" s="858"/>
      <c r="CQ42" s="858"/>
      <c r="CR42" s="855"/>
      <c r="CS42" s="855"/>
      <c r="CT42" s="858"/>
      <c r="CU42" s="1065" t="s">
        <v>139</v>
      </c>
      <c r="CV42" s="880"/>
      <c r="CW42" s="858"/>
      <c r="CX42" s="858"/>
      <c r="CY42" s="858"/>
      <c r="CZ42" s="858"/>
      <c r="DA42" s="858"/>
      <c r="DB42" s="922"/>
      <c r="DC42" s="904"/>
      <c r="DD42" s="858"/>
    </row>
    <row r="43" spans="1:108" ht="15.75" customHeight="1">
      <c r="A43" s="860"/>
      <c r="B43" s="858"/>
      <c r="C43" s="858"/>
      <c r="D43" s="858"/>
      <c r="E43" s="858"/>
      <c r="F43" s="858"/>
      <c r="G43" s="858"/>
      <c r="H43" s="858"/>
      <c r="I43" s="858"/>
      <c r="J43" s="858"/>
      <c r="K43" s="858"/>
      <c r="L43" s="858"/>
      <c r="M43" s="858"/>
      <c r="N43" s="858"/>
      <c r="O43" s="860"/>
      <c r="P43" s="890"/>
      <c r="Q43" s="891"/>
      <c r="R43" s="891"/>
      <c r="S43" s="891"/>
      <c r="T43" s="891"/>
      <c r="U43" s="891"/>
      <c r="V43" s="891"/>
      <c r="W43" s="892"/>
      <c r="X43" s="865"/>
      <c r="Y43" s="996"/>
      <c r="Z43" s="855"/>
      <c r="AA43" s="855"/>
      <c r="AB43" s="855"/>
      <c r="AE43" s="858"/>
      <c r="AF43" s="858"/>
      <c r="AG43" s="858"/>
      <c r="AH43" s="858"/>
      <c r="AI43" s="890"/>
      <c r="AJ43" s="892"/>
      <c r="AK43" s="885"/>
      <c r="AL43" s="855"/>
      <c r="AM43" s="860"/>
      <c r="AN43" s="884"/>
      <c r="AO43" s="855"/>
      <c r="AP43" s="855"/>
      <c r="AQ43" s="855"/>
      <c r="AR43" s="855"/>
      <c r="AS43" s="1066"/>
      <c r="AT43" s="891"/>
      <c r="AU43" s="891"/>
      <c r="AV43" s="891"/>
      <c r="AW43" s="855"/>
      <c r="AX43" s="855"/>
      <c r="AY43" s="884"/>
      <c r="AZ43" s="884"/>
      <c r="BA43" s="1067"/>
      <c r="BB43" s="884"/>
      <c r="BC43" s="858"/>
      <c r="BD43" s="858"/>
      <c r="BE43" s="855"/>
      <c r="BF43" s="855"/>
      <c r="BG43" s="896"/>
      <c r="BH43" s="896"/>
      <c r="BI43" s="855"/>
      <c r="BJ43" s="858"/>
      <c r="BK43" s="855"/>
      <c r="BL43" s="858"/>
      <c r="BM43" s="858"/>
      <c r="BN43" s="858"/>
      <c r="BO43" s="1053"/>
      <c r="BP43" s="1053"/>
      <c r="BR43" s="858"/>
      <c r="BS43" s="858"/>
      <c r="BT43" s="855"/>
      <c r="BU43" s="855"/>
      <c r="BV43" s="887"/>
      <c r="BW43" s="887"/>
      <c r="BX43" s="855"/>
      <c r="BY43" s="855"/>
      <c r="BZ43" s="855"/>
      <c r="CA43" s="1000"/>
      <c r="CB43" s="885"/>
      <c r="CC43" s="855"/>
      <c r="CD43" s="1014"/>
      <c r="CE43" s="1053"/>
      <c r="CF43" s="855"/>
      <c r="CG43" s="855"/>
      <c r="CJ43" s="855"/>
      <c r="CK43" s="858"/>
      <c r="CL43" s="858"/>
      <c r="CM43" s="858"/>
      <c r="CN43" s="858"/>
      <c r="CO43" s="858"/>
      <c r="CP43" s="858"/>
      <c r="CQ43" s="855"/>
      <c r="CR43" s="855"/>
      <c r="CS43" s="855"/>
      <c r="CT43" s="858"/>
      <c r="CU43" s="858"/>
      <c r="CV43" s="858"/>
      <c r="CW43" s="858"/>
      <c r="CX43" s="858"/>
      <c r="CY43" s="858"/>
      <c r="CZ43" s="858"/>
      <c r="DA43" s="858"/>
      <c r="DB43" s="896"/>
      <c r="DC43" s="904"/>
      <c r="DD43" s="858"/>
    </row>
    <row r="44" spans="1:108" ht="15.75" customHeight="1">
      <c r="A44" s="860"/>
      <c r="B44" s="858"/>
      <c r="C44" s="884"/>
      <c r="D44" s="884"/>
      <c r="E44" s="884"/>
      <c r="F44" s="858"/>
      <c r="G44" s="884"/>
      <c r="H44" s="884"/>
      <c r="I44" s="884"/>
      <c r="J44" s="884"/>
      <c r="K44" s="884"/>
      <c r="L44" s="858"/>
      <c r="M44" s="858"/>
      <c r="N44" s="858"/>
      <c r="O44" s="860"/>
      <c r="P44" s="890"/>
      <c r="Q44" s="891"/>
      <c r="R44" s="891"/>
      <c r="S44" s="891"/>
      <c r="T44" s="891"/>
      <c r="U44" s="891"/>
      <c r="V44" s="891"/>
      <c r="W44" s="892"/>
      <c r="X44" s="855"/>
      <c r="Y44" s="865"/>
      <c r="Z44" s="855"/>
      <c r="AA44" s="887"/>
      <c r="AB44" s="887"/>
      <c r="AE44" s="858"/>
      <c r="AF44" s="858"/>
      <c r="AG44" s="858"/>
      <c r="AH44" s="858"/>
      <c r="AI44" s="890"/>
      <c r="AJ44" s="892"/>
      <c r="AK44" s="885"/>
      <c r="AL44" s="855"/>
      <c r="AM44" s="860"/>
      <c r="AN44" s="884"/>
      <c r="AO44" s="1068"/>
      <c r="AP44" s="855"/>
      <c r="AQ44" s="855"/>
      <c r="AR44" s="855"/>
      <c r="AS44" s="858"/>
      <c r="AT44" s="1069"/>
      <c r="AU44" s="1069"/>
      <c r="AV44" s="884"/>
      <c r="AW44" s="855"/>
      <c r="AX44" s="855"/>
      <c r="AY44" s="884"/>
      <c r="AZ44" s="884"/>
      <c r="BA44" s="1067"/>
      <c r="BB44" s="884"/>
      <c r="BC44" s="858"/>
      <c r="BD44" s="884"/>
      <c r="BE44" s="855"/>
      <c r="BF44" s="855"/>
      <c r="BG44" s="938"/>
      <c r="BH44" s="938"/>
      <c r="BI44" s="855"/>
      <c r="BJ44" s="858"/>
      <c r="BK44" s="855"/>
      <c r="BL44" s="858"/>
      <c r="BM44" s="858"/>
      <c r="BN44" s="858"/>
      <c r="BO44" s="1053"/>
      <c r="BP44" s="1053"/>
      <c r="BR44" s="858"/>
      <c r="BS44" s="858"/>
      <c r="BT44" s="855"/>
      <c r="BU44" s="855"/>
      <c r="BV44" s="855"/>
      <c r="BW44" s="855"/>
      <c r="BX44" s="855"/>
      <c r="BY44" s="855"/>
      <c r="BZ44" s="858"/>
      <c r="CA44" s="1000"/>
      <c r="CB44" s="885"/>
      <c r="CC44" s="855"/>
      <c r="CD44" s="1014"/>
      <c r="CE44" s="1053"/>
      <c r="CF44" s="855"/>
      <c r="CG44" s="855"/>
      <c r="CH44" s="981"/>
      <c r="CI44" s="981"/>
      <c r="CJ44" s="855"/>
      <c r="CK44" s="858"/>
      <c r="CL44" s="858"/>
      <c r="CM44" s="858"/>
      <c r="CN44" s="858"/>
      <c r="CO44" s="858"/>
      <c r="CP44" s="858"/>
      <c r="CQ44" s="855"/>
      <c r="CR44" s="855"/>
      <c r="CS44" s="855"/>
      <c r="CT44" s="858"/>
      <c r="CU44" s="896"/>
      <c r="CV44" s="1070"/>
      <c r="CW44" s="858"/>
      <c r="CX44" s="855"/>
      <c r="CY44" s="858"/>
      <c r="CZ44" s="858"/>
      <c r="DA44" s="858"/>
      <c r="DB44" s="896"/>
      <c r="DC44" s="904"/>
      <c r="DD44" s="858"/>
    </row>
    <row r="45" spans="1:108" ht="15.75" customHeight="1">
      <c r="A45" s="860"/>
      <c r="B45" s="858"/>
      <c r="C45" s="884"/>
      <c r="D45" s="884"/>
      <c r="E45" s="884"/>
      <c r="F45" s="858"/>
      <c r="G45" s="884"/>
      <c r="H45" s="884"/>
      <c r="I45" s="884"/>
      <c r="J45" s="884"/>
      <c r="K45" s="884"/>
      <c r="L45" s="858"/>
      <c r="M45" s="858"/>
      <c r="N45" s="858"/>
      <c r="O45" s="860"/>
      <c r="P45" s="890"/>
      <c r="Q45" s="891"/>
      <c r="R45" s="891"/>
      <c r="S45" s="891"/>
      <c r="T45" s="891"/>
      <c r="U45" s="891"/>
      <c r="V45" s="891"/>
      <c r="W45" s="892"/>
      <c r="X45" s="865"/>
      <c r="Y45" s="855"/>
      <c r="Z45" s="865"/>
      <c r="AA45" s="887"/>
      <c r="AB45" s="887"/>
      <c r="AE45" s="858"/>
      <c r="AF45" s="858"/>
      <c r="AG45" s="858"/>
      <c r="AH45" s="858"/>
      <c r="AI45" s="890"/>
      <c r="AJ45" s="892"/>
      <c r="AK45" s="885"/>
      <c r="AL45" s="855"/>
      <c r="AM45" s="860"/>
      <c r="AN45" s="884"/>
      <c r="AO45" s="1071"/>
      <c r="AP45" s="855"/>
      <c r="AQ45" s="855"/>
      <c r="AR45" s="1061"/>
      <c r="AS45" s="858"/>
      <c r="AT45" s="1010"/>
      <c r="AU45" s="1069"/>
      <c r="AV45" s="855"/>
      <c r="AW45" s="855"/>
      <c r="AX45" s="855"/>
      <c r="AY45" s="884"/>
      <c r="AZ45" s="884"/>
      <c r="BA45" s="1067"/>
      <c r="BB45" s="884"/>
      <c r="BC45" s="858"/>
      <c r="BD45" s="884"/>
      <c r="BE45" s="855"/>
      <c r="BF45" s="855"/>
      <c r="BG45" s="938"/>
      <c r="BH45" s="938"/>
      <c r="BI45" s="855"/>
      <c r="BJ45" s="858"/>
      <c r="BK45" s="855"/>
      <c r="BL45" s="858"/>
      <c r="BM45" s="858"/>
      <c r="BN45" s="858"/>
      <c r="BO45" s="855"/>
      <c r="BP45" s="855"/>
      <c r="BQ45" s="855"/>
      <c r="BR45" s="858"/>
      <c r="BS45" s="858"/>
      <c r="BT45" s="855"/>
      <c r="BU45" s="855"/>
      <c r="BV45" s="855"/>
      <c r="BW45" s="855"/>
      <c r="BX45" s="855"/>
      <c r="BY45" s="855"/>
      <c r="BZ45" s="858"/>
      <c r="CA45" s="1000"/>
      <c r="CB45" s="885"/>
      <c r="CC45" s="855"/>
      <c r="CD45" s="1014"/>
      <c r="CE45" s="1053"/>
      <c r="CF45" s="858"/>
      <c r="CG45" s="858"/>
      <c r="CH45" s="981"/>
      <c r="CI45" s="981"/>
      <c r="CJ45" s="858"/>
      <c r="CK45" s="858"/>
      <c r="CL45" s="858"/>
      <c r="CM45" s="858"/>
      <c r="CN45" s="858"/>
      <c r="CO45" s="858"/>
      <c r="CP45" s="858"/>
      <c r="CQ45" s="855"/>
      <c r="CR45" s="855"/>
      <c r="CS45" s="855"/>
      <c r="CT45" s="858"/>
      <c r="CU45" s="896"/>
      <c r="CV45" s="943"/>
      <c r="CW45" s="858"/>
      <c r="CX45" s="858"/>
      <c r="CY45" s="858"/>
      <c r="CZ45" s="855"/>
      <c r="DA45" s="858"/>
      <c r="DB45" s="1072"/>
      <c r="DC45" s="904"/>
      <c r="DD45" s="858"/>
    </row>
    <row r="46" spans="1:108" ht="15.75" customHeight="1" thickBot="1">
      <c r="A46" s="860"/>
      <c r="B46" s="858"/>
      <c r="C46" s="884"/>
      <c r="D46" s="884"/>
      <c r="E46" s="884"/>
      <c r="F46" s="858"/>
      <c r="G46" s="884"/>
      <c r="H46" s="884"/>
      <c r="I46" s="884"/>
      <c r="J46" s="884"/>
      <c r="K46" s="884"/>
      <c r="L46" s="858"/>
      <c r="M46" s="858"/>
      <c r="N46" s="858"/>
      <c r="O46" s="860"/>
      <c r="P46" s="905"/>
      <c r="Q46" s="906"/>
      <c r="R46" s="906"/>
      <c r="S46" s="906"/>
      <c r="T46" s="906"/>
      <c r="U46" s="906"/>
      <c r="V46" s="906"/>
      <c r="W46" s="907"/>
      <c r="X46" s="865"/>
      <c r="Y46" s="855"/>
      <c r="Z46" s="996"/>
      <c r="AA46" s="887"/>
      <c r="AB46" s="887"/>
      <c r="AE46" s="858"/>
      <c r="AF46" s="858"/>
      <c r="AG46" s="858"/>
      <c r="AH46" s="858"/>
      <c r="AI46" s="890"/>
      <c r="AJ46" s="892"/>
      <c r="AK46" s="885"/>
      <c r="AL46" s="855"/>
      <c r="AM46" s="860"/>
      <c r="AN46" s="1000"/>
      <c r="AO46" s="855"/>
      <c r="AP46" s="855"/>
      <c r="AQ46" s="855"/>
      <c r="AR46" s="1061"/>
      <c r="AS46" s="858"/>
      <c r="AV46" s="858"/>
      <c r="AW46" s="855"/>
      <c r="AX46" s="855"/>
      <c r="AY46" s="884"/>
      <c r="AZ46" s="884"/>
      <c r="BA46" s="1067"/>
      <c r="BB46" s="884"/>
      <c r="BC46" s="858"/>
      <c r="BD46" s="858"/>
      <c r="BE46" s="855"/>
      <c r="BF46" s="855"/>
      <c r="BG46" s="858"/>
      <c r="BH46" s="858"/>
      <c r="BI46" s="858"/>
      <c r="BJ46" s="858"/>
      <c r="BK46" s="855"/>
      <c r="BL46" s="858"/>
      <c r="BM46" s="858"/>
      <c r="BN46" s="855"/>
      <c r="BO46" s="1053"/>
      <c r="BP46" s="1053"/>
      <c r="BQ46" s="855"/>
      <c r="BR46" s="858"/>
      <c r="BS46" s="858"/>
      <c r="BT46" s="855"/>
      <c r="BU46" s="855"/>
      <c r="BV46" s="855"/>
      <c r="BW46" s="855"/>
      <c r="BX46" s="855"/>
      <c r="BY46" s="855"/>
      <c r="BZ46" s="858"/>
      <c r="CA46" s="1000"/>
      <c r="CB46" s="865"/>
      <c r="CC46" s="855"/>
      <c r="CD46" s="1014"/>
      <c r="CE46" s="1053"/>
      <c r="CF46" s="858"/>
      <c r="CG46" s="858"/>
      <c r="CH46" s="981"/>
      <c r="CI46" s="981"/>
      <c r="CJ46" s="858"/>
      <c r="CK46" s="858"/>
      <c r="CL46" s="858"/>
      <c r="CM46" s="858"/>
      <c r="CN46" s="858"/>
      <c r="CO46" s="858"/>
      <c r="CP46" s="858"/>
      <c r="CQ46" s="855"/>
      <c r="CR46" s="855"/>
      <c r="CS46" s="855"/>
      <c r="CT46" s="858"/>
      <c r="CU46" s="896"/>
      <c r="CV46" s="1070"/>
      <c r="CW46" s="855"/>
      <c r="CX46" s="855"/>
      <c r="CY46" s="858"/>
      <c r="CZ46" s="858"/>
      <c r="DA46" s="858"/>
      <c r="DB46" s="922"/>
      <c r="DC46" s="865"/>
      <c r="DD46" s="858"/>
    </row>
    <row r="47" spans="1:108" ht="15.75" customHeight="1">
      <c r="A47" s="860"/>
      <c r="B47" s="858"/>
      <c r="C47" s="884"/>
      <c r="D47" s="884"/>
      <c r="E47" s="884"/>
      <c r="F47" s="858"/>
      <c r="G47" s="884"/>
      <c r="H47" s="884"/>
      <c r="I47" s="884"/>
      <c r="J47" s="884"/>
      <c r="K47" s="884"/>
      <c r="L47" s="858"/>
      <c r="M47" s="858"/>
      <c r="N47" s="858"/>
      <c r="O47" s="860"/>
      <c r="P47" s="1073"/>
      <c r="Q47" s="899"/>
      <c r="R47" s="899"/>
      <c r="S47" s="899"/>
      <c r="T47" s="899"/>
      <c r="U47" s="899"/>
      <c r="V47" s="899"/>
      <c r="W47" s="899"/>
      <c r="X47" s="865"/>
      <c r="Y47" s="865"/>
      <c r="Z47" s="865"/>
      <c r="AA47" s="1074"/>
      <c r="AB47" s="1074"/>
      <c r="AD47" s="858"/>
      <c r="AE47" s="858"/>
      <c r="AF47" s="858"/>
      <c r="AG47" s="858"/>
      <c r="AH47" s="858"/>
      <c r="AI47" s="890"/>
      <c r="AJ47" s="892"/>
      <c r="AK47" s="865"/>
      <c r="AL47" s="855"/>
      <c r="AM47" s="860"/>
      <c r="AN47" s="1000"/>
      <c r="AO47" s="855"/>
      <c r="AP47" s="855"/>
      <c r="AQ47" s="855"/>
      <c r="AR47" s="1023"/>
      <c r="AS47" s="1075"/>
      <c r="AT47" s="1076"/>
      <c r="AU47" s="1077"/>
      <c r="AV47" s="858"/>
      <c r="AW47" s="855"/>
      <c r="AX47" s="855"/>
      <c r="AY47" s="884"/>
      <c r="AZ47" s="884"/>
      <c r="BA47" s="1078"/>
      <c r="BB47" s="884"/>
      <c r="BC47" s="884"/>
      <c r="BD47" s="884"/>
      <c r="BE47" s="855"/>
      <c r="BF47" s="855"/>
      <c r="BG47" s="858"/>
      <c r="BH47" s="858"/>
      <c r="BI47" s="858"/>
      <c r="BJ47" s="858"/>
      <c r="BK47" s="855"/>
      <c r="BL47" s="858"/>
      <c r="BM47" s="858"/>
      <c r="BN47" s="855"/>
      <c r="BO47" s="858"/>
      <c r="BP47" s="858"/>
      <c r="BQ47" s="855"/>
      <c r="BR47" s="858"/>
      <c r="BS47" s="858"/>
      <c r="BT47" s="858"/>
      <c r="BU47" s="858"/>
      <c r="BV47" s="894"/>
      <c r="BW47" s="858"/>
      <c r="BX47" s="858"/>
      <c r="BY47" s="858"/>
      <c r="BZ47" s="858"/>
      <c r="CA47" s="855"/>
      <c r="CB47" s="885"/>
      <c r="CC47" s="855"/>
      <c r="CD47" s="1014"/>
      <c r="CE47" s="1053"/>
      <c r="CF47" s="858"/>
      <c r="CG47" s="858"/>
      <c r="CH47" s="992"/>
      <c r="CI47" s="993"/>
      <c r="CJ47" s="858"/>
      <c r="CK47" s="858"/>
      <c r="CL47" s="858"/>
      <c r="CM47" s="1079"/>
      <c r="CN47" s="987"/>
      <c r="CO47" s="858"/>
      <c r="CP47" s="858"/>
      <c r="CQ47" s="855"/>
      <c r="CR47" s="855"/>
      <c r="CS47" s="855"/>
      <c r="CT47" s="858"/>
      <c r="CU47" s="1063"/>
      <c r="CV47" s="1080"/>
      <c r="CW47" s="855"/>
      <c r="CX47" s="855"/>
      <c r="CY47" s="858"/>
      <c r="CZ47" s="858"/>
      <c r="DA47" s="858"/>
      <c r="DB47" s="922"/>
      <c r="DC47" s="904"/>
      <c r="DD47" s="858"/>
    </row>
    <row r="48" spans="1:108" ht="15.75" customHeight="1" thickBot="1">
      <c r="A48" s="860"/>
      <c r="B48" s="858"/>
      <c r="C48" s="884"/>
      <c r="D48" s="884"/>
      <c r="E48" s="884"/>
      <c r="F48" s="884"/>
      <c r="G48" s="884"/>
      <c r="H48" s="884"/>
      <c r="I48" s="884"/>
      <c r="J48" s="884"/>
      <c r="K48" s="884"/>
      <c r="L48" s="858"/>
      <c r="M48" s="858"/>
      <c r="N48" s="858"/>
      <c r="O48" s="860"/>
      <c r="P48" s="1073"/>
      <c r="Q48" s="899"/>
      <c r="R48" s="899"/>
      <c r="S48" s="899"/>
      <c r="T48" s="899"/>
      <c r="U48" s="899"/>
      <c r="V48" s="858"/>
      <c r="W48" s="858"/>
      <c r="X48" s="858"/>
      <c r="Y48" s="858"/>
      <c r="Z48" s="865"/>
      <c r="AA48" s="858"/>
      <c r="AB48" s="858"/>
      <c r="AC48" s="855"/>
      <c r="AD48" s="858"/>
      <c r="AE48" s="858"/>
      <c r="AF48" s="858"/>
      <c r="AG48" s="858"/>
      <c r="AH48" s="858"/>
      <c r="AI48" s="905"/>
      <c r="AJ48" s="907"/>
      <c r="AK48" s="885"/>
      <c r="AL48" s="855"/>
      <c r="AM48" s="860"/>
      <c r="AN48" s="1000"/>
      <c r="AO48" s="855"/>
      <c r="AP48" s="855"/>
      <c r="AQ48" s="855"/>
      <c r="AR48" s="855"/>
      <c r="AS48" s="855"/>
      <c r="AT48" s="896"/>
      <c r="AU48" s="896"/>
      <c r="AV48" s="858"/>
      <c r="AW48" s="855"/>
      <c r="AX48" s="855"/>
      <c r="AY48" s="855"/>
      <c r="AZ48" s="855"/>
      <c r="BA48" s="860"/>
      <c r="BB48" s="884"/>
      <c r="BC48" s="884"/>
      <c r="BD48" s="884"/>
      <c r="BE48" s="855"/>
      <c r="BF48" s="858"/>
      <c r="BG48" s="923"/>
      <c r="BH48" s="880"/>
      <c r="BI48" s="858"/>
      <c r="BJ48" s="855"/>
      <c r="BK48" s="855"/>
      <c r="BL48" s="865"/>
      <c r="BM48" s="858"/>
      <c r="BN48" s="855"/>
      <c r="BO48" s="1053"/>
      <c r="BP48" s="1053"/>
      <c r="BQ48" s="855"/>
      <c r="BR48" s="858"/>
      <c r="BS48" s="858"/>
      <c r="BT48" s="858"/>
      <c r="BU48" s="858"/>
      <c r="BV48" s="894"/>
      <c r="BW48" s="858"/>
      <c r="BX48" s="858"/>
      <c r="BY48" s="858"/>
      <c r="BZ48" s="855"/>
      <c r="CA48" s="855"/>
      <c r="CB48" s="885"/>
      <c r="CC48" s="855"/>
      <c r="CD48" s="1014"/>
      <c r="CE48" s="858"/>
      <c r="CL48" s="858"/>
      <c r="CM48" s="896"/>
      <c r="CN48" s="896"/>
      <c r="CO48" s="858"/>
      <c r="CP48" s="858"/>
      <c r="CQ48" s="855"/>
      <c r="CR48" s="855"/>
      <c r="CS48" s="855"/>
      <c r="CT48" s="855"/>
      <c r="CU48" s="1070"/>
      <c r="CV48" s="1064"/>
      <c r="CW48" s="855"/>
      <c r="CX48" s="855"/>
      <c r="CY48" s="858"/>
      <c r="CZ48" s="858"/>
      <c r="DA48" s="858"/>
      <c r="DC48" s="904"/>
      <c r="DD48" s="858"/>
    </row>
    <row r="49" spans="1:108" ht="15.75" customHeight="1">
      <c r="A49" s="860"/>
      <c r="B49" s="858"/>
      <c r="C49" s="884"/>
      <c r="D49" s="884"/>
      <c r="E49" s="884"/>
      <c r="F49" s="884"/>
      <c r="G49" s="884"/>
      <c r="H49" s="884"/>
      <c r="I49" s="884"/>
      <c r="J49" s="884"/>
      <c r="K49" s="884"/>
      <c r="L49" s="858"/>
      <c r="M49" s="858"/>
      <c r="N49" s="858"/>
      <c r="O49" s="860"/>
      <c r="P49" s="1073"/>
      <c r="Q49" s="899"/>
      <c r="R49" s="899"/>
      <c r="S49" s="899"/>
      <c r="T49" s="899"/>
      <c r="U49" s="899"/>
      <c r="V49" s="858"/>
      <c r="W49" s="858"/>
      <c r="X49" s="858"/>
      <c r="Y49" s="858"/>
      <c r="Z49" s="858"/>
      <c r="AA49" s="896"/>
      <c r="AB49" s="996"/>
      <c r="AC49" s="855"/>
      <c r="AD49" s="855"/>
      <c r="AE49" s="1081"/>
      <c r="AF49" s="1082"/>
      <c r="AG49" s="1082"/>
      <c r="AH49" s="1082"/>
      <c r="AI49" s="1083"/>
      <c r="AJ49" s="1084"/>
      <c r="AK49" s="885"/>
      <c r="AL49" s="855"/>
      <c r="AM49" s="860"/>
      <c r="AN49" s="1000"/>
      <c r="AO49" s="855"/>
      <c r="AP49" s="855"/>
      <c r="AQ49" s="855"/>
      <c r="AR49" s="855"/>
      <c r="AS49" s="855"/>
      <c r="AT49" s="896"/>
      <c r="AU49" s="896"/>
      <c r="AV49" s="855"/>
      <c r="AW49" s="855"/>
      <c r="AX49" s="855"/>
      <c r="AY49" s="884"/>
      <c r="AZ49" s="884"/>
      <c r="BA49" s="860"/>
      <c r="BB49" s="884"/>
      <c r="BC49" s="884"/>
      <c r="BD49" s="884"/>
      <c r="BE49" s="904"/>
      <c r="BF49" s="895"/>
      <c r="BG49" s="1008"/>
      <c r="BH49" s="1008"/>
      <c r="BI49" s="1085"/>
      <c r="BJ49" s="855"/>
      <c r="BK49" s="855"/>
      <c r="BL49" s="858"/>
      <c r="BM49" s="858"/>
      <c r="BN49" s="855"/>
      <c r="BO49" s="1053"/>
      <c r="BP49" s="1053"/>
      <c r="BQ49" s="855"/>
      <c r="BR49" s="858"/>
      <c r="BS49" s="858"/>
      <c r="BT49" s="895"/>
      <c r="BU49" s="1085"/>
      <c r="BV49" s="874"/>
      <c r="BW49" s="1085"/>
      <c r="BX49" s="858"/>
      <c r="BY49" s="858"/>
      <c r="BZ49" s="855"/>
      <c r="CA49" s="855"/>
      <c r="CB49" s="885"/>
      <c r="CC49" s="855"/>
      <c r="CD49" s="1014"/>
      <c r="CF49" s="855"/>
      <c r="CG49" s="895"/>
      <c r="CH49" s="1019"/>
      <c r="CI49" s="1019"/>
      <c r="CJ49" s="855"/>
      <c r="CK49" s="858"/>
      <c r="CL49" s="858"/>
      <c r="CM49" s="896"/>
      <c r="CN49" s="896"/>
      <c r="CO49" s="858"/>
      <c r="CP49" s="858"/>
      <c r="CQ49" s="855"/>
      <c r="CR49" s="855"/>
      <c r="CS49" s="855"/>
      <c r="CT49" s="855"/>
      <c r="CU49" s="855"/>
      <c r="CV49" s="855"/>
      <c r="CW49" s="855"/>
      <c r="CX49" s="855"/>
      <c r="CY49" s="858"/>
      <c r="CZ49" s="858"/>
      <c r="DA49" s="858"/>
      <c r="DC49" s="904"/>
      <c r="DD49" s="858"/>
    </row>
    <row r="50" spans="1:108" ht="15.75" customHeight="1" thickBot="1">
      <c r="A50" s="860"/>
      <c r="B50" s="858"/>
      <c r="C50" s="884"/>
      <c r="D50" s="884"/>
      <c r="E50" s="884"/>
      <c r="F50" s="884"/>
      <c r="G50" s="884"/>
      <c r="H50" s="884"/>
      <c r="I50" s="884"/>
      <c r="J50" s="884"/>
      <c r="K50" s="884"/>
      <c r="L50" s="858"/>
      <c r="M50" s="858"/>
      <c r="N50" s="858"/>
      <c r="O50" s="860"/>
      <c r="P50" s="899"/>
      <c r="Q50" s="899"/>
      <c r="R50" s="899"/>
      <c r="S50" s="899"/>
      <c r="T50" s="899"/>
      <c r="U50" s="899"/>
      <c r="V50" s="858"/>
      <c r="W50" s="858"/>
      <c r="X50" s="858"/>
      <c r="Y50" s="858"/>
      <c r="Z50" s="896"/>
      <c r="AA50" s="865"/>
      <c r="AB50" s="896"/>
      <c r="AC50" s="855"/>
      <c r="AD50" s="855"/>
      <c r="AE50" s="1086"/>
      <c r="AF50" s="899"/>
      <c r="AG50" s="899"/>
      <c r="AH50" s="899"/>
      <c r="AI50" s="1087"/>
      <c r="AJ50" s="1088"/>
      <c r="AK50" s="885"/>
      <c r="AL50" s="855"/>
      <c r="AM50" s="860"/>
      <c r="AN50" s="1000"/>
      <c r="AO50" s="855"/>
      <c r="AP50" s="855"/>
      <c r="AQ50" s="855"/>
      <c r="AR50" s="855"/>
      <c r="AS50" s="855"/>
      <c r="AT50" s="896"/>
      <c r="AU50" s="896"/>
      <c r="AV50" s="855"/>
      <c r="AW50" s="855"/>
      <c r="AX50" s="884"/>
      <c r="AY50" s="884"/>
      <c r="AZ50" s="884"/>
      <c r="BA50" s="860"/>
      <c r="BB50" s="884"/>
      <c r="BC50" s="884"/>
      <c r="BD50" s="884"/>
      <c r="BE50" s="931"/>
      <c r="BF50" s="1012"/>
      <c r="BG50" s="874"/>
      <c r="BH50" s="874"/>
      <c r="BI50" s="1012"/>
      <c r="BJ50" s="936"/>
      <c r="BK50" s="1089"/>
      <c r="BL50" s="865"/>
      <c r="BM50" s="889"/>
      <c r="BN50" s="855"/>
      <c r="BO50" s="1053"/>
      <c r="BP50" s="1053"/>
      <c r="BQ50" s="855"/>
      <c r="BR50" s="858"/>
      <c r="BS50" s="931"/>
      <c r="BT50" s="894"/>
      <c r="BU50" s="874"/>
      <c r="BV50" s="1085"/>
      <c r="BW50" s="874"/>
      <c r="BX50" s="894"/>
      <c r="BY50" s="936"/>
      <c r="BZ50" s="855"/>
      <c r="CA50" s="855"/>
      <c r="CB50" s="885"/>
      <c r="CC50" s="855"/>
      <c r="CD50" s="1014"/>
      <c r="CF50" s="931"/>
      <c r="CG50" s="894"/>
      <c r="CH50" s="874"/>
      <c r="CI50" s="874"/>
      <c r="CJ50" s="894"/>
      <c r="CK50" s="936"/>
      <c r="CL50" s="858"/>
      <c r="CM50" s="896"/>
      <c r="CN50" s="896"/>
      <c r="CO50" s="855"/>
      <c r="CP50" s="858"/>
      <c r="CQ50" s="855"/>
      <c r="CR50" s="855"/>
      <c r="CS50" s="858"/>
      <c r="CT50" s="858"/>
      <c r="CU50" s="858"/>
      <c r="CV50" s="858"/>
      <c r="CW50" s="858"/>
      <c r="CX50" s="858"/>
      <c r="CY50" s="858"/>
      <c r="CZ50" s="858"/>
      <c r="DA50" s="858"/>
      <c r="DB50" s="896"/>
      <c r="DC50" s="904"/>
      <c r="DD50" s="858"/>
    </row>
    <row r="51" spans="1:108" ht="15.75" customHeight="1" thickBot="1">
      <c r="A51" s="860"/>
      <c r="B51" s="858"/>
      <c r="C51" s="884"/>
      <c r="D51" s="884"/>
      <c r="E51" s="884"/>
      <c r="F51" s="884"/>
      <c r="G51" s="884"/>
      <c r="H51" s="884"/>
      <c r="I51" s="884"/>
      <c r="J51" s="884"/>
      <c r="K51" s="884"/>
      <c r="L51" s="858"/>
      <c r="M51" s="858"/>
      <c r="N51" s="858"/>
      <c r="O51" s="860"/>
      <c r="P51" s="899"/>
      <c r="Q51" s="899"/>
      <c r="R51" s="899"/>
      <c r="S51" s="899"/>
      <c r="T51" s="899"/>
      <c r="U51" s="899"/>
      <c r="V51" s="858"/>
      <c r="W51" s="858"/>
      <c r="X51" s="858"/>
      <c r="Y51" s="858"/>
      <c r="Z51" s="896"/>
      <c r="AA51" s="865"/>
      <c r="AB51" s="896"/>
      <c r="AC51" s="855"/>
      <c r="AD51" s="855"/>
      <c r="AE51" s="1086"/>
      <c r="AF51" s="899"/>
      <c r="AG51" s="899"/>
      <c r="AH51" s="899"/>
      <c r="AI51" s="1087"/>
      <c r="AJ51" s="1088"/>
      <c r="AK51" s="885"/>
      <c r="AL51" s="855"/>
      <c r="AM51" s="860"/>
      <c r="AN51" s="1000"/>
      <c r="AO51" s="855"/>
      <c r="AP51" s="855"/>
      <c r="AQ51" s="855"/>
      <c r="AR51" s="855"/>
      <c r="AS51" s="855"/>
      <c r="AT51" s="896"/>
      <c r="AU51" s="896"/>
      <c r="AV51" s="855"/>
      <c r="AW51" s="884"/>
      <c r="AX51" s="884"/>
      <c r="AY51" s="858"/>
      <c r="AZ51" s="896"/>
      <c r="BA51" s="860"/>
      <c r="BB51" s="884"/>
      <c r="BC51" s="1090"/>
      <c r="BD51" s="852"/>
      <c r="BE51" s="931"/>
      <c r="BF51" s="1012"/>
      <c r="BG51" s="874"/>
      <c r="BH51" s="874"/>
      <c r="BI51" s="1012"/>
      <c r="BJ51" s="936"/>
      <c r="BK51" s="1089"/>
      <c r="BL51" s="865"/>
      <c r="BM51" s="865"/>
      <c r="BN51" s="865"/>
      <c r="BO51" s="865"/>
      <c r="BP51" s="865"/>
      <c r="BQ51" s="865"/>
      <c r="BR51" s="858"/>
      <c r="BS51" s="858"/>
      <c r="BT51" s="858"/>
      <c r="BU51" s="1085"/>
      <c r="BV51" s="874"/>
      <c r="BW51" s="1085"/>
      <c r="BX51" s="858"/>
      <c r="BY51" s="858"/>
      <c r="BZ51" s="855"/>
      <c r="CA51" s="855"/>
      <c r="CB51" s="866"/>
      <c r="CC51" s="855"/>
      <c r="CD51" s="1014"/>
      <c r="CF51" s="931"/>
      <c r="CG51" s="894"/>
      <c r="CH51" s="874"/>
      <c r="CI51" s="874"/>
      <c r="CJ51" s="894"/>
      <c r="CK51" s="936"/>
      <c r="CL51" s="858"/>
      <c r="CO51" s="855"/>
      <c r="CP51" s="858"/>
      <c r="CQ51" s="855"/>
      <c r="CR51" s="855"/>
      <c r="CS51" s="858"/>
      <c r="CT51" s="858"/>
      <c r="CU51" s="968"/>
      <c r="CV51" s="896"/>
      <c r="CW51" s="858"/>
      <c r="CX51" s="858"/>
      <c r="CY51" s="858"/>
      <c r="CZ51" s="858"/>
      <c r="DA51" s="858"/>
      <c r="DB51" s="896"/>
      <c r="DC51" s="866"/>
      <c r="DD51" s="858"/>
    </row>
    <row r="52" spans="1:108" ht="15.75" customHeight="1">
      <c r="A52" s="860"/>
      <c r="B52" s="858"/>
      <c r="C52" s="884"/>
      <c r="D52" s="884"/>
      <c r="E52" s="884"/>
      <c r="F52" s="884"/>
      <c r="G52" s="884"/>
      <c r="H52" s="884"/>
      <c r="I52" s="884"/>
      <c r="J52" s="884"/>
      <c r="K52" s="884"/>
      <c r="L52" s="858"/>
      <c r="M52" s="858"/>
      <c r="N52" s="858"/>
      <c r="O52" s="860"/>
      <c r="P52" s="899"/>
      <c r="Q52" s="899"/>
      <c r="R52" s="899"/>
      <c r="S52" s="899"/>
      <c r="T52" s="899"/>
      <c r="U52" s="899"/>
      <c r="V52" s="858"/>
      <c r="W52" s="858"/>
      <c r="X52" s="858"/>
      <c r="Y52" s="858"/>
      <c r="Z52" s="996"/>
      <c r="AA52" s="896"/>
      <c r="AB52" s="996"/>
      <c r="AC52" s="865"/>
      <c r="AD52" s="865"/>
      <c r="AE52" s="1086"/>
      <c r="AF52" s="899"/>
      <c r="AG52" s="899"/>
      <c r="AH52" s="899"/>
      <c r="AI52" s="1087"/>
      <c r="AJ52" s="1088"/>
      <c r="AK52" s="866"/>
      <c r="AL52" s="855"/>
      <c r="AM52" s="860"/>
      <c r="AN52" s="855"/>
      <c r="AO52" s="855"/>
      <c r="AP52" s="855"/>
      <c r="AQ52" s="855"/>
      <c r="AR52" s="855"/>
      <c r="AS52" s="1061"/>
      <c r="AT52" s="1053"/>
      <c r="AU52" s="1053"/>
      <c r="AV52" s="855"/>
      <c r="AW52" s="884"/>
      <c r="AX52" s="855"/>
      <c r="AY52" s="1066"/>
      <c r="AZ52" s="891"/>
      <c r="BA52" s="860"/>
      <c r="BB52" s="860"/>
      <c r="BC52" s="860"/>
      <c r="BD52" s="860"/>
      <c r="BE52" s="931"/>
      <c r="BF52" s="1012"/>
      <c r="BG52" s="874"/>
      <c r="BH52" s="874"/>
      <c r="BI52" s="1012"/>
      <c r="BJ52" s="936"/>
      <c r="BK52" s="1089"/>
      <c r="BL52" s="865"/>
      <c r="BM52" s="865"/>
      <c r="BN52" s="855"/>
      <c r="BO52" s="858"/>
      <c r="BP52" s="858"/>
      <c r="BQ52" s="855"/>
      <c r="BR52" s="858"/>
      <c r="BS52" s="858"/>
      <c r="BT52" s="858"/>
      <c r="BU52" s="858"/>
      <c r="BV52" s="894"/>
      <c r="BW52" s="858"/>
      <c r="BX52" s="858"/>
      <c r="BY52" s="858"/>
      <c r="BZ52" s="866"/>
      <c r="CA52" s="865"/>
      <c r="CB52" s="866"/>
      <c r="CC52" s="855"/>
      <c r="CD52" s="1014"/>
      <c r="CF52" s="855"/>
      <c r="CG52" s="855"/>
      <c r="CH52" s="1019"/>
      <c r="CI52" s="1019"/>
      <c r="CJ52" s="855"/>
      <c r="CK52" s="858"/>
      <c r="CL52" s="858"/>
      <c r="CO52" s="858"/>
      <c r="CP52" s="858"/>
      <c r="CQ52" s="855"/>
      <c r="CR52" s="855"/>
      <c r="CS52" s="858"/>
      <c r="CT52" s="858"/>
      <c r="CU52" s="896"/>
      <c r="CV52" s="883"/>
      <c r="CW52" s="858"/>
      <c r="CX52" s="858"/>
      <c r="CY52" s="858"/>
      <c r="CZ52" s="858"/>
      <c r="DA52" s="858"/>
      <c r="DB52" s="896"/>
      <c r="DC52" s="866"/>
      <c r="DD52" s="858"/>
    </row>
    <row r="53" spans="1:108" ht="15.75" customHeight="1">
      <c r="A53" s="860"/>
      <c r="B53" s="858"/>
      <c r="C53" s="884"/>
      <c r="D53" s="884"/>
      <c r="E53" s="884"/>
      <c r="F53" s="884"/>
      <c r="G53" s="884"/>
      <c r="H53" s="884"/>
      <c r="I53" s="884"/>
      <c r="J53" s="884"/>
      <c r="K53" s="884"/>
      <c r="L53" s="858"/>
      <c r="M53" s="858"/>
      <c r="N53" s="858"/>
      <c r="O53" s="860"/>
      <c r="P53" s="858"/>
      <c r="Q53" s="899"/>
      <c r="R53" s="899"/>
      <c r="S53" s="899"/>
      <c r="T53" s="899"/>
      <c r="U53" s="899"/>
      <c r="V53" s="858"/>
      <c r="W53" s="858"/>
      <c r="X53" s="858"/>
      <c r="Y53" s="858"/>
      <c r="Z53" s="855"/>
      <c r="AA53" s="858"/>
      <c r="AB53" s="858"/>
      <c r="AC53" s="855"/>
      <c r="AD53" s="855"/>
      <c r="AE53" s="1086"/>
      <c r="AF53" s="855"/>
      <c r="AG53" s="899"/>
      <c r="AH53" s="899"/>
      <c r="AI53" s="1087"/>
      <c r="AJ53" s="1088"/>
      <c r="AK53" s="866"/>
      <c r="AL53" s="855"/>
      <c r="AM53" s="860"/>
      <c r="AN53" s="855"/>
      <c r="AO53" s="855"/>
      <c r="AP53" s="855"/>
      <c r="AQ53" s="855"/>
      <c r="AR53" s="858"/>
      <c r="AS53" s="855"/>
      <c r="AT53" s="1053"/>
      <c r="AU53" s="1053"/>
      <c r="AV53" s="858"/>
      <c r="AW53" s="855"/>
      <c r="AX53" s="855"/>
      <c r="AY53" s="855"/>
      <c r="AZ53" s="855"/>
      <c r="BA53" s="860"/>
      <c r="BB53" s="884"/>
      <c r="BC53" s="884"/>
      <c r="BD53" s="1091"/>
      <c r="BE53" s="931"/>
      <c r="BF53" s="1012"/>
      <c r="BG53" s="874"/>
      <c r="BH53" s="874"/>
      <c r="BI53" s="1012"/>
      <c r="BJ53" s="936"/>
      <c r="BK53" s="1089"/>
      <c r="BL53" s="865"/>
      <c r="BM53" s="865"/>
      <c r="BN53" s="865"/>
      <c r="BO53" s="858"/>
      <c r="BP53" s="858"/>
      <c r="BQ53" s="855"/>
      <c r="BR53" s="858"/>
      <c r="BS53" s="858"/>
      <c r="BT53" s="858"/>
      <c r="BU53" s="858"/>
      <c r="BV53" s="894"/>
      <c r="BW53" s="858"/>
      <c r="BX53" s="858"/>
      <c r="BY53" s="858"/>
      <c r="BZ53" s="866"/>
      <c r="CA53" s="865"/>
      <c r="CB53" s="866"/>
      <c r="CC53" s="855"/>
      <c r="CD53" s="1014"/>
      <c r="CE53" s="1053"/>
      <c r="CF53" s="855"/>
      <c r="CG53" s="858"/>
      <c r="CH53" s="923"/>
      <c r="CI53" s="880"/>
      <c r="CJ53" s="855"/>
      <c r="CK53" s="858"/>
      <c r="CL53" s="858"/>
      <c r="CO53" s="855"/>
      <c r="CP53" s="858"/>
      <c r="CQ53" s="855"/>
      <c r="CR53" s="855"/>
      <c r="CS53" s="858"/>
      <c r="CT53" s="858"/>
      <c r="CU53" s="896"/>
      <c r="CV53" s="968"/>
      <c r="CW53" s="858"/>
      <c r="CX53" s="858"/>
      <c r="CY53" s="858"/>
      <c r="CZ53" s="858"/>
      <c r="DA53" s="858"/>
      <c r="DB53" s="896"/>
      <c r="DC53" s="866"/>
      <c r="DD53" s="858"/>
    </row>
    <row r="54" spans="1:108" ht="15.75" customHeight="1">
      <c r="A54" s="860"/>
      <c r="B54" s="858"/>
      <c r="C54" s="884"/>
      <c r="D54" s="858"/>
      <c r="E54" s="858"/>
      <c r="F54" s="858"/>
      <c r="G54" s="858"/>
      <c r="H54" s="858"/>
      <c r="I54" s="858"/>
      <c r="J54" s="884"/>
      <c r="K54" s="884"/>
      <c r="L54" s="858"/>
      <c r="M54" s="858"/>
      <c r="N54" s="865"/>
      <c r="O54" s="860"/>
      <c r="P54" s="899"/>
      <c r="Q54" s="899"/>
      <c r="R54" s="899"/>
      <c r="S54" s="899"/>
      <c r="T54" s="899"/>
      <c r="U54" s="899"/>
      <c r="V54" s="858"/>
      <c r="W54" s="858"/>
      <c r="X54" s="858"/>
      <c r="Y54" s="858"/>
      <c r="Z54" s="865"/>
      <c r="AA54" s="858"/>
      <c r="AB54" s="858"/>
      <c r="AC54" s="855"/>
      <c r="AD54" s="855"/>
      <c r="AE54" s="1086"/>
      <c r="AF54" s="899"/>
      <c r="AG54" s="1092" t="s">
        <v>150</v>
      </c>
      <c r="AH54" s="899"/>
      <c r="AI54" s="1087"/>
      <c r="AJ54" s="1088"/>
      <c r="AK54" s="866"/>
      <c r="AL54" s="855"/>
      <c r="AM54" s="860"/>
      <c r="AN54" s="855"/>
      <c r="AO54" s="855"/>
      <c r="AP54" s="855"/>
      <c r="AQ54" s="855"/>
      <c r="AR54" s="855"/>
      <c r="AS54" s="855"/>
      <c r="AT54" s="1093"/>
      <c r="AU54" s="1093"/>
      <c r="AV54" s="855"/>
      <c r="AW54" s="855"/>
      <c r="AX54" s="884"/>
      <c r="AY54" s="855"/>
      <c r="AZ54" s="855"/>
      <c r="BA54" s="860"/>
      <c r="BB54" s="884"/>
      <c r="BC54" s="884"/>
      <c r="BD54" s="1094"/>
      <c r="BE54" s="865"/>
      <c r="BF54" s="865"/>
      <c r="BG54" s="1008"/>
      <c r="BH54" s="1008"/>
      <c r="BI54" s="865"/>
      <c r="BJ54" s="865"/>
      <c r="BK54" s="855"/>
      <c r="BL54" s="865"/>
      <c r="BM54" s="865"/>
      <c r="BN54" s="865"/>
      <c r="BO54" s="858"/>
      <c r="BP54" s="858"/>
      <c r="BQ54" s="855"/>
      <c r="BR54" s="858"/>
      <c r="BS54" s="858"/>
      <c r="BT54" s="865"/>
      <c r="BU54" s="923"/>
      <c r="BV54" s="880"/>
      <c r="BW54" s="880"/>
      <c r="BX54" s="865"/>
      <c r="BY54" s="865"/>
      <c r="BZ54" s="866"/>
      <c r="CA54" s="865"/>
      <c r="CB54" s="866"/>
      <c r="CC54" s="855"/>
      <c r="CD54" s="1014"/>
      <c r="CE54" s="1053"/>
      <c r="CF54" s="855"/>
      <c r="CG54" s="858"/>
      <c r="CH54" s="858"/>
      <c r="CI54" s="858"/>
      <c r="CJ54" s="855"/>
      <c r="CK54" s="858"/>
      <c r="CL54" s="858"/>
      <c r="CM54" s="858"/>
      <c r="CN54" s="858"/>
      <c r="CO54" s="858"/>
      <c r="CP54" s="858"/>
      <c r="CQ54" s="855"/>
      <c r="CR54" s="855"/>
      <c r="CS54" s="858"/>
      <c r="CT54" s="858"/>
      <c r="CU54" s="858"/>
      <c r="CV54" s="855"/>
      <c r="CW54" s="855"/>
      <c r="CX54" s="858"/>
      <c r="CY54" s="858"/>
      <c r="CZ54" s="855"/>
      <c r="DA54" s="855"/>
      <c r="DB54" s="896"/>
      <c r="DC54" s="866"/>
      <c r="DD54" s="858"/>
    </row>
    <row r="55" spans="1:108" ht="15.75" customHeight="1">
      <c r="A55" s="860"/>
      <c r="B55" s="884"/>
      <c r="C55" s="884"/>
      <c r="D55" s="884"/>
      <c r="E55" s="884"/>
      <c r="F55" s="884"/>
      <c r="G55" s="884"/>
      <c r="H55" s="884"/>
      <c r="I55" s="884"/>
      <c r="J55" s="884"/>
      <c r="K55" s="884"/>
      <c r="L55" s="858"/>
      <c r="M55" s="858"/>
      <c r="N55" s="865"/>
      <c r="O55" s="865"/>
      <c r="P55" s="859"/>
      <c r="Q55" s="899"/>
      <c r="R55" s="899"/>
      <c r="S55" s="899"/>
      <c r="T55" s="899"/>
      <c r="U55" s="899"/>
      <c r="V55" s="858"/>
      <c r="W55" s="858"/>
      <c r="X55" s="858"/>
      <c r="Y55" s="858"/>
      <c r="Z55" s="858"/>
      <c r="AA55" s="858"/>
      <c r="AB55" s="858"/>
      <c r="AC55" s="855"/>
      <c r="AD55" s="855"/>
      <c r="AE55" s="1086"/>
      <c r="AF55" s="899"/>
      <c r="AG55" s="899"/>
      <c r="AH55" s="899"/>
      <c r="AI55" s="1087"/>
      <c r="AJ55" s="1088"/>
      <c r="AK55" s="866"/>
      <c r="AL55" s="855"/>
      <c r="AM55" s="860"/>
      <c r="AN55" s="855"/>
      <c r="AO55" s="855"/>
      <c r="AP55" s="855"/>
      <c r="AQ55" s="855"/>
      <c r="AR55" s="855"/>
      <c r="AS55" s="855"/>
      <c r="AT55" s="1058"/>
      <c r="AU55" s="993"/>
      <c r="AV55" s="855"/>
      <c r="AW55" s="855"/>
      <c r="AX55" s="884"/>
      <c r="AY55" s="1095"/>
      <c r="AZ55" s="1096"/>
      <c r="BA55" s="860"/>
      <c r="BB55" s="1061"/>
      <c r="BC55" s="1061"/>
      <c r="BD55" s="1094"/>
      <c r="BE55" s="855"/>
      <c r="BF55" s="855"/>
      <c r="BG55" s="865"/>
      <c r="BH55" s="865"/>
      <c r="BI55" s="865"/>
      <c r="BJ55" s="855"/>
      <c r="BK55" s="855"/>
      <c r="BL55" s="855"/>
      <c r="BM55" s="858"/>
      <c r="BN55" s="865"/>
      <c r="BO55" s="858"/>
      <c r="BP55" s="858"/>
      <c r="BQ55" s="858"/>
      <c r="BR55" s="858"/>
      <c r="BS55" s="858"/>
      <c r="BT55" s="865"/>
      <c r="BU55" s="865"/>
      <c r="BV55" s="865"/>
      <c r="BW55" s="865"/>
      <c r="BX55" s="865"/>
      <c r="BY55" s="865"/>
      <c r="BZ55" s="866"/>
      <c r="CA55" s="866"/>
      <c r="CB55" s="866"/>
      <c r="CC55" s="855"/>
      <c r="CD55" s="1014"/>
      <c r="CE55" s="1000"/>
      <c r="CF55" s="855"/>
      <c r="CG55" s="855"/>
      <c r="CH55" s="872"/>
      <c r="CI55" s="872"/>
      <c r="CJ55" s="855"/>
      <c r="CK55" s="858"/>
      <c r="CL55" s="858"/>
      <c r="CM55" s="858"/>
      <c r="CN55" s="858"/>
      <c r="CO55" s="858"/>
      <c r="CP55" s="858"/>
      <c r="CQ55" s="855"/>
      <c r="CR55" s="855"/>
      <c r="CS55" s="858"/>
      <c r="CT55" s="858"/>
      <c r="CU55" s="858"/>
      <c r="CV55" s="858"/>
      <c r="CW55" s="858"/>
      <c r="CX55" s="858"/>
      <c r="CY55" s="858"/>
      <c r="DC55" s="866"/>
      <c r="DD55" s="858"/>
    </row>
    <row r="56" spans="1:108" ht="15.75" customHeight="1">
      <c r="A56" s="860"/>
      <c r="B56" s="884"/>
      <c r="C56" s="884"/>
      <c r="D56" s="884"/>
      <c r="E56" s="884"/>
      <c r="F56" s="884"/>
      <c r="G56" s="884"/>
      <c r="H56" s="884"/>
      <c r="I56" s="884"/>
      <c r="J56" s="884"/>
      <c r="K56" s="884"/>
      <c r="L56" s="858"/>
      <c r="M56" s="858"/>
      <c r="N56" s="865"/>
      <c r="O56" s="865"/>
      <c r="P56" s="859"/>
      <c r="Q56" s="899"/>
      <c r="R56" s="899"/>
      <c r="S56" s="899"/>
      <c r="T56" s="899"/>
      <c r="U56" s="899"/>
      <c r="V56" s="858"/>
      <c r="W56" s="858"/>
      <c r="X56" s="858"/>
      <c r="Y56" s="858"/>
      <c r="Z56" s="858"/>
      <c r="AA56" s="858"/>
      <c r="AB56" s="858"/>
      <c r="AC56" s="855"/>
      <c r="AD56" s="855"/>
      <c r="AE56" s="1086"/>
      <c r="AF56" s="899"/>
      <c r="AG56" s="899"/>
      <c r="AH56" s="899"/>
      <c r="AI56" s="1087"/>
      <c r="AJ56" s="1088"/>
      <c r="AK56" s="866"/>
      <c r="AL56" s="855"/>
      <c r="AM56" s="860"/>
      <c r="AN56" s="1003"/>
      <c r="AO56" s="1003"/>
      <c r="AP56" s="1003"/>
      <c r="AQ56" s="855"/>
      <c r="AR56" s="855"/>
      <c r="AS56" s="884"/>
      <c r="AT56" s="1097"/>
      <c r="AU56" s="1097"/>
      <c r="AV56" s="855"/>
      <c r="AW56" s="855"/>
      <c r="AX56" s="884"/>
      <c r="AY56" s="884"/>
      <c r="AZ56" s="1098"/>
      <c r="BA56" s="860"/>
      <c r="BB56" s="1061"/>
      <c r="BC56" s="1061"/>
      <c r="BD56" s="1099"/>
      <c r="BE56" s="855"/>
      <c r="BF56" s="855"/>
      <c r="BG56" s="855"/>
      <c r="BH56" s="855"/>
      <c r="BI56" s="858"/>
      <c r="BJ56" s="858"/>
      <c r="BK56" s="855"/>
      <c r="BL56" s="855"/>
      <c r="BM56" s="858"/>
      <c r="BN56" s="865"/>
      <c r="BO56" s="858"/>
      <c r="BP56" s="858"/>
      <c r="BQ56" s="858"/>
      <c r="BR56" s="858"/>
      <c r="BS56" s="858"/>
      <c r="BT56" s="865"/>
      <c r="BU56" s="865"/>
      <c r="BV56" s="865"/>
      <c r="BW56" s="865"/>
      <c r="BX56" s="865"/>
      <c r="BY56" s="865"/>
      <c r="BZ56" s="866"/>
      <c r="CA56" s="866"/>
      <c r="CB56" s="866"/>
      <c r="CC56" s="855"/>
      <c r="CD56" s="1014"/>
      <c r="CE56" s="1000"/>
      <c r="CF56" s="855"/>
      <c r="CG56" s="855"/>
      <c r="CH56" s="872"/>
      <c r="CI56" s="872"/>
      <c r="CJ56" s="855"/>
      <c r="CK56" s="858"/>
      <c r="CL56" s="858"/>
      <c r="CM56" s="858"/>
      <c r="CN56" s="858"/>
      <c r="CO56" s="858"/>
      <c r="CP56" s="858"/>
      <c r="CQ56" s="855"/>
      <c r="CR56" s="855"/>
      <c r="CS56" s="858"/>
      <c r="CT56" s="858"/>
      <c r="CU56" s="858"/>
      <c r="CV56" s="858"/>
      <c r="CW56" s="858"/>
      <c r="CX56" s="858"/>
      <c r="CY56" s="858"/>
      <c r="CZ56" s="858"/>
      <c r="DA56" s="855"/>
      <c r="DB56" s="855"/>
      <c r="DC56" s="866"/>
      <c r="DD56" s="858"/>
    </row>
    <row r="57" spans="1:108" ht="15.75" customHeight="1" thickBot="1">
      <c r="A57" s="860"/>
      <c r="B57" s="884"/>
      <c r="C57" s="884"/>
      <c r="D57" s="884"/>
      <c r="E57" s="884"/>
      <c r="F57" s="884"/>
      <c r="G57" s="884"/>
      <c r="H57" s="884"/>
      <c r="I57" s="884"/>
      <c r="J57" s="884"/>
      <c r="K57" s="884"/>
      <c r="L57" s="858"/>
      <c r="M57" s="858"/>
      <c r="N57" s="865"/>
      <c r="O57" s="865"/>
      <c r="P57" s="859"/>
      <c r="Q57" s="899"/>
      <c r="R57" s="899"/>
      <c r="S57" s="899"/>
      <c r="T57" s="899"/>
      <c r="U57" s="899"/>
      <c r="V57" s="858"/>
      <c r="W57" s="858"/>
      <c r="X57" s="858"/>
      <c r="Y57" s="858"/>
      <c r="Z57" s="858"/>
      <c r="AA57" s="858"/>
      <c r="AB57" s="858"/>
      <c r="AC57" s="855"/>
      <c r="AD57" s="855"/>
      <c r="AE57" s="1086"/>
      <c r="AF57" s="899"/>
      <c r="AG57" s="899"/>
      <c r="AH57" s="899"/>
      <c r="AI57" s="1087"/>
      <c r="AJ57" s="1088"/>
      <c r="AK57" s="866"/>
      <c r="AL57" s="855"/>
      <c r="AM57" s="860"/>
      <c r="AN57" s="1003"/>
      <c r="AO57" s="1003"/>
      <c r="AP57" s="1003"/>
      <c r="AQ57" s="1003"/>
      <c r="AR57" s="855"/>
      <c r="AS57" s="884"/>
      <c r="AT57" s="1100"/>
      <c r="AU57" s="987"/>
      <c r="AV57" s="884"/>
      <c r="AW57" s="855"/>
      <c r="AX57" s="884"/>
      <c r="AY57" s="884"/>
      <c r="AZ57" s="884"/>
      <c r="BA57" s="860"/>
      <c r="BB57" s="884"/>
      <c r="BC57" s="884"/>
      <c r="BD57" s="1099"/>
      <c r="BE57" s="855"/>
      <c r="BF57" s="855"/>
      <c r="BG57" s="855"/>
      <c r="BH57" s="855"/>
      <c r="BI57" s="858"/>
      <c r="BJ57" s="858"/>
      <c r="BK57" s="855"/>
      <c r="BL57" s="855"/>
      <c r="BM57" s="858"/>
      <c r="BN57" s="865"/>
      <c r="BO57" s="858"/>
      <c r="BP57" s="858"/>
      <c r="BQ57" s="858"/>
      <c r="BR57" s="858"/>
      <c r="BS57" s="858"/>
      <c r="BT57" s="865"/>
      <c r="BU57" s="865"/>
      <c r="BV57" s="865"/>
      <c r="BW57" s="865"/>
      <c r="BX57" s="865"/>
      <c r="BY57" s="865"/>
      <c r="BZ57" s="866"/>
      <c r="CA57" s="885"/>
      <c r="CB57" s="866"/>
      <c r="CC57" s="855"/>
      <c r="CD57" s="1014"/>
      <c r="CE57" s="1000"/>
      <c r="CF57" s="855"/>
      <c r="CG57" s="855"/>
      <c r="CH57" s="855"/>
      <c r="CI57" s="855"/>
      <c r="CJ57" s="855"/>
      <c r="CK57" s="858"/>
      <c r="CL57" s="858"/>
      <c r="CM57" s="1015"/>
      <c r="CN57" s="1015"/>
      <c r="CO57" s="858"/>
      <c r="CP57" s="858"/>
      <c r="CQ57" s="855"/>
      <c r="CR57" s="855"/>
      <c r="CS57" s="858"/>
      <c r="CT57" s="855"/>
      <c r="CU57" s="855"/>
      <c r="CV57" s="855"/>
      <c r="CW57" s="855"/>
      <c r="CX57" s="855"/>
      <c r="CY57" s="855"/>
      <c r="CZ57" s="855"/>
      <c r="DA57" s="855"/>
      <c r="DB57" s="855"/>
      <c r="DC57" s="866"/>
      <c r="DD57" s="858"/>
    </row>
    <row r="58" spans="1:108" ht="15.75" customHeight="1" thickBot="1">
      <c r="A58" s="860"/>
      <c r="B58" s="884"/>
      <c r="C58" s="884"/>
      <c r="D58" s="884"/>
      <c r="E58" s="884"/>
      <c r="F58" s="1019" t="s">
        <v>236</v>
      </c>
      <c r="G58" s="1101"/>
      <c r="H58" s="1101"/>
      <c r="I58" s="1101"/>
      <c r="J58" s="1101"/>
      <c r="K58" s="1101"/>
      <c r="L58" s="858"/>
      <c r="M58" s="858"/>
      <c r="N58" s="865"/>
      <c r="O58" s="865"/>
      <c r="P58" s="859"/>
      <c r="Q58" s="899"/>
      <c r="R58" s="899"/>
      <c r="S58" s="899"/>
      <c r="T58" s="899"/>
      <c r="U58" s="899"/>
      <c r="V58" s="858"/>
      <c r="W58" s="858"/>
      <c r="X58" s="858"/>
      <c r="Y58" s="858"/>
      <c r="Z58" s="858"/>
      <c r="AA58" s="858"/>
      <c r="AB58" s="858"/>
      <c r="AC58" s="865"/>
      <c r="AD58" s="865"/>
      <c r="AE58" s="1086"/>
      <c r="AF58" s="899"/>
      <c r="AG58" s="899"/>
      <c r="AH58" s="899"/>
      <c r="AI58" s="1087"/>
      <c r="AJ58" s="1088"/>
      <c r="AK58" s="866"/>
      <c r="AL58" s="855"/>
      <c r="AM58" s="860"/>
      <c r="AN58" s="1000"/>
      <c r="AO58" s="1003"/>
      <c r="AP58" s="1003"/>
      <c r="AQ58" s="1003"/>
      <c r="AR58" s="1061"/>
      <c r="AS58" s="855"/>
      <c r="AT58" s="1010"/>
      <c r="AU58" s="1010"/>
      <c r="AV58" s="855"/>
      <c r="AW58" s="855"/>
      <c r="AX58" s="855"/>
      <c r="AY58" s="909"/>
      <c r="AZ58" s="909"/>
      <c r="BA58" s="860"/>
      <c r="BB58" s="909"/>
      <c r="BC58" s="909"/>
      <c r="BD58" s="1099"/>
      <c r="BE58" s="855"/>
      <c r="BF58" s="858"/>
      <c r="BG58" s="858"/>
      <c r="BH58" s="858"/>
      <c r="BI58" s="858"/>
      <c r="BJ58" s="858"/>
      <c r="BK58" s="855"/>
      <c r="BL58" s="855"/>
      <c r="BM58" s="858"/>
      <c r="BN58" s="865"/>
      <c r="BO58" s="855"/>
      <c r="BP58" s="858"/>
      <c r="BQ58" s="858"/>
      <c r="BR58" s="858"/>
      <c r="BS58" s="858"/>
      <c r="BT58" s="865"/>
      <c r="BU58" s="868"/>
      <c r="BV58" s="869"/>
      <c r="BW58" s="869"/>
      <c r="BX58" s="869"/>
      <c r="BY58" s="869"/>
      <c r="BZ58" s="869"/>
      <c r="CA58" s="870"/>
      <c r="CB58" s="866"/>
      <c r="CC58" s="855"/>
      <c r="CD58" s="1014"/>
      <c r="CE58" s="1000"/>
      <c r="CF58" s="855"/>
      <c r="CG58" s="855"/>
      <c r="CH58" s="1102"/>
      <c r="CI58" s="1102"/>
      <c r="CJ58" s="855"/>
      <c r="CK58" s="858"/>
      <c r="CL58" s="858"/>
      <c r="CM58" s="1015"/>
      <c r="CN58" s="1015"/>
      <c r="CO58" s="858"/>
      <c r="CP58" s="858"/>
      <c r="CQ58" s="855"/>
      <c r="CR58" s="855"/>
      <c r="CS58" s="858"/>
      <c r="CT58" s="858"/>
      <c r="CU58" s="858"/>
      <c r="CV58" s="858"/>
      <c r="CW58" s="858"/>
      <c r="CX58" s="858"/>
      <c r="CY58" s="858"/>
      <c r="CZ58" s="858"/>
      <c r="DA58" s="858"/>
      <c r="DB58" s="1103"/>
      <c r="DC58" s="866"/>
      <c r="DD58" s="858"/>
    </row>
    <row r="59" spans="1:108" ht="15.75" customHeight="1">
      <c r="A59" s="860"/>
      <c r="B59" s="884"/>
      <c r="C59" s="884"/>
      <c r="D59" s="884"/>
      <c r="E59" s="884"/>
      <c r="F59" s="1101"/>
      <c r="G59" s="1101"/>
      <c r="H59" s="1101"/>
      <c r="I59" s="1101"/>
      <c r="J59" s="1101"/>
      <c r="K59" s="1101"/>
      <c r="L59" s="1101"/>
      <c r="M59" s="884"/>
      <c r="N59" s="865"/>
      <c r="O59" s="1104"/>
      <c r="P59" s="859"/>
      <c r="Q59" s="899"/>
      <c r="R59" s="899"/>
      <c r="S59" s="899"/>
      <c r="T59" s="899"/>
      <c r="U59" s="899"/>
      <c r="V59" s="858"/>
      <c r="W59" s="858"/>
      <c r="X59" s="858"/>
      <c r="Y59" s="858"/>
      <c r="Z59" s="858"/>
      <c r="AA59" s="858"/>
      <c r="AB59" s="858"/>
      <c r="AC59" s="855"/>
      <c r="AD59" s="855"/>
      <c r="AE59" s="1086"/>
      <c r="AF59" s="899"/>
      <c r="AG59" s="899"/>
      <c r="AH59" s="1105"/>
      <c r="AI59" s="1087"/>
      <c r="AJ59" s="1088"/>
      <c r="AK59" s="866"/>
      <c r="AL59" s="855"/>
      <c r="AM59" s="860"/>
      <c r="AN59" s="1003"/>
      <c r="AO59" s="1003"/>
      <c r="AP59" s="1003"/>
      <c r="AQ59" s="1003"/>
      <c r="AR59" s="855"/>
      <c r="AS59" s="855"/>
      <c r="AT59" s="1010"/>
      <c r="AU59" s="1010"/>
      <c r="AV59" s="855"/>
      <c r="AW59" s="855"/>
      <c r="AX59" s="855"/>
      <c r="AY59" s="909"/>
      <c r="AZ59" s="896"/>
      <c r="BA59" s="860"/>
      <c r="BB59" s="909"/>
      <c r="BC59" s="909"/>
      <c r="BD59" s="1099"/>
      <c r="BE59" s="865"/>
      <c r="BF59" s="858"/>
      <c r="BG59" s="858"/>
      <c r="BH59" s="858"/>
      <c r="BI59" s="865"/>
      <c r="BJ59" s="865"/>
      <c r="BK59" s="865"/>
      <c r="BL59" s="865"/>
      <c r="BM59" s="855"/>
      <c r="BN59" s="855"/>
      <c r="BO59" s="855"/>
      <c r="BP59" s="858"/>
      <c r="BQ59" s="858"/>
      <c r="BR59" s="858"/>
      <c r="BS59" s="858"/>
      <c r="BT59" s="865"/>
      <c r="BU59" s="890"/>
      <c r="BV59" s="891"/>
      <c r="BW59" s="891"/>
      <c r="BX59" s="891"/>
      <c r="BY59" s="891"/>
      <c r="BZ59" s="891"/>
      <c r="CA59" s="892"/>
      <c r="CB59" s="866"/>
      <c r="CC59" s="855"/>
      <c r="CD59" s="1014"/>
      <c r="CF59" s="855"/>
      <c r="CG59" s="855"/>
      <c r="CH59" s="1102"/>
      <c r="CI59" s="1102"/>
      <c r="CJ59" s="855"/>
      <c r="CK59" s="858"/>
      <c r="CL59" s="855"/>
      <c r="CO59" s="858"/>
      <c r="CP59" s="858"/>
      <c r="CQ59" s="855"/>
      <c r="CR59" s="855"/>
      <c r="CS59" s="858"/>
      <c r="CT59" s="858"/>
      <c r="CU59" s="858"/>
      <c r="CV59" s="858"/>
      <c r="CW59" s="868"/>
      <c r="CX59" s="869"/>
      <c r="CY59" s="869"/>
      <c r="CZ59" s="869"/>
      <c r="DA59" s="869"/>
      <c r="DB59" s="870"/>
      <c r="DC59" s="866"/>
      <c r="DD59" s="858"/>
    </row>
    <row r="60" spans="1:108" ht="15.75" customHeight="1">
      <c r="A60" s="860"/>
      <c r="B60" s="884"/>
      <c r="C60" s="884"/>
      <c r="D60" s="884"/>
      <c r="E60" s="884"/>
      <c r="F60" s="1101"/>
      <c r="G60" s="1101"/>
      <c r="H60" s="1101"/>
      <c r="I60" s="1101"/>
      <c r="J60" s="1101"/>
      <c r="K60" s="1101"/>
      <c r="L60" s="1101"/>
      <c r="M60" s="884"/>
      <c r="N60" s="865"/>
      <c r="O60" s="865"/>
      <c r="P60" s="859"/>
      <c r="Q60" s="899"/>
      <c r="R60" s="899"/>
      <c r="S60" s="899"/>
      <c r="T60" s="899"/>
      <c r="U60" s="899"/>
      <c r="V60" s="858"/>
      <c r="W60" s="858"/>
      <c r="X60" s="858"/>
      <c r="Y60" s="858"/>
      <c r="Z60" s="858"/>
      <c r="AA60" s="858"/>
      <c r="AB60" s="858"/>
      <c r="AC60" s="855"/>
      <c r="AD60" s="855"/>
      <c r="AE60" s="1086"/>
      <c r="AF60" s="899"/>
      <c r="AG60" s="899"/>
      <c r="AH60" s="1105"/>
      <c r="AI60" s="1087"/>
      <c r="AJ60" s="1088"/>
      <c r="AK60" s="866"/>
      <c r="AL60" s="855"/>
      <c r="AM60" s="860"/>
      <c r="AN60" s="1000"/>
      <c r="AO60" s="1003"/>
      <c r="AP60" s="1003"/>
      <c r="AQ60" s="1003"/>
      <c r="AR60" s="855"/>
      <c r="AS60" s="1061"/>
      <c r="AT60" s="1010"/>
      <c r="AU60" s="1010"/>
      <c r="AV60" s="1061"/>
      <c r="AW60" s="1061"/>
      <c r="AX60" s="1061"/>
      <c r="AY60" s="909"/>
      <c r="AZ60" s="896"/>
      <c r="BA60" s="860"/>
      <c r="BB60" s="909"/>
      <c r="BC60" s="909"/>
      <c r="BD60" s="1099"/>
      <c r="BE60" s="865"/>
      <c r="BF60" s="858"/>
      <c r="BG60" s="858"/>
      <c r="BH60" s="858"/>
      <c r="BI60" s="865"/>
      <c r="BJ60" s="865"/>
      <c r="BK60" s="865"/>
      <c r="BL60" s="865"/>
      <c r="BM60" s="865"/>
      <c r="BN60" s="865"/>
      <c r="BO60" s="865"/>
      <c r="BP60" s="858"/>
      <c r="BQ60" s="858"/>
      <c r="BR60" s="858"/>
      <c r="BS60" s="858"/>
      <c r="BT60" s="865"/>
      <c r="BU60" s="890"/>
      <c r="BV60" s="891"/>
      <c r="BW60" s="891"/>
      <c r="BX60" s="891"/>
      <c r="BY60" s="891"/>
      <c r="BZ60" s="891"/>
      <c r="CA60" s="892"/>
      <c r="CB60" s="866"/>
      <c r="CC60" s="855"/>
      <c r="CD60" s="1014"/>
      <c r="CF60" s="855"/>
      <c r="CG60" s="855"/>
      <c r="CH60" s="1102"/>
      <c r="CI60" s="1102"/>
      <c r="CJ60" s="855"/>
      <c r="CK60" s="858"/>
      <c r="CL60" s="855"/>
      <c r="CM60" s="858"/>
      <c r="CN60" s="858"/>
      <c r="CO60" s="858"/>
      <c r="CP60" s="858"/>
      <c r="CQ60" s="855"/>
      <c r="CR60" s="855"/>
      <c r="CS60" s="858"/>
      <c r="CT60" s="858"/>
      <c r="CU60" s="858"/>
      <c r="CV60" s="858"/>
      <c r="CW60" s="890"/>
      <c r="CX60" s="891"/>
      <c r="CY60" s="891"/>
      <c r="CZ60" s="891"/>
      <c r="DA60" s="891"/>
      <c r="DB60" s="892"/>
      <c r="DC60" s="866"/>
      <c r="DD60" s="858"/>
    </row>
    <row r="61" spans="1:108" ht="15.75" customHeight="1" thickBot="1">
      <c r="A61" s="860"/>
      <c r="B61" s="884"/>
      <c r="C61" s="884"/>
      <c r="D61" s="884"/>
      <c r="E61" s="884"/>
      <c r="F61" s="1101"/>
      <c r="G61" s="1101"/>
      <c r="H61" s="1101"/>
      <c r="I61" s="1101"/>
      <c r="J61" s="1101"/>
      <c r="K61" s="1101"/>
      <c r="L61" s="1101"/>
      <c r="M61" s="884"/>
      <c r="N61" s="865"/>
      <c r="O61" s="865"/>
      <c r="P61" s="859"/>
      <c r="Q61" s="899"/>
      <c r="R61" s="899"/>
      <c r="S61" s="899"/>
      <c r="T61" s="899"/>
      <c r="U61" s="899"/>
      <c r="V61" s="858"/>
      <c r="W61" s="858"/>
      <c r="X61" s="858"/>
      <c r="Y61" s="858"/>
      <c r="Z61" s="858"/>
      <c r="AA61" s="858"/>
      <c r="AB61" s="858"/>
      <c r="AC61" s="855"/>
      <c r="AD61" s="855"/>
      <c r="AE61" s="1106"/>
      <c r="AF61" s="953"/>
      <c r="AG61" s="953"/>
      <c r="AH61" s="1107"/>
      <c r="AI61" s="1108"/>
      <c r="AJ61" s="1109"/>
      <c r="AK61" s="866"/>
      <c r="AL61" s="855"/>
      <c r="AM61" s="860"/>
      <c r="AN61" s="1003"/>
      <c r="AO61" s="1003"/>
      <c r="AP61" s="1003"/>
      <c r="AQ61" s="1003"/>
      <c r="AR61" s="855"/>
      <c r="AS61" s="858"/>
      <c r="AT61" s="858"/>
      <c r="AU61" s="858"/>
      <c r="AV61" s="858"/>
      <c r="AW61" s="858"/>
      <c r="AX61" s="1061"/>
      <c r="AY61" s="1061"/>
      <c r="AZ61" s="896"/>
      <c r="BA61" s="860"/>
      <c r="BB61" s="884"/>
      <c r="BC61" s="1061"/>
      <c r="BD61" s="1110"/>
      <c r="BE61" s="1061"/>
      <c r="BF61" s="858"/>
      <c r="BG61" s="865"/>
      <c r="BH61" s="865"/>
      <c r="BI61" s="865"/>
      <c r="BJ61" s="865"/>
      <c r="BK61" s="865"/>
      <c r="BL61" s="865"/>
      <c r="BM61" s="865"/>
      <c r="BN61" s="865"/>
      <c r="BO61" s="865"/>
      <c r="BP61" s="858"/>
      <c r="BQ61" s="858"/>
      <c r="BR61" s="858"/>
      <c r="BS61" s="858"/>
      <c r="BT61" s="865"/>
      <c r="BU61" s="890"/>
      <c r="BV61" s="891"/>
      <c r="BW61" s="891"/>
      <c r="BX61" s="891"/>
      <c r="BY61" s="891"/>
      <c r="BZ61" s="891"/>
      <c r="CA61" s="892"/>
      <c r="CB61" s="866"/>
      <c r="CC61" s="855"/>
      <c r="CD61" s="1014"/>
      <c r="CE61" s="855"/>
      <c r="CF61" s="855"/>
      <c r="CG61" s="855"/>
      <c r="CH61" s="855"/>
      <c r="CI61" s="855"/>
      <c r="CJ61" s="855"/>
      <c r="CK61" s="858"/>
      <c r="CL61" s="855"/>
      <c r="CM61" s="855"/>
      <c r="CN61" s="858"/>
      <c r="CO61" s="858"/>
      <c r="CP61" s="858"/>
      <c r="CQ61" s="855"/>
      <c r="CR61" s="855"/>
      <c r="CS61" s="858"/>
      <c r="CT61" s="858"/>
      <c r="CU61" s="858"/>
      <c r="CV61" s="903"/>
      <c r="CW61" s="890"/>
      <c r="CX61" s="891"/>
      <c r="CY61" s="891"/>
      <c r="CZ61" s="891"/>
      <c r="DA61" s="891"/>
      <c r="DB61" s="892"/>
      <c r="DC61" s="866"/>
      <c r="DD61" s="858"/>
    </row>
    <row r="62" spans="1:108" ht="15.75" customHeight="1">
      <c r="A62" s="860"/>
      <c r="B62" s="884"/>
      <c r="C62" s="884"/>
      <c r="D62" s="884"/>
      <c r="E62" s="884"/>
      <c r="F62" s="1101"/>
      <c r="G62" s="1101"/>
      <c r="H62" s="1101"/>
      <c r="I62" s="1101"/>
      <c r="J62" s="1101"/>
      <c r="K62" s="1101"/>
      <c r="L62" s="1101"/>
      <c r="M62" s="884"/>
      <c r="N62" s="865"/>
      <c r="O62" s="865"/>
      <c r="P62" s="859"/>
      <c r="Q62" s="899"/>
      <c r="R62" s="899"/>
      <c r="S62" s="899"/>
      <c r="T62" s="899"/>
      <c r="U62" s="899"/>
      <c r="V62" s="858"/>
      <c r="W62" s="858"/>
      <c r="X62" s="858"/>
      <c r="Y62" s="858"/>
      <c r="Z62" s="858"/>
      <c r="AA62" s="858"/>
      <c r="AB62" s="858"/>
      <c r="AC62" s="855"/>
      <c r="AD62" s="887"/>
      <c r="AE62" s="887"/>
      <c r="AF62" s="896"/>
      <c r="AG62" s="889"/>
      <c r="AH62" s="1105"/>
      <c r="AI62" s="1105"/>
      <c r="AJ62" s="1105"/>
      <c r="AK62" s="866"/>
      <c r="AL62" s="855"/>
      <c r="AM62" s="860"/>
      <c r="AN62" s="1000"/>
      <c r="AO62" s="1003"/>
      <c r="AP62" s="1003"/>
      <c r="AQ62" s="1003"/>
      <c r="AR62" s="855"/>
      <c r="AS62" s="858"/>
      <c r="AT62" s="858"/>
      <c r="AU62" s="858"/>
      <c r="AV62" s="858"/>
      <c r="AW62" s="858"/>
      <c r="AX62" s="884"/>
      <c r="AY62" s="855"/>
      <c r="AZ62" s="1111"/>
      <c r="BA62" s="860"/>
      <c r="BB62" s="1111"/>
      <c r="BC62" s="1111"/>
      <c r="BD62" s="1110"/>
      <c r="BE62" s="1061"/>
      <c r="BF62" s="858"/>
      <c r="BG62" s="865"/>
      <c r="BH62" s="865"/>
      <c r="BI62" s="865"/>
      <c r="BJ62" s="865"/>
      <c r="BK62" s="865"/>
      <c r="BL62" s="865"/>
      <c r="BM62" s="865"/>
      <c r="BN62" s="865"/>
      <c r="BO62" s="865"/>
      <c r="BP62" s="858"/>
      <c r="BQ62" s="858"/>
      <c r="BR62" s="858"/>
      <c r="BS62" s="858"/>
      <c r="BT62" s="865"/>
      <c r="BU62" s="890"/>
      <c r="BV62" s="891"/>
      <c r="BW62" s="891"/>
      <c r="BX62" s="891"/>
      <c r="BY62" s="891"/>
      <c r="BZ62" s="891"/>
      <c r="CA62" s="892"/>
      <c r="CB62" s="865"/>
      <c r="CC62" s="855"/>
      <c r="CD62" s="1014"/>
      <c r="CE62" s="855"/>
      <c r="CF62" s="855"/>
      <c r="CG62" s="855"/>
      <c r="CH62" s="855"/>
      <c r="CI62" s="855"/>
      <c r="CJ62" s="855"/>
      <c r="CK62" s="858"/>
      <c r="CL62" s="858"/>
      <c r="CM62" s="858"/>
      <c r="CN62" s="858"/>
      <c r="CO62" s="858"/>
      <c r="CP62" s="858"/>
      <c r="CQ62" s="855"/>
      <c r="CR62" s="855"/>
      <c r="CS62" s="858"/>
      <c r="CT62" s="858"/>
      <c r="CU62" s="858"/>
      <c r="CV62" s="865"/>
      <c r="CW62" s="890"/>
      <c r="CX62" s="891"/>
      <c r="CY62" s="891"/>
      <c r="CZ62" s="891"/>
      <c r="DA62" s="891"/>
      <c r="DB62" s="892"/>
      <c r="DC62" s="866"/>
      <c r="DD62" s="858"/>
    </row>
    <row r="63" spans="1:108" ht="15.75" customHeight="1">
      <c r="A63" s="860"/>
      <c r="B63" s="884"/>
      <c r="C63" s="884"/>
      <c r="D63" s="884"/>
      <c r="E63" s="884"/>
      <c r="F63" s="1101"/>
      <c r="G63" s="1101"/>
      <c r="H63" s="1101"/>
      <c r="I63" s="1101"/>
      <c r="J63" s="1101"/>
      <c r="K63" s="1101"/>
      <c r="L63" s="1101"/>
      <c r="M63" s="884"/>
      <c r="N63" s="865"/>
      <c r="O63" s="865"/>
      <c r="P63" s="859"/>
      <c r="Q63" s="899"/>
      <c r="R63" s="899"/>
      <c r="S63" s="899"/>
      <c r="T63" s="899"/>
      <c r="U63" s="899"/>
      <c r="V63" s="858"/>
      <c r="W63" s="858"/>
      <c r="X63" s="858"/>
      <c r="Y63" s="858"/>
      <c r="Z63" s="858"/>
      <c r="AA63" s="858"/>
      <c r="AB63" s="858"/>
      <c r="AC63" s="855"/>
      <c r="AD63" s="855"/>
      <c r="AE63" s="889"/>
      <c r="AF63" s="889"/>
      <c r="AG63" s="889"/>
      <c r="AH63" s="1105"/>
      <c r="AI63" s="1105"/>
      <c r="AJ63" s="1105"/>
      <c r="AK63" s="865"/>
      <c r="AL63" s="855"/>
      <c r="AM63" s="860"/>
      <c r="AN63" s="1003"/>
      <c r="AO63" s="1003"/>
      <c r="AP63" s="1003"/>
      <c r="AQ63" s="1003"/>
      <c r="AR63" s="855"/>
      <c r="AS63" s="858"/>
      <c r="AT63" s="1112"/>
      <c r="AU63" s="1112"/>
      <c r="AV63" s="858"/>
      <c r="AW63" s="858"/>
      <c r="AX63" s="855"/>
      <c r="AY63" s="855"/>
      <c r="AZ63" s="1111"/>
      <c r="BA63" s="860"/>
      <c r="BB63" s="1111"/>
      <c r="BC63" s="1111"/>
      <c r="BD63" s="899"/>
      <c r="BE63" s="1113"/>
      <c r="BF63" s="1114"/>
      <c r="BG63" s="1114"/>
      <c r="BH63" s="1014"/>
      <c r="BI63" s="1014"/>
      <c r="BJ63" s="1014"/>
      <c r="BK63" s="1014"/>
      <c r="BL63" s="865"/>
      <c r="BM63" s="865"/>
      <c r="BN63" s="865"/>
      <c r="BO63" s="865"/>
      <c r="BP63" s="858"/>
      <c r="BQ63" s="858"/>
      <c r="BR63" s="858"/>
      <c r="BS63" s="858"/>
      <c r="BT63" s="865"/>
      <c r="BU63" s="890"/>
      <c r="BV63" s="891"/>
      <c r="BW63" s="891"/>
      <c r="BX63" s="891"/>
      <c r="BY63" s="891"/>
      <c r="BZ63" s="891"/>
      <c r="CA63" s="892"/>
      <c r="CB63" s="865"/>
      <c r="CC63" s="855"/>
      <c r="CD63" s="1014"/>
      <c r="CE63" s="855"/>
      <c r="CF63" s="858"/>
      <c r="CG63" s="858"/>
      <c r="CH63" s="858"/>
      <c r="CI63" s="858"/>
      <c r="CJ63" s="858"/>
      <c r="CK63" s="858"/>
      <c r="CL63" s="858"/>
      <c r="CM63" s="858"/>
      <c r="CN63" s="858"/>
      <c r="CO63" s="858"/>
      <c r="CP63" s="858"/>
      <c r="CQ63" s="855"/>
      <c r="CR63" s="855"/>
      <c r="CS63" s="858"/>
      <c r="CT63" s="858"/>
      <c r="CU63" s="858"/>
      <c r="CV63" s="865"/>
      <c r="CW63" s="890"/>
      <c r="CX63" s="891"/>
      <c r="CY63" s="891"/>
      <c r="CZ63" s="891"/>
      <c r="DA63" s="891"/>
      <c r="DB63" s="892"/>
      <c r="DC63" s="866"/>
      <c r="DD63" s="858"/>
    </row>
    <row r="64" spans="1:108" ht="15.75" customHeight="1" thickBot="1">
      <c r="A64" s="859"/>
      <c r="B64" s="884"/>
      <c r="C64" s="884"/>
      <c r="D64" s="884"/>
      <c r="E64" s="884"/>
      <c r="F64" s="1101"/>
      <c r="G64" s="1101"/>
      <c r="H64" s="1101"/>
      <c r="I64" s="1101"/>
      <c r="J64" s="1101"/>
      <c r="K64" s="1101"/>
      <c r="L64" s="1101"/>
      <c r="M64" s="884"/>
      <c r="N64" s="899"/>
      <c r="O64" s="899"/>
      <c r="P64" s="859"/>
      <c r="Q64" s="899"/>
      <c r="R64" s="899"/>
      <c r="S64" s="899"/>
      <c r="T64" s="899"/>
      <c r="U64" s="899"/>
      <c r="V64" s="899"/>
      <c r="W64" s="899"/>
      <c r="X64" s="865"/>
      <c r="Y64" s="855"/>
      <c r="Z64" s="855"/>
      <c r="AA64" s="855"/>
      <c r="AB64" s="855"/>
      <c r="AC64" s="855"/>
      <c r="AD64" s="855"/>
      <c r="AE64" s="889"/>
      <c r="AF64" s="889"/>
      <c r="AG64" s="889"/>
      <c r="AH64" s="1105"/>
      <c r="AI64" s="1105"/>
      <c r="AJ64" s="1105"/>
      <c r="AK64" s="865"/>
      <c r="AL64" s="855"/>
      <c r="AM64" s="860"/>
      <c r="AN64" s="1000"/>
      <c r="AO64" s="1003"/>
      <c r="AP64" s="1003"/>
      <c r="AQ64" s="858"/>
      <c r="AR64" s="858"/>
      <c r="AS64" s="858"/>
      <c r="AT64" s="1112"/>
      <c r="AU64" s="1112"/>
      <c r="AV64" s="858"/>
      <c r="AW64" s="855"/>
      <c r="AX64" s="855"/>
      <c r="AY64" s="1061"/>
      <c r="AZ64" s="1061"/>
      <c r="BA64" s="860"/>
      <c r="BB64" s="1061"/>
      <c r="BC64" s="1061"/>
      <c r="BD64" s="899"/>
      <c r="BE64" s="899"/>
      <c r="BF64" s="899"/>
      <c r="BG64" s="899"/>
      <c r="BH64" s="899"/>
      <c r="BI64" s="899"/>
      <c r="BJ64" s="899"/>
      <c r="BK64" s="899"/>
      <c r="BL64" s="865"/>
      <c r="BM64" s="865"/>
      <c r="BN64" s="865"/>
      <c r="BO64" s="865"/>
      <c r="BP64" s="865"/>
      <c r="BQ64" s="865"/>
      <c r="BR64" s="865"/>
      <c r="BS64" s="865"/>
      <c r="BT64" s="865"/>
      <c r="BU64" s="890"/>
      <c r="BV64" s="891"/>
      <c r="BW64" s="891"/>
      <c r="BX64" s="891"/>
      <c r="BY64" s="891"/>
      <c r="BZ64" s="891"/>
      <c r="CA64" s="892"/>
      <c r="CB64" s="973"/>
      <c r="CC64" s="855"/>
      <c r="CD64" s="1014"/>
      <c r="CE64" s="858"/>
      <c r="CF64" s="858"/>
      <c r="CG64" s="858"/>
      <c r="CH64" s="855"/>
      <c r="CI64" s="855"/>
      <c r="CJ64" s="855"/>
      <c r="CK64" s="858"/>
      <c r="CL64" s="858"/>
      <c r="CM64" s="858"/>
      <c r="CN64" s="858"/>
      <c r="CO64" s="858"/>
      <c r="CP64" s="858"/>
      <c r="CQ64" s="855"/>
      <c r="CR64" s="855"/>
      <c r="CS64" s="858"/>
      <c r="CT64" s="858"/>
      <c r="CU64" s="858"/>
      <c r="CV64" s="865"/>
      <c r="CW64" s="905"/>
      <c r="CX64" s="906"/>
      <c r="CY64" s="906"/>
      <c r="CZ64" s="906"/>
      <c r="DA64" s="906"/>
      <c r="DB64" s="907"/>
      <c r="DC64" s="866"/>
      <c r="DD64" s="858"/>
    </row>
    <row r="65" spans="1:108" ht="15.75" customHeight="1">
      <c r="A65" s="859"/>
      <c r="B65" s="884"/>
      <c r="C65" s="884"/>
      <c r="D65" s="884"/>
      <c r="E65" s="884"/>
      <c r="F65" s="884"/>
      <c r="G65" s="884"/>
      <c r="H65" s="884"/>
      <c r="I65" s="884"/>
      <c r="J65" s="884"/>
      <c r="K65" s="884"/>
      <c r="L65" s="884"/>
      <c r="M65" s="884"/>
      <c r="N65" s="899"/>
      <c r="O65" s="899"/>
      <c r="P65" s="859"/>
      <c r="Q65" s="899"/>
      <c r="R65" s="899"/>
      <c r="S65" s="899"/>
      <c r="T65" s="899"/>
      <c r="U65" s="899"/>
      <c r="V65" s="899"/>
      <c r="W65" s="899"/>
      <c r="X65" s="865"/>
      <c r="Y65" s="865"/>
      <c r="Z65" s="855"/>
      <c r="AA65" s="855"/>
      <c r="AB65" s="855"/>
      <c r="AC65" s="855"/>
      <c r="AD65" s="855"/>
      <c r="AE65" s="858"/>
      <c r="AF65" s="858"/>
      <c r="AG65" s="889"/>
      <c r="AH65" s="1105"/>
      <c r="AI65" s="1105"/>
      <c r="AJ65" s="1105"/>
      <c r="AK65" s="973"/>
      <c r="AL65" s="855"/>
      <c r="AM65" s="860"/>
      <c r="AN65" s="1003"/>
      <c r="AO65" s="1003"/>
      <c r="AP65" s="1003"/>
      <c r="AQ65" s="858"/>
      <c r="AR65" s="858"/>
      <c r="AS65" s="858"/>
      <c r="AT65" s="1112"/>
      <c r="AU65" s="1112"/>
      <c r="AV65" s="858"/>
      <c r="AW65" s="855"/>
      <c r="AX65" s="855"/>
      <c r="AY65" s="1061"/>
      <c r="AZ65" s="884"/>
      <c r="BA65" s="860"/>
      <c r="BB65" s="884"/>
      <c r="BC65" s="884"/>
      <c r="BD65" s="884"/>
      <c r="BE65" s="899"/>
      <c r="BF65" s="899"/>
      <c r="BG65" s="899"/>
      <c r="BH65" s="899"/>
      <c r="BI65" s="1115" t="s">
        <v>238</v>
      </c>
      <c r="BJ65" s="1115"/>
      <c r="BK65" s="899"/>
      <c r="BL65" s="865"/>
      <c r="BM65" s="865"/>
      <c r="BN65" s="865"/>
      <c r="BO65" s="865"/>
      <c r="BP65" s="865"/>
      <c r="BQ65" s="865"/>
      <c r="BR65" s="865"/>
      <c r="BS65" s="865"/>
      <c r="BT65" s="865"/>
      <c r="BU65" s="890"/>
      <c r="BV65" s="891"/>
      <c r="BW65" s="891"/>
      <c r="BX65" s="891"/>
      <c r="BY65" s="891"/>
      <c r="BZ65" s="891"/>
      <c r="CA65" s="892"/>
      <c r="CB65" s="973"/>
      <c r="CC65" s="855"/>
      <c r="CD65" s="1014"/>
      <c r="CE65" s="858"/>
      <c r="CF65" s="858"/>
      <c r="CG65" s="858"/>
      <c r="CH65" s="855"/>
      <c r="CI65" s="855"/>
      <c r="CJ65" s="855"/>
      <c r="CK65" s="858"/>
      <c r="CL65" s="858"/>
      <c r="CM65" s="858"/>
      <c r="CN65" s="858"/>
      <c r="CO65" s="858"/>
      <c r="CP65" s="858"/>
      <c r="CQ65" s="855"/>
      <c r="CR65" s="855"/>
      <c r="CS65" s="858"/>
      <c r="CT65" s="858"/>
      <c r="CU65" s="858"/>
      <c r="CV65" s="865"/>
      <c r="CW65" s="865"/>
      <c r="CX65" s="1116"/>
      <c r="CY65" s="869"/>
      <c r="CZ65" s="869"/>
      <c r="DA65" s="866"/>
      <c r="DB65" s="866"/>
      <c r="DC65" s="866"/>
      <c r="DD65" s="858"/>
    </row>
    <row r="66" spans="1:108" ht="15.75" customHeight="1">
      <c r="A66" s="859"/>
      <c r="B66" s="884"/>
      <c r="C66" s="884"/>
      <c r="D66" s="884"/>
      <c r="E66" s="884"/>
      <c r="F66" s="884"/>
      <c r="G66" s="884"/>
      <c r="H66" s="884"/>
      <c r="I66" s="884"/>
      <c r="J66" s="884"/>
      <c r="K66" s="884"/>
      <c r="L66" s="884"/>
      <c r="M66" s="884"/>
      <c r="N66" s="899"/>
      <c r="O66" s="899"/>
      <c r="P66" s="859"/>
      <c r="Q66" s="899"/>
      <c r="R66" s="899"/>
      <c r="S66" s="899"/>
      <c r="T66" s="899"/>
      <c r="U66" s="899"/>
      <c r="V66" s="899"/>
      <c r="W66" s="899"/>
      <c r="X66" s="865"/>
      <c r="Y66" s="865"/>
      <c r="Z66" s="865"/>
      <c r="AA66" s="855"/>
      <c r="AB66" s="855"/>
      <c r="AC66" s="923"/>
      <c r="AD66" s="880"/>
      <c r="AE66" s="880"/>
      <c r="AF66" s="880"/>
      <c r="AG66" s="889"/>
      <c r="AH66" s="1105"/>
      <c r="AI66" s="1087"/>
      <c r="AJ66" s="1087"/>
      <c r="AK66" s="973"/>
      <c r="AL66" s="855"/>
      <c r="AM66" s="860"/>
      <c r="AN66" s="1003"/>
      <c r="AO66" s="1003"/>
      <c r="AP66" s="1003"/>
      <c r="AQ66" s="855"/>
      <c r="AR66" s="855"/>
      <c r="AS66" s="858"/>
      <c r="AT66" s="858"/>
      <c r="AU66" s="858"/>
      <c r="AV66" s="858"/>
      <c r="AW66" s="855"/>
      <c r="AX66" s="855"/>
      <c r="AY66" s="1061"/>
      <c r="AZ66" s="884"/>
      <c r="BA66" s="860"/>
      <c r="BB66" s="884"/>
      <c r="BC66" s="1061"/>
      <c r="BD66" s="1061"/>
      <c r="BE66" s="1061"/>
      <c r="BF66" s="1061"/>
      <c r="BG66" s="899"/>
      <c r="BH66" s="899"/>
      <c r="BI66" s="899"/>
      <c r="BJ66" s="899"/>
      <c r="BK66" s="899"/>
      <c r="BL66" s="865"/>
      <c r="BM66" s="865"/>
      <c r="BN66" s="865"/>
      <c r="BO66" s="865"/>
      <c r="BP66" s="865"/>
      <c r="BQ66" s="865"/>
      <c r="BR66" s="865"/>
      <c r="BS66" s="865"/>
      <c r="BT66" s="865"/>
      <c r="BU66" s="890"/>
      <c r="BV66" s="891"/>
      <c r="BW66" s="891"/>
      <c r="BX66" s="891"/>
      <c r="BY66" s="891"/>
      <c r="BZ66" s="891"/>
      <c r="CA66" s="892"/>
      <c r="CB66" s="973"/>
      <c r="CC66" s="855"/>
      <c r="CD66" s="1014"/>
      <c r="CE66" s="865"/>
      <c r="CF66" s="865"/>
      <c r="CG66" s="865"/>
      <c r="CH66" s="855"/>
      <c r="CI66" s="855"/>
      <c r="CJ66" s="855"/>
      <c r="CK66" s="858"/>
      <c r="CL66" s="858"/>
      <c r="CM66" s="858"/>
      <c r="CN66" s="858"/>
      <c r="CO66" s="858"/>
      <c r="CP66" s="858"/>
      <c r="CQ66" s="899"/>
      <c r="CR66" s="858"/>
      <c r="CS66" s="858"/>
      <c r="CT66" s="858"/>
      <c r="CU66" s="858"/>
      <c r="CV66" s="865"/>
      <c r="CW66" s="865"/>
      <c r="CX66" s="894"/>
      <c r="CY66" s="894"/>
      <c r="CZ66" s="894"/>
      <c r="DA66" s="866"/>
      <c r="DB66" s="866"/>
      <c r="DC66" s="866"/>
      <c r="DD66" s="858"/>
    </row>
    <row r="67" spans="1:108" ht="15.75" customHeight="1">
      <c r="A67" s="859"/>
      <c r="B67" s="884"/>
      <c r="C67" s="884"/>
      <c r="D67" s="884"/>
      <c r="E67" s="884"/>
      <c r="F67" s="884"/>
      <c r="G67" s="884"/>
      <c r="H67" s="884"/>
      <c r="I67" s="884"/>
      <c r="J67" s="884"/>
      <c r="K67" s="884"/>
      <c r="L67" s="884"/>
      <c r="M67" s="884"/>
      <c r="N67" s="899"/>
      <c r="O67" s="899"/>
      <c r="P67" s="859"/>
      <c r="Q67" s="899"/>
      <c r="R67" s="899"/>
      <c r="S67" s="899"/>
      <c r="T67" s="899"/>
      <c r="U67" s="899"/>
      <c r="V67" s="899"/>
      <c r="W67" s="899"/>
      <c r="X67" s="865"/>
      <c r="Y67" s="996"/>
      <c r="Z67" s="996"/>
      <c r="AA67" s="855"/>
      <c r="AB67" s="855"/>
      <c r="AC67" s="894"/>
      <c r="AD67" s="894"/>
      <c r="AE67" s="894"/>
      <c r="AF67" s="894"/>
      <c r="AG67" s="889"/>
      <c r="AH67" s="1009"/>
      <c r="AI67" s="1009"/>
      <c r="AJ67" s="1087"/>
      <c r="AK67" s="973"/>
      <c r="AL67" s="855"/>
      <c r="AM67" s="860"/>
      <c r="AN67" s="1003"/>
      <c r="AO67" s="1003"/>
      <c r="AP67" s="1003"/>
      <c r="AQ67" s="855"/>
      <c r="AR67" s="855"/>
      <c r="AS67" s="858"/>
      <c r="AT67" s="858"/>
      <c r="AU67" s="858"/>
      <c r="AV67" s="858"/>
      <c r="AW67" s="855"/>
      <c r="AX67" s="855"/>
      <c r="AY67" s="1061"/>
      <c r="AZ67" s="884"/>
      <c r="BA67" s="860"/>
      <c r="BB67" s="1098"/>
      <c r="BC67" s="1061"/>
      <c r="BD67" s="1061"/>
      <c r="BE67" s="1061"/>
      <c r="BF67" s="1061"/>
      <c r="BG67" s="899"/>
      <c r="BH67" s="899"/>
      <c r="BI67" s="899"/>
      <c r="BJ67" s="899"/>
      <c r="BK67" s="899"/>
      <c r="BL67" s="865"/>
      <c r="BM67" s="865"/>
      <c r="BN67" s="865"/>
      <c r="BO67" s="865"/>
      <c r="BP67" s="865"/>
      <c r="BQ67" s="865"/>
      <c r="BR67" s="865"/>
      <c r="BS67" s="865"/>
      <c r="BT67" s="865"/>
      <c r="BU67" s="890"/>
      <c r="BV67" s="891"/>
      <c r="BW67" s="891"/>
      <c r="BX67" s="891"/>
      <c r="BY67" s="891"/>
      <c r="BZ67" s="891"/>
      <c r="CA67" s="892"/>
      <c r="CB67" s="865"/>
      <c r="CC67" s="855"/>
      <c r="CD67" s="1014"/>
      <c r="CE67" s="1104"/>
      <c r="CF67" s="865"/>
      <c r="CG67" s="855"/>
      <c r="CH67" s="865"/>
      <c r="CI67" s="858"/>
      <c r="CJ67" s="858"/>
      <c r="CK67" s="858"/>
      <c r="CL67" s="858"/>
      <c r="CM67" s="858"/>
      <c r="CN67" s="858"/>
      <c r="CO67" s="865"/>
      <c r="CP67" s="1117"/>
      <c r="CQ67" s="899"/>
      <c r="CR67" s="858"/>
      <c r="CS67" s="858"/>
      <c r="CT67" s="858"/>
      <c r="CU67" s="858"/>
      <c r="CV67" s="865"/>
      <c r="CW67" s="895"/>
      <c r="CX67" s="897"/>
      <c r="CY67" s="897"/>
      <c r="CZ67" s="897"/>
      <c r="DA67" s="866"/>
      <c r="DB67" s="866"/>
      <c r="DC67" s="866"/>
      <c r="DD67" s="858"/>
    </row>
    <row r="68" spans="1:108" ht="15.75" customHeight="1" thickBot="1">
      <c r="A68" s="859"/>
      <c r="B68" s="884"/>
      <c r="C68" s="884"/>
      <c r="D68" s="884"/>
      <c r="E68" s="884"/>
      <c r="F68" s="884"/>
      <c r="G68" s="884"/>
      <c r="H68" s="884"/>
      <c r="I68" s="884"/>
      <c r="J68" s="884"/>
      <c r="K68" s="884"/>
      <c r="L68" s="884"/>
      <c r="M68" s="884"/>
      <c r="N68" s="899"/>
      <c r="O68" s="899"/>
      <c r="P68" s="859"/>
      <c r="Q68" s="899"/>
      <c r="R68" s="899"/>
      <c r="S68" s="899"/>
      <c r="T68" s="899"/>
      <c r="U68" s="899"/>
      <c r="V68" s="899"/>
      <c r="W68" s="899"/>
      <c r="X68" s="855"/>
      <c r="Y68" s="865"/>
      <c r="Z68" s="865"/>
      <c r="AA68" s="855"/>
      <c r="AB68" s="895"/>
      <c r="AC68" s="894"/>
      <c r="AD68" s="894"/>
      <c r="AE68" s="894"/>
      <c r="AF68" s="894"/>
      <c r="AG68" s="889"/>
      <c r="AH68" s="899"/>
      <c r="AI68" s="899"/>
      <c r="AJ68" s="899"/>
      <c r="AK68" s="865"/>
      <c r="AL68" s="855"/>
      <c r="AM68" s="860"/>
      <c r="AN68" s="855"/>
      <c r="AO68" s="855"/>
      <c r="AP68" s="855"/>
      <c r="AQ68" s="855"/>
      <c r="AR68" s="855"/>
      <c r="AS68" s="1061"/>
      <c r="AT68" s="986"/>
      <c r="AU68" s="987"/>
      <c r="AV68" s="1061"/>
      <c r="AW68" s="855"/>
      <c r="AX68" s="855"/>
      <c r="AY68" s="1061"/>
      <c r="AZ68" s="884"/>
      <c r="BA68" s="860"/>
      <c r="BB68" s="1061"/>
      <c r="BC68" s="1061"/>
      <c r="BD68" s="1061"/>
      <c r="BE68" s="1061"/>
      <c r="BF68" s="1061"/>
      <c r="BG68" s="899"/>
      <c r="BH68" s="899"/>
      <c r="BI68" s="899"/>
      <c r="BJ68" s="899"/>
      <c r="BK68" s="899"/>
      <c r="BL68" s="865"/>
      <c r="BM68" s="865"/>
      <c r="BN68" s="865"/>
      <c r="BO68" s="865"/>
      <c r="BP68" s="865"/>
      <c r="BQ68" s="865"/>
      <c r="BR68" s="865"/>
      <c r="BS68" s="865"/>
      <c r="BT68" s="865"/>
      <c r="BU68" s="905"/>
      <c r="BV68" s="906"/>
      <c r="BW68" s="906"/>
      <c r="BX68" s="906"/>
      <c r="BY68" s="906"/>
      <c r="BZ68" s="906"/>
      <c r="CA68" s="907"/>
      <c r="CB68" s="865"/>
      <c r="CC68" s="855"/>
      <c r="CD68" s="1014"/>
      <c r="CE68" s="865"/>
      <c r="CF68" s="865"/>
      <c r="CG68" s="855"/>
      <c r="CH68" s="865"/>
      <c r="CI68" s="858"/>
      <c r="CJ68" s="858"/>
      <c r="CK68" s="865"/>
      <c r="CL68" s="865"/>
      <c r="CM68" s="865"/>
      <c r="CN68" s="865"/>
      <c r="CO68" s="904"/>
      <c r="CP68" s="1117"/>
      <c r="CQ68" s="899"/>
      <c r="CR68" s="858"/>
      <c r="CS68" s="858"/>
      <c r="CT68" s="858"/>
      <c r="CU68" s="858"/>
      <c r="CV68" s="865"/>
      <c r="CW68" s="897"/>
      <c r="CX68" s="874"/>
      <c r="CY68" s="874"/>
      <c r="CZ68" s="874"/>
      <c r="DA68" s="865"/>
      <c r="DB68" s="865"/>
      <c r="DC68" s="865"/>
      <c r="DD68" s="858"/>
    </row>
    <row r="69" spans="1:108" ht="15.75" customHeight="1" thickBot="1">
      <c r="A69" s="859"/>
      <c r="B69" s="884"/>
      <c r="C69" s="884"/>
      <c r="D69" s="884"/>
      <c r="E69" s="884"/>
      <c r="F69" s="884"/>
      <c r="G69" s="884"/>
      <c r="H69" s="884"/>
      <c r="I69" s="884"/>
      <c r="J69" s="884"/>
      <c r="K69" s="884"/>
      <c r="L69" s="884"/>
      <c r="M69" s="884"/>
      <c r="N69" s="899"/>
      <c r="O69" s="899"/>
      <c r="P69" s="859"/>
      <c r="Q69" s="899"/>
      <c r="R69" s="899"/>
      <c r="S69" s="899"/>
      <c r="T69" s="899"/>
      <c r="U69" s="899"/>
      <c r="V69" s="899"/>
      <c r="W69" s="899"/>
      <c r="X69" s="865"/>
      <c r="Y69" s="855"/>
      <c r="Z69" s="855"/>
      <c r="AA69" s="855"/>
      <c r="AB69" s="1040"/>
      <c r="AC69" s="874"/>
      <c r="AD69" s="874"/>
      <c r="AE69" s="874"/>
      <c r="AF69" s="874"/>
      <c r="AG69" s="1040"/>
      <c r="AH69" s="858"/>
      <c r="AI69" s="899"/>
      <c r="AJ69" s="899"/>
      <c r="AK69" s="865"/>
      <c r="AL69" s="855"/>
      <c r="AM69" s="860"/>
      <c r="AN69" s="1000"/>
      <c r="AO69" s="855"/>
      <c r="AP69" s="855"/>
      <c r="AQ69" s="855"/>
      <c r="AR69" s="855"/>
      <c r="AS69" s="855"/>
      <c r="AT69" s="981"/>
      <c r="AU69" s="981"/>
      <c r="AV69" s="855"/>
      <c r="AW69" s="855"/>
      <c r="AX69" s="855"/>
      <c r="AY69" s="1061"/>
      <c r="AZ69" s="884"/>
      <c r="BA69" s="860"/>
      <c r="BB69" s="1061"/>
      <c r="BC69" s="1061"/>
      <c r="BD69" s="1061"/>
      <c r="BE69" s="1061"/>
      <c r="BF69" s="1061"/>
      <c r="BG69" s="899"/>
      <c r="BH69" s="899"/>
      <c r="BI69" s="899"/>
      <c r="BJ69" s="899"/>
      <c r="BK69" s="899"/>
      <c r="BL69" s="865"/>
      <c r="BM69" s="865"/>
      <c r="BN69" s="865"/>
      <c r="BO69" s="865"/>
      <c r="BP69" s="865"/>
      <c r="BQ69" s="865"/>
      <c r="BR69" s="865"/>
      <c r="BS69" s="865"/>
      <c r="BT69" s="865"/>
      <c r="BU69" s="865"/>
      <c r="BV69" s="1104"/>
      <c r="BW69" s="1104"/>
      <c r="BX69" s="865"/>
      <c r="BY69" s="889"/>
      <c r="BZ69" s="865"/>
      <c r="CA69" s="865"/>
      <c r="CB69" s="865"/>
      <c r="CC69" s="855"/>
      <c r="CD69" s="1014"/>
      <c r="CE69" s="865"/>
      <c r="CF69" s="865"/>
      <c r="CG69" s="855"/>
      <c r="CH69" s="865"/>
      <c r="CI69" s="858"/>
      <c r="CJ69" s="865"/>
      <c r="CK69" s="858"/>
      <c r="CL69" s="904"/>
      <c r="CM69" s="865"/>
      <c r="CN69" s="858"/>
      <c r="CO69" s="858"/>
      <c r="CP69" s="858"/>
      <c r="CQ69" s="858"/>
      <c r="CR69" s="858"/>
      <c r="CS69" s="858"/>
      <c r="CT69" s="858"/>
      <c r="CU69" s="855"/>
      <c r="CV69" s="896"/>
      <c r="CW69" s="1118"/>
      <c r="CX69" s="869"/>
      <c r="CY69" s="869"/>
      <c r="CZ69" s="870"/>
      <c r="DA69" s="865"/>
      <c r="DB69" s="865"/>
      <c r="DC69" s="865"/>
      <c r="DD69" s="858"/>
    </row>
    <row r="70" spans="1:108" ht="15.75" customHeight="1">
      <c r="A70" s="859"/>
      <c r="B70" s="884"/>
      <c r="C70" s="884"/>
      <c r="D70" s="884"/>
      <c r="E70" s="884"/>
      <c r="F70" s="884"/>
      <c r="G70" s="884"/>
      <c r="H70" s="884"/>
      <c r="I70" s="884"/>
      <c r="J70" s="884"/>
      <c r="K70" s="884"/>
      <c r="L70" s="884"/>
      <c r="M70" s="884"/>
      <c r="N70" s="899"/>
      <c r="O70" s="899"/>
      <c r="P70" s="859"/>
      <c r="Q70" s="899"/>
      <c r="R70" s="899"/>
      <c r="S70" s="899"/>
      <c r="T70" s="899"/>
      <c r="U70" s="899"/>
      <c r="V70" s="899"/>
      <c r="W70" s="899"/>
      <c r="X70" s="899"/>
      <c r="Y70" s="899"/>
      <c r="Z70" s="865"/>
      <c r="AA70" s="865"/>
      <c r="AB70" s="858"/>
      <c r="AC70" s="1119"/>
      <c r="AD70" s="1120"/>
      <c r="AE70" s="1120"/>
      <c r="AF70" s="1120"/>
      <c r="AG70" s="1121"/>
      <c r="AH70" s="1105"/>
      <c r="AI70" s="899"/>
      <c r="AJ70" s="899"/>
      <c r="AK70" s="865"/>
      <c r="AL70" s="855"/>
      <c r="AM70" s="860"/>
      <c r="AN70" s="1000"/>
      <c r="AO70" s="855"/>
      <c r="AP70" s="858"/>
      <c r="AQ70" s="858"/>
      <c r="AR70" s="855"/>
      <c r="AS70" s="855"/>
      <c r="AT70" s="981"/>
      <c r="AU70" s="981"/>
      <c r="AV70" s="855"/>
      <c r="AW70" s="855"/>
      <c r="AX70" s="855"/>
      <c r="AY70" s="855"/>
      <c r="AZ70" s="855"/>
      <c r="BA70" s="860"/>
      <c r="BB70" s="884"/>
      <c r="BC70" s="884"/>
      <c r="BD70" s="884"/>
      <c r="BE70" s="899"/>
      <c r="BF70" s="898"/>
      <c r="BG70" s="899"/>
      <c r="BH70" s="855"/>
      <c r="BI70" s="855"/>
      <c r="BJ70" s="855"/>
      <c r="BK70" s="855"/>
      <c r="BL70" s="855"/>
      <c r="BM70" s="855"/>
      <c r="BN70" s="855"/>
      <c r="BO70" s="865"/>
      <c r="BP70" s="865"/>
      <c r="BQ70" s="865"/>
      <c r="BR70" s="865"/>
      <c r="BS70" s="865"/>
      <c r="BT70" s="865"/>
      <c r="BU70" s="865"/>
      <c r="BV70" s="865"/>
      <c r="BW70" s="865"/>
      <c r="BX70" s="865"/>
      <c r="BY70" s="889"/>
      <c r="BZ70" s="865"/>
      <c r="CA70" s="865"/>
      <c r="CB70" s="865"/>
      <c r="CC70" s="855"/>
      <c r="CD70" s="1014"/>
      <c r="CE70" s="1122"/>
      <c r="CF70" s="869"/>
      <c r="CG70" s="869"/>
      <c r="CH70" s="869"/>
      <c r="CI70" s="869"/>
      <c r="CJ70" s="869"/>
      <c r="CK70" s="869"/>
      <c r="CL70" s="869"/>
      <c r="CM70" s="869"/>
      <c r="CN70" s="869"/>
      <c r="CO70" s="870"/>
      <c r="CP70" s="1123"/>
      <c r="CQ70" s="855"/>
      <c r="CR70" s="855"/>
      <c r="CS70" s="855"/>
      <c r="CT70" s="858"/>
      <c r="CU70" s="855"/>
      <c r="CV70" s="896"/>
      <c r="CW70" s="890"/>
      <c r="CX70" s="891"/>
      <c r="CY70" s="891"/>
      <c r="CZ70" s="892"/>
      <c r="DA70" s="855"/>
      <c r="DB70" s="855"/>
      <c r="DC70" s="973"/>
      <c r="DD70" s="858"/>
    </row>
    <row r="71" spans="1:108" ht="15.75" customHeight="1" thickBot="1">
      <c r="A71" s="859"/>
      <c r="B71" s="884"/>
      <c r="C71" s="884"/>
      <c r="D71" s="884"/>
      <c r="E71" s="884"/>
      <c r="F71" s="884"/>
      <c r="G71" s="884"/>
      <c r="H71" s="884"/>
      <c r="I71" s="884"/>
      <c r="J71" s="884"/>
      <c r="K71" s="884"/>
      <c r="L71" s="884"/>
      <c r="M71" s="884"/>
      <c r="N71" s="899"/>
      <c r="O71" s="898"/>
      <c r="P71" s="899"/>
      <c r="Q71" s="1014"/>
      <c r="R71" s="1014"/>
      <c r="S71" s="1014"/>
      <c r="T71" s="1014"/>
      <c r="U71" s="1014"/>
      <c r="V71" s="1014"/>
      <c r="W71" s="1014"/>
      <c r="X71" s="1014"/>
      <c r="Y71" s="899"/>
      <c r="Z71" s="865"/>
      <c r="AA71" s="865"/>
      <c r="AB71" s="858"/>
      <c r="AC71" s="1124"/>
      <c r="AD71" s="865"/>
      <c r="AE71" s="865"/>
      <c r="AF71" s="865"/>
      <c r="AG71" s="1125"/>
      <c r="AH71" s="1105"/>
      <c r="AI71" s="855"/>
      <c r="AJ71" s="855"/>
      <c r="AK71" s="865"/>
      <c r="AL71" s="855"/>
      <c r="AM71" s="860"/>
      <c r="AN71" s="1000"/>
      <c r="AO71" s="855"/>
      <c r="AP71" s="855"/>
      <c r="AQ71" s="855"/>
      <c r="AR71" s="855"/>
      <c r="AS71" s="855"/>
      <c r="AT71" s="858"/>
      <c r="AU71" s="858"/>
      <c r="AV71" s="884"/>
      <c r="AW71" s="884"/>
      <c r="AX71" s="884"/>
      <c r="AY71" s="884"/>
      <c r="AZ71" s="884"/>
      <c r="BA71" s="860"/>
      <c r="BB71" s="884"/>
      <c r="BC71" s="884"/>
      <c r="BD71" s="884"/>
      <c r="BE71" s="899"/>
      <c r="BF71" s="899"/>
      <c r="BG71" s="899"/>
      <c r="BH71" s="899"/>
      <c r="BI71" s="899"/>
      <c r="BJ71" s="899"/>
      <c r="BK71" s="899"/>
      <c r="BL71" s="865"/>
      <c r="BM71" s="865"/>
      <c r="BN71" s="865"/>
      <c r="BO71" s="865"/>
      <c r="BP71" s="865"/>
      <c r="BQ71" s="865"/>
      <c r="BR71" s="865"/>
      <c r="BS71" s="865"/>
      <c r="BT71" s="865"/>
      <c r="BU71" s="1010"/>
      <c r="BV71" s="1010"/>
      <c r="BW71" s="1010"/>
      <c r="BX71" s="1010"/>
      <c r="BY71" s="889"/>
      <c r="BZ71" s="865"/>
      <c r="CA71" s="865"/>
      <c r="CB71" s="865"/>
      <c r="CC71" s="855"/>
      <c r="CD71" s="1014"/>
      <c r="CE71" s="890"/>
      <c r="CF71" s="891"/>
      <c r="CG71" s="891"/>
      <c r="CH71" s="891"/>
      <c r="CI71" s="891"/>
      <c r="CJ71" s="891"/>
      <c r="CK71" s="891"/>
      <c r="CL71" s="891"/>
      <c r="CM71" s="891"/>
      <c r="CN71" s="891"/>
      <c r="CO71" s="892"/>
      <c r="CP71" s="1123"/>
      <c r="CQ71" s="855"/>
      <c r="CR71" s="855"/>
      <c r="CS71" s="855"/>
      <c r="CT71" s="858"/>
      <c r="CU71" s="855"/>
      <c r="CV71" s="896"/>
      <c r="CW71" s="890"/>
      <c r="CX71" s="891"/>
      <c r="CY71" s="891"/>
      <c r="CZ71" s="892"/>
      <c r="DA71" s="855"/>
      <c r="DB71" s="855"/>
      <c r="DC71" s="973"/>
      <c r="DD71" s="858"/>
    </row>
    <row r="72" spans="1:108" ht="15.75" customHeight="1" thickBot="1">
      <c r="A72" s="859"/>
      <c r="B72" s="884"/>
      <c r="C72" s="884"/>
      <c r="D72" s="884"/>
      <c r="E72" s="884"/>
      <c r="F72" s="884"/>
      <c r="G72" s="884"/>
      <c r="H72" s="884"/>
      <c r="I72" s="884"/>
      <c r="J72" s="884"/>
      <c r="K72" s="884"/>
      <c r="L72" s="884"/>
      <c r="M72" s="884"/>
      <c r="N72" s="899"/>
      <c r="O72" s="899"/>
      <c r="P72" s="899"/>
      <c r="Q72" s="899"/>
      <c r="R72" s="899"/>
      <c r="S72" s="899"/>
      <c r="T72" s="899"/>
      <c r="U72" s="899"/>
      <c r="V72" s="899"/>
      <c r="W72" s="899"/>
      <c r="X72" s="1014"/>
      <c r="Y72" s="899"/>
      <c r="Z72" s="865"/>
      <c r="AA72" s="865"/>
      <c r="AB72" s="858"/>
      <c r="AC72" s="1124"/>
      <c r="AD72" s="865"/>
      <c r="AE72" s="865"/>
      <c r="AF72" s="865"/>
      <c r="AG72" s="1125"/>
      <c r="AH72" s="868" t="s">
        <v>242</v>
      </c>
      <c r="AI72" s="869"/>
      <c r="AJ72" s="869"/>
      <c r="AK72" s="865"/>
      <c r="AL72" s="855"/>
      <c r="AM72" s="860"/>
      <c r="AN72" s="1000"/>
      <c r="AO72" s="855"/>
      <c r="AP72" s="855"/>
      <c r="AQ72" s="855"/>
      <c r="AR72" s="855"/>
      <c r="AS72" s="855"/>
      <c r="AT72" s="1000"/>
      <c r="AU72" s="1000"/>
      <c r="AV72" s="884"/>
      <c r="AW72" s="884"/>
      <c r="AX72" s="884"/>
      <c r="AY72" s="884"/>
      <c r="AZ72" s="884"/>
      <c r="BA72" s="860"/>
      <c r="BB72" s="884"/>
      <c r="BC72" s="884"/>
      <c r="BD72" s="884"/>
      <c r="BE72" s="899"/>
      <c r="BF72" s="899"/>
      <c r="BG72" s="899"/>
      <c r="BH72" s="899"/>
      <c r="BI72" s="899"/>
      <c r="BJ72" s="899"/>
      <c r="BK72" s="899"/>
      <c r="BL72" s="865"/>
      <c r="BM72" s="865"/>
      <c r="BN72" s="865"/>
      <c r="BO72" s="865"/>
      <c r="BP72" s="865"/>
      <c r="BQ72" s="865"/>
      <c r="BR72" s="865"/>
      <c r="BS72" s="865"/>
      <c r="BT72" s="865"/>
      <c r="BU72" s="1126"/>
      <c r="BV72" s="993"/>
      <c r="BW72" s="993"/>
      <c r="BX72" s="993"/>
      <c r="BY72" s="865"/>
      <c r="BZ72" s="865"/>
      <c r="CA72" s="865"/>
      <c r="CB72" s="865"/>
      <c r="CC72" s="855"/>
      <c r="CD72" s="1014"/>
      <c r="CE72" s="890"/>
      <c r="CF72" s="891"/>
      <c r="CG72" s="891"/>
      <c r="CH72" s="891"/>
      <c r="CI72" s="891"/>
      <c r="CJ72" s="891"/>
      <c r="CK72" s="891"/>
      <c r="CL72" s="891"/>
      <c r="CM72" s="891"/>
      <c r="CN72" s="891"/>
      <c r="CO72" s="892"/>
      <c r="CP72" s="1123"/>
      <c r="CQ72" s="855"/>
      <c r="CR72" s="855"/>
      <c r="CS72" s="855"/>
      <c r="CT72" s="858"/>
      <c r="CU72" s="855"/>
      <c r="CV72" s="855"/>
      <c r="CW72" s="890"/>
      <c r="CX72" s="891"/>
      <c r="CY72" s="891"/>
      <c r="CZ72" s="892"/>
      <c r="DA72" s="855"/>
      <c r="DB72" s="855"/>
      <c r="DC72" s="973"/>
      <c r="DD72" s="858"/>
    </row>
    <row r="73" spans="1:108" ht="15.75" customHeight="1">
      <c r="A73" s="859"/>
      <c r="B73" s="884"/>
      <c r="C73" s="884"/>
      <c r="D73" s="884"/>
      <c r="E73" s="884"/>
      <c r="F73" s="884"/>
      <c r="G73" s="884"/>
      <c r="H73" s="884"/>
      <c r="I73" s="884"/>
      <c r="J73" s="884"/>
      <c r="K73" s="884"/>
      <c r="L73" s="884"/>
      <c r="M73" s="884"/>
      <c r="N73" s="899"/>
      <c r="O73" s="899"/>
      <c r="P73" s="899"/>
      <c r="Q73" s="899"/>
      <c r="R73" s="899"/>
      <c r="S73" s="899"/>
      <c r="T73" s="899"/>
      <c r="U73" s="899"/>
      <c r="V73" s="899"/>
      <c r="W73" s="899"/>
      <c r="X73" s="1014"/>
      <c r="Y73" s="899"/>
      <c r="Z73" s="899"/>
      <c r="AA73" s="865"/>
      <c r="AB73" s="858"/>
      <c r="AC73" s="1086"/>
      <c r="AD73" s="899"/>
      <c r="AE73" s="899"/>
      <c r="AF73" s="899"/>
      <c r="AG73" s="1127"/>
      <c r="AH73" s="890"/>
      <c r="AI73" s="891"/>
      <c r="AJ73" s="891"/>
      <c r="AK73" s="865"/>
      <c r="AL73" s="855"/>
      <c r="AM73" s="860"/>
      <c r="AN73" s="855"/>
      <c r="AO73" s="855"/>
      <c r="AP73" s="855"/>
      <c r="AQ73" s="855"/>
      <c r="AR73" s="855"/>
      <c r="AS73" s="884"/>
      <c r="AT73" s="1000"/>
      <c r="AU73" s="1000"/>
      <c r="AV73" s="884"/>
      <c r="AW73" s="884"/>
      <c r="AX73" s="884"/>
      <c r="AY73" s="884"/>
      <c r="AZ73" s="884"/>
      <c r="BA73" s="860"/>
      <c r="BB73" s="884"/>
      <c r="BC73" s="884"/>
      <c r="BD73" s="884"/>
      <c r="BE73" s="899"/>
      <c r="BF73" s="899"/>
      <c r="BG73" s="899"/>
      <c r="BH73" s="899"/>
      <c r="BI73" s="899"/>
      <c r="BJ73" s="899"/>
      <c r="BK73" s="899"/>
      <c r="BL73" s="865"/>
      <c r="BM73" s="865"/>
      <c r="BN73" s="865"/>
      <c r="BO73" s="865"/>
      <c r="BP73" s="865"/>
      <c r="BQ73" s="865"/>
      <c r="BR73" s="865"/>
      <c r="BS73" s="865"/>
      <c r="BT73" s="865"/>
      <c r="BU73" s="865"/>
      <c r="BV73" s="865"/>
      <c r="BW73" s="865"/>
      <c r="BX73" s="865"/>
      <c r="BY73" s="865"/>
      <c r="BZ73" s="865"/>
      <c r="CA73" s="865"/>
      <c r="CB73" s="865"/>
      <c r="CC73" s="855"/>
      <c r="CD73" s="1014"/>
      <c r="CE73" s="890"/>
      <c r="CF73" s="891"/>
      <c r="CG73" s="891"/>
      <c r="CH73" s="891"/>
      <c r="CI73" s="891"/>
      <c r="CJ73" s="891"/>
      <c r="CK73" s="891"/>
      <c r="CL73" s="891"/>
      <c r="CM73" s="891"/>
      <c r="CN73" s="891"/>
      <c r="CO73" s="892"/>
      <c r="CP73" s="1123"/>
      <c r="CQ73" s="855"/>
      <c r="CR73" s="855"/>
      <c r="CS73" s="855"/>
      <c r="CT73" s="858"/>
      <c r="CU73" s="855"/>
      <c r="CV73" s="855"/>
      <c r="CW73" s="890"/>
      <c r="CX73" s="891"/>
      <c r="CY73" s="891"/>
      <c r="CZ73" s="892"/>
      <c r="DA73" s="868"/>
      <c r="DB73" s="870"/>
      <c r="DC73" s="865"/>
      <c r="DD73" s="858"/>
    </row>
    <row r="74" spans="1:108" ht="15.75" customHeight="1" thickBot="1">
      <c r="A74" s="859"/>
      <c r="B74" s="884"/>
      <c r="C74" s="884"/>
      <c r="D74" s="884"/>
      <c r="E74" s="884"/>
      <c r="F74" s="884"/>
      <c r="G74" s="884"/>
      <c r="H74" s="884"/>
      <c r="I74" s="884"/>
      <c r="J74" s="884"/>
      <c r="K74" s="884"/>
      <c r="L74" s="884"/>
      <c r="M74" s="884"/>
      <c r="N74" s="899"/>
      <c r="O74" s="899"/>
      <c r="P74" s="899"/>
      <c r="Q74" s="899"/>
      <c r="R74" s="899"/>
      <c r="S74" s="899"/>
      <c r="T74" s="899"/>
      <c r="U74" s="899"/>
      <c r="V74" s="899"/>
      <c r="W74" s="899"/>
      <c r="X74" s="1014"/>
      <c r="Y74" s="899"/>
      <c r="Z74" s="899"/>
      <c r="AA74" s="865"/>
      <c r="AB74" s="858"/>
      <c r="AC74" s="1086"/>
      <c r="AD74" s="899"/>
      <c r="AE74" s="899"/>
      <c r="AF74" s="899"/>
      <c r="AG74" s="1127"/>
      <c r="AH74" s="890"/>
      <c r="AI74" s="891"/>
      <c r="AJ74" s="891"/>
      <c r="AK74" s="865"/>
      <c r="AL74" s="855"/>
      <c r="AM74" s="860"/>
      <c r="AN74" s="855"/>
      <c r="AO74" s="855"/>
      <c r="AP74" s="855"/>
      <c r="AQ74" s="855"/>
      <c r="AR74" s="884"/>
      <c r="AS74" s="884"/>
      <c r="AT74" s="884"/>
      <c r="AU74" s="884"/>
      <c r="AV74" s="884"/>
      <c r="AW74" s="884"/>
      <c r="AX74" s="884"/>
      <c r="AY74" s="884"/>
      <c r="AZ74" s="884"/>
      <c r="BA74" s="860"/>
      <c r="BB74" s="884"/>
      <c r="BC74" s="884"/>
      <c r="BD74" s="884"/>
      <c r="BE74" s="899"/>
      <c r="BF74" s="899"/>
      <c r="BG74" s="899"/>
      <c r="BH74" s="899"/>
      <c r="BI74" s="899"/>
      <c r="BJ74" s="899"/>
      <c r="BK74" s="899"/>
      <c r="BL74" s="865"/>
      <c r="BM74" s="865"/>
      <c r="BN74" s="865"/>
      <c r="BO74" s="865"/>
      <c r="BP74" s="865"/>
      <c r="BQ74" s="865"/>
      <c r="BR74" s="865"/>
      <c r="BS74" s="865"/>
      <c r="BT74" s="865"/>
      <c r="BU74" s="865"/>
      <c r="BV74" s="865"/>
      <c r="BW74" s="865"/>
      <c r="BX74" s="865"/>
      <c r="BY74" s="865"/>
      <c r="BZ74" s="865"/>
      <c r="CA74" s="865"/>
      <c r="CB74" s="865"/>
      <c r="CC74" s="855"/>
      <c r="CD74" s="1014"/>
      <c r="CE74" s="890"/>
      <c r="CF74" s="891"/>
      <c r="CG74" s="891"/>
      <c r="CH74" s="891"/>
      <c r="CI74" s="891"/>
      <c r="CJ74" s="891"/>
      <c r="CK74" s="891"/>
      <c r="CL74" s="891"/>
      <c r="CM74" s="891"/>
      <c r="CN74" s="891"/>
      <c r="CO74" s="892"/>
      <c r="CP74" s="1123"/>
      <c r="CQ74" s="855"/>
      <c r="CR74" s="855"/>
      <c r="CS74" s="855"/>
      <c r="CT74" s="858"/>
      <c r="CU74" s="855"/>
      <c r="CV74" s="855"/>
      <c r="CW74" s="890"/>
      <c r="CX74" s="891"/>
      <c r="CY74" s="891"/>
      <c r="CZ74" s="892"/>
      <c r="DA74" s="890"/>
      <c r="DB74" s="892"/>
      <c r="DC74" s="865"/>
      <c r="DD74" s="858"/>
    </row>
    <row r="75" spans="1:108" ht="15.75" customHeight="1" thickBot="1">
      <c r="A75" s="859"/>
      <c r="B75" s="884"/>
      <c r="C75" s="884"/>
      <c r="D75" s="884"/>
      <c r="E75" s="884"/>
      <c r="F75" s="884"/>
      <c r="G75" s="884"/>
      <c r="H75" s="884"/>
      <c r="I75" s="884"/>
      <c r="J75" s="884"/>
      <c r="K75" s="884"/>
      <c r="L75" s="884"/>
      <c r="M75" s="884"/>
      <c r="N75" s="899"/>
      <c r="O75" s="899"/>
      <c r="P75" s="899"/>
      <c r="Q75" s="899"/>
      <c r="R75" s="899"/>
      <c r="S75" s="899"/>
      <c r="T75" s="899"/>
      <c r="U75" s="899"/>
      <c r="V75" s="899"/>
      <c r="W75" s="899"/>
      <c r="X75" s="1014"/>
      <c r="Y75" s="899"/>
      <c r="Z75" s="899"/>
      <c r="AA75" s="899"/>
      <c r="AB75" s="858"/>
      <c r="AC75" s="1086"/>
      <c r="AD75" s="899"/>
      <c r="AE75" s="899"/>
      <c r="AF75" s="899"/>
      <c r="AG75" s="1127"/>
      <c r="AH75" s="890"/>
      <c r="AI75" s="891"/>
      <c r="AJ75" s="891"/>
      <c r="AK75" s="865"/>
      <c r="AL75" s="855"/>
      <c r="AM75" s="860"/>
      <c r="AN75" s="855"/>
      <c r="AO75" s="855"/>
      <c r="AP75" s="855"/>
      <c r="AQ75" s="855"/>
      <c r="AR75" s="855"/>
      <c r="AS75" s="855"/>
      <c r="AT75" s="855"/>
      <c r="AU75" s="855"/>
      <c r="AV75" s="855"/>
      <c r="AW75" s="884"/>
      <c r="AX75" s="884"/>
      <c r="AY75" s="884"/>
      <c r="AZ75" s="884"/>
      <c r="BA75" s="860"/>
      <c r="BB75" s="884"/>
      <c r="BC75" s="884"/>
      <c r="BD75" s="884"/>
      <c r="BE75" s="899"/>
      <c r="BF75" s="899"/>
      <c r="BG75" s="899"/>
      <c r="BH75" s="899"/>
      <c r="BI75" s="899"/>
      <c r="BJ75" s="899"/>
      <c r="BK75" s="899"/>
      <c r="BL75" s="865"/>
      <c r="BM75" s="865"/>
      <c r="BN75" s="865"/>
      <c r="BO75" s="865"/>
      <c r="BP75" s="1128"/>
      <c r="BQ75" s="869"/>
      <c r="BR75" s="870"/>
      <c r="BS75" s="865"/>
      <c r="BT75" s="865"/>
      <c r="BU75" s="865"/>
      <c r="BV75" s="865"/>
      <c r="BW75" s="865"/>
      <c r="BX75" s="858"/>
      <c r="BY75" s="858"/>
      <c r="BZ75" s="1118"/>
      <c r="CA75" s="870"/>
      <c r="CB75" s="865"/>
      <c r="CC75" s="855"/>
      <c r="CD75" s="1014"/>
      <c r="CE75" s="905"/>
      <c r="CF75" s="906"/>
      <c r="CG75" s="906"/>
      <c r="CH75" s="906"/>
      <c r="CI75" s="906"/>
      <c r="CJ75" s="906"/>
      <c r="CK75" s="906"/>
      <c r="CL75" s="906"/>
      <c r="CM75" s="906"/>
      <c r="CN75" s="906"/>
      <c r="CO75" s="907"/>
      <c r="CP75" s="1124"/>
      <c r="CQ75" s="865"/>
      <c r="CR75" s="865"/>
      <c r="CS75" s="865"/>
      <c r="CT75" s="865"/>
      <c r="CU75" s="855"/>
      <c r="CV75" s="855"/>
      <c r="CW75" s="905"/>
      <c r="CX75" s="906"/>
      <c r="CY75" s="906"/>
      <c r="CZ75" s="907"/>
      <c r="DA75" s="905"/>
      <c r="DB75" s="907"/>
      <c r="DC75" s="865"/>
      <c r="DD75" s="858"/>
    </row>
    <row r="76" spans="1:108" ht="15.75" customHeight="1" thickBot="1">
      <c r="A76" s="859"/>
      <c r="B76" s="884"/>
      <c r="C76" s="884"/>
      <c r="D76" s="884"/>
      <c r="E76" s="884"/>
      <c r="F76" s="884"/>
      <c r="G76" s="884"/>
      <c r="H76" s="884"/>
      <c r="I76" s="884"/>
      <c r="J76" s="884"/>
      <c r="K76" s="884"/>
      <c r="L76" s="884"/>
      <c r="M76" s="884"/>
      <c r="N76" s="899"/>
      <c r="O76" s="899"/>
      <c r="P76" s="899"/>
      <c r="Q76" s="899"/>
      <c r="R76" s="899"/>
      <c r="S76" s="899"/>
      <c r="T76" s="899"/>
      <c r="U76" s="899"/>
      <c r="V76" s="899"/>
      <c r="W76" s="899"/>
      <c r="X76" s="1014"/>
      <c r="Y76" s="899"/>
      <c r="Z76" s="899"/>
      <c r="AA76" s="899"/>
      <c r="AB76" s="858"/>
      <c r="AC76" s="1086"/>
      <c r="AD76" s="899"/>
      <c r="AE76" s="899"/>
      <c r="AF76" s="899"/>
      <c r="AG76" s="1125"/>
      <c r="AH76" s="890"/>
      <c r="AI76" s="891"/>
      <c r="AJ76" s="891"/>
      <c r="AK76" s="865"/>
      <c r="AL76" s="855"/>
      <c r="AM76" s="860"/>
      <c r="AN76" s="1000"/>
      <c r="AO76" s="1000"/>
      <c r="AP76" s="1000"/>
      <c r="AQ76" s="1000"/>
      <c r="AR76" s="896"/>
      <c r="AS76" s="896"/>
      <c r="AT76" s="858"/>
      <c r="AU76" s="855"/>
      <c r="AV76" s="884"/>
      <c r="AW76" s="884"/>
      <c r="AX76" s="884"/>
      <c r="AY76" s="884"/>
      <c r="AZ76" s="884"/>
      <c r="BA76" s="860"/>
      <c r="BB76" s="884"/>
      <c r="BC76" s="884"/>
      <c r="BD76" s="884"/>
      <c r="BE76" s="899"/>
      <c r="BF76" s="899"/>
      <c r="BG76" s="899"/>
      <c r="BH76" s="899"/>
      <c r="BI76" s="899"/>
      <c r="BJ76" s="899"/>
      <c r="BK76" s="899"/>
      <c r="BL76" s="865"/>
      <c r="BM76" s="865"/>
      <c r="BN76" s="865"/>
      <c r="BO76" s="865"/>
      <c r="BP76" s="905"/>
      <c r="BQ76" s="906"/>
      <c r="BR76" s="907"/>
      <c r="BS76" s="865"/>
      <c r="BT76" s="865"/>
      <c r="BU76" s="865"/>
      <c r="BV76" s="865"/>
      <c r="BW76" s="865"/>
      <c r="BX76" s="858"/>
      <c r="BY76" s="858"/>
      <c r="BZ76" s="905"/>
      <c r="CA76" s="907"/>
      <c r="CB76" s="865"/>
      <c r="CC76" s="855"/>
      <c r="CD76" s="1014"/>
      <c r="CE76" s="1014"/>
      <c r="CF76" s="1014"/>
      <c r="CG76" s="1014"/>
      <c r="CH76" s="1014"/>
      <c r="CI76" s="1014"/>
      <c r="CJ76" s="1014"/>
      <c r="CK76" s="1014"/>
      <c r="CL76" s="1014"/>
      <c r="CM76" s="1014"/>
      <c r="CN76" s="1014"/>
      <c r="CO76" s="1014"/>
      <c r="CP76" s="1014"/>
      <c r="CQ76" s="1014"/>
      <c r="CR76" s="1014"/>
      <c r="CS76" s="1014"/>
      <c r="CT76" s="1014"/>
      <c r="CU76" s="865"/>
      <c r="CV76" s="865"/>
      <c r="CW76" s="865"/>
      <c r="CX76" s="865"/>
      <c r="CY76" s="865"/>
      <c r="CZ76" s="865"/>
      <c r="DA76" s="865"/>
      <c r="DB76" s="865"/>
      <c r="DC76" s="865"/>
      <c r="DD76" s="858"/>
    </row>
    <row r="77" spans="1:108" ht="15.75" customHeight="1">
      <c r="A77" s="859"/>
      <c r="B77" s="1014"/>
      <c r="C77" s="1014"/>
      <c r="D77" s="1014"/>
      <c r="E77" s="1014"/>
      <c r="F77" s="1014"/>
      <c r="G77" s="1014"/>
      <c r="H77" s="1014"/>
      <c r="I77" s="1014"/>
      <c r="J77" s="1014"/>
      <c r="K77" s="1014"/>
      <c r="L77" s="1014"/>
      <c r="M77" s="1014"/>
      <c r="N77" s="1014"/>
      <c r="O77" s="1014"/>
      <c r="P77" s="1014"/>
      <c r="Q77" s="1014"/>
      <c r="R77" s="1014"/>
      <c r="S77" s="1014"/>
      <c r="T77" s="1014"/>
      <c r="U77" s="1014"/>
      <c r="V77" s="1014"/>
      <c r="W77" s="1014"/>
      <c r="X77" s="1014"/>
      <c r="Y77" s="1014"/>
      <c r="Z77" s="1014"/>
      <c r="AA77" s="1014"/>
      <c r="AB77" s="1014"/>
      <c r="AC77" s="1014"/>
      <c r="AD77" s="1014"/>
      <c r="AE77" s="1014"/>
      <c r="AF77" s="1014"/>
      <c r="AG77" s="1014"/>
      <c r="AH77" s="1014"/>
      <c r="AI77" s="1014"/>
      <c r="AJ77" s="1014"/>
      <c r="AK77" s="865"/>
      <c r="AL77" s="855"/>
      <c r="AM77" s="860"/>
      <c r="AN77" s="865"/>
      <c r="AO77" s="865"/>
      <c r="AP77" s="865"/>
      <c r="AQ77" s="865"/>
      <c r="AR77" s="865"/>
      <c r="AS77" s="865"/>
      <c r="AT77" s="865"/>
      <c r="AU77" s="865"/>
      <c r="AV77" s="865"/>
      <c r="AW77" s="865"/>
      <c r="AX77" s="865"/>
      <c r="AY77" s="865"/>
      <c r="AZ77" s="865"/>
      <c r="BA77" s="865"/>
      <c r="BB77" s="1014"/>
      <c r="BC77" s="1014"/>
      <c r="BD77" s="1014"/>
      <c r="BE77" s="1014"/>
      <c r="BF77" s="1014"/>
      <c r="BG77" s="1014"/>
      <c r="BH77" s="1014"/>
      <c r="BI77" s="1014"/>
      <c r="BJ77" s="1014"/>
      <c r="BK77" s="1014"/>
      <c r="BL77" s="865"/>
      <c r="BM77" s="865"/>
      <c r="BN77" s="865"/>
      <c r="BO77" s="865"/>
      <c r="BP77" s="865"/>
      <c r="BQ77" s="865"/>
      <c r="BR77" s="865"/>
      <c r="BS77" s="865"/>
      <c r="BT77" s="865"/>
      <c r="BU77" s="865"/>
      <c r="BV77" s="865"/>
      <c r="BW77" s="865"/>
      <c r="BX77" s="865"/>
      <c r="BY77" s="865"/>
      <c r="BZ77" s="865"/>
      <c r="CA77" s="865"/>
      <c r="CB77" s="865"/>
      <c r="CC77" s="855"/>
      <c r="CD77" s="855"/>
      <c r="CE77" s="855"/>
      <c r="CF77" s="855"/>
      <c r="CG77" s="855"/>
      <c r="CH77" s="855"/>
      <c r="CI77" s="855"/>
      <c r="CJ77" s="855"/>
      <c r="CK77" s="855"/>
      <c r="CL77" s="855"/>
      <c r="CM77" s="855"/>
      <c r="CN77" s="855"/>
      <c r="CO77" s="855"/>
      <c r="CP77" s="855"/>
      <c r="CQ77" s="855"/>
      <c r="CR77" s="855"/>
      <c r="CS77" s="855"/>
      <c r="CT77" s="855"/>
      <c r="CU77" s="855"/>
      <c r="CV77" s="855"/>
      <c r="CW77" s="855"/>
      <c r="CX77" s="855"/>
      <c r="CY77" s="855"/>
      <c r="CZ77" s="855"/>
      <c r="DA77" s="855"/>
      <c r="DB77" s="855"/>
      <c r="DC77" s="855"/>
      <c r="DD77" s="858"/>
    </row>
    <row r="78" spans="1:108" ht="15.75" customHeight="1">
      <c r="A78" s="858"/>
      <c r="B78" s="858"/>
      <c r="C78" s="858"/>
      <c r="D78" s="858"/>
      <c r="E78" s="858"/>
      <c r="F78" s="858"/>
      <c r="G78" s="858"/>
      <c r="H78" s="858"/>
      <c r="I78" s="858"/>
      <c r="J78" s="858"/>
      <c r="K78" s="858"/>
      <c r="L78" s="858"/>
      <c r="M78" s="858"/>
      <c r="N78" s="858"/>
      <c r="O78" s="858"/>
      <c r="P78" s="858"/>
      <c r="Q78" s="858"/>
      <c r="R78" s="858"/>
      <c r="S78" s="858"/>
      <c r="T78" s="858"/>
      <c r="U78" s="858"/>
      <c r="V78" s="858"/>
      <c r="W78" s="858"/>
      <c r="X78" s="858"/>
      <c r="Y78" s="858"/>
      <c r="Z78" s="858"/>
      <c r="AA78" s="858"/>
      <c r="AB78" s="858"/>
      <c r="AC78" s="858"/>
      <c r="AD78" s="858"/>
      <c r="AE78" s="858"/>
      <c r="AF78" s="858"/>
      <c r="AG78" s="858"/>
      <c r="AH78" s="858"/>
      <c r="AI78" s="858"/>
      <c r="AJ78" s="858"/>
      <c r="AK78" s="858"/>
      <c r="AL78" s="858"/>
      <c r="AM78" s="858"/>
      <c r="AN78" s="858"/>
      <c r="AO78" s="858"/>
      <c r="AP78" s="858"/>
      <c r="AQ78" s="858"/>
      <c r="AR78" s="858"/>
      <c r="AS78" s="858"/>
      <c r="AT78" s="858"/>
      <c r="AU78" s="858"/>
      <c r="AV78" s="858"/>
      <c r="AW78" s="858"/>
      <c r="AX78" s="858"/>
      <c r="AY78" s="858"/>
      <c r="AZ78" s="858"/>
      <c r="BA78" s="858"/>
      <c r="BB78" s="858"/>
      <c r="BC78" s="858"/>
      <c r="BD78" s="858"/>
      <c r="BE78" s="858"/>
      <c r="BF78" s="858"/>
      <c r="BG78" s="858"/>
      <c r="BH78" s="858"/>
      <c r="BI78" s="858"/>
      <c r="BJ78" s="858"/>
      <c r="BK78" s="858"/>
      <c r="BL78" s="858"/>
      <c r="BM78" s="858"/>
      <c r="BN78" s="858"/>
      <c r="BO78" s="858"/>
      <c r="BP78" s="858"/>
      <c r="BQ78" s="858"/>
      <c r="BR78" s="858"/>
      <c r="BS78" s="858"/>
      <c r="BT78" s="858"/>
      <c r="BU78" s="858"/>
      <c r="BV78" s="858"/>
      <c r="BW78" s="858"/>
      <c r="BX78" s="858"/>
      <c r="BY78" s="858"/>
      <c r="BZ78" s="858"/>
      <c r="CA78" s="858"/>
      <c r="CB78" s="858"/>
      <c r="CC78" s="858"/>
      <c r="CD78" s="858"/>
      <c r="CE78" s="858"/>
      <c r="CF78" s="858"/>
      <c r="CG78" s="858"/>
      <c r="CH78" s="858"/>
      <c r="CI78" s="858"/>
      <c r="CJ78" s="858"/>
      <c r="CK78" s="858"/>
      <c r="CL78" s="858"/>
      <c r="CM78" s="858"/>
      <c r="CN78" s="858"/>
      <c r="CO78" s="858"/>
      <c r="CP78" s="858"/>
      <c r="CQ78" s="858"/>
      <c r="CR78" s="858"/>
      <c r="CS78" s="858"/>
      <c r="CT78" s="858"/>
      <c r="CU78" s="858"/>
      <c r="CV78" s="858"/>
      <c r="CW78" s="858"/>
      <c r="CX78" s="858"/>
      <c r="CY78" s="858"/>
      <c r="CZ78" s="858"/>
      <c r="DA78" s="858"/>
      <c r="DB78" s="858"/>
      <c r="DC78" s="858"/>
      <c r="DD78" s="858"/>
    </row>
    <row r="79" spans="1:108" ht="15.75" customHeight="1">
      <c r="A79" s="858"/>
      <c r="B79" s="858"/>
      <c r="C79" s="858"/>
      <c r="D79" s="858"/>
      <c r="E79" s="858"/>
      <c r="F79" s="858"/>
      <c r="G79" s="858"/>
      <c r="H79" s="858"/>
      <c r="I79" s="858"/>
      <c r="J79" s="858"/>
      <c r="K79" s="858"/>
      <c r="L79" s="858"/>
      <c r="M79" s="858"/>
      <c r="N79" s="858"/>
      <c r="O79" s="858"/>
      <c r="P79" s="858"/>
      <c r="Q79" s="858"/>
      <c r="R79" s="858"/>
      <c r="S79" s="858"/>
      <c r="T79" s="858"/>
      <c r="U79" s="858"/>
      <c r="V79" s="858"/>
      <c r="W79" s="858"/>
      <c r="X79" s="858"/>
      <c r="Y79" s="858"/>
      <c r="Z79" s="858"/>
      <c r="AA79" s="858"/>
      <c r="AB79" s="858"/>
      <c r="AC79" s="858"/>
      <c r="AD79" s="858"/>
      <c r="AE79" s="858"/>
      <c r="AF79" s="858"/>
      <c r="AG79" s="858"/>
      <c r="AH79" s="858"/>
      <c r="AI79" s="858"/>
      <c r="AJ79" s="858"/>
      <c r="AK79" s="858"/>
      <c r="AL79" s="858"/>
      <c r="AM79" s="858"/>
      <c r="AN79" s="858"/>
      <c r="AO79" s="858"/>
      <c r="AP79" s="858"/>
      <c r="AQ79" s="858"/>
      <c r="AR79" s="858"/>
      <c r="AS79" s="858"/>
      <c r="AT79" s="858"/>
      <c r="AU79" s="858"/>
      <c r="AV79" s="858"/>
      <c r="AW79" s="858"/>
      <c r="AX79" s="858"/>
      <c r="AY79" s="858"/>
      <c r="AZ79" s="858"/>
      <c r="BA79" s="858"/>
      <c r="BB79" s="858"/>
      <c r="BC79" s="858"/>
      <c r="BD79" s="858"/>
      <c r="BE79" s="858"/>
      <c r="BF79" s="858"/>
      <c r="BG79" s="858"/>
      <c r="BH79" s="858"/>
      <c r="BI79" s="858"/>
      <c r="BJ79" s="858"/>
      <c r="BK79" s="858"/>
      <c r="BL79" s="858"/>
      <c r="BM79" s="858"/>
      <c r="BN79" s="858"/>
      <c r="BO79" s="858"/>
      <c r="BP79" s="858"/>
      <c r="BQ79" s="858"/>
      <c r="BR79" s="858"/>
      <c r="BS79" s="858"/>
      <c r="BT79" s="858"/>
      <c r="BU79" s="858"/>
      <c r="BV79" s="858"/>
      <c r="BW79" s="858"/>
      <c r="BX79" s="858"/>
      <c r="BY79" s="858"/>
      <c r="BZ79" s="858"/>
      <c r="CA79" s="858"/>
      <c r="CB79" s="858"/>
      <c r="CC79" s="858"/>
      <c r="CD79" s="858"/>
      <c r="CE79" s="858"/>
      <c r="CF79" s="858"/>
      <c r="CG79" s="858"/>
      <c r="CH79" s="858"/>
      <c r="CI79" s="858"/>
      <c r="CJ79" s="858"/>
      <c r="CK79" s="858"/>
      <c r="CL79" s="858"/>
      <c r="CM79" s="858"/>
      <c r="CN79" s="858"/>
      <c r="CO79" s="858"/>
      <c r="CP79" s="858"/>
      <c r="CQ79" s="858"/>
      <c r="CR79" s="858"/>
      <c r="CS79" s="858"/>
      <c r="CT79" s="858"/>
      <c r="CU79" s="858"/>
      <c r="CV79" s="858"/>
      <c r="CW79" s="858"/>
      <c r="CX79" s="858"/>
      <c r="CY79" s="858"/>
      <c r="CZ79" s="858"/>
      <c r="DA79" s="858"/>
      <c r="DB79" s="858"/>
      <c r="DC79" s="858"/>
      <c r="DD79" s="858"/>
    </row>
  </sheetData>
  <mergeCells count="67">
    <mergeCell ref="AC66:AF66"/>
    <mergeCell ref="AT68:AU68"/>
    <mergeCell ref="CW69:CZ75"/>
    <mergeCell ref="CE70:CO75"/>
    <mergeCell ref="AH72:AJ76"/>
    <mergeCell ref="BU72:BX72"/>
    <mergeCell ref="BP75:BR76"/>
    <mergeCell ref="BZ75:CA76"/>
    <mergeCell ref="BU58:CA68"/>
    <mergeCell ref="CW59:DB64"/>
    <mergeCell ref="CX65:CZ65"/>
    <mergeCell ref="DA73:DB75"/>
    <mergeCell ref="CU42:CV42"/>
    <mergeCell ref="AS43:AV43"/>
    <mergeCell ref="AR47:AS47"/>
    <mergeCell ref="AT47:AU47"/>
    <mergeCell ref="CH47:CI47"/>
    <mergeCell ref="CM47:CN47"/>
    <mergeCell ref="BZ38:CA38"/>
    <mergeCell ref="AT57:AU57"/>
    <mergeCell ref="AI40:AJ48"/>
    <mergeCell ref="BG40:BH40"/>
    <mergeCell ref="CH42:CI42"/>
    <mergeCell ref="BG48:BH48"/>
    <mergeCell ref="BC51:BD51"/>
    <mergeCell ref="AY52:AZ52"/>
    <mergeCell ref="CH53:CI53"/>
    <mergeCell ref="BU54:BW54"/>
    <mergeCell ref="AT55:AU55"/>
    <mergeCell ref="AS39:AY39"/>
    <mergeCell ref="CH39:CI39"/>
    <mergeCell ref="B26:C26"/>
    <mergeCell ref="CM26:CN26"/>
    <mergeCell ref="C30:D30"/>
    <mergeCell ref="P30:W46"/>
    <mergeCell ref="CH30:CI30"/>
    <mergeCell ref="BZ31:CA31"/>
    <mergeCell ref="CE31:CF31"/>
    <mergeCell ref="G32:H32"/>
    <mergeCell ref="AI32:AJ39"/>
    <mergeCell ref="BV33:BW33"/>
    <mergeCell ref="CM33:CN33"/>
    <mergeCell ref="I37:J37"/>
    <mergeCell ref="AP37:AQ37"/>
    <mergeCell ref="BO38:BP38"/>
    <mergeCell ref="N21:O24"/>
    <mergeCell ref="BE21:BI25"/>
    <mergeCell ref="CM21:CN21"/>
    <mergeCell ref="CE23:CI28"/>
    <mergeCell ref="G24:H24"/>
    <mergeCell ref="BO24:BP24"/>
    <mergeCell ref="BV20:BW20"/>
    <mergeCell ref="A1:DC1"/>
    <mergeCell ref="BQ5:BS5"/>
    <mergeCell ref="A6:C8"/>
    <mergeCell ref="AB6:AJ9"/>
    <mergeCell ref="BZ6:CA10"/>
    <mergeCell ref="G9:H9"/>
    <mergeCell ref="I9:J9"/>
    <mergeCell ref="Q9:X18"/>
    <mergeCell ref="F10:G10"/>
    <mergeCell ref="CH10:CI10"/>
    <mergeCell ref="A12:A15"/>
    <mergeCell ref="M12:N12"/>
    <mergeCell ref="Z13:AH18"/>
    <mergeCell ref="CM16:CN16"/>
    <mergeCell ref="C19:D19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/>
  <dimension ref="A1:DD361"/>
  <sheetViews>
    <sheetView zoomScale="40" zoomScaleNormal="40" workbookViewId="0">
      <selection activeCell="I56" sqref="I56"/>
    </sheetView>
  </sheetViews>
  <sheetFormatPr baseColWidth="10" defaultColWidth="14.42578125" defaultRowHeight="15"/>
  <cols>
    <col min="1" max="108" width="10.7109375" style="2" customWidth="1"/>
    <col min="109" max="16384" width="14.42578125" style="2"/>
  </cols>
  <sheetData>
    <row r="1" spans="1:108" ht="45.75" thickBot="1">
      <c r="A1" s="716" t="s">
        <v>118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  <c r="Y1" s="717"/>
      <c r="Z1" s="717"/>
      <c r="AA1" s="717"/>
      <c r="AB1" s="717"/>
      <c r="AC1" s="717"/>
      <c r="AD1" s="717"/>
      <c r="AE1" s="717"/>
      <c r="AF1" s="717"/>
      <c r="AG1" s="717"/>
      <c r="AH1" s="717"/>
      <c r="AI1" s="717"/>
      <c r="AJ1" s="717"/>
      <c r="AK1" s="717"/>
      <c r="AL1" s="717"/>
      <c r="AM1" s="717"/>
      <c r="AN1" s="717"/>
      <c r="AO1" s="717"/>
      <c r="AP1" s="717"/>
      <c r="AQ1" s="717"/>
      <c r="AR1" s="717"/>
      <c r="AS1" s="717"/>
      <c r="AT1" s="717"/>
      <c r="AU1" s="717"/>
      <c r="AV1" s="717"/>
      <c r="AW1" s="717"/>
      <c r="AX1" s="717"/>
      <c r="AY1" s="717"/>
      <c r="AZ1" s="717"/>
      <c r="BA1" s="717"/>
      <c r="BB1" s="717"/>
      <c r="BC1" s="717"/>
      <c r="BD1" s="717"/>
      <c r="BE1" s="717"/>
      <c r="BF1" s="717"/>
      <c r="BG1" s="717"/>
      <c r="BH1" s="717"/>
      <c r="BI1" s="717"/>
      <c r="BJ1" s="717"/>
      <c r="BK1" s="717"/>
      <c r="BL1" s="717"/>
      <c r="BM1" s="717"/>
      <c r="BN1" s="717"/>
      <c r="BO1" s="717"/>
      <c r="BP1" s="717"/>
      <c r="BQ1" s="717"/>
      <c r="BR1" s="717"/>
      <c r="BS1" s="717"/>
      <c r="BT1" s="717"/>
      <c r="BU1" s="717"/>
      <c r="BV1" s="717"/>
      <c r="BW1" s="717"/>
      <c r="BX1" s="717"/>
      <c r="BY1" s="717"/>
      <c r="BZ1" s="717"/>
      <c r="CA1" s="717"/>
      <c r="CB1" s="717"/>
      <c r="CC1" s="717"/>
      <c r="CD1" s="717"/>
      <c r="CE1" s="717"/>
      <c r="CF1" s="717"/>
      <c r="CG1" s="717"/>
      <c r="CH1" s="717"/>
      <c r="CI1" s="717"/>
      <c r="CJ1" s="717"/>
      <c r="CK1" s="717"/>
      <c r="CL1" s="717"/>
      <c r="CM1" s="717"/>
      <c r="CN1" s="717"/>
      <c r="CO1" s="717"/>
      <c r="CP1" s="717"/>
      <c r="CQ1" s="717"/>
      <c r="CR1" s="717"/>
      <c r="CS1" s="717"/>
      <c r="CT1" s="717"/>
      <c r="CU1" s="717"/>
      <c r="CV1" s="717"/>
      <c r="CW1" s="717"/>
      <c r="CX1" s="717"/>
      <c r="CY1" s="717"/>
      <c r="CZ1" s="717"/>
      <c r="DA1" s="717"/>
      <c r="DB1" s="717"/>
      <c r="DC1" s="718"/>
      <c r="DD1" s="1"/>
    </row>
    <row r="2" spans="1:108" ht="33.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119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5" t="s">
        <v>120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4" t="s">
        <v>121</v>
      </c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3"/>
      <c r="CX2" s="3"/>
      <c r="CY2" s="3"/>
      <c r="CZ2" s="3"/>
      <c r="DA2" s="3"/>
      <c r="DB2" s="3"/>
      <c r="DC2" s="3"/>
      <c r="DD2" s="6"/>
    </row>
    <row r="3" spans="1:108" ht="33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3"/>
      <c r="CX3" s="3"/>
      <c r="CY3" s="3"/>
      <c r="CZ3" s="3"/>
      <c r="DA3" s="3"/>
      <c r="DB3" s="3"/>
      <c r="DC3" s="3"/>
      <c r="DD3" s="6"/>
    </row>
    <row r="4" spans="1:108" ht="34.5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3"/>
      <c r="CX4" s="3"/>
      <c r="CY4" s="3"/>
      <c r="CZ4" s="3"/>
      <c r="DA4" s="3"/>
      <c r="DB4" s="3"/>
      <c r="DC4" s="3"/>
      <c r="DD4" s="6"/>
    </row>
    <row r="5" spans="1:108" ht="18.75" thickBo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9"/>
      <c r="AF5" s="10"/>
      <c r="AG5" s="10"/>
      <c r="AH5" s="11"/>
      <c r="AI5" s="12"/>
      <c r="AJ5" s="12"/>
      <c r="AK5" s="12"/>
      <c r="AL5" s="3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8"/>
      <c r="BH5" s="8"/>
      <c r="BI5" s="8"/>
      <c r="BJ5" s="8"/>
      <c r="BK5" s="8"/>
      <c r="BL5" s="8"/>
      <c r="BM5" s="8"/>
      <c r="BN5" s="8"/>
      <c r="BO5" s="8"/>
      <c r="BP5" s="8"/>
      <c r="BQ5" s="766" t="s">
        <v>122</v>
      </c>
      <c r="BR5" s="717"/>
      <c r="BS5" s="718"/>
      <c r="BT5" s="10"/>
      <c r="BU5" s="10"/>
      <c r="BV5" s="10"/>
      <c r="BW5" s="10"/>
      <c r="BX5" s="11"/>
      <c r="BY5" s="11"/>
      <c r="BZ5" s="12"/>
      <c r="CA5" s="12"/>
      <c r="CB5" s="12"/>
      <c r="CC5" s="3"/>
      <c r="CD5" s="7"/>
      <c r="CE5" s="7"/>
      <c r="CF5" s="7"/>
      <c r="CG5" s="7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9"/>
      <c r="CX5" s="10"/>
      <c r="CY5" s="11"/>
      <c r="CZ5" s="11"/>
      <c r="DA5" s="12"/>
      <c r="DB5" s="12"/>
      <c r="DC5" s="12"/>
      <c r="DD5" s="6"/>
    </row>
    <row r="6" spans="1:108" ht="21">
      <c r="A6" s="720" t="s">
        <v>123</v>
      </c>
      <c r="B6" s="721"/>
      <c r="C6" s="722"/>
      <c r="D6" s="13" t="s">
        <v>124</v>
      </c>
      <c r="E6" s="14" t="s">
        <v>125</v>
      </c>
      <c r="F6" s="15"/>
      <c r="G6" s="16" t="s">
        <v>48</v>
      </c>
      <c r="H6" s="15"/>
      <c r="I6" s="17" t="s">
        <v>126</v>
      </c>
      <c r="J6" s="18" t="s">
        <v>25</v>
      </c>
      <c r="K6" s="19"/>
      <c r="L6" s="16" t="s">
        <v>48</v>
      </c>
      <c r="M6" s="20" t="s">
        <v>127</v>
      </c>
      <c r="N6" s="3"/>
      <c r="O6" s="7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8"/>
      <c r="AB6" s="767" t="s">
        <v>128</v>
      </c>
      <c r="AC6" s="730"/>
      <c r="AD6" s="730"/>
      <c r="AE6" s="730"/>
      <c r="AF6" s="730"/>
      <c r="AG6" s="730"/>
      <c r="AH6" s="730"/>
      <c r="AI6" s="730"/>
      <c r="AJ6" s="730"/>
      <c r="AK6" s="12"/>
      <c r="AL6" s="3"/>
      <c r="AM6" s="7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23"/>
      <c r="BA6" s="24"/>
      <c r="BB6" s="25" t="s">
        <v>129</v>
      </c>
      <c r="BC6" s="26"/>
      <c r="BD6" s="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7"/>
      <c r="BR6" s="27"/>
      <c r="BS6" s="27"/>
      <c r="BT6" s="28"/>
      <c r="BU6" s="28"/>
      <c r="BV6" s="28"/>
      <c r="BW6" s="28"/>
      <c r="BX6" s="28"/>
      <c r="BY6" s="28"/>
      <c r="BZ6" s="768" t="s">
        <v>130</v>
      </c>
      <c r="CA6" s="722"/>
      <c r="CB6" s="12"/>
      <c r="CC6" s="3"/>
      <c r="CD6" s="7"/>
      <c r="CE6" s="3"/>
      <c r="CF6" s="29"/>
      <c r="CG6" s="6"/>
      <c r="CH6" s="6"/>
      <c r="CI6" s="30" t="s">
        <v>131</v>
      </c>
      <c r="CJ6" s="30" t="s">
        <v>131</v>
      </c>
      <c r="CK6" s="30" t="s">
        <v>131</v>
      </c>
      <c r="CL6" s="30" t="s">
        <v>131</v>
      </c>
      <c r="CM6" s="30" t="s">
        <v>131</v>
      </c>
      <c r="CN6" s="30" t="s">
        <v>131</v>
      </c>
      <c r="CO6" s="6"/>
      <c r="CP6" s="3"/>
      <c r="CQ6" s="6"/>
      <c r="CR6" s="6"/>
      <c r="CS6" s="14" t="s">
        <v>125</v>
      </c>
      <c r="CT6" s="31" t="s">
        <v>125</v>
      </c>
      <c r="CU6" s="31" t="s">
        <v>125</v>
      </c>
      <c r="CV6" s="31" t="s">
        <v>125</v>
      </c>
      <c r="CW6" s="31" t="s">
        <v>125</v>
      </c>
      <c r="CX6" s="31" t="s">
        <v>125</v>
      </c>
      <c r="CY6" s="31" t="s">
        <v>125</v>
      </c>
      <c r="CZ6" s="31" t="s">
        <v>125</v>
      </c>
      <c r="DA6" s="32"/>
      <c r="DB6" s="32"/>
      <c r="DC6" s="12"/>
      <c r="DD6" s="6"/>
    </row>
    <row r="7" spans="1:108" ht="51">
      <c r="A7" s="723"/>
      <c r="B7" s="724"/>
      <c r="C7" s="725"/>
      <c r="D7" s="33" t="s">
        <v>132</v>
      </c>
      <c r="E7" s="6"/>
      <c r="F7" s="6"/>
      <c r="G7" s="34" t="s">
        <v>133</v>
      </c>
      <c r="H7" s="35" t="s">
        <v>134</v>
      </c>
      <c r="I7" s="17"/>
      <c r="J7" s="36" t="s">
        <v>135</v>
      </c>
      <c r="K7" s="35" t="s">
        <v>136</v>
      </c>
      <c r="L7" s="37" t="s">
        <v>137</v>
      </c>
      <c r="M7" s="3"/>
      <c r="N7" s="3"/>
      <c r="O7" s="7"/>
      <c r="P7" s="21"/>
      <c r="Q7" s="21"/>
      <c r="R7" s="21"/>
      <c r="S7" s="21"/>
      <c r="T7" s="21"/>
      <c r="U7" s="27"/>
      <c r="V7" s="27"/>
      <c r="W7" s="21"/>
      <c r="X7" s="21"/>
      <c r="Y7" s="38"/>
      <c r="Z7" s="38"/>
      <c r="AA7" s="39" t="s">
        <v>138</v>
      </c>
      <c r="AB7" s="730"/>
      <c r="AC7" s="724"/>
      <c r="AD7" s="724"/>
      <c r="AE7" s="724"/>
      <c r="AF7" s="724"/>
      <c r="AG7" s="724"/>
      <c r="AH7" s="724"/>
      <c r="AI7" s="724"/>
      <c r="AJ7" s="730"/>
      <c r="AK7" s="12"/>
      <c r="AL7" s="3"/>
      <c r="AM7" s="7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40"/>
      <c r="BA7" s="41"/>
      <c r="BB7" s="25" t="s">
        <v>129</v>
      </c>
      <c r="BC7" s="26"/>
      <c r="BD7" s="6"/>
      <c r="BE7" s="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7"/>
      <c r="BR7" s="27"/>
      <c r="BS7" s="27"/>
      <c r="BT7" s="28"/>
      <c r="BU7" s="28"/>
      <c r="BV7" s="28"/>
      <c r="BW7" s="28"/>
      <c r="BX7" s="28"/>
      <c r="BY7" s="28"/>
      <c r="BZ7" s="723"/>
      <c r="CA7" s="725"/>
      <c r="CB7" s="12"/>
      <c r="CC7" s="3"/>
      <c r="CD7" s="7"/>
      <c r="CE7" s="31" t="s">
        <v>125</v>
      </c>
      <c r="CF7" s="42"/>
      <c r="CG7" s="43"/>
      <c r="CH7" s="43"/>
      <c r="CI7" s="44"/>
      <c r="CJ7" s="44"/>
      <c r="CK7" s="44"/>
      <c r="CL7" s="44"/>
      <c r="CM7" s="44"/>
      <c r="CN7" s="44"/>
      <c r="CO7" s="44"/>
      <c r="CP7" s="3"/>
      <c r="CQ7" s="3"/>
      <c r="CR7" s="3"/>
      <c r="CS7" s="6"/>
      <c r="CT7" s="6"/>
      <c r="CU7" s="6"/>
      <c r="CV7" s="6"/>
      <c r="CW7" s="6"/>
      <c r="CX7" s="6"/>
      <c r="CY7" s="6"/>
      <c r="CZ7" s="6"/>
      <c r="DA7" s="32"/>
      <c r="DB7" s="32"/>
      <c r="DC7" s="12"/>
      <c r="DD7" s="6"/>
    </row>
    <row r="8" spans="1:108" ht="21.75" thickBot="1">
      <c r="A8" s="726"/>
      <c r="B8" s="727"/>
      <c r="C8" s="728"/>
      <c r="D8" s="45">
        <v>3</v>
      </c>
      <c r="E8" s="6"/>
      <c r="F8" s="6"/>
      <c r="G8" s="46">
        <v>1</v>
      </c>
      <c r="H8" s="47"/>
      <c r="I8" s="48" t="s">
        <v>136</v>
      </c>
      <c r="J8" s="49"/>
      <c r="K8" s="3"/>
      <c r="L8" s="46">
        <v>1</v>
      </c>
      <c r="M8" s="3"/>
      <c r="N8" s="3"/>
      <c r="O8" s="7"/>
      <c r="P8" s="21"/>
      <c r="Q8" s="21"/>
      <c r="R8" s="21"/>
      <c r="S8" s="21"/>
      <c r="T8" s="21"/>
      <c r="U8" s="27"/>
      <c r="V8" s="27"/>
      <c r="W8" s="21"/>
      <c r="X8" s="21"/>
      <c r="Y8" s="38"/>
      <c r="Z8" s="38"/>
      <c r="AA8" s="39"/>
      <c r="AB8" s="730"/>
      <c r="AC8" s="724"/>
      <c r="AD8" s="724"/>
      <c r="AE8" s="724"/>
      <c r="AF8" s="724"/>
      <c r="AG8" s="724"/>
      <c r="AH8" s="724"/>
      <c r="AI8" s="724"/>
      <c r="AJ8" s="730"/>
      <c r="AK8" s="12"/>
      <c r="AL8" s="3"/>
      <c r="AM8" s="7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40"/>
      <c r="BA8" s="41"/>
      <c r="BB8" s="6"/>
      <c r="BC8" s="26"/>
      <c r="BD8" s="6"/>
      <c r="BE8" s="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43"/>
      <c r="BR8" s="43"/>
      <c r="BS8" s="43"/>
      <c r="BT8" s="50"/>
      <c r="BU8" s="50"/>
      <c r="BV8" s="43"/>
      <c r="BW8" s="43"/>
      <c r="BX8" s="29"/>
      <c r="BY8" s="29"/>
      <c r="BZ8" s="723"/>
      <c r="CA8" s="725"/>
      <c r="CB8" s="12"/>
      <c r="CC8" s="3"/>
      <c r="CD8" s="7"/>
      <c r="CE8" s="3"/>
      <c r="CF8" s="42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2"/>
      <c r="DB8" s="32"/>
      <c r="DC8" s="12"/>
      <c r="DD8" s="6"/>
    </row>
    <row r="9" spans="1:108" ht="23.25" thickBot="1">
      <c r="A9" s="51"/>
      <c r="B9" s="52"/>
      <c r="C9" s="52"/>
      <c r="D9" s="53" t="s">
        <v>139</v>
      </c>
      <c r="E9" s="6"/>
      <c r="F9" s="6"/>
      <c r="G9" s="732" t="s">
        <v>140</v>
      </c>
      <c r="H9" s="730"/>
      <c r="I9" s="733" t="s">
        <v>141</v>
      </c>
      <c r="J9" s="730"/>
      <c r="K9" s="6"/>
      <c r="L9" s="55" t="s">
        <v>142</v>
      </c>
      <c r="M9" s="6"/>
      <c r="N9" s="3"/>
      <c r="O9" s="7"/>
      <c r="P9" s="21"/>
      <c r="Q9" s="734" t="s">
        <v>128</v>
      </c>
      <c r="R9" s="721"/>
      <c r="S9" s="721"/>
      <c r="T9" s="721"/>
      <c r="U9" s="721"/>
      <c r="V9" s="721"/>
      <c r="W9" s="721"/>
      <c r="X9" s="722"/>
      <c r="Y9" s="38"/>
      <c r="Z9" s="38"/>
      <c r="AA9" s="39"/>
      <c r="AB9" s="730"/>
      <c r="AC9" s="730"/>
      <c r="AD9" s="730"/>
      <c r="AE9" s="730"/>
      <c r="AF9" s="730"/>
      <c r="AG9" s="730"/>
      <c r="AH9" s="730"/>
      <c r="AI9" s="730"/>
      <c r="AJ9" s="730"/>
      <c r="AK9" s="12"/>
      <c r="AL9" s="3"/>
      <c r="AM9" s="7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40"/>
      <c r="BA9" s="41"/>
      <c r="BB9" s="25" t="s">
        <v>129</v>
      </c>
      <c r="BC9" s="26"/>
      <c r="BD9" s="6"/>
      <c r="BE9" s="6"/>
      <c r="BF9" s="6"/>
      <c r="BG9" s="6"/>
      <c r="BH9" s="6"/>
      <c r="BI9" s="26"/>
      <c r="BJ9" s="26"/>
      <c r="BK9" s="26"/>
      <c r="BL9" s="26"/>
      <c r="BM9" s="26"/>
      <c r="BN9" s="26"/>
      <c r="BO9" s="26"/>
      <c r="BP9" s="26"/>
      <c r="BQ9" s="43"/>
      <c r="BR9" s="43"/>
      <c r="BS9" s="43"/>
      <c r="BT9" s="29"/>
      <c r="BU9" s="43"/>
      <c r="BV9" s="43"/>
      <c r="BW9" s="43"/>
      <c r="BX9" s="29"/>
      <c r="BY9" s="29"/>
      <c r="BZ9" s="723"/>
      <c r="CA9" s="725"/>
      <c r="CB9" s="12"/>
      <c r="CC9" s="3"/>
      <c r="CD9" s="7"/>
      <c r="CE9" s="31" t="s">
        <v>125</v>
      </c>
      <c r="CF9" s="42"/>
      <c r="CG9" s="6"/>
      <c r="CH9" s="6"/>
      <c r="CI9" s="6"/>
      <c r="CJ9" s="6"/>
      <c r="CK9" s="6"/>
      <c r="CL9" s="6"/>
      <c r="CM9" s="6"/>
      <c r="CN9" s="6"/>
      <c r="CO9" s="6"/>
      <c r="CP9" s="6"/>
      <c r="CQ9" s="3"/>
      <c r="CR9" s="3"/>
      <c r="CS9" s="3"/>
      <c r="CT9" s="3"/>
      <c r="CU9" s="3"/>
      <c r="CV9" s="6"/>
      <c r="CW9" s="6"/>
      <c r="CX9" s="3"/>
      <c r="CY9" s="3"/>
      <c r="CZ9" s="3"/>
      <c r="DA9" s="56"/>
      <c r="DB9" s="6"/>
      <c r="DC9" s="12"/>
      <c r="DD9" s="6"/>
    </row>
    <row r="10" spans="1:108" ht="21.75" thickBot="1">
      <c r="A10" s="57"/>
      <c r="B10" s="3"/>
      <c r="C10" s="3"/>
      <c r="D10" s="3"/>
      <c r="E10" s="6"/>
      <c r="F10" s="732" t="s">
        <v>141</v>
      </c>
      <c r="G10" s="730"/>
      <c r="H10" s="6"/>
      <c r="I10" s="6"/>
      <c r="J10" s="3"/>
      <c r="K10" s="52"/>
      <c r="L10" s="3"/>
      <c r="M10" s="3"/>
      <c r="N10" s="3"/>
      <c r="O10" s="7"/>
      <c r="P10" s="21"/>
      <c r="Q10" s="723"/>
      <c r="R10" s="724"/>
      <c r="S10" s="724"/>
      <c r="T10" s="724"/>
      <c r="U10" s="724"/>
      <c r="V10" s="724"/>
      <c r="W10" s="724"/>
      <c r="X10" s="725"/>
      <c r="Y10" s="38"/>
      <c r="Z10" s="3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58"/>
      <c r="AL10" s="3"/>
      <c r="AM10" s="7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40"/>
      <c r="BA10" s="41"/>
      <c r="BB10" s="26"/>
      <c r="BC10" s="26"/>
      <c r="BD10" s="6"/>
      <c r="BE10" s="6"/>
      <c r="BF10" s="6"/>
      <c r="BG10" s="59" t="s">
        <v>143</v>
      </c>
      <c r="BH10" s="59" t="s">
        <v>143</v>
      </c>
      <c r="BI10" s="26"/>
      <c r="BJ10" s="26"/>
      <c r="BK10" s="26"/>
      <c r="BL10" s="26"/>
      <c r="BM10" s="26"/>
      <c r="BN10" s="26"/>
      <c r="BO10" s="26"/>
      <c r="BP10" s="26"/>
      <c r="BQ10" s="43"/>
      <c r="BR10" s="43"/>
      <c r="BS10" s="43"/>
      <c r="BT10" s="43"/>
      <c r="BU10" s="43"/>
      <c r="BV10" s="29"/>
      <c r="BW10" s="29"/>
      <c r="BX10" s="29"/>
      <c r="BY10" s="29"/>
      <c r="BZ10" s="726"/>
      <c r="CA10" s="728"/>
      <c r="CB10" s="58"/>
      <c r="CC10" s="3"/>
      <c r="CD10" s="8"/>
      <c r="CE10" s="3"/>
      <c r="CF10" s="42"/>
      <c r="CG10" s="6"/>
      <c r="CH10" s="732" t="s">
        <v>144</v>
      </c>
      <c r="CI10" s="730"/>
      <c r="CJ10" s="6"/>
      <c r="CK10" s="6"/>
      <c r="CL10" s="6"/>
      <c r="CM10" s="14" t="s">
        <v>125</v>
      </c>
      <c r="CN10" s="31" t="s">
        <v>125</v>
      </c>
      <c r="CO10" s="6"/>
      <c r="CP10" s="6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2"/>
      <c r="DB10" s="60" t="s">
        <v>145</v>
      </c>
      <c r="DC10" s="61"/>
      <c r="DD10" s="6"/>
    </row>
    <row r="11" spans="1:108" ht="21" thickBot="1">
      <c r="A11" s="51"/>
      <c r="B11" s="3"/>
      <c r="C11" s="3"/>
      <c r="D11" s="62"/>
      <c r="E11" s="48" t="s">
        <v>146</v>
      </c>
      <c r="F11" s="17"/>
      <c r="G11" s="17"/>
      <c r="H11" s="48"/>
      <c r="I11" s="3"/>
      <c r="J11" s="3"/>
      <c r="K11" s="63" t="s">
        <v>147</v>
      </c>
      <c r="L11" s="63" t="s">
        <v>147</v>
      </c>
      <c r="M11" s="3"/>
      <c r="N11" s="3"/>
      <c r="O11" s="7"/>
      <c r="P11" s="21"/>
      <c r="Q11" s="723"/>
      <c r="R11" s="724"/>
      <c r="S11" s="724"/>
      <c r="T11" s="724"/>
      <c r="U11" s="724"/>
      <c r="V11" s="724"/>
      <c r="W11" s="724"/>
      <c r="X11" s="725"/>
      <c r="Y11" s="21"/>
      <c r="Z11" s="21"/>
      <c r="AA11" s="21"/>
      <c r="AB11" s="64"/>
      <c r="AC11" s="65"/>
      <c r="AD11" s="65"/>
      <c r="AE11" s="38"/>
      <c r="AF11" s="38"/>
      <c r="AG11" s="38"/>
      <c r="AH11" s="38"/>
      <c r="AI11" s="27"/>
      <c r="AJ11" s="66"/>
      <c r="AK11" s="58"/>
      <c r="AL11" s="3"/>
      <c r="AM11" s="7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40"/>
      <c r="BA11" s="41"/>
      <c r="BB11" s="25" t="s">
        <v>129</v>
      </c>
      <c r="BC11" s="26"/>
      <c r="BD11" s="6"/>
      <c r="BE11" s="6"/>
      <c r="BF11" s="6"/>
      <c r="BG11" s="67" t="s">
        <v>148</v>
      </c>
      <c r="BH11" s="67" t="s">
        <v>148</v>
      </c>
      <c r="BI11" s="68"/>
      <c r="BJ11" s="26"/>
      <c r="BK11" s="26"/>
      <c r="BL11" s="26"/>
      <c r="BM11" s="26"/>
      <c r="BN11" s="26"/>
      <c r="BO11" s="26"/>
      <c r="BP11" s="26"/>
      <c r="BQ11" s="43"/>
      <c r="BR11" s="43"/>
      <c r="BS11" s="43"/>
      <c r="BT11" s="43"/>
      <c r="BU11" s="43"/>
      <c r="BV11" s="29"/>
      <c r="BW11" s="29"/>
      <c r="BX11" s="29"/>
      <c r="BY11" s="29"/>
      <c r="BZ11" s="27"/>
      <c r="CA11" s="66"/>
      <c r="CB11" s="58"/>
      <c r="CC11" s="3"/>
      <c r="CD11" s="8"/>
      <c r="CE11" s="31" t="s">
        <v>125</v>
      </c>
      <c r="CF11" s="29"/>
      <c r="CG11" s="35" t="s">
        <v>149</v>
      </c>
      <c r="CH11" s="19"/>
      <c r="CI11" s="19"/>
      <c r="CJ11" s="6"/>
      <c r="CK11" s="6"/>
      <c r="CL11" s="6"/>
      <c r="CM11" s="6"/>
      <c r="CN11" s="6"/>
      <c r="CO11" s="6"/>
      <c r="CP11" s="6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2"/>
      <c r="DB11" s="69" t="s">
        <v>5</v>
      </c>
      <c r="DC11" s="61"/>
      <c r="DD11" s="6"/>
    </row>
    <row r="12" spans="1:108" ht="19.5" thickBot="1">
      <c r="A12" s="736" t="s">
        <v>150</v>
      </c>
      <c r="B12" s="3"/>
      <c r="C12" s="70"/>
      <c r="D12" s="71">
        <v>1</v>
      </c>
      <c r="E12" s="17"/>
      <c r="F12" s="72" t="s">
        <v>26</v>
      </c>
      <c r="G12" s="73" t="s">
        <v>4</v>
      </c>
      <c r="H12" s="17"/>
      <c r="I12" s="74">
        <v>6</v>
      </c>
      <c r="J12" s="75"/>
      <c r="K12" s="14" t="s">
        <v>125</v>
      </c>
      <c r="L12" s="14" t="s">
        <v>125</v>
      </c>
      <c r="M12" s="765" t="s">
        <v>151</v>
      </c>
      <c r="N12" s="730"/>
      <c r="O12" s="7"/>
      <c r="P12" s="21"/>
      <c r="Q12" s="723"/>
      <c r="R12" s="724"/>
      <c r="S12" s="724"/>
      <c r="T12" s="724"/>
      <c r="U12" s="724"/>
      <c r="V12" s="724"/>
      <c r="W12" s="724"/>
      <c r="X12" s="725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58"/>
      <c r="AL12" s="3"/>
      <c r="AM12" s="7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40"/>
      <c r="BA12" s="41"/>
      <c r="BB12" s="6"/>
      <c r="BC12" s="26"/>
      <c r="BD12" s="6"/>
      <c r="BE12" s="6"/>
      <c r="BF12" s="6"/>
      <c r="BG12" s="67" t="s">
        <v>148</v>
      </c>
      <c r="BH12" s="67" t="s">
        <v>148</v>
      </c>
      <c r="BI12" s="68"/>
      <c r="BJ12" s="26"/>
      <c r="BK12" s="26"/>
      <c r="BL12" s="26"/>
      <c r="BM12" s="26"/>
      <c r="BN12" s="26"/>
      <c r="BO12" s="26"/>
      <c r="BP12" s="26"/>
      <c r="BQ12" s="43"/>
      <c r="BR12" s="43"/>
      <c r="BS12" s="43"/>
      <c r="BT12" s="29"/>
      <c r="BU12" s="29"/>
      <c r="BV12" s="29"/>
      <c r="BW12" s="3"/>
      <c r="BX12" s="3"/>
      <c r="BY12" s="3"/>
      <c r="BZ12" s="27"/>
      <c r="CA12" s="76"/>
      <c r="CB12" s="58"/>
      <c r="CC12" s="3"/>
      <c r="CD12" s="8"/>
      <c r="CE12" s="44"/>
      <c r="CF12" s="77">
        <v>1</v>
      </c>
      <c r="CG12" s="37" t="s">
        <v>137</v>
      </c>
      <c r="CH12" s="16" t="s">
        <v>48</v>
      </c>
      <c r="CI12" s="16" t="s">
        <v>48</v>
      </c>
      <c r="CJ12" s="37" t="s">
        <v>137</v>
      </c>
      <c r="CK12" s="78">
        <v>4</v>
      </c>
      <c r="CL12" s="6"/>
      <c r="CM12" s="14" t="s">
        <v>125</v>
      </c>
      <c r="CN12" s="31" t="s">
        <v>125</v>
      </c>
      <c r="CO12" s="6"/>
      <c r="CP12" s="6"/>
      <c r="CQ12" s="3"/>
      <c r="CR12" s="3"/>
      <c r="CS12" s="3"/>
      <c r="CT12" s="3"/>
      <c r="CU12" s="3"/>
      <c r="CV12" s="3"/>
      <c r="CW12" s="3"/>
      <c r="CX12" s="3"/>
      <c r="CY12" s="6"/>
      <c r="CZ12" s="3"/>
      <c r="DA12" s="32"/>
      <c r="DB12" s="79" t="s">
        <v>152</v>
      </c>
      <c r="DC12" s="61"/>
      <c r="DD12" s="6"/>
    </row>
    <row r="13" spans="1:108" ht="18">
      <c r="A13" s="737"/>
      <c r="B13" s="3"/>
      <c r="C13" s="70"/>
      <c r="D13" s="71">
        <v>2</v>
      </c>
      <c r="E13" s="17"/>
      <c r="F13" s="80" t="s">
        <v>35</v>
      </c>
      <c r="G13" s="81" t="s">
        <v>26</v>
      </c>
      <c r="H13" s="17"/>
      <c r="I13" s="74">
        <v>5</v>
      </c>
      <c r="J13" s="75"/>
      <c r="M13" s="35" t="s">
        <v>146</v>
      </c>
      <c r="N13" s="82"/>
      <c r="O13" s="7"/>
      <c r="P13" s="21"/>
      <c r="Q13" s="723"/>
      <c r="R13" s="724"/>
      <c r="S13" s="724"/>
      <c r="T13" s="724"/>
      <c r="U13" s="724"/>
      <c r="V13" s="724"/>
      <c r="W13" s="724"/>
      <c r="X13" s="725"/>
      <c r="Y13" s="6"/>
      <c r="Z13" s="740" t="s">
        <v>153</v>
      </c>
      <c r="AA13" s="721"/>
      <c r="AB13" s="721"/>
      <c r="AC13" s="721"/>
      <c r="AD13" s="721"/>
      <c r="AE13" s="721"/>
      <c r="AF13" s="721"/>
      <c r="AG13" s="721"/>
      <c r="AH13" s="722"/>
      <c r="AI13" s="6"/>
      <c r="AJ13" s="6"/>
      <c r="AK13" s="58"/>
      <c r="AL13" s="3"/>
      <c r="AM13" s="7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40"/>
      <c r="BA13" s="41"/>
      <c r="BB13" s="25" t="s">
        <v>129</v>
      </c>
      <c r="BC13" s="26"/>
      <c r="BD13" s="6"/>
      <c r="BE13" s="6"/>
      <c r="BF13" s="6"/>
      <c r="BG13" s="83" t="s">
        <v>154</v>
      </c>
      <c r="BH13" s="25" t="s">
        <v>129</v>
      </c>
      <c r="BI13" s="26"/>
      <c r="BJ13" s="26"/>
      <c r="BK13" s="26"/>
      <c r="BL13" s="26"/>
      <c r="BM13" s="26"/>
      <c r="BN13" s="26"/>
      <c r="BO13" s="26"/>
      <c r="BP13" s="26"/>
      <c r="BQ13" s="43"/>
      <c r="BR13" s="43"/>
      <c r="BS13" s="43"/>
      <c r="BT13" s="6"/>
      <c r="BU13" s="6"/>
      <c r="BV13" s="6"/>
      <c r="BW13" s="6"/>
      <c r="BX13" s="6"/>
      <c r="BY13" s="6"/>
      <c r="BZ13" s="6"/>
      <c r="CA13" s="6"/>
      <c r="CB13" s="58"/>
      <c r="CC13" s="3"/>
      <c r="CD13" s="8"/>
      <c r="CE13" s="31" t="s">
        <v>125</v>
      </c>
      <c r="CF13" s="77">
        <v>2</v>
      </c>
      <c r="CG13" s="37" t="s">
        <v>137</v>
      </c>
      <c r="CH13" s="16" t="s">
        <v>48</v>
      </c>
      <c r="CI13" s="16" t="s">
        <v>48</v>
      </c>
      <c r="CJ13" s="37" t="s">
        <v>137</v>
      </c>
      <c r="CK13" s="78">
        <v>3</v>
      </c>
      <c r="CL13" s="6"/>
      <c r="CM13" s="6"/>
      <c r="CN13" s="6"/>
      <c r="CO13" s="6"/>
      <c r="CP13" s="6"/>
      <c r="CQ13" s="6"/>
      <c r="CR13" s="3"/>
      <c r="CS13" s="3"/>
      <c r="CT13" s="3"/>
      <c r="CU13" s="3"/>
      <c r="CV13" s="3"/>
      <c r="CW13" s="3"/>
      <c r="CX13" s="3"/>
      <c r="CY13" s="6"/>
      <c r="CZ13" s="3"/>
      <c r="DA13" s="32"/>
      <c r="DB13" s="60" t="s">
        <v>145</v>
      </c>
      <c r="DC13" s="61"/>
      <c r="DD13" s="6"/>
    </row>
    <row r="14" spans="1:108" ht="18">
      <c r="A14" s="737"/>
      <c r="B14" s="6"/>
      <c r="C14" s="70"/>
      <c r="D14" s="71">
        <v>3</v>
      </c>
      <c r="E14" s="17"/>
      <c r="F14" s="84" t="s">
        <v>84</v>
      </c>
      <c r="G14" s="85" t="s">
        <v>25</v>
      </c>
      <c r="H14" s="17"/>
      <c r="I14" s="74">
        <v>4</v>
      </c>
      <c r="J14" s="75"/>
      <c r="M14" s="82" t="s">
        <v>137</v>
      </c>
      <c r="N14" s="16" t="s">
        <v>48</v>
      </c>
      <c r="O14" s="7"/>
      <c r="P14" s="21"/>
      <c r="Q14" s="723"/>
      <c r="R14" s="724"/>
      <c r="S14" s="724"/>
      <c r="T14" s="724"/>
      <c r="U14" s="724"/>
      <c r="V14" s="724"/>
      <c r="W14" s="724"/>
      <c r="X14" s="725"/>
      <c r="Y14" s="6"/>
      <c r="Z14" s="723"/>
      <c r="AA14" s="724"/>
      <c r="AB14" s="724"/>
      <c r="AC14" s="724"/>
      <c r="AD14" s="724"/>
      <c r="AE14" s="724"/>
      <c r="AF14" s="724"/>
      <c r="AG14" s="724"/>
      <c r="AH14" s="725"/>
      <c r="AI14" s="6"/>
      <c r="AJ14" s="6"/>
      <c r="AK14" s="58"/>
      <c r="AL14" s="3"/>
      <c r="AM14" s="7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40"/>
      <c r="BA14" s="41"/>
      <c r="BB14" s="26"/>
      <c r="BC14" s="26"/>
      <c r="BD14" s="6"/>
      <c r="BE14" s="6"/>
      <c r="BF14" s="6"/>
      <c r="BG14" s="20" t="s">
        <v>127</v>
      </c>
      <c r="BH14" s="25" t="s">
        <v>129</v>
      </c>
      <c r="BI14" s="26"/>
      <c r="BJ14" s="26"/>
      <c r="BK14" s="26"/>
      <c r="BL14" s="26"/>
      <c r="BM14" s="26"/>
      <c r="BN14" s="26"/>
      <c r="BO14" s="26"/>
      <c r="BP14" s="26"/>
      <c r="BQ14" s="43"/>
      <c r="BR14" s="43"/>
      <c r="BS14" s="43"/>
      <c r="BT14" s="6"/>
      <c r="BU14" s="6"/>
      <c r="BV14" s="6"/>
      <c r="BW14" s="6"/>
      <c r="BX14" s="6"/>
      <c r="BY14" s="6"/>
      <c r="BZ14" s="6"/>
      <c r="CA14" s="6"/>
      <c r="CB14" s="58"/>
      <c r="CC14" s="3"/>
      <c r="CD14" s="8"/>
      <c r="CE14" s="44"/>
      <c r="CF14" s="42"/>
      <c r="CG14" s="3"/>
      <c r="CH14" s="19"/>
      <c r="CI14" s="19"/>
      <c r="CJ14" s="6"/>
      <c r="CK14" s="6"/>
      <c r="CL14" s="3"/>
      <c r="CM14" s="14" t="s">
        <v>125</v>
      </c>
      <c r="CN14" s="31" t="s">
        <v>125</v>
      </c>
      <c r="CO14" s="6"/>
      <c r="CP14" s="3"/>
      <c r="CQ14" s="3"/>
      <c r="CR14" s="3"/>
      <c r="CS14" s="3"/>
      <c r="CT14" s="3"/>
      <c r="CU14" s="3"/>
      <c r="CV14" s="3"/>
      <c r="CW14" s="3"/>
      <c r="CX14" s="3"/>
      <c r="CY14" s="6"/>
      <c r="CZ14" s="3"/>
      <c r="DA14" s="32"/>
      <c r="DB14" s="32"/>
      <c r="DC14" s="61"/>
      <c r="DD14" s="6"/>
    </row>
    <row r="15" spans="1:108" ht="19.5" thickBot="1">
      <c r="A15" s="738"/>
      <c r="B15" s="86"/>
      <c r="C15" s="86"/>
      <c r="D15" s="86"/>
      <c r="E15" s="87"/>
      <c r="F15" s="88"/>
      <c r="G15" s="88"/>
      <c r="H15" s="74"/>
      <c r="I15" s="52"/>
      <c r="J15" s="52"/>
      <c r="K15" s="52"/>
      <c r="L15" s="89">
        <v>2</v>
      </c>
      <c r="M15" s="82" t="s">
        <v>137</v>
      </c>
      <c r="N15" s="16" t="s">
        <v>48</v>
      </c>
      <c r="O15" s="7"/>
      <c r="P15" s="21"/>
      <c r="Q15" s="723"/>
      <c r="R15" s="724"/>
      <c r="S15" s="724"/>
      <c r="T15" s="724"/>
      <c r="U15" s="724"/>
      <c r="V15" s="724"/>
      <c r="W15" s="724"/>
      <c r="X15" s="725"/>
      <c r="Y15" s="6"/>
      <c r="Z15" s="723"/>
      <c r="AA15" s="724"/>
      <c r="AB15" s="724"/>
      <c r="AC15" s="724"/>
      <c r="AD15" s="724"/>
      <c r="AE15" s="724"/>
      <c r="AF15" s="724"/>
      <c r="AG15" s="724"/>
      <c r="AH15" s="725"/>
      <c r="AI15" s="6"/>
      <c r="AJ15" s="6"/>
      <c r="AK15" s="58"/>
      <c r="AL15" s="3"/>
      <c r="AM15" s="7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40"/>
      <c r="BA15" s="41"/>
      <c r="BB15" s="26"/>
      <c r="BC15" s="26"/>
      <c r="BD15" s="6"/>
      <c r="BE15" s="6"/>
      <c r="BF15" s="90"/>
      <c r="BG15" s="20" t="s">
        <v>127</v>
      </c>
      <c r="BH15" s="25" t="s">
        <v>129</v>
      </c>
      <c r="BI15" s="6"/>
      <c r="BJ15" s="26"/>
      <c r="BK15" s="26"/>
      <c r="BL15" s="26"/>
      <c r="BM15" s="26"/>
      <c r="BN15" s="26"/>
      <c r="BO15" s="26"/>
      <c r="BP15" s="26"/>
      <c r="BQ15" s="43"/>
      <c r="BR15" s="43"/>
      <c r="BS15" s="43"/>
      <c r="BT15" s="3"/>
      <c r="BU15" s="3"/>
      <c r="BV15" s="3"/>
      <c r="BW15" s="3"/>
      <c r="BX15" s="91"/>
      <c r="BY15" s="92"/>
      <c r="BZ15" s="91"/>
      <c r="CA15" s="92"/>
      <c r="CB15" s="58"/>
      <c r="CC15" s="3"/>
      <c r="CD15" s="8"/>
      <c r="CE15" s="31" t="s">
        <v>125</v>
      </c>
      <c r="CF15" s="42"/>
      <c r="CG15" s="29"/>
      <c r="CH15" s="6"/>
      <c r="CI15" s="6"/>
      <c r="CJ15" s="6"/>
      <c r="CK15" s="6"/>
      <c r="CL15" s="3"/>
      <c r="CM15" s="6"/>
      <c r="CN15" s="6"/>
      <c r="CO15" s="6"/>
      <c r="CP15" s="3"/>
      <c r="CQ15" s="3"/>
      <c r="CR15" s="3"/>
      <c r="CS15" s="3"/>
      <c r="CT15" s="3"/>
      <c r="CU15" s="14" t="s">
        <v>125</v>
      </c>
      <c r="CV15" s="31" t="s">
        <v>125</v>
      </c>
      <c r="CW15" s="3"/>
      <c r="CX15" s="3"/>
      <c r="CY15" s="6"/>
      <c r="CZ15" s="3"/>
      <c r="DA15" s="32"/>
      <c r="DB15" s="32"/>
      <c r="DC15" s="61"/>
      <c r="DD15" s="6"/>
    </row>
    <row r="16" spans="1:108" ht="21.75" thickBot="1">
      <c r="A16" s="93"/>
      <c r="B16" s="52"/>
      <c r="C16" s="52"/>
      <c r="D16" s="52"/>
      <c r="E16" s="94"/>
      <c r="F16" s="95"/>
      <c r="G16" s="96"/>
      <c r="H16" s="97"/>
      <c r="I16" s="3"/>
      <c r="J16" s="3"/>
      <c r="K16" s="98"/>
      <c r="L16" s="89">
        <v>3</v>
      </c>
      <c r="M16" s="82" t="s">
        <v>137</v>
      </c>
      <c r="N16" s="16" t="s">
        <v>48</v>
      </c>
      <c r="O16" s="7"/>
      <c r="P16" s="21"/>
      <c r="Q16" s="723"/>
      <c r="R16" s="724"/>
      <c r="S16" s="724"/>
      <c r="T16" s="724"/>
      <c r="U16" s="724"/>
      <c r="V16" s="724"/>
      <c r="W16" s="724"/>
      <c r="X16" s="725"/>
      <c r="Y16" s="6"/>
      <c r="Z16" s="723"/>
      <c r="AA16" s="724"/>
      <c r="AB16" s="724"/>
      <c r="AC16" s="724"/>
      <c r="AD16" s="724"/>
      <c r="AE16" s="724"/>
      <c r="AF16" s="724"/>
      <c r="AG16" s="724"/>
      <c r="AH16" s="725"/>
      <c r="AI16" s="6"/>
      <c r="AJ16" s="6"/>
      <c r="AK16" s="58"/>
      <c r="AL16" s="3"/>
      <c r="AM16" s="7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40"/>
      <c r="BA16" s="41"/>
      <c r="BB16" s="25" t="s">
        <v>129</v>
      </c>
      <c r="BC16" s="26"/>
      <c r="BD16" s="6"/>
      <c r="BE16" s="6"/>
      <c r="BF16" s="90"/>
      <c r="BG16" s="20" t="s">
        <v>127</v>
      </c>
      <c r="BH16" s="25" t="s">
        <v>129</v>
      </c>
      <c r="BI16" s="26"/>
      <c r="BJ16" s="26"/>
      <c r="BK16" s="26"/>
      <c r="BL16" s="26"/>
      <c r="BM16" s="98"/>
      <c r="BN16" s="99" t="s">
        <v>155</v>
      </c>
      <c r="BO16" s="100"/>
      <c r="BP16" s="100"/>
      <c r="BQ16" s="43"/>
      <c r="BR16" s="43"/>
      <c r="BS16" s="43"/>
      <c r="BT16" s="43"/>
      <c r="BU16" s="43"/>
      <c r="BV16" s="43"/>
      <c r="BW16" s="3"/>
      <c r="BX16" s="6"/>
      <c r="BY16" s="6"/>
      <c r="BZ16" s="6"/>
      <c r="CA16" s="6"/>
      <c r="CB16" s="58"/>
      <c r="CC16" s="3"/>
      <c r="CD16" s="8"/>
      <c r="CE16" s="44"/>
      <c r="CF16" s="44"/>
      <c r="CG16" s="68"/>
      <c r="CH16" s="43"/>
      <c r="CI16" s="29"/>
      <c r="CJ16" s="3"/>
      <c r="CK16" s="6"/>
      <c r="CL16" s="6"/>
      <c r="CM16" s="735"/>
      <c r="CN16" s="724"/>
      <c r="CO16" s="3"/>
      <c r="CP16" s="3"/>
      <c r="CQ16" s="3"/>
      <c r="CR16" s="3"/>
      <c r="CS16" s="3"/>
      <c r="CT16" s="3"/>
      <c r="CU16" s="14" t="s">
        <v>125</v>
      </c>
      <c r="CV16" s="31" t="s">
        <v>125</v>
      </c>
      <c r="CW16" s="3"/>
      <c r="CX16" s="3"/>
      <c r="CY16" s="6"/>
      <c r="CZ16" s="3"/>
      <c r="DA16" s="32"/>
      <c r="DB16" s="32"/>
      <c r="DC16" s="61"/>
      <c r="DD16" s="6"/>
    </row>
    <row r="17" spans="1:108" ht="27.75">
      <c r="A17" s="93"/>
      <c r="B17" s="52"/>
      <c r="C17" s="6"/>
      <c r="D17" s="6"/>
      <c r="E17" s="3"/>
      <c r="F17" s="102"/>
      <c r="G17" s="103"/>
      <c r="H17" s="104"/>
      <c r="I17" s="3"/>
      <c r="J17" s="3"/>
      <c r="K17" s="3"/>
      <c r="L17" s="89">
        <v>4</v>
      </c>
      <c r="M17" s="82" t="s">
        <v>137</v>
      </c>
      <c r="N17" s="16" t="s">
        <v>48</v>
      </c>
      <c r="O17" s="7"/>
      <c r="P17" s="21"/>
      <c r="Q17" s="723"/>
      <c r="R17" s="724"/>
      <c r="S17" s="724"/>
      <c r="T17" s="724"/>
      <c r="U17" s="724"/>
      <c r="V17" s="724"/>
      <c r="W17" s="724"/>
      <c r="X17" s="725"/>
      <c r="Y17" s="6"/>
      <c r="Z17" s="723"/>
      <c r="AA17" s="724"/>
      <c r="AB17" s="724"/>
      <c r="AC17" s="724"/>
      <c r="AD17" s="724"/>
      <c r="AE17" s="724"/>
      <c r="AF17" s="724"/>
      <c r="AG17" s="724"/>
      <c r="AH17" s="725"/>
      <c r="AI17" s="6"/>
      <c r="AJ17" s="6"/>
      <c r="AK17" s="58"/>
      <c r="AL17" s="3"/>
      <c r="AM17" s="7"/>
      <c r="AN17" s="6"/>
      <c r="AO17" s="6"/>
      <c r="AP17" s="6"/>
      <c r="AQ17" s="105" t="s">
        <v>156</v>
      </c>
      <c r="AR17" s="106"/>
      <c r="AS17" s="106"/>
      <c r="AT17" s="6"/>
      <c r="AU17" s="6"/>
      <c r="AV17" s="6"/>
      <c r="AW17" s="6"/>
      <c r="AX17" s="6"/>
      <c r="AY17" s="6"/>
      <c r="AZ17" s="40"/>
      <c r="BA17" s="41"/>
      <c r="BB17" s="26"/>
      <c r="BC17" s="26"/>
      <c r="BD17" s="26"/>
      <c r="BE17" s="6"/>
      <c r="BF17" s="90"/>
      <c r="BG17" s="20" t="s">
        <v>127</v>
      </c>
      <c r="BH17" s="107" t="s">
        <v>157</v>
      </c>
      <c r="BI17" s="29"/>
      <c r="BJ17" s="26"/>
      <c r="BK17" s="26"/>
      <c r="BL17" s="26"/>
      <c r="BM17" s="26"/>
      <c r="BN17" s="108" t="s">
        <v>158</v>
      </c>
      <c r="BO17" s="109"/>
      <c r="BP17" s="109"/>
      <c r="BQ17" s="110"/>
      <c r="BR17" s="111"/>
      <c r="BS17" s="43"/>
      <c r="BT17" s="112"/>
      <c r="BU17" s="43"/>
      <c r="BV17" s="43"/>
      <c r="BW17" s="43"/>
      <c r="BX17" s="43"/>
      <c r="BY17" s="3"/>
      <c r="BZ17" s="3"/>
      <c r="CA17" s="3"/>
      <c r="CB17" s="58"/>
      <c r="CC17" s="3"/>
      <c r="CD17" s="8"/>
      <c r="CE17" s="31" t="s">
        <v>125</v>
      </c>
      <c r="CF17" s="3"/>
      <c r="CG17" s="68"/>
      <c r="CH17" s="14" t="s">
        <v>125</v>
      </c>
      <c r="CI17" s="14" t="s">
        <v>125</v>
      </c>
      <c r="CJ17" s="3"/>
      <c r="CK17" s="6"/>
      <c r="CL17" s="6"/>
      <c r="CM17" s="113"/>
      <c r="CN17" s="11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6"/>
      <c r="CZ17" s="3"/>
      <c r="DA17" s="32"/>
      <c r="DB17" s="32"/>
      <c r="DC17" s="61"/>
      <c r="DD17" s="6"/>
    </row>
    <row r="18" spans="1:108" ht="19.5" thickBot="1">
      <c r="A18" s="93"/>
      <c r="B18" s="52"/>
      <c r="C18" s="6"/>
      <c r="D18" s="6"/>
      <c r="E18" s="6"/>
      <c r="F18" s="6"/>
      <c r="G18" s="103"/>
      <c r="H18" s="104"/>
      <c r="I18" s="3"/>
      <c r="J18" s="3"/>
      <c r="K18" s="26"/>
      <c r="L18" s="6"/>
      <c r="M18" s="6"/>
      <c r="N18" s="82"/>
      <c r="O18" s="7"/>
      <c r="P18" s="21"/>
      <c r="Q18" s="726"/>
      <c r="R18" s="727"/>
      <c r="S18" s="727"/>
      <c r="T18" s="727"/>
      <c r="U18" s="727"/>
      <c r="V18" s="727"/>
      <c r="W18" s="727"/>
      <c r="X18" s="728"/>
      <c r="Y18" s="6"/>
      <c r="Z18" s="726"/>
      <c r="AA18" s="727"/>
      <c r="AB18" s="727"/>
      <c r="AC18" s="727"/>
      <c r="AD18" s="727"/>
      <c r="AE18" s="727"/>
      <c r="AF18" s="727"/>
      <c r="AG18" s="727"/>
      <c r="AH18" s="728"/>
      <c r="AI18" s="6"/>
      <c r="AJ18" s="6"/>
      <c r="AK18" s="58"/>
      <c r="AL18" s="3"/>
      <c r="AM18" s="7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40"/>
      <c r="BA18" s="41"/>
      <c r="BB18" s="25" t="s">
        <v>129</v>
      </c>
      <c r="BC18" s="26" t="s">
        <v>159</v>
      </c>
      <c r="BD18" s="26"/>
      <c r="BE18" s="6"/>
      <c r="BF18" s="6"/>
      <c r="BG18" s="26"/>
      <c r="BH18" s="26"/>
      <c r="BI18" s="26"/>
      <c r="BJ18" s="6"/>
      <c r="BK18" s="6"/>
      <c r="BL18" s="6"/>
      <c r="BM18" s="71">
        <v>1</v>
      </c>
      <c r="BN18" s="114" t="s">
        <v>132</v>
      </c>
      <c r="BO18" s="115" t="s">
        <v>71</v>
      </c>
      <c r="BP18" s="115" t="s">
        <v>71</v>
      </c>
      <c r="BQ18" s="114" t="s">
        <v>132</v>
      </c>
      <c r="BR18" s="74">
        <v>8</v>
      </c>
      <c r="BS18" s="6"/>
      <c r="BT18" s="112"/>
      <c r="BU18" s="43"/>
      <c r="BV18" s="43"/>
      <c r="BW18" s="43"/>
      <c r="BX18" s="43"/>
      <c r="BY18" s="112"/>
      <c r="BZ18" s="116"/>
      <c r="CA18" s="43"/>
      <c r="CB18" s="58"/>
      <c r="CC18" s="3"/>
      <c r="CD18" s="8"/>
      <c r="CE18" s="42"/>
      <c r="CF18" s="3"/>
      <c r="CG18" s="68"/>
      <c r="CH18" s="14" t="s">
        <v>125</v>
      </c>
      <c r="CI18" s="14" t="s">
        <v>125</v>
      </c>
      <c r="CJ18" s="3"/>
      <c r="CK18" s="77"/>
      <c r="CL18" s="117"/>
      <c r="CM18" s="118" t="s">
        <v>147</v>
      </c>
      <c r="CN18" s="118" t="s">
        <v>147</v>
      </c>
      <c r="CO18" s="117"/>
      <c r="CP18" s="78"/>
      <c r="CQ18" s="29"/>
      <c r="CR18" s="3"/>
      <c r="CS18" s="3"/>
      <c r="CT18" s="3"/>
      <c r="CU18" s="3"/>
      <c r="CV18" s="3"/>
      <c r="CW18" s="3"/>
      <c r="CX18" s="3"/>
      <c r="CY18" s="6"/>
      <c r="CZ18" s="3"/>
      <c r="DA18" s="32"/>
      <c r="DB18" s="6"/>
      <c r="DC18" s="61"/>
      <c r="DD18" s="6"/>
    </row>
    <row r="19" spans="1:108" ht="19.5" thickBot="1">
      <c r="A19" s="93"/>
      <c r="B19" s="52"/>
      <c r="C19" s="741" t="s">
        <v>160</v>
      </c>
      <c r="D19" s="724"/>
      <c r="E19" s="6"/>
      <c r="F19" s="6"/>
      <c r="G19" s="119"/>
      <c r="H19" s="104"/>
      <c r="I19" s="3"/>
      <c r="J19" s="3"/>
      <c r="K19" s="3"/>
      <c r="L19" s="6"/>
      <c r="M19" s="6"/>
      <c r="N19" s="6"/>
      <c r="O19" s="7"/>
      <c r="P19" s="21"/>
      <c r="Q19" s="6"/>
      <c r="R19" s="6"/>
      <c r="S19" s="21"/>
      <c r="T19" s="21"/>
      <c r="U19" s="21"/>
      <c r="V19" s="21"/>
      <c r="W19" s="21"/>
      <c r="X19" s="21"/>
      <c r="Y19" s="6"/>
      <c r="Z19" s="6"/>
      <c r="AA19" s="30" t="s">
        <v>131</v>
      </c>
      <c r="AB19" s="30" t="s">
        <v>131</v>
      </c>
      <c r="AC19" s="6"/>
      <c r="AD19" s="3"/>
      <c r="AE19" s="3"/>
      <c r="AF19" s="3"/>
      <c r="AG19" s="3"/>
      <c r="AH19" s="3"/>
      <c r="AI19" s="6"/>
      <c r="AJ19" s="6"/>
      <c r="AK19" s="58"/>
      <c r="AL19" s="3"/>
      <c r="AM19" s="7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120"/>
      <c r="BA19" s="121"/>
      <c r="BB19" s="26" t="s">
        <v>161</v>
      </c>
      <c r="BC19" s="26"/>
      <c r="BD19" s="26"/>
      <c r="BE19" s="6"/>
      <c r="BF19" s="6"/>
      <c r="BG19" s="26"/>
      <c r="BH19" s="26"/>
      <c r="BI19" s="26"/>
      <c r="BJ19" s="26"/>
      <c r="BK19" s="6"/>
      <c r="BL19" s="6"/>
      <c r="BM19" s="71">
        <v>2</v>
      </c>
      <c r="BN19" s="114" t="s">
        <v>132</v>
      </c>
      <c r="BO19" s="85" t="s">
        <v>25</v>
      </c>
      <c r="BP19" s="85" t="s">
        <v>25</v>
      </c>
      <c r="BQ19" s="114" t="s">
        <v>132</v>
      </c>
      <c r="BR19" s="74">
        <v>7</v>
      </c>
      <c r="BS19" s="68"/>
      <c r="BT19" s="112"/>
      <c r="BU19" s="43"/>
      <c r="BX19" s="3"/>
      <c r="BY19" s="122"/>
      <c r="BZ19" s="32"/>
      <c r="CA19" s="43"/>
      <c r="CB19" s="58"/>
      <c r="CC19" s="3"/>
      <c r="CD19" s="8"/>
      <c r="CE19" s="6"/>
      <c r="CF19" s="3"/>
      <c r="CG19" s="68"/>
      <c r="CH19" s="123" t="s">
        <v>162</v>
      </c>
      <c r="CI19" s="123" t="s">
        <v>162</v>
      </c>
      <c r="CJ19" s="3"/>
      <c r="CK19" s="77"/>
      <c r="CL19" s="117"/>
      <c r="CM19" s="118" t="s">
        <v>147</v>
      </c>
      <c r="CN19" s="118" t="s">
        <v>147</v>
      </c>
      <c r="CO19" s="117"/>
      <c r="CP19" s="78"/>
      <c r="CQ19" s="29"/>
      <c r="CR19" s="3"/>
      <c r="CS19" s="3"/>
      <c r="CT19" s="3"/>
      <c r="CU19" s="3"/>
      <c r="CV19" s="3"/>
      <c r="CW19" s="3"/>
      <c r="CX19" s="3"/>
      <c r="CY19" s="6"/>
      <c r="CZ19" s="3"/>
      <c r="DA19" s="32"/>
      <c r="DB19" s="6"/>
      <c r="DC19" s="61"/>
      <c r="DD19" s="6"/>
    </row>
    <row r="20" spans="1:108" ht="19.5" thickBot="1">
      <c r="A20" s="93"/>
      <c r="B20" s="52"/>
      <c r="C20" s="52"/>
      <c r="D20" s="46"/>
      <c r="E20" s="6"/>
      <c r="F20" s="6"/>
      <c r="G20" s="124"/>
      <c r="H20" s="104"/>
      <c r="I20" s="3"/>
      <c r="J20" s="6"/>
      <c r="K20" s="29"/>
      <c r="L20" s="6"/>
      <c r="M20" s="6"/>
      <c r="N20" s="6"/>
      <c r="O20" s="7"/>
      <c r="P20" s="21"/>
      <c r="Q20" s="6"/>
      <c r="R20" s="6"/>
      <c r="S20" s="6"/>
      <c r="T20" s="38"/>
      <c r="U20" s="38"/>
      <c r="V20" s="38"/>
      <c r="W20" s="125"/>
      <c r="X20" s="64"/>
      <c r="Y20" s="6"/>
      <c r="Z20" s="6"/>
      <c r="AA20" s="30" t="s">
        <v>131</v>
      </c>
      <c r="AB20" s="30" t="s">
        <v>131</v>
      </c>
      <c r="AC20" s="6"/>
      <c r="AD20" s="6"/>
      <c r="AE20" s="30" t="s">
        <v>131</v>
      </c>
      <c r="AF20" s="30" t="s">
        <v>131</v>
      </c>
      <c r="AG20" s="6"/>
      <c r="AH20" s="3"/>
      <c r="AI20" s="6"/>
      <c r="AJ20" s="6"/>
      <c r="AK20" s="58"/>
      <c r="AL20" s="3"/>
      <c r="AM20" s="7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26"/>
      <c r="BA20" s="26"/>
      <c r="BB20" s="26"/>
      <c r="BC20" s="26"/>
      <c r="BD20" s="26"/>
      <c r="BE20" s="6"/>
      <c r="BF20" s="6"/>
      <c r="BG20" s="26"/>
      <c r="BH20" s="26"/>
      <c r="BI20" s="26"/>
      <c r="BJ20" s="26"/>
      <c r="BK20" s="29"/>
      <c r="BL20" s="6"/>
      <c r="BM20" s="71">
        <v>3</v>
      </c>
      <c r="BN20" s="114" t="s">
        <v>132</v>
      </c>
      <c r="BO20" s="72" t="s">
        <v>26</v>
      </c>
      <c r="BP20" s="126" t="s">
        <v>34</v>
      </c>
      <c r="BQ20" s="114" t="s">
        <v>132</v>
      </c>
      <c r="BR20" s="74">
        <v>6</v>
      </c>
      <c r="BS20" s="68"/>
      <c r="BT20" s="6"/>
      <c r="BU20" s="43"/>
      <c r="BV20" s="714" t="s">
        <v>163</v>
      </c>
      <c r="BW20" s="715"/>
      <c r="BX20" s="3"/>
      <c r="BY20" s="122"/>
      <c r="BZ20" s="32"/>
      <c r="CA20" s="43"/>
      <c r="CB20" s="58"/>
      <c r="CC20" s="3"/>
      <c r="CD20" s="8"/>
      <c r="CE20" s="6"/>
      <c r="CF20" s="3"/>
      <c r="CG20" s="68"/>
      <c r="CH20" s="123" t="s">
        <v>162</v>
      </c>
      <c r="CI20" s="123" t="s">
        <v>162</v>
      </c>
      <c r="CJ20" s="3"/>
      <c r="CK20" s="6"/>
      <c r="CL20" s="6"/>
      <c r="CM20" s="118" t="s">
        <v>147</v>
      </c>
      <c r="CN20" s="118" t="s">
        <v>147</v>
      </c>
      <c r="CO20" s="6"/>
      <c r="CP20" s="6"/>
      <c r="CQ20" s="128"/>
      <c r="CR20" s="3"/>
      <c r="CS20" s="3"/>
      <c r="CT20" s="3"/>
      <c r="CU20" s="3"/>
      <c r="CV20" s="3"/>
      <c r="CW20" s="3"/>
      <c r="CX20" s="3"/>
      <c r="CY20" s="6"/>
      <c r="CZ20" s="3"/>
      <c r="DA20" s="32"/>
      <c r="DB20" s="6"/>
      <c r="DC20" s="61"/>
      <c r="DD20" s="6"/>
    </row>
    <row r="21" spans="1:108" ht="15.75" customHeight="1">
      <c r="A21" s="93"/>
      <c r="B21" s="52"/>
      <c r="C21" s="52"/>
      <c r="D21" s="52"/>
      <c r="E21" s="6"/>
      <c r="F21" s="6"/>
      <c r="G21" s="129"/>
      <c r="H21" s="130"/>
      <c r="I21" s="3"/>
      <c r="J21" s="3"/>
      <c r="K21" s="29"/>
      <c r="L21" s="6"/>
      <c r="M21" s="6"/>
      <c r="N21" s="742" t="s">
        <v>164</v>
      </c>
      <c r="O21" s="722"/>
      <c r="P21" s="21"/>
      <c r="Q21" s="6"/>
      <c r="R21" s="6"/>
      <c r="S21" s="6"/>
      <c r="T21" s="125"/>
      <c r="U21" s="125"/>
      <c r="V21" s="125"/>
      <c r="W21" s="125"/>
      <c r="X21" s="125"/>
      <c r="Y21" s="6"/>
      <c r="Z21" s="6"/>
      <c r="AA21" s="30" t="s">
        <v>131</v>
      </c>
      <c r="AB21" s="30" t="s">
        <v>131</v>
      </c>
      <c r="AC21" s="6"/>
      <c r="AD21" s="6"/>
      <c r="AE21" s="30" t="s">
        <v>131</v>
      </c>
      <c r="AF21" s="30" t="s">
        <v>131</v>
      </c>
      <c r="AG21" s="6"/>
      <c r="AH21" s="3"/>
      <c r="AI21" s="6"/>
      <c r="AJ21" s="6"/>
      <c r="AK21" s="58"/>
      <c r="AL21" s="3"/>
      <c r="AM21" s="7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26"/>
      <c r="BA21" s="26"/>
      <c r="BB21" s="26"/>
      <c r="BC21" s="26"/>
      <c r="BD21" s="26"/>
      <c r="BE21" s="734" t="s">
        <v>165</v>
      </c>
      <c r="BF21" s="721"/>
      <c r="BG21" s="721"/>
      <c r="BH21" s="721"/>
      <c r="BI21" s="722"/>
      <c r="BJ21" s="6"/>
      <c r="BK21" s="6"/>
      <c r="BL21" s="6"/>
      <c r="BM21" s="71">
        <v>4</v>
      </c>
      <c r="BN21" s="114" t="s">
        <v>132</v>
      </c>
      <c r="BO21" s="84" t="s">
        <v>84</v>
      </c>
      <c r="BP21" s="131" t="s">
        <v>6</v>
      </c>
      <c r="BQ21" s="114" t="s">
        <v>132</v>
      </c>
      <c r="BR21" s="74">
        <v>5</v>
      </c>
      <c r="BS21" s="6"/>
      <c r="BT21" s="6"/>
      <c r="BU21" s="6"/>
      <c r="BV21" s="36" t="s">
        <v>166</v>
      </c>
      <c r="BW21" s="132" t="s">
        <v>167</v>
      </c>
      <c r="BX21" s="3"/>
      <c r="BY21" s="3"/>
      <c r="BZ21" s="3"/>
      <c r="CA21" s="3"/>
      <c r="CB21" s="58"/>
      <c r="CC21" s="3"/>
      <c r="CD21" s="8"/>
      <c r="CE21" s="42"/>
      <c r="CF21" s="3"/>
      <c r="CG21" s="68"/>
      <c r="CH21" s="123" t="s">
        <v>162</v>
      </c>
      <c r="CI21" s="123" t="s">
        <v>162</v>
      </c>
      <c r="CJ21" s="3"/>
      <c r="CK21" s="6"/>
      <c r="CL21" s="6"/>
      <c r="CM21" s="764" t="s">
        <v>168</v>
      </c>
      <c r="CN21" s="744"/>
      <c r="CO21" s="6"/>
      <c r="CP21" s="6"/>
      <c r="CQ21" s="6"/>
      <c r="CR21" s="3"/>
      <c r="CS21" s="3"/>
      <c r="CT21" s="3"/>
      <c r="CU21" s="3"/>
      <c r="CV21" s="3"/>
      <c r="CW21" s="3"/>
      <c r="CX21" s="3"/>
      <c r="CY21" s="6"/>
      <c r="CZ21" s="3"/>
      <c r="DA21" s="32"/>
      <c r="DB21" s="6"/>
      <c r="DC21" s="61"/>
      <c r="DD21" s="6"/>
    </row>
    <row r="22" spans="1:108" ht="15.75" customHeight="1" thickBot="1">
      <c r="A22" s="134"/>
      <c r="B22" s="7"/>
      <c r="C22" s="52"/>
      <c r="D22" s="52"/>
      <c r="E22" s="3"/>
      <c r="F22" s="102"/>
      <c r="G22" s="103"/>
      <c r="H22" s="104"/>
      <c r="I22" s="3"/>
      <c r="J22" s="3"/>
      <c r="K22" s="29"/>
      <c r="L22" s="6"/>
      <c r="M22" s="6"/>
      <c r="N22" s="723"/>
      <c r="O22" s="725"/>
      <c r="P22" s="21"/>
      <c r="Q22" s="6"/>
      <c r="R22" s="6"/>
      <c r="S22" s="6"/>
      <c r="T22" s="125"/>
      <c r="U22" s="125"/>
      <c r="V22" s="32"/>
      <c r="W22" s="32"/>
      <c r="X22" s="32"/>
      <c r="Y22" s="6"/>
      <c r="Z22" s="3"/>
      <c r="AA22" s="30" t="s">
        <v>131</v>
      </c>
      <c r="AB22" s="30" t="s">
        <v>131</v>
      </c>
      <c r="AC22" s="3"/>
      <c r="AD22" s="6"/>
      <c r="AE22" s="30" t="s">
        <v>131</v>
      </c>
      <c r="AF22" s="30" t="s">
        <v>131</v>
      </c>
      <c r="AG22" s="6"/>
      <c r="AH22" s="6"/>
      <c r="AI22" s="6"/>
      <c r="AJ22" s="6"/>
      <c r="AK22" s="58"/>
      <c r="AL22" s="3"/>
      <c r="AM22" s="7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32"/>
      <c r="BA22" s="26"/>
      <c r="BB22" s="26"/>
      <c r="BC22" s="26"/>
      <c r="BD22" s="26"/>
      <c r="BE22" s="723"/>
      <c r="BF22" s="724"/>
      <c r="BG22" s="724"/>
      <c r="BH22" s="724"/>
      <c r="BI22" s="725"/>
      <c r="BJ22" s="6"/>
      <c r="BK22" s="6"/>
      <c r="BL22" s="6"/>
      <c r="BM22" s="6"/>
      <c r="BN22" s="100"/>
      <c r="BO22" s="109"/>
      <c r="BP22" s="109"/>
      <c r="BQ22" s="100"/>
      <c r="BR22" s="6"/>
      <c r="BS22" s="6"/>
      <c r="BT22" s="6"/>
      <c r="BU22" s="6"/>
      <c r="BV22" s="36" t="s">
        <v>166</v>
      </c>
      <c r="BW22" s="132" t="s">
        <v>167</v>
      </c>
      <c r="BX22" s="6"/>
      <c r="BY22" s="3"/>
      <c r="BZ22" s="3"/>
      <c r="CA22" s="3"/>
      <c r="CB22" s="58"/>
      <c r="CC22" s="3"/>
      <c r="CD22" s="8"/>
      <c r="CE22" s="42"/>
      <c r="CF22" s="42"/>
      <c r="CG22" s="68"/>
      <c r="CH22" s="43"/>
      <c r="CI22" s="43"/>
      <c r="CJ22" s="3"/>
      <c r="CK22" s="6"/>
      <c r="CL22" s="6"/>
      <c r="CM22" s="6"/>
      <c r="CN22" s="6"/>
      <c r="CO22" s="6"/>
      <c r="CP22" s="3"/>
      <c r="CQ22" s="6"/>
      <c r="CR22" s="3"/>
      <c r="CS22" s="3"/>
      <c r="CT22" s="3"/>
      <c r="CU22" s="135" t="s">
        <v>169</v>
      </c>
      <c r="CV22" s="135" t="s">
        <v>169</v>
      </c>
      <c r="CW22" s="3"/>
      <c r="CX22" s="3"/>
      <c r="CY22" s="6"/>
      <c r="CZ22" s="6"/>
      <c r="DA22" s="32"/>
      <c r="DB22" s="6"/>
      <c r="DC22" s="61"/>
      <c r="DD22" s="6"/>
    </row>
    <row r="23" spans="1:108" ht="15.75" customHeight="1" thickBot="1">
      <c r="A23" s="134"/>
      <c r="B23" s="7"/>
      <c r="C23" s="3"/>
      <c r="D23" s="6"/>
      <c r="E23" s="3"/>
      <c r="F23" s="102"/>
      <c r="G23" s="103"/>
      <c r="H23" s="104"/>
      <c r="I23" s="3"/>
      <c r="J23" s="136"/>
      <c r="K23" s="3"/>
      <c r="L23" s="6"/>
      <c r="M23" s="6"/>
      <c r="N23" s="723"/>
      <c r="O23" s="725"/>
      <c r="P23" s="21"/>
      <c r="Q23" s="6"/>
      <c r="R23" s="6"/>
      <c r="S23" s="6"/>
      <c r="T23" s="6"/>
      <c r="U23" s="6"/>
      <c r="V23" s="38"/>
      <c r="W23" s="38"/>
      <c r="X23" s="38"/>
      <c r="Y23" s="6"/>
      <c r="Z23" s="3"/>
      <c r="AA23" s="30" t="s">
        <v>131</v>
      </c>
      <c r="AB23" s="30" t="s">
        <v>131</v>
      </c>
      <c r="AC23" s="6"/>
      <c r="AD23" s="6"/>
      <c r="AE23" s="30" t="s">
        <v>131</v>
      </c>
      <c r="AF23" s="30" t="s">
        <v>131</v>
      </c>
      <c r="AG23" s="6"/>
      <c r="AH23" s="6"/>
      <c r="AI23" s="6"/>
      <c r="AJ23" s="6"/>
      <c r="AK23" s="58"/>
      <c r="AL23" s="3"/>
      <c r="AM23" s="7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26"/>
      <c r="BA23" s="26"/>
      <c r="BB23" s="26"/>
      <c r="BC23" s="26"/>
      <c r="BD23" s="26"/>
      <c r="BE23" s="723"/>
      <c r="BF23" s="724"/>
      <c r="BG23" s="724"/>
      <c r="BH23" s="724"/>
      <c r="BI23" s="725"/>
      <c r="BJ23" s="6"/>
      <c r="BK23" s="6"/>
      <c r="BL23" s="6"/>
      <c r="BM23" s="6"/>
      <c r="BN23" s="6"/>
      <c r="BO23" s="100"/>
      <c r="BP23" s="100"/>
      <c r="BQ23" s="6"/>
      <c r="BR23" s="6"/>
      <c r="BS23" s="6"/>
      <c r="BT23" s="6"/>
      <c r="BU23" s="6"/>
      <c r="BV23" s="137" t="s">
        <v>170</v>
      </c>
      <c r="BW23" s="138" t="s">
        <v>171</v>
      </c>
      <c r="BX23" s="6"/>
      <c r="BY23" s="3"/>
      <c r="BZ23" s="3"/>
      <c r="CA23" s="3"/>
      <c r="CB23" s="58"/>
      <c r="CC23" s="3"/>
      <c r="CD23" s="11"/>
      <c r="CE23" s="734" t="s">
        <v>150</v>
      </c>
      <c r="CF23" s="721"/>
      <c r="CG23" s="721"/>
      <c r="CH23" s="721"/>
      <c r="CI23" s="722"/>
      <c r="CJ23" s="31" t="s">
        <v>125</v>
      </c>
      <c r="CK23" s="6"/>
      <c r="CL23" s="6"/>
      <c r="CM23" s="6"/>
      <c r="CN23" s="6"/>
      <c r="CO23" s="6"/>
      <c r="CP23" s="3"/>
      <c r="CQ23" s="6"/>
      <c r="CR23" s="3"/>
      <c r="CS23" s="3"/>
      <c r="CT23" s="3"/>
      <c r="CU23" s="135" t="s">
        <v>169</v>
      </c>
      <c r="CV23" s="135" t="s">
        <v>169</v>
      </c>
      <c r="CW23" s="3"/>
      <c r="CX23" s="3"/>
      <c r="CY23" s="6"/>
      <c r="CZ23" s="3"/>
      <c r="DA23" s="32"/>
      <c r="DB23" s="139" t="s">
        <v>172</v>
      </c>
      <c r="DC23" s="61"/>
      <c r="DD23" s="6"/>
    </row>
    <row r="24" spans="1:108" ht="15.75" customHeight="1" thickBot="1">
      <c r="A24" s="134"/>
      <c r="B24" s="7"/>
      <c r="C24" s="94"/>
      <c r="D24" s="94"/>
      <c r="E24" s="94"/>
      <c r="F24" s="94"/>
      <c r="G24" s="732" t="s">
        <v>140</v>
      </c>
      <c r="H24" s="730"/>
      <c r="I24" s="140"/>
      <c r="J24" s="3"/>
      <c r="K24" s="3"/>
      <c r="L24" s="6"/>
      <c r="M24" s="6"/>
      <c r="N24" s="726"/>
      <c r="O24" s="728"/>
      <c r="P24" s="21"/>
      <c r="Q24" s="6"/>
      <c r="R24" s="21"/>
      <c r="S24" s="141"/>
      <c r="T24" s="6"/>
      <c r="U24" s="38"/>
      <c r="V24" s="38"/>
      <c r="W24" s="38"/>
      <c r="X24" s="38"/>
      <c r="Y24" s="6"/>
      <c r="Z24" s="3"/>
      <c r="AA24" s="30" t="s">
        <v>131</v>
      </c>
      <c r="AB24" s="30" t="s">
        <v>131</v>
      </c>
      <c r="AC24" s="6"/>
      <c r="AD24" s="6"/>
      <c r="AE24" s="30" t="s">
        <v>131</v>
      </c>
      <c r="AF24" s="30" t="s">
        <v>131</v>
      </c>
      <c r="AG24" s="6"/>
      <c r="AH24" s="6"/>
      <c r="AI24" s="6"/>
      <c r="AJ24" s="6"/>
      <c r="AK24" s="58"/>
      <c r="AL24" s="3"/>
      <c r="AM24" s="7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26"/>
      <c r="BA24" s="26"/>
      <c r="BB24" s="26"/>
      <c r="BC24" s="26"/>
      <c r="BD24" s="26"/>
      <c r="BE24" s="723"/>
      <c r="BF24" s="724"/>
      <c r="BG24" s="724"/>
      <c r="BH24" s="724"/>
      <c r="BI24" s="725"/>
      <c r="BJ24" s="6"/>
      <c r="BK24" s="6"/>
      <c r="BL24" s="6"/>
      <c r="BM24" s="6"/>
      <c r="BN24" s="6"/>
      <c r="BO24" s="732" t="s">
        <v>139</v>
      </c>
      <c r="BP24" s="730"/>
      <c r="BQ24" s="6"/>
      <c r="BR24" s="6"/>
      <c r="BS24" s="6"/>
      <c r="BT24" s="3"/>
      <c r="BU24" s="6"/>
      <c r="BV24" s="137" t="s">
        <v>170</v>
      </c>
      <c r="BW24" s="138" t="s">
        <v>171</v>
      </c>
      <c r="BX24" s="3"/>
      <c r="BY24" s="3"/>
      <c r="BZ24" s="3"/>
      <c r="CA24" s="3"/>
      <c r="CB24" s="58"/>
      <c r="CC24" s="3"/>
      <c r="CD24" s="11"/>
      <c r="CE24" s="723"/>
      <c r="CF24" s="724"/>
      <c r="CG24" s="724"/>
      <c r="CH24" s="724"/>
      <c r="CI24" s="725"/>
      <c r="CJ24" s="31" t="s">
        <v>125</v>
      </c>
      <c r="CK24" s="6"/>
      <c r="CL24" s="6"/>
      <c r="CM24" s="6"/>
      <c r="CN24" s="6"/>
      <c r="CO24" s="6"/>
      <c r="CP24" s="3"/>
      <c r="CQ24" s="128"/>
      <c r="CR24" s="3"/>
      <c r="CS24" s="3"/>
      <c r="CT24" s="3"/>
      <c r="CU24" s="135" t="s">
        <v>169</v>
      </c>
      <c r="CV24" s="135" t="s">
        <v>169</v>
      </c>
      <c r="CW24" s="3"/>
      <c r="CX24" s="3"/>
      <c r="CY24" s="6"/>
      <c r="CZ24" s="3"/>
      <c r="DA24" s="32"/>
      <c r="DB24" s="142" t="s">
        <v>173</v>
      </c>
      <c r="DC24" s="61"/>
      <c r="DD24" s="6"/>
    </row>
    <row r="25" spans="1:108" ht="15.75" customHeight="1" thickBot="1">
      <c r="A25" s="7"/>
      <c r="B25" s="143" t="s">
        <v>174</v>
      </c>
      <c r="C25" s="6"/>
      <c r="D25" s="6"/>
      <c r="E25" s="3"/>
      <c r="F25" s="35" t="s">
        <v>175</v>
      </c>
      <c r="G25" s="144"/>
      <c r="H25" s="144"/>
      <c r="I25" s="145" t="s">
        <v>176</v>
      </c>
      <c r="J25" s="3"/>
      <c r="K25" s="3"/>
      <c r="L25" s="6"/>
      <c r="M25" s="6"/>
      <c r="N25" s="7"/>
      <c r="O25" s="7"/>
      <c r="P25" s="21"/>
      <c r="Q25" s="6"/>
      <c r="R25" s="21"/>
      <c r="S25" s="38"/>
      <c r="T25" s="38"/>
      <c r="U25" s="38"/>
      <c r="V25" s="38"/>
      <c r="W25" s="38"/>
      <c r="X25" s="38"/>
      <c r="Y25" s="6"/>
      <c r="AD25" s="6"/>
      <c r="AE25" s="146" t="s">
        <v>125</v>
      </c>
      <c r="AF25" s="146" t="s">
        <v>125</v>
      </c>
      <c r="AG25" s="6"/>
      <c r="AH25" s="6"/>
      <c r="AI25" s="6"/>
      <c r="AJ25" s="6"/>
      <c r="AK25" s="58"/>
      <c r="AL25" s="3"/>
      <c r="AM25" s="7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147"/>
      <c r="BA25" s="26"/>
      <c r="BB25" s="26"/>
      <c r="BC25" s="26"/>
      <c r="BD25" s="26"/>
      <c r="BE25" s="726"/>
      <c r="BF25" s="727"/>
      <c r="BG25" s="727"/>
      <c r="BH25" s="727"/>
      <c r="BI25" s="728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32"/>
      <c r="BU25" s="28"/>
      <c r="BV25" s="6"/>
      <c r="BW25" s="6"/>
      <c r="BX25" s="3"/>
      <c r="BY25" s="3"/>
      <c r="BZ25" s="3"/>
      <c r="CA25" s="146" t="s">
        <v>125</v>
      </c>
      <c r="CB25" s="58"/>
      <c r="CC25" s="3"/>
      <c r="CD25" s="11"/>
      <c r="CE25" s="723"/>
      <c r="CF25" s="724"/>
      <c r="CG25" s="724"/>
      <c r="CH25" s="724"/>
      <c r="CI25" s="725"/>
      <c r="CJ25" s="31" t="s">
        <v>125</v>
      </c>
      <c r="CK25" s="6"/>
      <c r="CL25" s="6"/>
      <c r="CM25" s="6"/>
      <c r="CN25" s="6"/>
      <c r="CO25" s="6"/>
      <c r="CP25" s="3"/>
      <c r="CQ25" s="128"/>
      <c r="CR25" s="3"/>
      <c r="CS25" s="3"/>
      <c r="CT25" s="3"/>
      <c r="CU25" s="135" t="s">
        <v>169</v>
      </c>
      <c r="CV25" s="135" t="s">
        <v>169</v>
      </c>
      <c r="CW25" s="3"/>
      <c r="CX25" s="3"/>
      <c r="CY25" s="6"/>
      <c r="CZ25" s="3"/>
      <c r="DA25" s="32"/>
      <c r="DB25" s="148" t="s">
        <v>177</v>
      </c>
      <c r="DC25" s="61"/>
      <c r="DD25" s="6"/>
    </row>
    <row r="26" spans="1:108" ht="15.75" customHeight="1" thickBot="1">
      <c r="A26" s="7"/>
      <c r="B26" s="732" t="s">
        <v>140</v>
      </c>
      <c r="C26" s="730"/>
      <c r="D26" s="6"/>
      <c r="E26" s="149">
        <v>1</v>
      </c>
      <c r="F26" s="34" t="s">
        <v>133</v>
      </c>
      <c r="G26" s="16" t="s">
        <v>48</v>
      </c>
      <c r="H26" s="16" t="s">
        <v>48</v>
      </c>
      <c r="I26" s="34" t="s">
        <v>133</v>
      </c>
      <c r="J26" s="150">
        <v>6</v>
      </c>
      <c r="K26" s="3"/>
      <c r="L26" s="6"/>
      <c r="M26" s="6"/>
      <c r="N26" s="3"/>
      <c r="O26" s="7"/>
      <c r="P26" s="21"/>
      <c r="Q26" s="6"/>
      <c r="R26" s="38"/>
      <c r="S26" s="38"/>
      <c r="T26" s="38"/>
      <c r="U26" s="38"/>
      <c r="V26" s="38"/>
      <c r="W26" s="38"/>
      <c r="X26" s="38"/>
      <c r="Y26" s="6"/>
      <c r="AA26" s="30" t="s">
        <v>131</v>
      </c>
      <c r="AB26" s="30" t="s">
        <v>131</v>
      </c>
      <c r="AD26" s="6"/>
      <c r="AE26" s="146" t="s">
        <v>125</v>
      </c>
      <c r="AF26" s="146" t="s">
        <v>125</v>
      </c>
      <c r="AG26" s="3"/>
      <c r="AH26" s="3"/>
      <c r="AI26" s="6"/>
      <c r="AJ26" s="6"/>
      <c r="AK26" s="58"/>
      <c r="AL26" s="3"/>
      <c r="AM26" s="7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151"/>
      <c r="BA26" s="26"/>
      <c r="BB26" s="26"/>
      <c r="BC26" s="26"/>
      <c r="BD26" s="26"/>
      <c r="BE26" s="3"/>
      <c r="BF26" s="3"/>
      <c r="BG26" s="3"/>
      <c r="BH26" s="3"/>
      <c r="BI26" s="6"/>
      <c r="BJ26" s="6"/>
      <c r="BK26" s="6"/>
      <c r="BL26" s="29"/>
      <c r="BM26" s="6"/>
      <c r="BN26" s="6"/>
      <c r="BO26" s="63" t="s">
        <v>147</v>
      </c>
      <c r="BP26" s="63" t="s">
        <v>147</v>
      </c>
      <c r="BQ26" s="3"/>
      <c r="BR26" s="6"/>
      <c r="BS26" s="6"/>
      <c r="BT26" s="3"/>
      <c r="BU26" s="32"/>
      <c r="BV26" s="135" t="s">
        <v>169</v>
      </c>
      <c r="BW26" s="135" t="s">
        <v>169</v>
      </c>
      <c r="BX26" s="3"/>
      <c r="BY26" s="3"/>
      <c r="BZ26" s="3"/>
      <c r="CA26" s="146" t="s">
        <v>125</v>
      </c>
      <c r="CB26" s="58"/>
      <c r="CC26" s="3"/>
      <c r="CD26" s="11"/>
      <c r="CE26" s="723"/>
      <c r="CF26" s="724"/>
      <c r="CG26" s="724"/>
      <c r="CH26" s="724"/>
      <c r="CI26" s="725"/>
      <c r="CJ26" s="31" t="s">
        <v>125</v>
      </c>
      <c r="CK26" s="6"/>
      <c r="CL26" s="6"/>
      <c r="CM26" s="769" t="s">
        <v>178</v>
      </c>
      <c r="CN26" s="744"/>
      <c r="CO26" s="6"/>
      <c r="CP26" s="6"/>
      <c r="CQ26" s="6"/>
      <c r="CR26" s="3"/>
      <c r="CS26" s="3"/>
      <c r="CT26" s="6"/>
      <c r="CU26" s="6"/>
      <c r="CV26" s="6"/>
      <c r="CW26" s="6"/>
      <c r="CX26" s="3"/>
      <c r="CY26" s="6"/>
      <c r="CZ26" s="3"/>
      <c r="DA26" s="32"/>
      <c r="DB26" s="137" t="s">
        <v>179</v>
      </c>
      <c r="DC26" s="61"/>
      <c r="DD26" s="6"/>
    </row>
    <row r="27" spans="1:108" ht="15.75" customHeight="1">
      <c r="A27" s="7"/>
      <c r="B27" s="16" t="s">
        <v>48</v>
      </c>
      <c r="C27" s="34" t="s">
        <v>133</v>
      </c>
      <c r="D27" s="150">
        <v>1</v>
      </c>
      <c r="E27" s="3"/>
      <c r="F27" s="3"/>
      <c r="G27" s="144"/>
      <c r="H27" s="144"/>
      <c r="I27" s="3"/>
      <c r="J27" s="3"/>
      <c r="K27" s="3"/>
      <c r="L27" s="6"/>
      <c r="M27" s="6"/>
      <c r="N27" s="3"/>
      <c r="O27" s="7"/>
      <c r="P27" s="21"/>
      <c r="Q27" s="21"/>
      <c r="R27" s="38"/>
      <c r="S27" s="38"/>
      <c r="T27" s="38"/>
      <c r="U27" s="38"/>
      <c r="V27" s="38"/>
      <c r="W27" s="38"/>
      <c r="X27" s="38"/>
      <c r="Y27" s="6"/>
      <c r="AB27" s="152" t="s">
        <v>180</v>
      </c>
      <c r="AD27" s="6"/>
      <c r="AE27" s="146" t="s">
        <v>125</v>
      </c>
      <c r="AF27" s="146" t="s">
        <v>125</v>
      </c>
      <c r="AG27" s="6"/>
      <c r="AH27" s="6"/>
      <c r="AI27" s="6"/>
      <c r="AJ27" s="6"/>
      <c r="AK27" s="58"/>
      <c r="AL27" s="3"/>
      <c r="AM27" s="7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23"/>
      <c r="BA27" s="24"/>
      <c r="BB27" s="26"/>
      <c r="BC27" s="26"/>
      <c r="BD27" s="26"/>
      <c r="BE27" s="3"/>
      <c r="BF27" s="3"/>
      <c r="BG27" s="3"/>
      <c r="BH27" s="3"/>
      <c r="BI27" s="3"/>
      <c r="BJ27" s="3"/>
      <c r="BK27" s="6"/>
      <c r="BL27" s="3"/>
      <c r="BM27" s="153"/>
      <c r="BN27" s="6"/>
      <c r="BO27" s="63" t="s">
        <v>147</v>
      </c>
      <c r="BP27" s="63" t="s">
        <v>147</v>
      </c>
      <c r="BQ27" s="3"/>
      <c r="BR27" s="6"/>
      <c r="BS27" s="6"/>
      <c r="BT27" s="3"/>
      <c r="BU27" s="29"/>
      <c r="BV27" s="135" t="s">
        <v>169</v>
      </c>
      <c r="BW27" s="135" t="s">
        <v>169</v>
      </c>
      <c r="BX27" s="3"/>
      <c r="BY27" s="3"/>
      <c r="BZ27" s="3"/>
      <c r="CA27" s="146" t="s">
        <v>125</v>
      </c>
      <c r="CB27" s="58"/>
      <c r="CC27" s="3"/>
      <c r="CD27" s="11"/>
      <c r="CE27" s="723"/>
      <c r="CF27" s="724"/>
      <c r="CG27" s="724"/>
      <c r="CH27" s="724"/>
      <c r="CI27" s="725"/>
      <c r="CJ27" s="31" t="s">
        <v>125</v>
      </c>
      <c r="CK27" s="6"/>
      <c r="CL27" s="35" t="s">
        <v>181</v>
      </c>
      <c r="CM27" s="154"/>
      <c r="CN27" s="154"/>
      <c r="CO27" s="54" t="s">
        <v>176</v>
      </c>
      <c r="CP27" s="6"/>
      <c r="CQ27" s="6"/>
      <c r="CR27" s="3"/>
      <c r="CS27" s="3"/>
      <c r="CT27" s="6"/>
      <c r="CU27" s="6"/>
      <c r="CV27" s="6"/>
      <c r="CW27" s="6"/>
      <c r="CX27" s="3"/>
      <c r="CY27" s="6"/>
      <c r="CZ27" s="3"/>
      <c r="DA27" s="32"/>
      <c r="DB27" s="3"/>
      <c r="DC27" s="61"/>
      <c r="DD27" s="6"/>
    </row>
    <row r="28" spans="1:108" ht="15.75" customHeight="1" thickBot="1">
      <c r="A28" s="7"/>
      <c r="B28" s="155" t="s">
        <v>182</v>
      </c>
      <c r="C28" s="35" t="s">
        <v>183</v>
      </c>
      <c r="D28" s="6"/>
      <c r="E28" s="149">
        <v>2</v>
      </c>
      <c r="F28" s="34" t="s">
        <v>133</v>
      </c>
      <c r="G28" s="16" t="s">
        <v>48</v>
      </c>
      <c r="H28" s="16" t="s">
        <v>48</v>
      </c>
      <c r="I28" s="34" t="s">
        <v>133</v>
      </c>
      <c r="J28" s="150">
        <v>5</v>
      </c>
      <c r="K28" s="3"/>
      <c r="L28" s="6"/>
      <c r="M28" s="6"/>
      <c r="N28" s="3"/>
      <c r="O28" s="7"/>
      <c r="P28" s="21"/>
      <c r="Q28" s="21"/>
      <c r="R28" s="21"/>
      <c r="S28" s="38"/>
      <c r="T28" s="38"/>
      <c r="U28" s="38"/>
      <c r="V28" s="38"/>
      <c r="W28" s="38"/>
      <c r="X28" s="29"/>
      <c r="Y28" s="6"/>
      <c r="Z28" s="3"/>
      <c r="AA28" s="123" t="s">
        <v>162</v>
      </c>
      <c r="AB28" s="156" t="s">
        <v>184</v>
      </c>
      <c r="AC28" s="6"/>
      <c r="AD28" s="6"/>
      <c r="AE28" s="146" t="s">
        <v>125</v>
      </c>
      <c r="AF28" s="146" t="s">
        <v>125</v>
      </c>
      <c r="AG28" s="6"/>
      <c r="AH28" s="3"/>
      <c r="AI28" s="6"/>
      <c r="AJ28" s="6"/>
      <c r="AK28" s="58"/>
      <c r="AL28" s="3"/>
      <c r="AM28" s="7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40"/>
      <c r="BA28" s="41"/>
      <c r="BB28" s="26"/>
      <c r="BC28" s="26"/>
      <c r="BD28" s="26"/>
      <c r="BE28" s="3"/>
      <c r="BF28" s="3"/>
      <c r="BG28" s="3"/>
      <c r="BH28" s="3"/>
      <c r="BI28" s="3"/>
      <c r="BJ28" s="3"/>
      <c r="BK28" s="6"/>
      <c r="BL28" s="6"/>
      <c r="BM28" s="153"/>
      <c r="BN28" s="6"/>
      <c r="BO28" s="6"/>
      <c r="BP28" s="6"/>
      <c r="BQ28" s="3"/>
      <c r="BR28" s="6"/>
      <c r="BS28" s="6"/>
      <c r="BT28" s="6"/>
      <c r="BU28" s="6"/>
      <c r="BV28" s="123" t="s">
        <v>162</v>
      </c>
      <c r="BW28" s="123" t="s">
        <v>162</v>
      </c>
      <c r="BX28" s="3"/>
      <c r="BY28" s="3"/>
      <c r="BZ28" s="3"/>
      <c r="CA28" s="3"/>
      <c r="CB28" s="58"/>
      <c r="CC28" s="3"/>
      <c r="CD28" s="11"/>
      <c r="CE28" s="726"/>
      <c r="CF28" s="727"/>
      <c r="CG28" s="727"/>
      <c r="CH28" s="727"/>
      <c r="CI28" s="728"/>
      <c r="CJ28" s="31" t="s">
        <v>125</v>
      </c>
      <c r="CK28" s="157">
        <v>1</v>
      </c>
      <c r="CL28" s="158" t="s">
        <v>185</v>
      </c>
      <c r="CM28" s="16" t="s">
        <v>48</v>
      </c>
      <c r="CN28" s="16" t="s">
        <v>48</v>
      </c>
      <c r="CO28" s="158" t="s">
        <v>185</v>
      </c>
      <c r="CP28" s="75">
        <v>8</v>
      </c>
      <c r="CQ28" s="3"/>
      <c r="CR28" s="3"/>
      <c r="CS28" s="3"/>
      <c r="CT28" s="6"/>
      <c r="CU28" s="6"/>
      <c r="CV28" s="6"/>
      <c r="CW28" s="6"/>
      <c r="CX28" s="3"/>
      <c r="CY28" s="6"/>
      <c r="CZ28" s="3"/>
      <c r="DA28" s="32"/>
      <c r="DB28" s="48"/>
      <c r="DC28" s="61"/>
      <c r="DD28" s="6"/>
    </row>
    <row r="29" spans="1:108" ht="15.75" customHeight="1" thickBot="1">
      <c r="A29" s="7"/>
      <c r="B29" s="25" t="s">
        <v>129</v>
      </c>
      <c r="C29" s="6"/>
      <c r="D29" s="6"/>
      <c r="E29" s="3"/>
      <c r="F29" s="3"/>
      <c r="G29" s="144"/>
      <c r="H29" s="144"/>
      <c r="I29" s="3"/>
      <c r="J29" s="3"/>
      <c r="K29" s="150"/>
      <c r="L29" s="6"/>
      <c r="M29" s="6"/>
      <c r="N29" s="25" t="s">
        <v>129</v>
      </c>
      <c r="O29" s="7"/>
      <c r="P29" s="21"/>
      <c r="Q29" s="21"/>
      <c r="R29" s="21"/>
      <c r="S29" s="38"/>
      <c r="T29" s="38"/>
      <c r="U29" s="38"/>
      <c r="V29" s="38"/>
      <c r="W29" s="38"/>
      <c r="X29" s="29"/>
      <c r="Y29" s="6"/>
      <c r="Z29" s="3"/>
      <c r="AA29" s="123" t="s">
        <v>162</v>
      </c>
      <c r="AB29" s="156" t="s">
        <v>184</v>
      </c>
      <c r="AC29" s="6"/>
      <c r="AD29" s="6"/>
      <c r="AE29" s="146" t="s">
        <v>125</v>
      </c>
      <c r="AF29" s="146" t="s">
        <v>125</v>
      </c>
      <c r="AG29" s="6"/>
      <c r="AH29" s="3"/>
      <c r="AI29" s="6"/>
      <c r="AJ29" s="6"/>
      <c r="AK29" s="58"/>
      <c r="AL29" s="3"/>
      <c r="AM29" s="7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40"/>
      <c r="BA29" s="41"/>
      <c r="BB29" s="26"/>
      <c r="BC29" s="26"/>
      <c r="BD29" s="6"/>
      <c r="BE29" s="3"/>
      <c r="BF29" s="3"/>
      <c r="BG29" s="3"/>
      <c r="BH29" s="3"/>
      <c r="BI29" s="3"/>
      <c r="BJ29" s="3"/>
      <c r="BK29" s="6"/>
      <c r="BL29" s="32"/>
      <c r="BM29" s="3"/>
      <c r="BN29" s="6"/>
      <c r="BO29" s="6"/>
      <c r="BP29" s="6"/>
      <c r="BQ29" s="6"/>
      <c r="BR29" s="6"/>
      <c r="BS29" s="6"/>
      <c r="BT29" s="6"/>
      <c r="BU29" s="6"/>
      <c r="BV29" s="123" t="s">
        <v>162</v>
      </c>
      <c r="BW29" s="123" t="s">
        <v>162</v>
      </c>
      <c r="BX29" s="3"/>
      <c r="BY29" s="3"/>
      <c r="BZ29" s="3"/>
      <c r="CA29" s="3"/>
      <c r="CB29" s="58"/>
      <c r="CC29" s="3"/>
      <c r="CD29" s="11"/>
      <c r="CE29" s="159" t="s">
        <v>186</v>
      </c>
      <c r="CF29" s="3"/>
      <c r="CG29" s="3"/>
      <c r="CH29" s="6"/>
      <c r="CI29" s="6"/>
      <c r="CJ29" s="3"/>
      <c r="CK29" s="77">
        <v>2</v>
      </c>
      <c r="CL29" s="158" t="s">
        <v>185</v>
      </c>
      <c r="CM29" s="16" t="s">
        <v>48</v>
      </c>
      <c r="CN29" s="16" t="s">
        <v>48</v>
      </c>
      <c r="CO29" s="158" t="s">
        <v>185</v>
      </c>
      <c r="CP29" s="78">
        <v>7</v>
      </c>
      <c r="CQ29" s="6"/>
      <c r="CR29" s="6"/>
      <c r="CS29" s="3"/>
      <c r="CT29" s="3"/>
      <c r="CU29" s="160" t="s">
        <v>187</v>
      </c>
      <c r="CV29" s="160" t="s">
        <v>187</v>
      </c>
      <c r="CW29" s="3"/>
      <c r="CX29" s="3"/>
      <c r="CY29" s="6"/>
      <c r="CZ29" s="56"/>
      <c r="DA29" s="48"/>
      <c r="DB29" s="161"/>
      <c r="DC29" s="61"/>
      <c r="DD29" s="6"/>
    </row>
    <row r="30" spans="1:108" ht="15.75" customHeight="1" thickBot="1">
      <c r="A30" s="7"/>
      <c r="B30" s="25" t="s">
        <v>129</v>
      </c>
      <c r="C30" s="770" t="s">
        <v>141</v>
      </c>
      <c r="D30" s="771"/>
      <c r="E30" s="149">
        <v>3</v>
      </c>
      <c r="F30" s="34" t="s">
        <v>133</v>
      </c>
      <c r="G30" s="16" t="s">
        <v>48</v>
      </c>
      <c r="H30" s="16" t="s">
        <v>48</v>
      </c>
      <c r="I30" s="34" t="s">
        <v>133</v>
      </c>
      <c r="J30" s="150">
        <v>4</v>
      </c>
      <c r="K30" s="3"/>
      <c r="L30" s="6"/>
      <c r="M30" s="6"/>
      <c r="N30" s="25" t="s">
        <v>129</v>
      </c>
      <c r="O30" s="7"/>
      <c r="P30" s="734" t="s">
        <v>128</v>
      </c>
      <c r="Q30" s="721"/>
      <c r="R30" s="721"/>
      <c r="S30" s="721"/>
      <c r="T30" s="721"/>
      <c r="U30" s="721"/>
      <c r="V30" s="721"/>
      <c r="W30" s="722"/>
      <c r="X30" s="3"/>
      <c r="Y30" s="3"/>
      <c r="Z30" s="3"/>
      <c r="AA30" s="123" t="s">
        <v>162</v>
      </c>
      <c r="AB30" s="156" t="s">
        <v>184</v>
      </c>
      <c r="AC30" s="6"/>
      <c r="AD30" s="6"/>
      <c r="AE30" s="6"/>
      <c r="AF30" s="6"/>
      <c r="AG30" s="6"/>
      <c r="AH30" s="3"/>
      <c r="AI30" s="6"/>
      <c r="AJ30" s="76"/>
      <c r="AK30" s="58"/>
      <c r="AL30" s="3"/>
      <c r="AM30" s="7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120"/>
      <c r="BA30" s="121"/>
      <c r="BB30" s="3"/>
      <c r="BC30" s="26"/>
      <c r="BD30" s="6"/>
      <c r="BE30" s="3"/>
      <c r="BF30" s="3"/>
      <c r="BG30" s="3"/>
      <c r="BH30" s="3"/>
      <c r="BI30" s="3"/>
      <c r="BJ30" s="3"/>
      <c r="BK30" s="6"/>
      <c r="BL30" s="162"/>
      <c r="BM30" s="163"/>
      <c r="BN30" s="6"/>
      <c r="BO30" s="6"/>
      <c r="BP30" s="6"/>
      <c r="BQ30" s="6"/>
      <c r="BR30" s="6"/>
      <c r="BS30" s="6"/>
      <c r="BT30" s="3"/>
      <c r="BU30" s="3"/>
      <c r="BX30" s="3"/>
      <c r="BY30" s="3"/>
      <c r="BZ30" s="3"/>
      <c r="CA30" s="3"/>
      <c r="CB30" s="12"/>
      <c r="CC30" s="3"/>
      <c r="CD30" s="11"/>
      <c r="CE30" s="159" t="s">
        <v>186</v>
      </c>
      <c r="CF30" s="3"/>
      <c r="CG30" s="6"/>
      <c r="CH30" s="732" t="s">
        <v>188</v>
      </c>
      <c r="CI30" s="730"/>
      <c r="CJ30" s="3"/>
      <c r="CK30" s="77">
        <v>3</v>
      </c>
      <c r="CL30" s="158" t="s">
        <v>185</v>
      </c>
      <c r="CM30" s="16" t="s">
        <v>48</v>
      </c>
      <c r="CN30" s="16" t="s">
        <v>48</v>
      </c>
      <c r="CO30" s="158" t="s">
        <v>185</v>
      </c>
      <c r="CP30" s="78">
        <v>6</v>
      </c>
      <c r="CQ30" s="6"/>
      <c r="CR30" s="6"/>
      <c r="CS30" s="3"/>
      <c r="CT30" s="3"/>
      <c r="CU30" s="160" t="s">
        <v>187</v>
      </c>
      <c r="CV30" s="160" t="s">
        <v>187</v>
      </c>
      <c r="CW30" s="6"/>
      <c r="CX30" s="6"/>
      <c r="CY30" s="6"/>
      <c r="CZ30" s="71">
        <v>1</v>
      </c>
      <c r="DA30" s="164" t="s">
        <v>132</v>
      </c>
      <c r="DB30" s="165" t="s">
        <v>68</v>
      </c>
      <c r="DC30" s="12"/>
      <c r="DD30" s="6"/>
    </row>
    <row r="31" spans="1:108" ht="15.75" customHeight="1" thickBot="1">
      <c r="A31" s="7"/>
      <c r="B31" s="25" t="s">
        <v>129</v>
      </c>
      <c r="C31" s="48" t="s">
        <v>175</v>
      </c>
      <c r="E31" s="3"/>
      <c r="F31" s="3"/>
      <c r="G31" s="144"/>
      <c r="H31" s="144"/>
      <c r="I31" s="3"/>
      <c r="J31" s="3"/>
      <c r="K31" s="150"/>
      <c r="L31" s="6"/>
      <c r="M31" s="6"/>
      <c r="N31" s="20" t="s">
        <v>127</v>
      </c>
      <c r="O31" s="7"/>
      <c r="P31" s="723"/>
      <c r="Q31" s="724"/>
      <c r="R31" s="724"/>
      <c r="S31" s="724"/>
      <c r="T31" s="724"/>
      <c r="U31" s="724"/>
      <c r="V31" s="724"/>
      <c r="W31" s="725"/>
      <c r="X31" s="29"/>
      <c r="Y31" s="6"/>
      <c r="Z31" s="3"/>
      <c r="AA31" s="123" t="s">
        <v>162</v>
      </c>
      <c r="AB31" s="156" t="s">
        <v>184</v>
      </c>
      <c r="AC31" s="6"/>
      <c r="AD31" s="6"/>
      <c r="AE31" s="59" t="s">
        <v>143</v>
      </c>
      <c r="AF31" s="36" t="s">
        <v>135</v>
      </c>
      <c r="AG31" s="6"/>
      <c r="AH31" s="3"/>
      <c r="AI31" s="28"/>
      <c r="AJ31" s="6"/>
      <c r="AK31" s="12"/>
      <c r="AL31" s="3"/>
      <c r="AM31" s="7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26"/>
      <c r="BA31" s="26"/>
      <c r="BB31" s="3"/>
      <c r="BC31" s="26"/>
      <c r="BD31" s="6"/>
      <c r="BE31" s="3"/>
      <c r="BF31" s="3"/>
      <c r="BG31" s="3"/>
      <c r="BH31" s="3"/>
      <c r="BI31" s="3"/>
      <c r="BJ31" s="3"/>
      <c r="BK31" s="6"/>
      <c r="BL31" s="3"/>
      <c r="BM31" s="153"/>
      <c r="BN31" s="6"/>
      <c r="BO31" s="166" t="s">
        <v>189</v>
      </c>
      <c r="BP31" s="166" t="s">
        <v>189</v>
      </c>
      <c r="BQ31" s="6"/>
      <c r="BR31" s="6"/>
      <c r="BS31" s="6"/>
      <c r="BT31" s="6"/>
      <c r="BU31" s="6"/>
      <c r="BV31" s="6"/>
      <c r="BW31" s="6"/>
      <c r="BX31" s="6"/>
      <c r="BY31" s="3"/>
      <c r="BZ31" s="748" t="s">
        <v>190</v>
      </c>
      <c r="CA31" s="724"/>
      <c r="CB31" s="58"/>
      <c r="CC31" s="3"/>
      <c r="CD31" s="11"/>
      <c r="CE31" s="772">
        <f>BX76</f>
        <v>0</v>
      </c>
      <c r="CF31" s="730"/>
      <c r="CG31" s="35" t="s">
        <v>191</v>
      </c>
      <c r="CH31" s="168"/>
      <c r="CI31" s="168"/>
      <c r="CJ31" s="6"/>
      <c r="CK31" s="70">
        <v>4</v>
      </c>
      <c r="CL31" s="158" t="s">
        <v>185</v>
      </c>
      <c r="CM31" s="16" t="s">
        <v>48</v>
      </c>
      <c r="CN31" s="16" t="s">
        <v>48</v>
      </c>
      <c r="CO31" s="158" t="s">
        <v>185</v>
      </c>
      <c r="CP31" s="75">
        <v>5</v>
      </c>
      <c r="CQ31" s="6"/>
      <c r="CR31" s="6"/>
      <c r="CS31" s="3"/>
      <c r="CT31" s="3"/>
      <c r="CU31" s="160" t="s">
        <v>187</v>
      </c>
      <c r="CV31" s="160" t="s">
        <v>187</v>
      </c>
      <c r="CW31" s="3"/>
      <c r="CX31" s="6"/>
      <c r="CY31" s="6"/>
      <c r="CZ31" s="71">
        <v>2</v>
      </c>
      <c r="DA31" s="164" t="s">
        <v>132</v>
      </c>
      <c r="DB31" s="131" t="s">
        <v>6</v>
      </c>
      <c r="DC31" s="61"/>
      <c r="DD31" s="6"/>
    </row>
    <row r="32" spans="1:108" ht="15.75" customHeight="1">
      <c r="A32" s="7"/>
      <c r="B32" s="169" t="s">
        <v>26</v>
      </c>
      <c r="C32" s="17"/>
      <c r="D32" s="74">
        <v>1</v>
      </c>
      <c r="E32" s="3"/>
      <c r="F32" s="3"/>
      <c r="G32" s="732" t="s">
        <v>178</v>
      </c>
      <c r="H32" s="730"/>
      <c r="I32" s="3"/>
      <c r="J32" s="3"/>
      <c r="K32" s="3"/>
      <c r="L32" s="3"/>
      <c r="M32" s="6"/>
      <c r="N32" s="25" t="s">
        <v>129</v>
      </c>
      <c r="O32" s="7"/>
      <c r="P32" s="723"/>
      <c r="Q32" s="724"/>
      <c r="R32" s="724"/>
      <c r="S32" s="724"/>
      <c r="T32" s="724"/>
      <c r="U32" s="724"/>
      <c r="V32" s="724"/>
      <c r="W32" s="725"/>
      <c r="X32" s="29"/>
      <c r="Y32" s="70">
        <v>1</v>
      </c>
      <c r="Z32" s="3"/>
      <c r="AA32" s="170" t="s">
        <v>192</v>
      </c>
      <c r="AB32" s="170"/>
      <c r="AC32" s="6"/>
      <c r="AD32" s="6"/>
      <c r="AE32" s="171" t="s">
        <v>193</v>
      </c>
      <c r="AF32" s="36" t="s">
        <v>194</v>
      </c>
      <c r="AG32" s="6"/>
      <c r="AH32" s="6"/>
      <c r="AI32" s="720" t="s">
        <v>123</v>
      </c>
      <c r="AJ32" s="722"/>
      <c r="AK32" s="58"/>
      <c r="AL32" s="3"/>
      <c r="AM32" s="7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112"/>
      <c r="BA32" s="26"/>
      <c r="BB32" s="6"/>
      <c r="BC32" s="26"/>
      <c r="BD32" s="6"/>
      <c r="BE32" s="3"/>
      <c r="BF32" s="3"/>
      <c r="BG32" s="171" t="s">
        <v>193</v>
      </c>
      <c r="BH32" s="171" t="s">
        <v>193</v>
      </c>
      <c r="BI32" s="3"/>
      <c r="BJ32" s="6"/>
      <c r="BK32" s="3"/>
      <c r="BL32" s="6"/>
      <c r="BM32" s="153"/>
      <c r="BN32" s="6"/>
      <c r="BO32" s="166" t="s">
        <v>189</v>
      </c>
      <c r="BP32" s="166" t="s">
        <v>189</v>
      </c>
      <c r="BQ32" s="3"/>
      <c r="BR32" s="6"/>
      <c r="BS32" s="6"/>
      <c r="BT32" s="6"/>
      <c r="BY32" s="3"/>
      <c r="BZ32" s="3"/>
      <c r="CA32" s="123" t="s">
        <v>162</v>
      </c>
      <c r="CB32" s="58"/>
      <c r="CC32" s="3"/>
      <c r="CD32" s="11"/>
      <c r="CE32" s="3"/>
      <c r="CF32" s="157">
        <v>1</v>
      </c>
      <c r="CG32" s="172" t="s">
        <v>137</v>
      </c>
      <c r="CH32" s="16" t="s">
        <v>48</v>
      </c>
      <c r="CI32" s="16" t="s">
        <v>48</v>
      </c>
      <c r="CJ32" s="172" t="s">
        <v>137</v>
      </c>
      <c r="CK32" s="173">
        <v>6</v>
      </c>
      <c r="CL32" s="3"/>
      <c r="CM32" s="154"/>
      <c r="CN32" s="154"/>
      <c r="CO32" s="3"/>
      <c r="CP32" s="6"/>
      <c r="CQ32" s="3"/>
      <c r="CR32" s="6"/>
      <c r="CS32" s="3"/>
      <c r="CT32" s="6"/>
      <c r="CU32" s="6"/>
      <c r="CV32" s="6"/>
      <c r="CW32" s="3"/>
      <c r="CX32" s="3"/>
      <c r="CY32" s="6"/>
      <c r="CZ32" s="71">
        <v>3</v>
      </c>
      <c r="DA32" s="164" t="s">
        <v>132</v>
      </c>
      <c r="DB32" s="174" t="s">
        <v>24</v>
      </c>
      <c r="DC32" s="61"/>
      <c r="DD32" s="6"/>
    </row>
    <row r="33" spans="1:108" ht="15.75" customHeight="1">
      <c r="A33" s="7"/>
      <c r="B33" s="175" t="s">
        <v>71</v>
      </c>
      <c r="C33" s="17"/>
      <c r="D33" s="74">
        <v>1</v>
      </c>
      <c r="E33" s="176"/>
      <c r="F33" s="35" t="s">
        <v>195</v>
      </c>
      <c r="G33" s="177"/>
      <c r="H33" s="177"/>
      <c r="I33" s="3"/>
      <c r="J33" s="3"/>
      <c r="K33" s="150"/>
      <c r="L33" s="3"/>
      <c r="M33" s="6"/>
      <c r="N33" s="6"/>
      <c r="O33" s="7"/>
      <c r="P33" s="723"/>
      <c r="Q33" s="724"/>
      <c r="R33" s="724"/>
      <c r="S33" s="724"/>
      <c r="T33" s="724"/>
      <c r="U33" s="724"/>
      <c r="V33" s="724"/>
      <c r="W33" s="725"/>
      <c r="X33" s="3"/>
      <c r="Y33" s="6"/>
      <c r="Z33" s="6"/>
      <c r="AA33" s="178" t="s">
        <v>162</v>
      </c>
      <c r="AB33" s="178" t="s">
        <v>162</v>
      </c>
      <c r="AC33" s="6"/>
      <c r="AD33" s="6"/>
      <c r="AE33" s="171" t="s">
        <v>193</v>
      </c>
      <c r="AF33" s="36" t="s">
        <v>194</v>
      </c>
      <c r="AG33" s="6"/>
      <c r="AH33" s="6"/>
      <c r="AI33" s="723"/>
      <c r="AJ33" s="725"/>
      <c r="AK33" s="58"/>
      <c r="AL33" s="3"/>
      <c r="AM33" s="7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6"/>
      <c r="BA33" s="76"/>
      <c r="BB33" s="153"/>
      <c r="BC33" s="26"/>
      <c r="BD33" s="6"/>
      <c r="BE33" s="3"/>
      <c r="BF33" s="3"/>
      <c r="BG33" s="171" t="s">
        <v>193</v>
      </c>
      <c r="BH33" s="25" t="s">
        <v>129</v>
      </c>
      <c r="BI33" s="3"/>
      <c r="BJ33" s="6"/>
      <c r="BK33" s="3"/>
      <c r="BL33" s="6"/>
      <c r="BM33" s="29"/>
      <c r="BN33" s="6"/>
      <c r="BO33" s="166" t="s">
        <v>189</v>
      </c>
      <c r="BP33" s="166" t="s">
        <v>189</v>
      </c>
      <c r="BQ33" s="3"/>
      <c r="BR33" s="6"/>
      <c r="BS33" s="6"/>
      <c r="BT33" s="6"/>
      <c r="BU33" s="6"/>
      <c r="BV33" s="732" t="s">
        <v>151</v>
      </c>
      <c r="BW33" s="730"/>
      <c r="BX33" s="6"/>
      <c r="BY33" s="3"/>
      <c r="BZ33" s="3"/>
      <c r="CA33" s="123" t="s">
        <v>162</v>
      </c>
      <c r="CB33" s="58"/>
      <c r="CC33" s="3"/>
      <c r="CD33" s="11"/>
      <c r="CE33" s="135" t="s">
        <v>169</v>
      </c>
      <c r="CF33" s="77">
        <v>2</v>
      </c>
      <c r="CG33" s="172" t="s">
        <v>137</v>
      </c>
      <c r="CH33" s="16" t="s">
        <v>48</v>
      </c>
      <c r="CI33" s="16" t="s">
        <v>48</v>
      </c>
      <c r="CJ33" s="172" t="s">
        <v>137</v>
      </c>
      <c r="CK33" s="75"/>
      <c r="CL33" s="6"/>
      <c r="CM33" s="745"/>
      <c r="CN33" s="744"/>
      <c r="CO33" s="6"/>
      <c r="CP33" s="6"/>
      <c r="CQ33" s="3"/>
      <c r="CR33" s="6"/>
      <c r="CS33" s="3"/>
      <c r="CT33" s="6"/>
      <c r="CU33" s="6"/>
      <c r="CV33" s="6"/>
      <c r="CW33" s="3"/>
      <c r="CX33" s="3"/>
      <c r="CY33" s="6"/>
      <c r="CZ33" s="71">
        <v>4</v>
      </c>
      <c r="DA33" s="164" t="s">
        <v>132</v>
      </c>
      <c r="DB33" s="73" t="s">
        <v>4</v>
      </c>
      <c r="DC33" s="61"/>
      <c r="DD33" s="6"/>
    </row>
    <row r="34" spans="1:108" ht="15.75" customHeight="1">
      <c r="A34" s="7"/>
      <c r="C34" s="179"/>
      <c r="E34" s="149">
        <v>1</v>
      </c>
      <c r="F34" s="180" t="s">
        <v>185</v>
      </c>
      <c r="G34" s="16" t="s">
        <v>48</v>
      </c>
      <c r="H34" s="16" t="s">
        <v>48</v>
      </c>
      <c r="I34" s="180" t="s">
        <v>185</v>
      </c>
      <c r="J34" s="150">
        <v>4</v>
      </c>
      <c r="K34" s="3"/>
      <c r="L34" s="3"/>
      <c r="M34" s="6"/>
      <c r="N34" s="60" t="s">
        <v>145</v>
      </c>
      <c r="O34" s="7"/>
      <c r="P34" s="723"/>
      <c r="Q34" s="724"/>
      <c r="R34" s="724"/>
      <c r="S34" s="724"/>
      <c r="T34" s="724"/>
      <c r="U34" s="724"/>
      <c r="V34" s="724"/>
      <c r="W34" s="725"/>
      <c r="X34" s="29"/>
      <c r="Y34" s="136"/>
      <c r="Z34" s="35" t="s">
        <v>196</v>
      </c>
      <c r="AA34" s="19"/>
      <c r="AB34" s="19"/>
      <c r="AC34" s="6"/>
      <c r="AI34" s="723"/>
      <c r="AJ34" s="725"/>
      <c r="AK34" s="58"/>
      <c r="AL34" s="3"/>
      <c r="AM34" s="7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181"/>
      <c r="BA34" s="181"/>
      <c r="BB34" s="153"/>
      <c r="BC34" s="153"/>
      <c r="BD34" s="6"/>
      <c r="BE34" s="3"/>
      <c r="BF34" s="3"/>
      <c r="BG34" s="171" t="s">
        <v>193</v>
      </c>
      <c r="BH34" s="107" t="s">
        <v>157</v>
      </c>
      <c r="BI34" s="3"/>
      <c r="BJ34" s="6"/>
      <c r="BK34" s="3"/>
      <c r="BL34" s="32"/>
      <c r="BM34" s="3"/>
      <c r="BN34" s="6"/>
      <c r="BO34" s="6"/>
      <c r="BP34" s="6"/>
      <c r="BQ34" s="3"/>
      <c r="BR34" s="6"/>
      <c r="BS34" s="6"/>
      <c r="BT34" s="6"/>
      <c r="BU34" s="35" t="s">
        <v>197</v>
      </c>
      <c r="BV34" s="37"/>
      <c r="BW34" s="37"/>
      <c r="BX34" s="182" t="s">
        <v>198</v>
      </c>
      <c r="BY34" s="3"/>
      <c r="BZ34" s="3"/>
      <c r="CA34" s="6"/>
      <c r="CB34" s="58"/>
      <c r="CC34" s="3"/>
      <c r="CD34" s="11"/>
      <c r="CE34" s="135" t="s">
        <v>169</v>
      </c>
      <c r="CF34" s="77">
        <v>3</v>
      </c>
      <c r="CG34" s="172" t="s">
        <v>137</v>
      </c>
      <c r="CH34" s="16" t="s">
        <v>48</v>
      </c>
      <c r="CI34" s="16" t="s">
        <v>48</v>
      </c>
      <c r="CJ34" s="172" t="s">
        <v>137</v>
      </c>
      <c r="CK34" s="75"/>
      <c r="CL34" s="6"/>
      <c r="CM34" s="6"/>
      <c r="CN34" s="6"/>
      <c r="CO34" s="6"/>
      <c r="CP34" s="6"/>
      <c r="CQ34" s="6"/>
      <c r="CR34" s="6"/>
      <c r="CS34" s="3"/>
      <c r="CT34" s="3"/>
      <c r="CU34" s="6"/>
      <c r="CV34" s="6"/>
      <c r="CW34" s="3"/>
      <c r="CX34" s="3"/>
      <c r="CY34" s="6"/>
      <c r="CZ34" s="71">
        <v>5</v>
      </c>
      <c r="DA34" s="164" t="s">
        <v>132</v>
      </c>
      <c r="DB34" s="183" t="s">
        <v>47</v>
      </c>
      <c r="DC34" s="61"/>
      <c r="DD34" s="6"/>
    </row>
    <row r="35" spans="1:108" ht="15.75" customHeight="1">
      <c r="A35" s="7"/>
      <c r="B35" s="184" t="s">
        <v>193</v>
      </c>
      <c r="C35" s="29"/>
      <c r="D35" s="185"/>
      <c r="E35" s="3"/>
      <c r="F35" s="3"/>
      <c r="G35" s="177"/>
      <c r="H35" s="177"/>
      <c r="I35" s="3"/>
      <c r="J35" s="150"/>
      <c r="K35" s="3"/>
      <c r="L35" s="3"/>
      <c r="M35" s="6"/>
      <c r="N35" s="60" t="s">
        <v>145</v>
      </c>
      <c r="O35" s="7"/>
      <c r="P35" s="723"/>
      <c r="Q35" s="724"/>
      <c r="R35" s="724"/>
      <c r="S35" s="724"/>
      <c r="T35" s="724"/>
      <c r="U35" s="724"/>
      <c r="V35" s="724"/>
      <c r="W35" s="725"/>
      <c r="X35" s="29"/>
      <c r="Y35" s="29"/>
      <c r="Z35" s="37" t="s">
        <v>137</v>
      </c>
      <c r="AA35" s="16" t="s">
        <v>48</v>
      </c>
      <c r="AB35" s="16" t="s">
        <v>48</v>
      </c>
      <c r="AC35" s="37" t="s">
        <v>137</v>
      </c>
      <c r="AI35" s="723"/>
      <c r="AJ35" s="725"/>
      <c r="AK35" s="58"/>
      <c r="AL35" s="3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3"/>
      <c r="BC35" s="29"/>
      <c r="BD35" s="29"/>
      <c r="BE35" s="3"/>
      <c r="BF35" s="3"/>
      <c r="BG35" s="3"/>
      <c r="BH35" s="3"/>
      <c r="BI35" s="3"/>
      <c r="BJ35" s="6"/>
      <c r="BK35" s="3"/>
      <c r="BL35" s="3"/>
      <c r="BM35" s="3"/>
      <c r="BN35" s="6"/>
      <c r="BO35" s="186" t="s">
        <v>199</v>
      </c>
      <c r="BP35" s="186" t="s">
        <v>199</v>
      </c>
      <c r="BQ35" s="3"/>
      <c r="BR35" s="6"/>
      <c r="BS35" s="6"/>
      <c r="BT35" s="29"/>
      <c r="BU35" s="37" t="s">
        <v>137</v>
      </c>
      <c r="BV35" s="16" t="s">
        <v>48</v>
      </c>
      <c r="BW35" s="16" t="s">
        <v>48</v>
      </c>
      <c r="BX35" s="37" t="s">
        <v>137</v>
      </c>
      <c r="BY35" s="3"/>
      <c r="BZ35" s="6"/>
      <c r="CA35" s="135" t="s">
        <v>169</v>
      </c>
      <c r="CB35" s="12"/>
      <c r="CC35" s="3"/>
      <c r="CD35" s="11"/>
      <c r="CE35" s="135" t="s">
        <v>169</v>
      </c>
      <c r="CF35" s="3"/>
      <c r="CG35" s="3"/>
      <c r="CH35" s="187"/>
      <c r="CI35" s="187"/>
      <c r="CJ35" s="3"/>
      <c r="CK35" s="70"/>
      <c r="CL35" s="6"/>
      <c r="CM35" s="6"/>
      <c r="CN35" s="6"/>
      <c r="CO35" s="6"/>
      <c r="CP35" s="75"/>
      <c r="CQ35" s="6"/>
      <c r="CR35" s="6"/>
      <c r="CS35" s="3"/>
      <c r="CT35" s="6"/>
      <c r="CU35" s="188"/>
      <c r="CV35" s="189"/>
      <c r="CW35" s="3"/>
      <c r="CX35" s="3"/>
      <c r="CY35" s="6"/>
      <c r="CZ35" s="71">
        <v>6</v>
      </c>
      <c r="DA35" s="164" t="s">
        <v>132</v>
      </c>
      <c r="DB35" s="190" t="s">
        <v>0</v>
      </c>
      <c r="DC35" s="12"/>
      <c r="DD35" s="6"/>
    </row>
    <row r="36" spans="1:108" ht="15.75" customHeight="1">
      <c r="A36" s="7"/>
      <c r="B36" s="25" t="s">
        <v>129</v>
      </c>
      <c r="C36" s="6"/>
      <c r="D36" s="6"/>
      <c r="E36" s="149">
        <v>2</v>
      </c>
      <c r="F36" s="180" t="s">
        <v>185</v>
      </c>
      <c r="G36" s="16" t="s">
        <v>48</v>
      </c>
      <c r="H36" s="16" t="s">
        <v>48</v>
      </c>
      <c r="I36" s="180" t="s">
        <v>185</v>
      </c>
      <c r="J36" s="150">
        <v>3</v>
      </c>
      <c r="K36" s="191"/>
      <c r="L36" s="3"/>
      <c r="M36" s="6"/>
      <c r="N36" s="6"/>
      <c r="O36" s="7"/>
      <c r="P36" s="723"/>
      <c r="Q36" s="724"/>
      <c r="R36" s="724"/>
      <c r="S36" s="724"/>
      <c r="T36" s="724"/>
      <c r="U36" s="724"/>
      <c r="V36" s="724"/>
      <c r="W36" s="725"/>
      <c r="X36" s="29"/>
      <c r="Y36" s="6"/>
      <c r="Z36" s="6"/>
      <c r="AA36" s="19"/>
      <c r="AB36" s="19"/>
      <c r="AC36" s="3"/>
      <c r="AD36" s="3"/>
      <c r="AE36" s="100"/>
      <c r="AF36" s="100"/>
      <c r="AG36" s="3"/>
      <c r="AH36" s="6"/>
      <c r="AI36" s="723"/>
      <c r="AJ36" s="725"/>
      <c r="AK36" s="12"/>
      <c r="AL36" s="3"/>
      <c r="AM36" s="7"/>
      <c r="AN36" s="143" t="s">
        <v>174</v>
      </c>
      <c r="AO36" s="3"/>
      <c r="AP36" s="186" t="s">
        <v>199</v>
      </c>
      <c r="AQ36" s="3"/>
      <c r="AR36" s="192"/>
      <c r="AS36" s="16" t="s">
        <v>48</v>
      </c>
      <c r="AT36" s="192"/>
      <c r="AU36" s="16" t="s">
        <v>48</v>
      </c>
      <c r="AV36" s="192"/>
      <c r="AW36" s="16" t="s">
        <v>48</v>
      </c>
      <c r="AX36" s="192"/>
      <c r="AY36" s="16" t="s">
        <v>48</v>
      </c>
      <c r="AZ36" s="192"/>
      <c r="BA36" s="7"/>
      <c r="BB36" s="3"/>
      <c r="BC36" s="3"/>
      <c r="BD36" s="3"/>
      <c r="BE36" s="3"/>
      <c r="BF36" s="3"/>
      <c r="BG36" s="118" t="s">
        <v>147</v>
      </c>
      <c r="BH36" s="118" t="s">
        <v>147</v>
      </c>
      <c r="BI36" s="6"/>
      <c r="BJ36" s="6"/>
      <c r="BK36" s="3"/>
      <c r="BL36" s="3"/>
      <c r="BM36" s="3"/>
      <c r="BN36" s="6"/>
      <c r="BO36" s="186" t="s">
        <v>199</v>
      </c>
      <c r="BP36" s="186" t="s">
        <v>199</v>
      </c>
      <c r="BQ36" s="3"/>
      <c r="BR36" s="6"/>
      <c r="BS36" s="6"/>
      <c r="BT36" s="29"/>
      <c r="BU36" s="37" t="s">
        <v>137</v>
      </c>
      <c r="BV36" s="16" t="s">
        <v>48</v>
      </c>
      <c r="BW36" s="16" t="s">
        <v>48</v>
      </c>
      <c r="BX36" s="37" t="s">
        <v>137</v>
      </c>
      <c r="BY36" s="3"/>
      <c r="BZ36" s="3"/>
      <c r="CA36" s="135" t="s">
        <v>169</v>
      </c>
      <c r="CB36" s="58"/>
      <c r="CC36" s="3"/>
      <c r="CD36" s="11"/>
      <c r="CE36" s="135" t="s">
        <v>169</v>
      </c>
      <c r="CF36" s="3"/>
      <c r="CG36" s="3"/>
      <c r="CH36" s="118" t="s">
        <v>147</v>
      </c>
      <c r="CI36" s="118" t="s">
        <v>147</v>
      </c>
      <c r="CJ36" s="3"/>
      <c r="CK36" s="77"/>
      <c r="CL36" s="6"/>
      <c r="CM36" s="6"/>
      <c r="CN36" s="6"/>
      <c r="CO36" s="6"/>
      <c r="CP36" s="75"/>
      <c r="CQ36" s="6"/>
      <c r="CR36" s="6"/>
      <c r="CS36" s="3"/>
      <c r="CT36" s="193"/>
      <c r="CU36" s="17"/>
      <c r="CV36" s="17"/>
      <c r="CW36" s="194"/>
      <c r="CX36" s="3"/>
      <c r="CY36" s="6"/>
      <c r="CZ36" s="195"/>
      <c r="DA36" s="110"/>
      <c r="DB36" s="161"/>
      <c r="DC36" s="61"/>
      <c r="DD36" s="6"/>
    </row>
    <row r="37" spans="1:108" ht="15.75" customHeight="1" thickBot="1">
      <c r="A37" s="7"/>
      <c r="B37" s="25" t="s">
        <v>129</v>
      </c>
      <c r="C37" s="6"/>
      <c r="D37" s="6"/>
      <c r="E37" s="3"/>
      <c r="F37" s="3"/>
      <c r="G37" s="177"/>
      <c r="H37" s="177"/>
      <c r="I37" s="732" t="s">
        <v>142</v>
      </c>
      <c r="J37" s="730"/>
      <c r="K37" s="150"/>
      <c r="L37" s="3"/>
      <c r="M37" s="6"/>
      <c r="N37" s="25" t="s">
        <v>129</v>
      </c>
      <c r="O37" s="7"/>
      <c r="P37" s="723"/>
      <c r="Q37" s="724"/>
      <c r="R37" s="724"/>
      <c r="S37" s="724"/>
      <c r="T37" s="724"/>
      <c r="U37" s="724"/>
      <c r="V37" s="724"/>
      <c r="W37" s="725"/>
      <c r="X37" s="29"/>
      <c r="Y37" s="136"/>
      <c r="Z37" s="6"/>
      <c r="AA37" s="54" t="s">
        <v>151</v>
      </c>
      <c r="AB37" s="54"/>
      <c r="AC37" s="3"/>
      <c r="AD37" s="100"/>
      <c r="AE37" s="109"/>
      <c r="AF37" s="109"/>
      <c r="AG37" s="100"/>
      <c r="AH37" s="6"/>
      <c r="AI37" s="723"/>
      <c r="AJ37" s="725"/>
      <c r="AK37" s="58"/>
      <c r="AL37" s="3"/>
      <c r="AM37" s="7"/>
      <c r="AN37" s="26"/>
      <c r="AO37" s="3"/>
      <c r="AP37" s="748"/>
      <c r="AQ37" s="724"/>
      <c r="AR37" s="35" t="s">
        <v>200</v>
      </c>
      <c r="AS37" s="82" t="s">
        <v>137</v>
      </c>
      <c r="AT37" s="6"/>
      <c r="AU37" s="82" t="s">
        <v>137</v>
      </c>
      <c r="AV37" s="3"/>
      <c r="AW37" s="82" t="s">
        <v>137</v>
      </c>
      <c r="AX37" s="3"/>
      <c r="AY37" s="82" t="s">
        <v>137</v>
      </c>
      <c r="AZ37" s="26"/>
      <c r="BA37" s="7"/>
      <c r="BB37" s="26"/>
      <c r="BC37" s="6"/>
      <c r="BD37" s="6"/>
      <c r="BE37" s="3"/>
      <c r="BF37" s="3"/>
      <c r="BG37" s="118" t="s">
        <v>147</v>
      </c>
      <c r="BH37" s="118" t="s">
        <v>147</v>
      </c>
      <c r="BI37" s="3"/>
      <c r="BJ37" s="6"/>
      <c r="BK37" s="3"/>
      <c r="BL37" s="3"/>
      <c r="BM37" s="6"/>
      <c r="BN37" s="6"/>
      <c r="BO37" s="186" t="s">
        <v>199</v>
      </c>
      <c r="BP37" s="186" t="s">
        <v>199</v>
      </c>
      <c r="BQ37" s="3"/>
      <c r="BR37" s="6"/>
      <c r="BS37" s="6"/>
      <c r="BT37" s="29"/>
      <c r="BU37" s="37" t="s">
        <v>137</v>
      </c>
      <c r="BV37" s="16" t="s">
        <v>48</v>
      </c>
      <c r="BW37" s="16" t="s">
        <v>48</v>
      </c>
      <c r="BX37" s="37" t="s">
        <v>137</v>
      </c>
      <c r="BY37" s="3"/>
      <c r="BZ37" s="3"/>
      <c r="CA37" s="135" t="s">
        <v>169</v>
      </c>
      <c r="CB37" s="58"/>
      <c r="CC37" s="3"/>
      <c r="CD37" s="11"/>
      <c r="CE37" s="196" t="s">
        <v>199</v>
      </c>
      <c r="CF37" s="3"/>
      <c r="CG37" s="3"/>
      <c r="CH37" s="118" t="s">
        <v>147</v>
      </c>
      <c r="CI37" s="118" t="s">
        <v>147</v>
      </c>
      <c r="CJ37" s="3"/>
      <c r="CK37" s="77"/>
      <c r="CL37" s="6"/>
      <c r="CM37" s="6"/>
      <c r="CN37" s="6"/>
      <c r="CO37" s="6"/>
      <c r="CP37" s="75"/>
      <c r="CQ37" s="6"/>
      <c r="CR37" s="6"/>
      <c r="CS37" s="71"/>
      <c r="CT37" s="164" t="s">
        <v>132</v>
      </c>
      <c r="CU37" s="197" t="s">
        <v>46</v>
      </c>
      <c r="CV37" s="115" t="s">
        <v>71</v>
      </c>
      <c r="CW37" s="164" t="s">
        <v>132</v>
      </c>
      <c r="CX37" s="74"/>
      <c r="CY37" s="6"/>
      <c r="CZ37" s="6"/>
      <c r="DA37" s="6"/>
      <c r="DB37" s="110"/>
      <c r="DC37" s="61"/>
      <c r="DD37" s="6"/>
    </row>
    <row r="38" spans="1:108" ht="15.75" customHeight="1" thickBot="1">
      <c r="A38" s="7"/>
      <c r="B38" s="6"/>
      <c r="C38" s="6"/>
      <c r="D38" s="6"/>
      <c r="E38" s="6"/>
      <c r="F38" s="198"/>
      <c r="G38" s="186" t="s">
        <v>199</v>
      </c>
      <c r="H38" s="186" t="s">
        <v>199</v>
      </c>
      <c r="J38" s="3"/>
      <c r="K38" s="3"/>
      <c r="L38" s="3"/>
      <c r="M38" s="6"/>
      <c r="N38" s="25" t="s">
        <v>129</v>
      </c>
      <c r="O38" s="7"/>
      <c r="P38" s="723"/>
      <c r="Q38" s="724"/>
      <c r="R38" s="724"/>
      <c r="S38" s="724"/>
      <c r="T38" s="724"/>
      <c r="U38" s="724"/>
      <c r="V38" s="724"/>
      <c r="W38" s="725"/>
      <c r="X38" s="3"/>
      <c r="Y38" s="29"/>
      <c r="Z38" s="3"/>
      <c r="AA38" s="143" t="s">
        <v>174</v>
      </c>
      <c r="AB38" s="143" t="s">
        <v>174</v>
      </c>
      <c r="AC38" s="71">
        <v>1</v>
      </c>
      <c r="AD38" s="199"/>
      <c r="AE38" s="200" t="s">
        <v>71</v>
      </c>
      <c r="AF38" s="201" t="s">
        <v>25</v>
      </c>
      <c r="AG38" s="199" t="s">
        <v>132</v>
      </c>
      <c r="AH38" s="74">
        <v>4</v>
      </c>
      <c r="AI38" s="723"/>
      <c r="AJ38" s="725"/>
      <c r="AK38" s="58"/>
      <c r="AL38" s="3"/>
      <c r="AM38" s="7"/>
      <c r="AN38" s="3"/>
      <c r="AO38" s="3"/>
      <c r="AP38" s="3"/>
      <c r="AQ38" s="3"/>
      <c r="AR38" s="3"/>
      <c r="AS38" s="46">
        <v>1</v>
      </c>
      <c r="AT38" s="3"/>
      <c r="AU38" s="46">
        <v>2</v>
      </c>
      <c r="AV38" s="3"/>
      <c r="AW38" s="46">
        <v>3</v>
      </c>
      <c r="AX38" s="202"/>
      <c r="AY38" s="46">
        <v>4</v>
      </c>
      <c r="AZ38" s="26"/>
      <c r="BA38" s="7"/>
      <c r="BB38" s="26"/>
      <c r="BC38" s="6"/>
      <c r="BD38" s="6"/>
      <c r="BE38" s="3"/>
      <c r="BF38" s="3"/>
      <c r="BG38" s="118" t="s">
        <v>147</v>
      </c>
      <c r="BH38" s="118" t="s">
        <v>147</v>
      </c>
      <c r="BI38" s="3"/>
      <c r="BJ38" s="6"/>
      <c r="BK38" s="3"/>
      <c r="BL38" s="3"/>
      <c r="BM38" s="6"/>
      <c r="BN38" s="6"/>
      <c r="BO38" s="764" t="s">
        <v>201</v>
      </c>
      <c r="BP38" s="744"/>
      <c r="BQ38" s="3"/>
      <c r="BR38" s="6"/>
      <c r="BS38" s="6"/>
      <c r="BT38" s="29"/>
      <c r="BU38" s="6"/>
      <c r="BV38" s="37"/>
      <c r="BW38" s="37"/>
      <c r="BX38" s="6"/>
      <c r="BY38" s="3"/>
      <c r="BZ38" s="748" t="s">
        <v>202</v>
      </c>
      <c r="CA38" s="724"/>
      <c r="CB38" s="58"/>
      <c r="CC38" s="3"/>
      <c r="CD38" s="11"/>
      <c r="CE38" s="196" t="s">
        <v>199</v>
      </c>
      <c r="CF38" s="3"/>
      <c r="CG38" s="3"/>
      <c r="CH38" s="118" t="s">
        <v>147</v>
      </c>
      <c r="CI38" s="118" t="s">
        <v>147</v>
      </c>
      <c r="CJ38" s="3"/>
      <c r="CK38" s="6"/>
      <c r="CL38" s="6"/>
      <c r="CM38" s="117"/>
      <c r="CN38" s="117"/>
      <c r="CO38" s="6"/>
      <c r="CP38" s="6"/>
      <c r="CQ38" s="3"/>
      <c r="CR38" s="6"/>
      <c r="CS38" s="71"/>
      <c r="CT38" s="164" t="s">
        <v>132</v>
      </c>
      <c r="CU38" s="197" t="s">
        <v>46</v>
      </c>
      <c r="CV38" s="115" t="s">
        <v>71</v>
      </c>
      <c r="CW38" s="164" t="s">
        <v>132</v>
      </c>
      <c r="CX38" s="74"/>
      <c r="CY38" s="6"/>
      <c r="CZ38" s="3"/>
      <c r="DA38" s="3"/>
      <c r="DB38" s="3"/>
      <c r="DC38" s="61"/>
      <c r="DD38" s="6"/>
    </row>
    <row r="39" spans="1:108" ht="15.75" customHeight="1" thickBot="1">
      <c r="B39" s="7"/>
      <c r="C39" s="6"/>
      <c r="D39" s="6"/>
      <c r="E39" s="6"/>
      <c r="F39" s="179">
        <v>1</v>
      </c>
      <c r="G39" s="179">
        <v>2</v>
      </c>
      <c r="H39" s="46">
        <v>1</v>
      </c>
      <c r="I39" s="26"/>
      <c r="J39" s="26"/>
      <c r="K39" s="26"/>
      <c r="L39" s="26"/>
      <c r="M39" s="6"/>
      <c r="N39" s="6"/>
      <c r="O39" s="7"/>
      <c r="P39" s="723"/>
      <c r="Q39" s="724"/>
      <c r="R39" s="724"/>
      <c r="S39" s="724"/>
      <c r="T39" s="724"/>
      <c r="U39" s="724"/>
      <c r="V39" s="724"/>
      <c r="W39" s="725"/>
      <c r="X39" s="29"/>
      <c r="Y39" s="3"/>
      <c r="Z39" s="3"/>
      <c r="AA39" s="170" t="s">
        <v>203</v>
      </c>
      <c r="AB39" s="170"/>
      <c r="AC39" s="71">
        <v>2</v>
      </c>
      <c r="AD39" s="199" t="s">
        <v>132</v>
      </c>
      <c r="AE39" s="203" t="s">
        <v>71</v>
      </c>
      <c r="AF39" s="18" t="s">
        <v>25</v>
      </c>
      <c r="AG39" s="199" t="s">
        <v>132</v>
      </c>
      <c r="AH39" s="74">
        <v>3</v>
      </c>
      <c r="AI39" s="726"/>
      <c r="AJ39" s="728"/>
      <c r="AK39" s="58"/>
      <c r="AL39" s="3"/>
      <c r="AM39" s="7"/>
      <c r="AN39" s="118" t="s">
        <v>147</v>
      </c>
      <c r="AO39" s="3"/>
      <c r="AP39" s="3"/>
      <c r="AQ39" s="3"/>
      <c r="AR39" s="3"/>
      <c r="AS39" s="732" t="s">
        <v>204</v>
      </c>
      <c r="AT39" s="730"/>
      <c r="AU39" s="730"/>
      <c r="AV39" s="730"/>
      <c r="AW39" s="730"/>
      <c r="AX39" s="730"/>
      <c r="AY39" s="730"/>
      <c r="AZ39" s="26"/>
      <c r="BA39" s="7"/>
      <c r="BB39" s="26"/>
      <c r="BC39" s="6"/>
      <c r="BD39" s="6"/>
      <c r="BE39" s="3"/>
      <c r="BF39" s="3"/>
      <c r="BG39" s="118" t="s">
        <v>147</v>
      </c>
      <c r="BH39" s="118" t="s">
        <v>147</v>
      </c>
      <c r="BI39" s="3"/>
      <c r="BJ39" s="6"/>
      <c r="BK39" s="3"/>
      <c r="BL39" s="29"/>
      <c r="BM39" s="6"/>
      <c r="BN39" s="6"/>
      <c r="BO39" s="204" t="s">
        <v>205</v>
      </c>
      <c r="BP39" s="204" t="s">
        <v>205</v>
      </c>
      <c r="BR39" s="6"/>
      <c r="BS39" s="6"/>
      <c r="BT39" s="29"/>
      <c r="BU39" s="29"/>
      <c r="BV39" s="6"/>
      <c r="BW39" s="6"/>
      <c r="BX39" s="3"/>
      <c r="BY39" s="3"/>
      <c r="BZ39" s="3"/>
      <c r="CA39" s="3"/>
      <c r="CB39" s="58"/>
      <c r="CC39" s="3"/>
      <c r="CD39" s="11"/>
      <c r="CE39" s="196" t="s">
        <v>199</v>
      </c>
      <c r="CF39" s="3"/>
      <c r="CG39" s="3"/>
      <c r="CH39" s="764" t="s">
        <v>206</v>
      </c>
      <c r="CI39" s="744"/>
      <c r="CJ39" s="3"/>
      <c r="CK39" s="6"/>
      <c r="CL39" s="6"/>
      <c r="CM39" s="205" t="s">
        <v>131</v>
      </c>
      <c r="CN39" s="205" t="s">
        <v>131</v>
      </c>
      <c r="CO39" s="6"/>
      <c r="CP39" s="6"/>
      <c r="CQ39" s="6"/>
      <c r="CR39" s="6"/>
      <c r="CS39" s="71"/>
      <c r="CT39" s="164" t="s">
        <v>132</v>
      </c>
      <c r="CU39" s="165" t="s">
        <v>9</v>
      </c>
      <c r="CV39" s="206" t="s">
        <v>84</v>
      </c>
      <c r="CW39" s="164" t="s">
        <v>132</v>
      </c>
      <c r="CX39" s="74"/>
      <c r="CY39" s="6"/>
      <c r="CZ39" s="6"/>
      <c r="DA39" s="6"/>
      <c r="DB39" s="6"/>
      <c r="DC39" s="61"/>
      <c r="DD39" s="6"/>
    </row>
    <row r="40" spans="1:108" ht="15.75" customHeight="1">
      <c r="A40" s="7"/>
      <c r="B40" s="6"/>
      <c r="C40" s="6"/>
      <c r="D40" s="6"/>
      <c r="E40" s="6"/>
      <c r="F40" s="199" t="s">
        <v>132</v>
      </c>
      <c r="G40" s="199" t="s">
        <v>132</v>
      </c>
      <c r="H40" s="207" t="s">
        <v>137</v>
      </c>
      <c r="I40" s="207" t="s">
        <v>137</v>
      </c>
      <c r="J40" s="35" t="s">
        <v>207</v>
      </c>
      <c r="K40" s="98"/>
      <c r="L40" s="98"/>
      <c r="M40" s="6"/>
      <c r="N40" s="6"/>
      <c r="O40" s="7"/>
      <c r="P40" s="723"/>
      <c r="Q40" s="724"/>
      <c r="R40" s="724"/>
      <c r="S40" s="724"/>
      <c r="T40" s="724"/>
      <c r="U40" s="724"/>
      <c r="V40" s="724"/>
      <c r="W40" s="725"/>
      <c r="X40" s="29"/>
      <c r="Y40" s="3"/>
      <c r="Z40" s="136"/>
      <c r="AA40" s="25" t="s">
        <v>129</v>
      </c>
      <c r="AB40" s="208" t="s">
        <v>129</v>
      </c>
      <c r="AD40" s="100"/>
      <c r="AE40" s="109"/>
      <c r="AF40" s="109"/>
      <c r="AG40" s="100"/>
      <c r="AH40" s="6"/>
      <c r="AI40" s="720" t="s">
        <v>208</v>
      </c>
      <c r="AJ40" s="722"/>
      <c r="AK40" s="58"/>
      <c r="AL40" s="3"/>
      <c r="AM40" s="7"/>
      <c r="AN40" s="118" t="s">
        <v>147</v>
      </c>
      <c r="AO40" s="3"/>
      <c r="AP40" s="3"/>
      <c r="AQ40" s="3"/>
      <c r="AR40" s="26"/>
      <c r="AS40" s="26"/>
      <c r="AT40" s="6"/>
      <c r="AU40" s="6"/>
      <c r="AV40" s="6"/>
      <c r="AW40" s="26"/>
      <c r="AX40" s="26"/>
      <c r="AY40" s="209"/>
      <c r="AZ40" s="26"/>
      <c r="BA40" s="7"/>
      <c r="BB40" s="26"/>
      <c r="BC40" s="6"/>
      <c r="BD40" s="6"/>
      <c r="BE40" s="3"/>
      <c r="BF40" s="3"/>
      <c r="BG40" s="751" t="s">
        <v>209</v>
      </c>
      <c r="BH40" s="744"/>
      <c r="BI40" s="6"/>
      <c r="BJ40" s="6"/>
      <c r="BK40" s="3"/>
      <c r="BL40" s="6"/>
      <c r="BM40" s="6"/>
      <c r="BN40" s="6"/>
      <c r="BO40" s="204" t="s">
        <v>205</v>
      </c>
      <c r="BP40" s="204" t="s">
        <v>205</v>
      </c>
      <c r="BR40" s="6"/>
      <c r="BS40" s="6"/>
      <c r="BT40" s="29"/>
      <c r="BU40" s="29"/>
      <c r="BX40" s="3"/>
      <c r="BY40" s="29"/>
      <c r="BZ40" s="3"/>
      <c r="CA40" s="3"/>
      <c r="CB40" s="12"/>
      <c r="CC40" s="3"/>
      <c r="CD40" s="11"/>
      <c r="CE40" s="196" t="s">
        <v>199</v>
      </c>
      <c r="CF40" s="3"/>
      <c r="CG40" s="3"/>
      <c r="CH40" s="143" t="s">
        <v>174</v>
      </c>
      <c r="CI40" s="143" t="s">
        <v>174</v>
      </c>
      <c r="CJ40" s="3"/>
      <c r="CK40" s="6"/>
      <c r="CL40" s="6"/>
      <c r="CM40" s="205" t="s">
        <v>131</v>
      </c>
      <c r="CN40" s="205" t="s">
        <v>131</v>
      </c>
      <c r="CO40" s="3"/>
      <c r="CP40" s="6"/>
      <c r="CQ40" s="6"/>
      <c r="CR40" s="3"/>
      <c r="CS40" s="71"/>
      <c r="CT40" s="164" t="s">
        <v>132</v>
      </c>
      <c r="CU40" s="165" t="s">
        <v>9</v>
      </c>
      <c r="CV40" s="206" t="s">
        <v>84</v>
      </c>
      <c r="CW40" s="164" t="s">
        <v>132</v>
      </c>
      <c r="CX40" s="74"/>
      <c r="CY40" s="6"/>
      <c r="CZ40" s="6"/>
      <c r="DA40" s="6"/>
      <c r="DB40" s="6"/>
      <c r="DC40" s="12"/>
      <c r="DD40" s="6"/>
    </row>
    <row r="41" spans="1:108" ht="15.75" customHeight="1">
      <c r="A41" s="7"/>
      <c r="B41" s="6"/>
      <c r="C41" s="6"/>
      <c r="D41" s="36" t="s">
        <v>135</v>
      </c>
      <c r="E41" s="107" t="s">
        <v>157</v>
      </c>
      <c r="F41" s="210" t="s">
        <v>9</v>
      </c>
      <c r="G41" s="211" t="s">
        <v>46</v>
      </c>
      <c r="H41" s="16" t="s">
        <v>48</v>
      </c>
      <c r="I41" s="16" t="s">
        <v>48</v>
      </c>
      <c r="J41" s="25" t="s">
        <v>129</v>
      </c>
      <c r="K41" s="6"/>
      <c r="L41" s="6"/>
      <c r="M41" s="6"/>
      <c r="N41" s="6"/>
      <c r="O41" s="7"/>
      <c r="P41" s="723"/>
      <c r="Q41" s="724"/>
      <c r="R41" s="724"/>
      <c r="S41" s="724"/>
      <c r="T41" s="724"/>
      <c r="U41" s="724"/>
      <c r="V41" s="724"/>
      <c r="W41" s="725"/>
      <c r="X41" s="29"/>
      <c r="Y41" s="29"/>
      <c r="Z41" s="29"/>
      <c r="AA41" s="25" t="s">
        <v>129</v>
      </c>
      <c r="AB41" s="25" t="s">
        <v>129</v>
      </c>
      <c r="AC41" s="6"/>
      <c r="AD41" s="3"/>
      <c r="AE41" s="100"/>
      <c r="AF41" s="100"/>
      <c r="AG41" s="3"/>
      <c r="AH41" s="6"/>
      <c r="AI41" s="723"/>
      <c r="AJ41" s="725"/>
      <c r="AK41" s="12"/>
      <c r="AL41" s="3"/>
      <c r="AM41" s="7"/>
      <c r="AN41" s="118" t="s">
        <v>147</v>
      </c>
      <c r="AO41" s="6"/>
      <c r="AP41" s="3"/>
      <c r="AQ41" s="3"/>
      <c r="AR41" s="26"/>
      <c r="AS41" s="212"/>
      <c r="AT41" s="6"/>
      <c r="AU41" s="6"/>
      <c r="AV41" s="6"/>
      <c r="AW41" s="26"/>
      <c r="AX41" s="26"/>
      <c r="AY41" s="26"/>
      <c r="AZ41" s="26"/>
      <c r="BA41" s="7"/>
      <c r="BB41" s="26"/>
      <c r="BC41" s="6"/>
      <c r="BD41" s="6"/>
      <c r="BE41" s="3"/>
      <c r="BF41" s="3"/>
      <c r="BG41" s="6"/>
      <c r="BH41" s="6"/>
      <c r="BI41" s="6"/>
      <c r="BJ41" s="6"/>
      <c r="BK41" s="3"/>
      <c r="BL41" s="6"/>
      <c r="BM41" s="6"/>
      <c r="BN41" s="6"/>
      <c r="BO41" s="204" t="s">
        <v>205</v>
      </c>
      <c r="BP41" s="204" t="s">
        <v>205</v>
      </c>
      <c r="BR41" s="6"/>
      <c r="BS41" s="6"/>
      <c r="BT41" s="3"/>
      <c r="BU41" s="29"/>
      <c r="BX41" s="3"/>
      <c r="BY41" s="3"/>
      <c r="BZ41" s="3"/>
      <c r="CA41" s="146" t="s">
        <v>125</v>
      </c>
      <c r="CB41" s="58"/>
      <c r="CC41" s="3"/>
      <c r="CD41" s="11"/>
      <c r="CE41" s="196" t="s">
        <v>199</v>
      </c>
      <c r="CF41" s="3"/>
      <c r="CG41" s="3"/>
      <c r="CH41" s="143" t="s">
        <v>174</v>
      </c>
      <c r="CI41" s="143" t="s">
        <v>174</v>
      </c>
      <c r="CJ41" s="3"/>
      <c r="CK41" s="6"/>
      <c r="CL41" s="6"/>
      <c r="CM41" s="205" t="s">
        <v>131</v>
      </c>
      <c r="CN41" s="205" t="s">
        <v>131</v>
      </c>
      <c r="CO41" s="3"/>
      <c r="CP41" s="6"/>
      <c r="CQ41" s="6"/>
      <c r="CR41" s="3"/>
      <c r="CS41" s="3"/>
      <c r="CT41" s="193"/>
      <c r="CU41" s="17"/>
      <c r="CV41" s="17"/>
      <c r="CW41" s="194"/>
      <c r="CX41" s="198"/>
      <c r="CY41" s="6"/>
      <c r="CZ41" s="6"/>
      <c r="DA41" s="6"/>
      <c r="DC41" s="61"/>
      <c r="DD41" s="6"/>
    </row>
    <row r="42" spans="1:108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23"/>
      <c r="Q42" s="724"/>
      <c r="R42" s="724"/>
      <c r="S42" s="724"/>
      <c r="T42" s="724"/>
      <c r="U42" s="724"/>
      <c r="V42" s="724"/>
      <c r="W42" s="725"/>
      <c r="X42" s="29"/>
      <c r="Y42" s="29"/>
      <c r="Z42" s="3"/>
      <c r="AA42" s="25" t="s">
        <v>129</v>
      </c>
      <c r="AB42" s="36" t="s">
        <v>135</v>
      </c>
      <c r="AC42" s="3"/>
      <c r="AE42" s="6"/>
      <c r="AF42" s="6"/>
      <c r="AG42" s="6"/>
      <c r="AH42" s="6"/>
      <c r="AI42" s="723"/>
      <c r="AJ42" s="725"/>
      <c r="AK42" s="58"/>
      <c r="AL42" s="3"/>
      <c r="AM42" s="7"/>
      <c r="AN42" s="152" t="s">
        <v>209</v>
      </c>
      <c r="AO42" s="6"/>
      <c r="AP42" s="3"/>
      <c r="AQ42" s="3"/>
      <c r="AR42" s="3"/>
      <c r="AS42" s="3"/>
      <c r="AT42" s="6"/>
      <c r="AU42" s="6"/>
      <c r="AV42" s="212"/>
      <c r="AW42" s="26"/>
      <c r="AX42" s="26"/>
      <c r="AY42" s="26"/>
      <c r="AZ42" s="26"/>
      <c r="BA42" s="213"/>
      <c r="BB42" s="26"/>
      <c r="BC42" s="6"/>
      <c r="BD42" s="6"/>
      <c r="BE42" s="3"/>
      <c r="BF42" s="3"/>
      <c r="BG42" s="214" t="s">
        <v>210</v>
      </c>
      <c r="BH42" s="215" t="s">
        <v>211</v>
      </c>
      <c r="BI42" s="3"/>
      <c r="BJ42" s="6"/>
      <c r="BK42" s="3"/>
      <c r="BL42" s="6"/>
      <c r="BM42" s="6"/>
      <c r="BN42" s="6"/>
      <c r="BO42" s="204" t="s">
        <v>205</v>
      </c>
      <c r="BP42" s="204" t="s">
        <v>205</v>
      </c>
      <c r="BR42" s="6"/>
      <c r="BS42" s="6"/>
      <c r="BT42" s="3"/>
      <c r="BU42" s="3"/>
      <c r="BV42" s="30" t="s">
        <v>131</v>
      </c>
      <c r="BW42" s="30" t="s">
        <v>131</v>
      </c>
      <c r="BX42" s="3"/>
      <c r="BY42" s="3"/>
      <c r="BZ42" s="3"/>
      <c r="CA42" s="146" t="s">
        <v>125</v>
      </c>
      <c r="CB42" s="58"/>
      <c r="CC42" s="3"/>
      <c r="CD42" s="11"/>
      <c r="CE42" s="204" t="s">
        <v>205</v>
      </c>
      <c r="CF42" s="3"/>
      <c r="CG42" s="3"/>
      <c r="CH42" s="764" t="s">
        <v>212</v>
      </c>
      <c r="CI42" s="744"/>
      <c r="CJ42" s="3"/>
      <c r="CK42" s="6"/>
      <c r="CL42" s="6"/>
      <c r="CM42" s="205" t="s">
        <v>131</v>
      </c>
      <c r="CN42" s="205" t="s">
        <v>131</v>
      </c>
      <c r="CO42" s="3"/>
      <c r="CP42" s="6"/>
      <c r="CQ42" s="6"/>
      <c r="CR42" s="3"/>
      <c r="CS42" s="3"/>
      <c r="CT42" s="6"/>
      <c r="CU42" s="752" t="s">
        <v>139</v>
      </c>
      <c r="CV42" s="730"/>
      <c r="CW42" s="6"/>
      <c r="CX42" s="6"/>
      <c r="CY42" s="6"/>
      <c r="CZ42" s="6"/>
      <c r="DA42" s="6"/>
      <c r="DB42" s="67" t="s">
        <v>148</v>
      </c>
      <c r="DC42" s="61"/>
      <c r="DD42" s="6"/>
    </row>
    <row r="43" spans="1:108" ht="15.75" customHeight="1">
      <c r="A43" s="7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/>
      <c r="P43" s="723"/>
      <c r="Q43" s="724"/>
      <c r="R43" s="724"/>
      <c r="S43" s="724"/>
      <c r="T43" s="724"/>
      <c r="U43" s="724"/>
      <c r="V43" s="724"/>
      <c r="W43" s="725"/>
      <c r="X43" s="29"/>
      <c r="Y43" s="136"/>
      <c r="Z43" s="3"/>
      <c r="AA43" s="3"/>
      <c r="AB43" s="3"/>
      <c r="AE43" s="6"/>
      <c r="AF43" s="6"/>
      <c r="AG43" s="6"/>
      <c r="AH43" s="6"/>
      <c r="AI43" s="723"/>
      <c r="AJ43" s="725"/>
      <c r="AK43" s="58"/>
      <c r="AL43" s="3"/>
      <c r="AM43" s="7"/>
      <c r="AN43" s="26"/>
      <c r="AO43" s="3"/>
      <c r="AP43" s="3"/>
      <c r="AQ43" s="3"/>
      <c r="AR43" s="3"/>
      <c r="AS43" s="753" t="s">
        <v>213</v>
      </c>
      <c r="AT43" s="724"/>
      <c r="AU43" s="724"/>
      <c r="AV43" s="724"/>
      <c r="AW43" s="3"/>
      <c r="AX43" s="3"/>
      <c r="AY43" s="26"/>
      <c r="AZ43" s="26"/>
      <c r="BA43" s="216"/>
      <c r="BB43" s="26"/>
      <c r="BC43" s="6"/>
      <c r="BD43" s="6"/>
      <c r="BE43" s="3"/>
      <c r="BF43" s="3"/>
      <c r="BG43" s="69" t="s">
        <v>214</v>
      </c>
      <c r="BH43" s="217" t="s">
        <v>215</v>
      </c>
      <c r="BI43" s="3"/>
      <c r="BJ43" s="6"/>
      <c r="BK43" s="3"/>
      <c r="BL43" s="6"/>
      <c r="BM43" s="6"/>
      <c r="BN43" s="6"/>
      <c r="BO43" s="204" t="s">
        <v>205</v>
      </c>
      <c r="BP43" s="204" t="s">
        <v>205</v>
      </c>
      <c r="BR43" s="6"/>
      <c r="BS43" s="6"/>
      <c r="BT43" s="3"/>
      <c r="BU43" s="3"/>
      <c r="BV43" s="30" t="s">
        <v>131</v>
      </c>
      <c r="BW43" s="30" t="s">
        <v>131</v>
      </c>
      <c r="BX43" s="3"/>
      <c r="BY43" s="3"/>
      <c r="BZ43" s="3"/>
      <c r="CA43" s="146" t="s">
        <v>125</v>
      </c>
      <c r="CB43" s="58"/>
      <c r="CC43" s="3"/>
      <c r="CD43" s="11"/>
      <c r="CE43" s="204" t="s">
        <v>205</v>
      </c>
      <c r="CF43" s="3"/>
      <c r="CG43" s="3"/>
      <c r="CJ43" s="3"/>
      <c r="CK43" s="6"/>
      <c r="CL43" s="6"/>
      <c r="CM43" s="6"/>
      <c r="CN43" s="6"/>
      <c r="CO43" s="6"/>
      <c r="CP43" s="6"/>
      <c r="CQ43" s="3"/>
      <c r="CR43" s="3"/>
      <c r="CS43" s="3"/>
      <c r="CT43" s="6"/>
      <c r="CU43" s="6"/>
      <c r="CV43" s="6"/>
      <c r="CW43" s="6"/>
      <c r="CX43" s="6"/>
      <c r="CY43" s="6"/>
      <c r="CZ43" s="6"/>
      <c r="DA43" s="6"/>
      <c r="DB43" s="171" t="s">
        <v>193</v>
      </c>
      <c r="DC43" s="61"/>
      <c r="DD43" s="6"/>
    </row>
    <row r="44" spans="1:108" ht="15.75" customHeight="1">
      <c r="A44" s="7"/>
      <c r="B44" s="6"/>
      <c r="C44" s="26"/>
      <c r="D44" s="26"/>
      <c r="E44" s="26"/>
      <c r="F44" s="6"/>
      <c r="G44" s="26"/>
      <c r="H44" s="26"/>
      <c r="I44" s="26"/>
      <c r="J44" s="26"/>
      <c r="K44" s="26"/>
      <c r="L44" s="6"/>
      <c r="M44" s="6"/>
      <c r="N44" s="6"/>
      <c r="O44" s="7"/>
      <c r="P44" s="723"/>
      <c r="Q44" s="724"/>
      <c r="R44" s="724"/>
      <c r="S44" s="724"/>
      <c r="T44" s="724"/>
      <c r="U44" s="724"/>
      <c r="V44" s="724"/>
      <c r="W44" s="725"/>
      <c r="X44" s="3"/>
      <c r="Y44" s="29"/>
      <c r="Z44" s="3"/>
      <c r="AA44" s="30" t="s">
        <v>131</v>
      </c>
      <c r="AB44" s="30" t="s">
        <v>131</v>
      </c>
      <c r="AE44" s="6"/>
      <c r="AF44" s="6"/>
      <c r="AG44" s="6"/>
      <c r="AH44" s="6"/>
      <c r="AI44" s="723"/>
      <c r="AJ44" s="725"/>
      <c r="AK44" s="58"/>
      <c r="AL44" s="3"/>
      <c r="AM44" s="7"/>
      <c r="AN44" s="26"/>
      <c r="AO44" s="218"/>
      <c r="AP44" s="3"/>
      <c r="AQ44" s="3"/>
      <c r="AR44" s="3"/>
      <c r="AS44" s="6"/>
      <c r="AT44" s="219" t="s">
        <v>216</v>
      </c>
      <c r="AU44" s="219" t="s">
        <v>216</v>
      </c>
      <c r="AV44" s="26"/>
      <c r="AW44" s="3"/>
      <c r="AX44" s="3"/>
      <c r="AY44" s="26"/>
      <c r="AZ44" s="26"/>
      <c r="BA44" s="216"/>
      <c r="BB44" s="26"/>
      <c r="BC44" s="6"/>
      <c r="BD44" s="26"/>
      <c r="BE44" s="3"/>
      <c r="BF44" s="3"/>
      <c r="BG44" s="79" t="s">
        <v>152</v>
      </c>
      <c r="BH44" s="79" t="s">
        <v>152</v>
      </c>
      <c r="BI44" s="3"/>
      <c r="BJ44" s="6"/>
      <c r="BK44" s="3"/>
      <c r="BL44" s="6"/>
      <c r="BM44" s="6"/>
      <c r="BN44" s="6"/>
      <c r="BO44" s="204" t="s">
        <v>205</v>
      </c>
      <c r="BP44" s="204" t="s">
        <v>205</v>
      </c>
      <c r="BR44" s="6"/>
      <c r="BS44" s="6"/>
      <c r="BT44" s="3"/>
      <c r="BU44" s="3"/>
      <c r="BV44" s="3"/>
      <c r="BW44" s="3"/>
      <c r="BX44" s="3"/>
      <c r="BY44" s="3"/>
      <c r="BZ44" s="6"/>
      <c r="CA44" s="146" t="s">
        <v>125</v>
      </c>
      <c r="CB44" s="58"/>
      <c r="CC44" s="3"/>
      <c r="CD44" s="11"/>
      <c r="CE44" s="204" t="s">
        <v>205</v>
      </c>
      <c r="CF44" s="3"/>
      <c r="CG44" s="3"/>
      <c r="CH44" s="143" t="s">
        <v>174</v>
      </c>
      <c r="CI44" s="143" t="s">
        <v>174</v>
      </c>
      <c r="CJ44" s="3"/>
      <c r="CK44" s="6"/>
      <c r="CL44" s="6"/>
      <c r="CM44" s="6"/>
      <c r="CN44" s="6"/>
      <c r="CO44" s="6"/>
      <c r="CP44" s="6"/>
      <c r="CQ44" s="3"/>
      <c r="CR44" s="3"/>
      <c r="CS44" s="3"/>
      <c r="CT44" s="6"/>
      <c r="CU44" s="137" t="s">
        <v>179</v>
      </c>
      <c r="CV44" s="220" t="s">
        <v>215</v>
      </c>
      <c r="CW44" s="6"/>
      <c r="CX44" s="3"/>
      <c r="CY44" s="6"/>
      <c r="CZ44" s="6"/>
      <c r="DA44" s="6"/>
      <c r="DB44" s="36" t="s">
        <v>194</v>
      </c>
      <c r="DC44" s="61"/>
      <c r="DD44" s="6"/>
    </row>
    <row r="45" spans="1:108" ht="15.75" customHeight="1">
      <c r="A45" s="7"/>
      <c r="B45" s="6"/>
      <c r="C45" s="26"/>
      <c r="D45" s="26"/>
      <c r="E45" s="26"/>
      <c r="F45" s="6"/>
      <c r="G45" s="26"/>
      <c r="H45" s="26"/>
      <c r="I45" s="26"/>
      <c r="J45" s="26"/>
      <c r="K45" s="26"/>
      <c r="L45" s="6"/>
      <c r="M45" s="6"/>
      <c r="N45" s="6"/>
      <c r="O45" s="7"/>
      <c r="P45" s="723"/>
      <c r="Q45" s="724"/>
      <c r="R45" s="724"/>
      <c r="S45" s="724"/>
      <c r="T45" s="724"/>
      <c r="U45" s="724"/>
      <c r="V45" s="724"/>
      <c r="W45" s="725"/>
      <c r="X45" s="29"/>
      <c r="Y45" s="3"/>
      <c r="Z45" s="29"/>
      <c r="AA45" s="30" t="s">
        <v>131</v>
      </c>
      <c r="AB45" s="30" t="s">
        <v>131</v>
      </c>
      <c r="AE45" s="6"/>
      <c r="AF45" s="6"/>
      <c r="AG45" s="6"/>
      <c r="AH45" s="6"/>
      <c r="AI45" s="723"/>
      <c r="AJ45" s="725"/>
      <c r="AK45" s="58"/>
      <c r="AL45" s="3"/>
      <c r="AM45" s="7"/>
      <c r="AN45" s="26"/>
      <c r="AO45" s="221"/>
      <c r="AP45" s="3"/>
      <c r="AQ45" s="3"/>
      <c r="AR45" s="212"/>
      <c r="AS45" s="6"/>
      <c r="AT45" s="222" t="s">
        <v>216</v>
      </c>
      <c r="AU45" s="219" t="s">
        <v>216</v>
      </c>
      <c r="AV45" s="3"/>
      <c r="AW45" s="3"/>
      <c r="AX45" s="3"/>
      <c r="AY45" s="26"/>
      <c r="AZ45" s="26"/>
      <c r="BA45" s="216"/>
      <c r="BB45" s="26"/>
      <c r="BC45" s="6"/>
      <c r="BD45" s="26"/>
      <c r="BE45" s="3"/>
      <c r="BF45" s="3"/>
      <c r="BG45" s="79" t="s">
        <v>152</v>
      </c>
      <c r="BH45" s="79" t="s">
        <v>152</v>
      </c>
      <c r="BI45" s="3"/>
      <c r="BJ45" s="6"/>
      <c r="BK45" s="3"/>
      <c r="BL45" s="6"/>
      <c r="BM45" s="6"/>
      <c r="BN45" s="6"/>
      <c r="BO45" s="3"/>
      <c r="BP45" s="3"/>
      <c r="BQ45" s="3"/>
      <c r="BR45" s="6"/>
      <c r="BS45" s="6"/>
      <c r="BT45" s="3"/>
      <c r="BU45" s="3"/>
      <c r="BV45" s="3"/>
      <c r="BW45" s="3"/>
      <c r="BX45" s="3"/>
      <c r="BY45" s="3"/>
      <c r="BZ45" s="6"/>
      <c r="CA45" s="146" t="s">
        <v>125</v>
      </c>
      <c r="CB45" s="58"/>
      <c r="CC45" s="3"/>
      <c r="CD45" s="11"/>
      <c r="CE45" s="204" t="s">
        <v>205</v>
      </c>
      <c r="CF45" s="6"/>
      <c r="CG45" s="6"/>
      <c r="CH45" s="143" t="s">
        <v>174</v>
      </c>
      <c r="CI45" s="143" t="s">
        <v>174</v>
      </c>
      <c r="CJ45" s="6"/>
      <c r="CK45" s="6"/>
      <c r="CL45" s="6"/>
      <c r="CM45" s="6"/>
      <c r="CN45" s="6"/>
      <c r="CO45" s="6"/>
      <c r="CP45" s="6"/>
      <c r="CQ45" s="3"/>
      <c r="CR45" s="3"/>
      <c r="CS45" s="3"/>
      <c r="CT45" s="6"/>
      <c r="CU45" s="137" t="s">
        <v>179</v>
      </c>
      <c r="CV45" s="223" t="s">
        <v>214</v>
      </c>
      <c r="CW45" s="6"/>
      <c r="CX45" s="6"/>
      <c r="CY45" s="6"/>
      <c r="CZ45" s="3"/>
      <c r="DA45" s="6"/>
      <c r="DB45" s="224" t="s">
        <v>217</v>
      </c>
      <c r="DC45" s="61"/>
      <c r="DD45" s="6"/>
    </row>
    <row r="46" spans="1:108" ht="15.75" customHeight="1" thickBot="1">
      <c r="A46" s="7"/>
      <c r="B46" s="6"/>
      <c r="C46" s="26"/>
      <c r="D46" s="26"/>
      <c r="E46" s="26"/>
      <c r="F46" s="6"/>
      <c r="G46" s="26"/>
      <c r="H46" s="26"/>
      <c r="I46" s="26"/>
      <c r="J46" s="26"/>
      <c r="K46" s="26"/>
      <c r="L46" s="6"/>
      <c r="M46" s="6"/>
      <c r="N46" s="6"/>
      <c r="O46" s="7"/>
      <c r="P46" s="726"/>
      <c r="Q46" s="727"/>
      <c r="R46" s="727"/>
      <c r="S46" s="727"/>
      <c r="T46" s="727"/>
      <c r="U46" s="727"/>
      <c r="V46" s="727"/>
      <c r="W46" s="728"/>
      <c r="X46" s="29"/>
      <c r="Y46" s="3"/>
      <c r="Z46" s="136"/>
      <c r="AA46" s="30" t="s">
        <v>131</v>
      </c>
      <c r="AB46" s="30" t="s">
        <v>131</v>
      </c>
      <c r="AE46" s="6"/>
      <c r="AF46" s="6"/>
      <c r="AG46" s="6"/>
      <c r="AH46" s="6"/>
      <c r="AI46" s="723"/>
      <c r="AJ46" s="725"/>
      <c r="AK46" s="58"/>
      <c r="AL46" s="3"/>
      <c r="AM46" s="7"/>
      <c r="AN46" s="146" t="s">
        <v>125</v>
      </c>
      <c r="AO46" s="3"/>
      <c r="AP46" s="3"/>
      <c r="AQ46" s="3"/>
      <c r="AR46" s="212"/>
      <c r="AS46" s="6"/>
      <c r="AV46" s="6"/>
      <c r="AW46" s="3"/>
      <c r="AX46" s="3"/>
      <c r="AY46" s="26"/>
      <c r="AZ46" s="26"/>
      <c r="BA46" s="216"/>
      <c r="BB46" s="26"/>
      <c r="BC46" s="6"/>
      <c r="BD46" s="6"/>
      <c r="BE46" s="3"/>
      <c r="BF46" s="3"/>
      <c r="BG46" s="6"/>
      <c r="BH46" s="6"/>
      <c r="BI46" s="6"/>
      <c r="BJ46" s="6"/>
      <c r="BK46" s="3"/>
      <c r="BL46" s="6"/>
      <c r="BM46" s="6"/>
      <c r="BN46" s="3"/>
      <c r="BO46" s="204" t="s">
        <v>205</v>
      </c>
      <c r="BP46" s="204" t="s">
        <v>205</v>
      </c>
      <c r="BQ46" s="3"/>
      <c r="BR46" s="6"/>
      <c r="BS46" s="6"/>
      <c r="BT46" s="3"/>
      <c r="BU46" s="3"/>
      <c r="BV46" s="3"/>
      <c r="BW46" s="3"/>
      <c r="BX46" s="3"/>
      <c r="BY46" s="3"/>
      <c r="BZ46" s="6"/>
      <c r="CA46" s="146" t="s">
        <v>125</v>
      </c>
      <c r="CB46" s="11"/>
      <c r="CC46" s="3"/>
      <c r="CD46" s="11"/>
      <c r="CE46" s="204" t="s">
        <v>205</v>
      </c>
      <c r="CF46" s="6"/>
      <c r="CG46" s="6"/>
      <c r="CH46" s="143" t="s">
        <v>174</v>
      </c>
      <c r="CI46" s="143" t="s">
        <v>174</v>
      </c>
      <c r="CJ46" s="6"/>
      <c r="CK46" s="6"/>
      <c r="CL46" s="6"/>
      <c r="CM46" s="6"/>
      <c r="CN46" s="6"/>
      <c r="CO46" s="6"/>
      <c r="CP46" s="6"/>
      <c r="CQ46" s="3"/>
      <c r="CR46" s="3"/>
      <c r="CS46" s="3"/>
      <c r="CT46" s="6"/>
      <c r="CU46" s="137" t="s">
        <v>179</v>
      </c>
      <c r="CV46" s="220" t="s">
        <v>215</v>
      </c>
      <c r="CW46" s="3"/>
      <c r="CX46" s="3"/>
      <c r="CY46" s="6"/>
      <c r="CZ46" s="6"/>
      <c r="DA46" s="6"/>
      <c r="DB46" s="67" t="s">
        <v>148</v>
      </c>
      <c r="DC46" s="11"/>
      <c r="DD46" s="6"/>
    </row>
    <row r="47" spans="1:108" ht="15.75" customHeight="1">
      <c r="A47" s="7"/>
      <c r="B47" s="6"/>
      <c r="C47" s="26"/>
      <c r="D47" s="26"/>
      <c r="E47" s="26"/>
      <c r="F47" s="6"/>
      <c r="G47" s="26"/>
      <c r="H47" s="26"/>
      <c r="I47" s="26"/>
      <c r="J47" s="26"/>
      <c r="K47" s="26"/>
      <c r="L47" s="6"/>
      <c r="M47" s="6"/>
      <c r="N47" s="6"/>
      <c r="O47" s="7"/>
      <c r="P47" s="225"/>
      <c r="Q47" s="38"/>
      <c r="R47" s="38"/>
      <c r="S47" s="38"/>
      <c r="T47" s="38"/>
      <c r="U47" s="38"/>
      <c r="V47" s="38"/>
      <c r="W47" s="38"/>
      <c r="X47" s="29"/>
      <c r="Y47" s="29"/>
      <c r="Z47" s="29"/>
      <c r="AA47" s="133" t="s">
        <v>218</v>
      </c>
      <c r="AB47" s="133"/>
      <c r="AD47" s="6"/>
      <c r="AE47" s="6"/>
      <c r="AF47" s="6"/>
      <c r="AG47" s="6"/>
      <c r="AH47" s="6"/>
      <c r="AI47" s="723"/>
      <c r="AJ47" s="725"/>
      <c r="AK47" s="11"/>
      <c r="AL47" s="3"/>
      <c r="AM47" s="7"/>
      <c r="AN47" s="146" t="s">
        <v>125</v>
      </c>
      <c r="AO47" s="3"/>
      <c r="AP47" s="3"/>
      <c r="AQ47" s="3"/>
      <c r="AR47" s="748"/>
      <c r="AS47" s="754"/>
      <c r="AT47" s="774" t="s">
        <v>219</v>
      </c>
      <c r="AU47" s="756"/>
      <c r="AV47" s="6"/>
      <c r="AW47" s="3"/>
      <c r="AX47" s="3"/>
      <c r="AY47" s="26"/>
      <c r="AZ47" s="26"/>
      <c r="BA47" s="226"/>
      <c r="BB47" s="26"/>
      <c r="BC47" s="26"/>
      <c r="BD47" s="26"/>
      <c r="BE47" s="3"/>
      <c r="BF47" s="3"/>
      <c r="BG47" s="6"/>
      <c r="BH47" s="6"/>
      <c r="BI47" s="6"/>
      <c r="BJ47" s="6"/>
      <c r="BK47" s="3"/>
      <c r="BL47" s="6"/>
      <c r="BM47" s="6"/>
      <c r="BN47" s="3"/>
      <c r="BO47" s="6"/>
      <c r="BP47" s="6"/>
      <c r="BQ47" s="3"/>
      <c r="BR47" s="6"/>
      <c r="BS47" s="6"/>
      <c r="BT47" s="6"/>
      <c r="BU47" s="6"/>
      <c r="BV47" s="46">
        <v>1</v>
      </c>
      <c r="BW47" s="6"/>
      <c r="BX47" s="6"/>
      <c r="BY47" s="6"/>
      <c r="BZ47" s="6"/>
      <c r="CA47" s="3"/>
      <c r="CB47" s="58"/>
      <c r="CC47" s="3"/>
      <c r="CD47" s="11"/>
      <c r="CE47" s="204" t="s">
        <v>205</v>
      </c>
      <c r="CF47" s="6"/>
      <c r="CG47" s="6"/>
      <c r="CH47" s="764" t="s">
        <v>220</v>
      </c>
      <c r="CI47" s="744"/>
      <c r="CJ47" s="6"/>
      <c r="CK47" s="6"/>
      <c r="CL47" s="6"/>
      <c r="CM47" s="775" t="s">
        <v>221</v>
      </c>
      <c r="CN47" s="715"/>
      <c r="CO47" s="6"/>
      <c r="CP47" s="6"/>
      <c r="CQ47" s="3"/>
      <c r="CR47" s="3"/>
      <c r="CS47" s="3"/>
      <c r="CT47" s="6"/>
      <c r="CU47" s="214" t="s">
        <v>210</v>
      </c>
      <c r="CV47" s="227" t="s">
        <v>222</v>
      </c>
      <c r="CW47" s="3"/>
      <c r="CX47" s="3"/>
      <c r="CY47" s="6"/>
      <c r="CZ47" s="6"/>
      <c r="DA47" s="6"/>
      <c r="DB47" s="67" t="s">
        <v>148</v>
      </c>
      <c r="DC47" s="61"/>
      <c r="DD47" s="6"/>
    </row>
    <row r="48" spans="1:108" ht="15.75" customHeight="1" thickBot="1">
      <c r="A48" s="7"/>
      <c r="B48" s="6"/>
      <c r="C48" s="26"/>
      <c r="D48" s="26"/>
      <c r="E48" s="26"/>
      <c r="F48" s="26"/>
      <c r="G48" s="26"/>
      <c r="H48" s="26"/>
      <c r="I48" s="26"/>
      <c r="J48" s="26"/>
      <c r="K48" s="26"/>
      <c r="L48" s="6"/>
      <c r="M48" s="6"/>
      <c r="N48" s="6"/>
      <c r="O48" s="7"/>
      <c r="P48" s="225"/>
      <c r="Q48" s="38"/>
      <c r="R48" s="38"/>
      <c r="S48" s="38"/>
      <c r="T48" s="38"/>
      <c r="U48" s="38"/>
      <c r="V48" s="6"/>
      <c r="W48" s="6"/>
      <c r="X48" s="6"/>
      <c r="Y48" s="6"/>
      <c r="Z48" s="29"/>
      <c r="AA48" s="6"/>
      <c r="AB48" s="6"/>
      <c r="AC48" s="3"/>
      <c r="AD48" s="6"/>
      <c r="AE48" s="6"/>
      <c r="AF48" s="6"/>
      <c r="AG48" s="6"/>
      <c r="AH48" s="6"/>
      <c r="AI48" s="726"/>
      <c r="AJ48" s="728"/>
      <c r="AK48" s="58"/>
      <c r="AL48" s="3"/>
      <c r="AM48" s="7"/>
      <c r="AN48" s="146" t="s">
        <v>125</v>
      </c>
      <c r="AO48" s="3"/>
      <c r="AP48" s="3"/>
      <c r="AQ48" s="3"/>
      <c r="AR48" s="3"/>
      <c r="AS48" s="3"/>
      <c r="AT48" s="118" t="s">
        <v>147</v>
      </c>
      <c r="AU48" s="118" t="s">
        <v>147</v>
      </c>
      <c r="AV48" s="6"/>
      <c r="AW48" s="3"/>
      <c r="AX48" s="3"/>
      <c r="AY48" s="3"/>
      <c r="AZ48" s="3"/>
      <c r="BA48" s="7"/>
      <c r="BB48" s="26"/>
      <c r="BC48" s="26"/>
      <c r="BD48" s="26"/>
      <c r="BE48" s="3"/>
      <c r="BF48" s="6"/>
      <c r="BG48" s="732" t="s">
        <v>188</v>
      </c>
      <c r="BH48" s="730"/>
      <c r="BI48" s="6"/>
      <c r="BJ48" s="3"/>
      <c r="BK48" s="3"/>
      <c r="BL48" s="29"/>
      <c r="BM48" s="6"/>
      <c r="BN48" s="3"/>
      <c r="BO48" s="204" t="s">
        <v>205</v>
      </c>
      <c r="BP48" s="204" t="s">
        <v>205</v>
      </c>
      <c r="BQ48" s="3"/>
      <c r="BR48" s="6"/>
      <c r="BS48" s="6"/>
      <c r="BT48" s="6"/>
      <c r="BU48" s="6"/>
      <c r="BV48" s="228" t="s">
        <v>137</v>
      </c>
      <c r="BW48" s="6"/>
      <c r="BX48" s="6"/>
      <c r="BY48" s="6"/>
      <c r="BZ48" s="3"/>
      <c r="CA48" s="3"/>
      <c r="CB48" s="58"/>
      <c r="CC48" s="3"/>
      <c r="CD48" s="11"/>
      <c r="CE48" s="6"/>
      <c r="CL48" s="6"/>
      <c r="CM48" s="118" t="s">
        <v>147</v>
      </c>
      <c r="CN48" s="118" t="s">
        <v>147</v>
      </c>
      <c r="CO48" s="6"/>
      <c r="CP48" s="6"/>
      <c r="CQ48" s="3"/>
      <c r="CR48" s="3"/>
      <c r="CS48" s="3"/>
      <c r="CT48" s="3"/>
      <c r="CU48" s="220" t="s">
        <v>215</v>
      </c>
      <c r="CV48" s="215" t="s">
        <v>211</v>
      </c>
      <c r="CW48" s="3"/>
      <c r="CX48" s="3"/>
      <c r="CY48" s="6"/>
      <c r="CZ48" s="6"/>
      <c r="DA48" s="6"/>
      <c r="DC48" s="61"/>
      <c r="DD48" s="6"/>
    </row>
    <row r="49" spans="1:108" ht="15.75" customHeight="1">
      <c r="A49" s="7"/>
      <c r="B49" s="6"/>
      <c r="C49" s="26"/>
      <c r="D49" s="26"/>
      <c r="E49" s="26"/>
      <c r="F49" s="26"/>
      <c r="G49" s="26"/>
      <c r="H49" s="26"/>
      <c r="I49" s="26"/>
      <c r="J49" s="26"/>
      <c r="K49" s="26"/>
      <c r="L49" s="6"/>
      <c r="M49" s="6"/>
      <c r="N49" s="6"/>
      <c r="O49" s="7"/>
      <c r="P49" s="225"/>
      <c r="Q49" s="38"/>
      <c r="R49" s="38"/>
      <c r="S49" s="38"/>
      <c r="T49" s="38"/>
      <c r="U49" s="38"/>
      <c r="V49" s="6"/>
      <c r="W49" s="6"/>
      <c r="X49" s="6"/>
      <c r="Y49" s="6"/>
      <c r="Z49" s="6"/>
      <c r="AA49" s="166" t="s">
        <v>189</v>
      </c>
      <c r="AB49" s="136"/>
      <c r="AC49" s="3"/>
      <c r="AD49" s="3"/>
      <c r="AE49" s="229"/>
      <c r="AF49" s="230"/>
      <c r="AG49" s="230"/>
      <c r="AH49" s="230"/>
      <c r="AI49" s="231"/>
      <c r="AJ49" s="232"/>
      <c r="AK49" s="58"/>
      <c r="AL49" s="3"/>
      <c r="AM49" s="7"/>
      <c r="AN49" s="146" t="s">
        <v>125</v>
      </c>
      <c r="AO49" s="3"/>
      <c r="AP49" s="3"/>
      <c r="AQ49" s="3"/>
      <c r="AR49" s="3"/>
      <c r="AS49" s="3"/>
      <c r="AT49" s="118" t="s">
        <v>147</v>
      </c>
      <c r="AU49" s="118" t="s">
        <v>147</v>
      </c>
      <c r="AV49" s="3"/>
      <c r="AW49" s="3"/>
      <c r="AX49" s="3"/>
      <c r="AY49" s="26"/>
      <c r="AZ49" s="26"/>
      <c r="BA49" s="7"/>
      <c r="BB49" s="26"/>
      <c r="BC49" s="26"/>
      <c r="BD49" s="26"/>
      <c r="BE49" s="233"/>
      <c r="BF49" s="35" t="s">
        <v>223</v>
      </c>
      <c r="BG49" s="154"/>
      <c r="BH49" s="154"/>
      <c r="BI49" s="99" t="s">
        <v>224</v>
      </c>
      <c r="BJ49" s="3"/>
      <c r="BK49" s="3"/>
      <c r="BL49" s="6"/>
      <c r="BM49" s="6"/>
      <c r="BN49" s="3"/>
      <c r="BO49" s="204" t="s">
        <v>205</v>
      </c>
      <c r="BP49" s="204" t="s">
        <v>205</v>
      </c>
      <c r="BQ49" s="3"/>
      <c r="BR49" s="6"/>
      <c r="BS49" s="6"/>
      <c r="BT49" s="35" t="s">
        <v>225</v>
      </c>
      <c r="BU49" s="99" t="s">
        <v>226</v>
      </c>
      <c r="BV49" s="16" t="s">
        <v>48</v>
      </c>
      <c r="BW49" s="99" t="s">
        <v>226</v>
      </c>
      <c r="BX49" s="6"/>
      <c r="BY49" s="6"/>
      <c r="BZ49" s="3"/>
      <c r="CA49" s="3"/>
      <c r="CB49" s="58"/>
      <c r="CC49" s="3"/>
      <c r="CD49" s="11"/>
      <c r="CF49" s="3"/>
      <c r="CG49" s="35" t="s">
        <v>200</v>
      </c>
      <c r="CH49" s="234"/>
      <c r="CI49" s="234"/>
      <c r="CJ49" s="3"/>
      <c r="CK49" s="6"/>
      <c r="CL49" s="6"/>
      <c r="CM49" s="118" t="s">
        <v>147</v>
      </c>
      <c r="CN49" s="118" t="s">
        <v>147</v>
      </c>
      <c r="CO49" s="6"/>
      <c r="CP49" s="6"/>
      <c r="CQ49" s="3"/>
      <c r="CR49" s="3"/>
      <c r="CS49" s="3"/>
      <c r="CT49" s="3"/>
      <c r="CU49" s="3"/>
      <c r="CV49" s="3"/>
      <c r="CW49" s="3"/>
      <c r="CX49" s="3"/>
      <c r="CY49" s="6"/>
      <c r="CZ49" s="6"/>
      <c r="DA49" s="6"/>
      <c r="DC49" s="61"/>
      <c r="DD49" s="6"/>
    </row>
    <row r="50" spans="1:108" ht="15.75" customHeight="1" thickBot="1">
      <c r="A50" s="7"/>
      <c r="B50" s="6"/>
      <c r="C50" s="26"/>
      <c r="D50" s="26"/>
      <c r="E50" s="26"/>
      <c r="F50" s="26"/>
      <c r="G50" s="26"/>
      <c r="H50" s="26"/>
      <c r="I50" s="26"/>
      <c r="J50" s="26"/>
      <c r="K50" s="26"/>
      <c r="L50" s="6"/>
      <c r="M50" s="6"/>
      <c r="N50" s="6"/>
      <c r="O50" s="7"/>
      <c r="P50" s="38"/>
      <c r="Q50" s="38"/>
      <c r="R50" s="38"/>
      <c r="S50" s="38"/>
      <c r="T50" s="38"/>
      <c r="U50" s="38"/>
      <c r="V50" s="6"/>
      <c r="W50" s="6"/>
      <c r="X50" s="6"/>
      <c r="Y50" s="6"/>
      <c r="Z50" s="166" t="s">
        <v>189</v>
      </c>
      <c r="AA50" s="38"/>
      <c r="AB50" s="166" t="s">
        <v>189</v>
      </c>
      <c r="AC50" s="3"/>
      <c r="AD50" s="3"/>
      <c r="AE50" s="235"/>
      <c r="AF50" s="38"/>
      <c r="AG50" s="38"/>
      <c r="AH50" s="38"/>
      <c r="AI50" s="66"/>
      <c r="AJ50" s="236"/>
      <c r="AK50" s="58"/>
      <c r="AL50" s="3"/>
      <c r="AM50" s="7"/>
      <c r="AN50" s="146" t="s">
        <v>125</v>
      </c>
      <c r="AO50" s="3"/>
      <c r="AP50" s="3"/>
      <c r="AQ50" s="3"/>
      <c r="AR50" s="3"/>
      <c r="AS50" s="3"/>
      <c r="AT50" s="118" t="s">
        <v>147</v>
      </c>
      <c r="AU50" s="118" t="s">
        <v>147</v>
      </c>
      <c r="AV50" s="3"/>
      <c r="AW50" s="3"/>
      <c r="AX50" s="26"/>
      <c r="AY50" s="26"/>
      <c r="AZ50" s="26"/>
      <c r="BA50" s="7"/>
      <c r="BB50" s="26"/>
      <c r="BC50" s="26"/>
      <c r="BD50" s="26"/>
      <c r="BE50" s="157">
        <v>1</v>
      </c>
      <c r="BF50" s="158" t="s">
        <v>137</v>
      </c>
      <c r="BG50" s="16" t="s">
        <v>48</v>
      </c>
      <c r="BH50" s="16" t="s">
        <v>48</v>
      </c>
      <c r="BI50" s="158" t="s">
        <v>137</v>
      </c>
      <c r="BJ50" s="78">
        <v>8</v>
      </c>
      <c r="BK50" s="237"/>
      <c r="BL50" s="29"/>
      <c r="BM50" s="32"/>
      <c r="BN50" s="3"/>
      <c r="BO50" s="204" t="s">
        <v>205</v>
      </c>
      <c r="BP50" s="204" t="s">
        <v>205</v>
      </c>
      <c r="BQ50" s="3"/>
      <c r="BR50" s="6"/>
      <c r="BS50" s="70">
        <v>4</v>
      </c>
      <c r="BT50" s="228" t="s">
        <v>137</v>
      </c>
      <c r="BU50" s="16" t="s">
        <v>48</v>
      </c>
      <c r="BV50" s="99" t="s">
        <v>227</v>
      </c>
      <c r="BW50" s="16" t="s">
        <v>48</v>
      </c>
      <c r="BX50" s="228" t="s">
        <v>137</v>
      </c>
      <c r="BY50" s="75">
        <v>2</v>
      </c>
      <c r="BZ50" s="3"/>
      <c r="CA50" s="3"/>
      <c r="CB50" s="58"/>
      <c r="CC50" s="3"/>
      <c r="CD50" s="11"/>
      <c r="CE50" s="2" t="s">
        <v>228</v>
      </c>
      <c r="CF50" s="157">
        <v>1</v>
      </c>
      <c r="CG50" s="238" t="s">
        <v>137</v>
      </c>
      <c r="CH50" s="16" t="s">
        <v>48</v>
      </c>
      <c r="CI50" s="16" t="s">
        <v>48</v>
      </c>
      <c r="CJ50" s="238" t="s">
        <v>137</v>
      </c>
      <c r="CK50" s="173">
        <v>4</v>
      </c>
      <c r="CL50" s="6"/>
      <c r="CM50" s="118" t="s">
        <v>147</v>
      </c>
      <c r="CN50" s="118" t="s">
        <v>147</v>
      </c>
      <c r="CO50" s="3"/>
      <c r="CP50" s="6"/>
      <c r="CQ50" s="3"/>
      <c r="CR50" s="3"/>
      <c r="CS50" s="6"/>
      <c r="CT50" s="6"/>
      <c r="CU50" s="6"/>
      <c r="CV50" s="6"/>
      <c r="CW50" s="6"/>
      <c r="CX50" s="6"/>
      <c r="CY50" s="6"/>
      <c r="CZ50" s="6"/>
      <c r="DA50" s="6"/>
      <c r="DB50" s="171" t="s">
        <v>193</v>
      </c>
      <c r="DC50" s="61"/>
      <c r="DD50" s="6"/>
    </row>
    <row r="51" spans="1:108" ht="15.75" customHeight="1" thickBot="1">
      <c r="A51" s="7"/>
      <c r="B51" s="6"/>
      <c r="C51" s="26"/>
      <c r="D51" s="26"/>
      <c r="E51" s="26"/>
      <c r="F51" s="26"/>
      <c r="G51" s="26"/>
      <c r="H51" s="26"/>
      <c r="I51" s="26"/>
      <c r="J51" s="26"/>
      <c r="K51" s="26"/>
      <c r="L51" s="6"/>
      <c r="M51" s="6"/>
      <c r="N51" s="6"/>
      <c r="O51" s="7"/>
      <c r="P51" s="38"/>
      <c r="Q51" s="38"/>
      <c r="R51" s="38"/>
      <c r="S51" s="38"/>
      <c r="T51" s="38"/>
      <c r="U51" s="38"/>
      <c r="V51" s="6"/>
      <c r="W51" s="6"/>
      <c r="X51" s="6"/>
      <c r="Y51" s="6"/>
      <c r="Z51" s="166" t="s">
        <v>189</v>
      </c>
      <c r="AA51" s="29"/>
      <c r="AB51" s="166" t="s">
        <v>189</v>
      </c>
      <c r="AC51" s="3"/>
      <c r="AD51" s="3"/>
      <c r="AE51" s="235"/>
      <c r="AF51" s="38"/>
      <c r="AG51" s="38"/>
      <c r="AH51" s="38"/>
      <c r="AI51" s="66"/>
      <c r="AJ51" s="236"/>
      <c r="AK51" s="58"/>
      <c r="AL51" s="3"/>
      <c r="AM51" s="7"/>
      <c r="AN51" s="146" t="s">
        <v>125</v>
      </c>
      <c r="AO51" s="3"/>
      <c r="AP51" s="3"/>
      <c r="AQ51" s="3"/>
      <c r="AR51" s="3"/>
      <c r="AS51" s="3"/>
      <c r="AT51" s="118" t="s">
        <v>147</v>
      </c>
      <c r="AU51" s="118" t="s">
        <v>147</v>
      </c>
      <c r="AV51" s="3"/>
      <c r="AW51" s="26"/>
      <c r="AX51" s="26"/>
      <c r="AY51" s="6"/>
      <c r="AZ51" s="118" t="s">
        <v>147</v>
      </c>
      <c r="BA51" s="7"/>
      <c r="BB51" s="26"/>
      <c r="BC51" s="758" t="s">
        <v>229</v>
      </c>
      <c r="BD51" s="718"/>
      <c r="BE51" s="77">
        <v>2</v>
      </c>
      <c r="BF51" s="158" t="s">
        <v>137</v>
      </c>
      <c r="BG51" s="16" t="s">
        <v>48</v>
      </c>
      <c r="BH51" s="16" t="s">
        <v>48</v>
      </c>
      <c r="BI51" s="158" t="s">
        <v>137</v>
      </c>
      <c r="BJ51" s="78">
        <v>7</v>
      </c>
      <c r="BK51" s="237"/>
      <c r="BL51" s="29"/>
      <c r="BM51" s="29"/>
      <c r="BN51" s="29"/>
      <c r="BO51" s="29"/>
      <c r="BP51" s="29"/>
      <c r="BQ51" s="29"/>
      <c r="BR51" s="6"/>
      <c r="BS51" s="6"/>
      <c r="BT51" s="6"/>
      <c r="BU51" s="99" t="s">
        <v>226</v>
      </c>
      <c r="BV51" s="16" t="s">
        <v>48</v>
      </c>
      <c r="BW51" s="99" t="s">
        <v>226</v>
      </c>
      <c r="BX51" s="6"/>
      <c r="BY51" s="6"/>
      <c r="BZ51" s="3"/>
      <c r="CA51" s="3"/>
      <c r="CB51" s="12"/>
      <c r="CC51" s="3"/>
      <c r="CD51" s="11"/>
      <c r="CE51" s="2" t="s">
        <v>230</v>
      </c>
      <c r="CF51" s="77">
        <v>2</v>
      </c>
      <c r="CG51" s="238" t="s">
        <v>137</v>
      </c>
      <c r="CH51" s="16" t="s">
        <v>48</v>
      </c>
      <c r="CI51" s="16" t="s">
        <v>48</v>
      </c>
      <c r="CJ51" s="238" t="s">
        <v>137</v>
      </c>
      <c r="CK51" s="173">
        <v>3</v>
      </c>
      <c r="CL51" s="6"/>
      <c r="CO51" s="3"/>
      <c r="CP51" s="6"/>
      <c r="CQ51" s="3"/>
      <c r="CR51" s="3"/>
      <c r="CS51" s="6"/>
      <c r="CT51" s="6"/>
      <c r="CU51" s="107" t="s">
        <v>157</v>
      </c>
      <c r="CV51" s="137" t="s">
        <v>231</v>
      </c>
      <c r="CW51" s="6"/>
      <c r="CX51" s="6"/>
      <c r="CY51" s="6"/>
      <c r="CZ51" s="6"/>
      <c r="DA51" s="6"/>
      <c r="DB51" s="171" t="s">
        <v>193</v>
      </c>
      <c r="DC51" s="12"/>
      <c r="DD51" s="6"/>
    </row>
    <row r="52" spans="1:108" ht="15.75" customHeight="1">
      <c r="A52" s="7"/>
      <c r="B52" s="6"/>
      <c r="C52" s="26"/>
      <c r="D52" s="26"/>
      <c r="E52" s="26"/>
      <c r="F52" s="26"/>
      <c r="G52" s="26"/>
      <c r="H52" s="26"/>
      <c r="I52" s="26"/>
      <c r="J52" s="26"/>
      <c r="K52" s="26"/>
      <c r="L52" s="6"/>
      <c r="M52" s="6"/>
      <c r="N52" s="6"/>
      <c r="O52" s="7"/>
      <c r="P52" s="38"/>
      <c r="Q52" s="38"/>
      <c r="R52" s="38"/>
      <c r="S52" s="38"/>
      <c r="T52" s="38"/>
      <c r="U52" s="38"/>
      <c r="V52" s="6"/>
      <c r="W52" s="6"/>
      <c r="X52" s="6"/>
      <c r="Y52" s="6"/>
      <c r="Z52" s="136"/>
      <c r="AA52" s="166" t="s">
        <v>189</v>
      </c>
      <c r="AB52" s="136"/>
      <c r="AC52" s="29"/>
      <c r="AD52" s="29"/>
      <c r="AE52" s="235"/>
      <c r="AF52" s="38"/>
      <c r="AG52" s="38"/>
      <c r="AH52" s="38"/>
      <c r="AI52" s="66"/>
      <c r="AJ52" s="236"/>
      <c r="AK52" s="12"/>
      <c r="AL52" s="3"/>
      <c r="AM52" s="7"/>
      <c r="AN52" s="3"/>
      <c r="AO52" s="3"/>
      <c r="AP52" s="3"/>
      <c r="AQ52" s="3"/>
      <c r="AR52" s="3"/>
      <c r="AS52" s="212"/>
      <c r="AT52" s="204" t="s">
        <v>205</v>
      </c>
      <c r="AU52" s="204" t="s">
        <v>205</v>
      </c>
      <c r="AV52" s="3"/>
      <c r="AW52" s="26"/>
      <c r="AX52" s="3"/>
      <c r="AY52" s="753" t="s">
        <v>232</v>
      </c>
      <c r="AZ52" s="724"/>
      <c r="BA52" s="7"/>
      <c r="BB52" s="7"/>
      <c r="BC52" s="7"/>
      <c r="BD52" s="7"/>
      <c r="BE52" s="77">
        <v>3</v>
      </c>
      <c r="BF52" s="158" t="s">
        <v>137</v>
      </c>
      <c r="BG52" s="16" t="s">
        <v>48</v>
      </c>
      <c r="BH52" s="16" t="s">
        <v>48</v>
      </c>
      <c r="BI52" s="158" t="s">
        <v>137</v>
      </c>
      <c r="BJ52" s="78">
        <v>6</v>
      </c>
      <c r="BK52" s="237"/>
      <c r="BL52" s="29"/>
      <c r="BM52" s="29"/>
      <c r="BN52" s="3"/>
      <c r="BO52" s="6"/>
      <c r="BP52" s="6"/>
      <c r="BQ52" s="3"/>
      <c r="BR52" s="6"/>
      <c r="BS52" s="6"/>
      <c r="BT52" s="6"/>
      <c r="BU52" s="6"/>
      <c r="BV52" s="228" t="s">
        <v>137</v>
      </c>
      <c r="BW52" s="6"/>
      <c r="BX52" s="6"/>
      <c r="BY52" s="6"/>
      <c r="BZ52" s="122"/>
      <c r="CA52" s="29"/>
      <c r="CB52" s="12"/>
      <c r="CC52" s="3"/>
      <c r="CD52" s="11"/>
      <c r="CF52" s="3"/>
      <c r="CG52" s="3"/>
      <c r="CH52" s="234"/>
      <c r="CI52" s="234"/>
      <c r="CJ52" s="3"/>
      <c r="CK52" s="6"/>
      <c r="CL52" s="6"/>
      <c r="CO52" s="6"/>
      <c r="CP52" s="6"/>
      <c r="CQ52" s="3"/>
      <c r="CR52" s="3"/>
      <c r="CS52" s="6"/>
      <c r="CT52" s="6"/>
      <c r="CU52" s="171" t="s">
        <v>193</v>
      </c>
      <c r="CV52" s="25" t="s">
        <v>129</v>
      </c>
      <c r="CW52" s="6"/>
      <c r="CX52" s="6"/>
      <c r="CY52" s="6"/>
      <c r="CZ52" s="6"/>
      <c r="DA52" s="6"/>
      <c r="DB52" s="171" t="s">
        <v>193</v>
      </c>
      <c r="DC52" s="12"/>
      <c r="DD52" s="6"/>
    </row>
    <row r="53" spans="1:108" ht="15.75" customHeight="1">
      <c r="A53" s="7"/>
      <c r="B53" s="6"/>
      <c r="C53" s="26"/>
      <c r="D53" s="26"/>
      <c r="E53" s="26"/>
      <c r="F53" s="26"/>
      <c r="G53" s="26"/>
      <c r="H53" s="26"/>
      <c r="I53" s="26"/>
      <c r="J53" s="26"/>
      <c r="K53" s="26"/>
      <c r="L53" s="6"/>
      <c r="M53" s="6"/>
      <c r="N53" s="6"/>
      <c r="O53" s="7"/>
      <c r="P53" s="6"/>
      <c r="Q53" s="38"/>
      <c r="R53" s="38"/>
      <c r="S53" s="38"/>
      <c r="T53" s="38"/>
      <c r="U53" s="38"/>
      <c r="V53" s="6"/>
      <c r="W53" s="6"/>
      <c r="X53" s="6"/>
      <c r="Y53" s="6"/>
      <c r="Z53" s="3"/>
      <c r="AA53" s="6"/>
      <c r="AB53" s="6"/>
      <c r="AC53" s="3"/>
      <c r="AD53" s="3"/>
      <c r="AE53" s="235"/>
      <c r="AF53" s="3"/>
      <c r="AG53" s="38"/>
      <c r="AH53" s="38"/>
      <c r="AI53" s="66"/>
      <c r="AJ53" s="236"/>
      <c r="AK53" s="12"/>
      <c r="AL53" s="3"/>
      <c r="AM53" s="7"/>
      <c r="AN53" s="3"/>
      <c r="AO53" s="3"/>
      <c r="AP53" s="3"/>
      <c r="AQ53" s="3"/>
      <c r="AR53" s="6"/>
      <c r="AS53" s="3"/>
      <c r="AT53" s="204" t="s">
        <v>205</v>
      </c>
      <c r="AU53" s="204" t="s">
        <v>205</v>
      </c>
      <c r="AV53" s="6"/>
      <c r="AW53" s="3"/>
      <c r="AX53" s="3"/>
      <c r="AY53" s="3"/>
      <c r="AZ53" s="3"/>
      <c r="BA53" s="7"/>
      <c r="BB53" s="26"/>
      <c r="BC53" s="26"/>
      <c r="BD53" s="239"/>
      <c r="BE53" s="70">
        <v>4</v>
      </c>
      <c r="BF53" s="158" t="s">
        <v>137</v>
      </c>
      <c r="BG53" s="16" t="s">
        <v>48</v>
      </c>
      <c r="BH53" s="16" t="s">
        <v>48</v>
      </c>
      <c r="BI53" s="158" t="s">
        <v>137</v>
      </c>
      <c r="BJ53" s="78">
        <v>5</v>
      </c>
      <c r="BK53" s="237"/>
      <c r="BL53" s="29"/>
      <c r="BM53" s="29"/>
      <c r="BN53" s="29"/>
      <c r="BO53" s="6"/>
      <c r="BP53" s="6"/>
      <c r="BQ53" s="3"/>
      <c r="BR53" s="6"/>
      <c r="BS53" s="6"/>
      <c r="BT53" s="6"/>
      <c r="BU53" s="6"/>
      <c r="BV53" s="46">
        <v>3</v>
      </c>
      <c r="BW53" s="6"/>
      <c r="BX53" s="6"/>
      <c r="BY53" s="6"/>
      <c r="BZ53" s="122"/>
      <c r="CA53" s="29"/>
      <c r="CB53" s="12"/>
      <c r="CC53" s="3"/>
      <c r="CD53" s="11"/>
      <c r="CE53" s="204" t="s">
        <v>205</v>
      </c>
      <c r="CF53" s="3"/>
      <c r="CG53" s="6"/>
      <c r="CH53" s="732" t="s">
        <v>151</v>
      </c>
      <c r="CI53" s="730"/>
      <c r="CJ53" s="3"/>
      <c r="CK53" s="6"/>
      <c r="CL53" s="6"/>
      <c r="CO53" s="3"/>
      <c r="CP53" s="6"/>
      <c r="CQ53" s="3"/>
      <c r="CR53" s="3"/>
      <c r="CS53" s="6"/>
      <c r="CT53" s="6"/>
      <c r="CU53" s="36" t="s">
        <v>135</v>
      </c>
      <c r="CV53" s="107" t="s">
        <v>157</v>
      </c>
      <c r="CW53" s="6"/>
      <c r="CX53" s="6"/>
      <c r="CY53" s="6"/>
      <c r="CZ53" s="6"/>
      <c r="DA53" s="6"/>
      <c r="DB53" s="171" t="s">
        <v>193</v>
      </c>
      <c r="DC53" s="12"/>
      <c r="DD53" s="6"/>
    </row>
    <row r="54" spans="1:108" ht="15.75" customHeight="1">
      <c r="A54" s="7"/>
      <c r="B54" s="6"/>
      <c r="C54" s="26"/>
      <c r="D54" s="6"/>
      <c r="E54" s="6"/>
      <c r="F54" s="6"/>
      <c r="G54" s="6"/>
      <c r="H54" s="6"/>
      <c r="I54" s="6"/>
      <c r="J54" s="26"/>
      <c r="K54" s="26"/>
      <c r="L54" s="6"/>
      <c r="M54" s="6"/>
      <c r="N54" s="38"/>
      <c r="O54" s="7"/>
      <c r="P54" s="38"/>
      <c r="Q54" s="38"/>
      <c r="R54" s="38"/>
      <c r="S54" s="38"/>
      <c r="T54" s="38"/>
      <c r="U54" s="38"/>
      <c r="V54" s="6"/>
      <c r="W54" s="6"/>
      <c r="X54" s="6"/>
      <c r="Y54" s="6"/>
      <c r="Z54" s="29"/>
      <c r="AA54" s="6"/>
      <c r="AB54" s="6"/>
      <c r="AC54" s="3"/>
      <c r="AD54" s="3"/>
      <c r="AE54" s="235"/>
      <c r="AF54" s="38"/>
      <c r="AG54" s="240" t="s">
        <v>150</v>
      </c>
      <c r="AH54" s="38"/>
      <c r="AI54" s="66"/>
      <c r="AJ54" s="236"/>
      <c r="AK54" s="12"/>
      <c r="AL54" s="3"/>
      <c r="AM54" s="7"/>
      <c r="AN54" s="3"/>
      <c r="AO54" s="3"/>
      <c r="AP54" s="3"/>
      <c r="AQ54" s="3"/>
      <c r="AR54" s="3"/>
      <c r="AS54" s="3"/>
      <c r="AT54" s="241" t="s">
        <v>205</v>
      </c>
      <c r="AU54" s="241" t="s">
        <v>205</v>
      </c>
      <c r="AV54" s="3"/>
      <c r="AW54" s="3"/>
      <c r="AX54" s="26"/>
      <c r="AY54" s="3"/>
      <c r="AZ54" s="3"/>
      <c r="BA54" s="7"/>
      <c r="BB54" s="26"/>
      <c r="BC54" s="26"/>
      <c r="BD54" s="242"/>
      <c r="BE54" s="29"/>
      <c r="BF54" s="29"/>
      <c r="BG54" s="154"/>
      <c r="BH54" s="154"/>
      <c r="BI54" s="38"/>
      <c r="BJ54" s="29"/>
      <c r="BK54" s="3"/>
      <c r="BL54" s="29"/>
      <c r="BM54" s="29"/>
      <c r="BN54" s="29"/>
      <c r="BO54" s="6"/>
      <c r="BP54" s="6"/>
      <c r="BQ54" s="3"/>
      <c r="BR54" s="6"/>
      <c r="BS54" s="6"/>
      <c r="BT54" s="29"/>
      <c r="BU54" s="732" t="s">
        <v>151</v>
      </c>
      <c r="BV54" s="730"/>
      <c r="BW54" s="730"/>
      <c r="BX54" s="29"/>
      <c r="BY54" s="29"/>
      <c r="BZ54" s="122"/>
      <c r="CA54" s="29"/>
      <c r="CB54" s="12"/>
      <c r="CC54" s="3"/>
      <c r="CD54" s="11"/>
      <c r="CE54" s="204" t="s">
        <v>205</v>
      </c>
      <c r="CF54" s="3"/>
      <c r="CG54" s="6"/>
      <c r="CH54" s="6"/>
      <c r="CI54" s="6"/>
      <c r="CJ54" s="3"/>
      <c r="CK54" s="6"/>
      <c r="CL54" s="6"/>
      <c r="CM54" s="6"/>
      <c r="CN54" s="6"/>
      <c r="CO54" s="6"/>
      <c r="CP54" s="6"/>
      <c r="CQ54" s="3"/>
      <c r="CR54" s="3"/>
      <c r="CS54" s="6"/>
      <c r="CT54" s="6"/>
      <c r="CU54" s="6"/>
      <c r="CV54" s="3"/>
      <c r="CW54" s="3"/>
      <c r="CX54" s="6"/>
      <c r="CY54" s="6"/>
      <c r="CZ54" s="3"/>
      <c r="DA54" s="3"/>
      <c r="DB54" s="171" t="s">
        <v>193</v>
      </c>
      <c r="DC54" s="12"/>
      <c r="DD54" s="6"/>
    </row>
    <row r="55" spans="1:108" ht="15.75" customHeight="1">
      <c r="A55" s="7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6"/>
      <c r="M55" s="6"/>
      <c r="N55" s="38"/>
      <c r="O55" s="38"/>
      <c r="P55" s="7"/>
      <c r="Q55" s="38"/>
      <c r="R55" s="38"/>
      <c r="S55" s="38"/>
      <c r="T55" s="38"/>
      <c r="U55" s="38"/>
      <c r="V55" s="6"/>
      <c r="W55" s="6"/>
      <c r="X55" s="6"/>
      <c r="Y55" s="6"/>
      <c r="Z55" s="6"/>
      <c r="AA55" s="6"/>
      <c r="AB55" s="6"/>
      <c r="AC55" s="3"/>
      <c r="AD55" s="3"/>
      <c r="AE55" s="235"/>
      <c r="AF55" s="38"/>
      <c r="AG55" s="38"/>
      <c r="AH55" s="38"/>
      <c r="AI55" s="66"/>
      <c r="AJ55" s="236"/>
      <c r="AK55" s="12"/>
      <c r="AL55" s="3"/>
      <c r="AM55" s="7"/>
      <c r="AN55" s="3"/>
      <c r="AO55" s="3"/>
      <c r="AP55" s="3"/>
      <c r="AQ55" s="3"/>
      <c r="AR55" s="3"/>
      <c r="AS55" s="3"/>
      <c r="AT55" s="751" t="s">
        <v>233</v>
      </c>
      <c r="AU55" s="744"/>
      <c r="AV55" s="3"/>
      <c r="AW55" s="3"/>
      <c r="AX55" s="26" t="s">
        <v>234</v>
      </c>
      <c r="AY55" s="243"/>
      <c r="AZ55" s="244"/>
      <c r="BA55" s="7"/>
      <c r="BB55" s="212"/>
      <c r="BC55" s="212"/>
      <c r="BD55" s="242"/>
      <c r="BE55" s="3"/>
      <c r="BF55" s="3"/>
      <c r="BG55" s="29"/>
      <c r="BH55" s="29"/>
      <c r="BI55" s="29"/>
      <c r="BJ55" s="3"/>
      <c r="BK55" s="3"/>
      <c r="BL55" s="3"/>
      <c r="BM55" s="6"/>
      <c r="BN55" s="29"/>
      <c r="BO55" s="6"/>
      <c r="BP55" s="6"/>
      <c r="BQ55" s="6"/>
      <c r="BR55" s="6"/>
      <c r="BS55" s="6"/>
      <c r="BT55" s="29"/>
      <c r="BU55" s="29"/>
      <c r="BV55" s="29"/>
      <c r="BW55" s="29"/>
      <c r="BX55" s="29"/>
      <c r="BY55" s="29"/>
      <c r="BZ55" s="122"/>
      <c r="CA55" s="122"/>
      <c r="CB55" s="12"/>
      <c r="CC55" s="3"/>
      <c r="CD55" s="11"/>
      <c r="CE55" s="146" t="s">
        <v>125</v>
      </c>
      <c r="CF55" s="3"/>
      <c r="CG55" s="3"/>
      <c r="CH55" s="14" t="s">
        <v>125</v>
      </c>
      <c r="CI55" s="14" t="s">
        <v>125</v>
      </c>
      <c r="CJ55" s="3"/>
      <c r="CK55" s="6"/>
      <c r="CL55" s="6"/>
      <c r="CM55" s="6"/>
      <c r="CN55" s="6"/>
      <c r="CO55" s="6"/>
      <c r="CP55" s="6"/>
      <c r="CQ55" s="3"/>
      <c r="CR55" s="3"/>
      <c r="CS55" s="6"/>
      <c r="CT55" s="6"/>
      <c r="CU55" s="6"/>
      <c r="CV55" s="6"/>
      <c r="CW55" s="6"/>
      <c r="CX55" s="6"/>
      <c r="CY55" s="6"/>
      <c r="DC55" s="12"/>
      <c r="DD55" s="6"/>
    </row>
    <row r="56" spans="1:108" ht="15.75" customHeight="1">
      <c r="A56" s="7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6"/>
      <c r="M56" s="6"/>
      <c r="N56" s="38"/>
      <c r="O56" s="38"/>
      <c r="P56" s="7"/>
      <c r="Q56" s="38"/>
      <c r="R56" s="38"/>
      <c r="S56" s="38"/>
      <c r="T56" s="38"/>
      <c r="U56" s="38"/>
      <c r="V56" s="6"/>
      <c r="W56" s="6"/>
      <c r="X56" s="6"/>
      <c r="Y56" s="6"/>
      <c r="Z56" s="6"/>
      <c r="AA56" s="6"/>
      <c r="AB56" s="6"/>
      <c r="AC56" s="3"/>
      <c r="AD56" s="3"/>
      <c r="AE56" s="235"/>
      <c r="AF56" s="38"/>
      <c r="AG56" s="38"/>
      <c r="AH56" s="38"/>
      <c r="AI56" s="66"/>
      <c r="AJ56" s="236"/>
      <c r="AK56" s="12"/>
      <c r="AL56" s="3"/>
      <c r="AM56" s="7"/>
      <c r="AN56" s="150"/>
      <c r="AO56" s="150"/>
      <c r="AP56" s="150"/>
      <c r="AQ56" s="3"/>
      <c r="AR56" s="3"/>
      <c r="AS56" s="26"/>
      <c r="AT56" s="22"/>
      <c r="AU56" s="22"/>
      <c r="AV56" s="3"/>
      <c r="AW56" s="3"/>
      <c r="AX56" s="26"/>
      <c r="AY56" s="26"/>
      <c r="AZ56" s="167"/>
      <c r="BA56" s="7"/>
      <c r="BB56" s="212"/>
      <c r="BC56" s="212"/>
      <c r="BD56" s="242"/>
      <c r="BE56" s="3"/>
      <c r="BF56" s="3"/>
      <c r="BG56" s="3"/>
      <c r="BH56" s="3"/>
      <c r="BI56" s="6"/>
      <c r="BJ56" s="6"/>
      <c r="BK56" s="3"/>
      <c r="BL56" s="3"/>
      <c r="BM56" s="6"/>
      <c r="BN56" s="29"/>
      <c r="BO56" s="6"/>
      <c r="BP56" s="6"/>
      <c r="BQ56" s="6"/>
      <c r="BR56" s="6"/>
      <c r="BS56" s="6"/>
      <c r="BT56" s="29"/>
      <c r="BU56" s="29"/>
      <c r="BV56" s="29"/>
      <c r="BW56" s="29"/>
      <c r="BX56" s="29"/>
      <c r="BY56" s="29"/>
      <c r="BZ56" s="122"/>
      <c r="CA56" s="122"/>
      <c r="CB56" s="12"/>
      <c r="CC56" s="3"/>
      <c r="CD56" s="11"/>
      <c r="CE56" s="146" t="s">
        <v>125</v>
      </c>
      <c r="CF56" s="3"/>
      <c r="CG56" s="3"/>
      <c r="CH56" s="14" t="s">
        <v>125</v>
      </c>
      <c r="CI56" s="14" t="s">
        <v>125</v>
      </c>
      <c r="CJ56" s="3"/>
      <c r="CK56" s="6"/>
      <c r="CL56" s="6"/>
      <c r="CM56" s="6"/>
      <c r="CN56" s="6"/>
      <c r="CO56" s="6"/>
      <c r="CP56" s="6"/>
      <c r="CQ56" s="3"/>
      <c r="CR56" s="3"/>
      <c r="CS56" s="6"/>
      <c r="CT56" s="6"/>
      <c r="CU56" s="6"/>
      <c r="CV56" s="6"/>
      <c r="CW56" s="6"/>
      <c r="CX56" s="6"/>
      <c r="CY56" s="6"/>
      <c r="CZ56" s="6"/>
      <c r="DA56" s="3"/>
      <c r="DB56" s="3"/>
      <c r="DC56" s="12"/>
      <c r="DD56" s="6"/>
    </row>
    <row r="57" spans="1:108" ht="15.75" customHeight="1" thickBot="1">
      <c r="A57" s="7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6"/>
      <c r="M57" s="6"/>
      <c r="N57" s="38"/>
      <c r="O57" s="38"/>
      <c r="P57" s="7"/>
      <c r="Q57" s="38"/>
      <c r="R57" s="38"/>
      <c r="S57" s="38"/>
      <c r="T57" s="38"/>
      <c r="U57" s="38"/>
      <c r="V57" s="6"/>
      <c r="W57" s="6"/>
      <c r="X57" s="6"/>
      <c r="Y57" s="6"/>
      <c r="Z57" s="6"/>
      <c r="AA57" s="6"/>
      <c r="AB57" s="6"/>
      <c r="AC57" s="3"/>
      <c r="AD57" s="3"/>
      <c r="AE57" s="235"/>
      <c r="AF57" s="38"/>
      <c r="AG57" s="38"/>
      <c r="AH57" s="38"/>
      <c r="AI57" s="66"/>
      <c r="AJ57" s="236"/>
      <c r="AK57" s="12"/>
      <c r="AL57" s="3"/>
      <c r="AM57" s="7"/>
      <c r="AN57" s="150"/>
      <c r="AO57" s="150"/>
      <c r="AP57" s="150"/>
      <c r="AQ57" s="150"/>
      <c r="AR57" s="3"/>
      <c r="AS57" s="26"/>
      <c r="AT57" s="750" t="s">
        <v>235</v>
      </c>
      <c r="AU57" s="715"/>
      <c r="AV57" s="26"/>
      <c r="AW57" s="3"/>
      <c r="AX57" s="26"/>
      <c r="AY57" s="26"/>
      <c r="AZ57" s="26"/>
      <c r="BA57" s="7"/>
      <c r="BB57" s="26"/>
      <c r="BC57" s="26"/>
      <c r="BD57" s="242"/>
      <c r="BE57" s="3"/>
      <c r="BF57" s="3"/>
      <c r="BG57" s="3"/>
      <c r="BH57" s="3"/>
      <c r="BI57" s="6"/>
      <c r="BJ57" s="6"/>
      <c r="BK57" s="3"/>
      <c r="BL57" s="3"/>
      <c r="BM57" s="6"/>
      <c r="BN57" s="29"/>
      <c r="BO57" s="6"/>
      <c r="BP57" s="6"/>
      <c r="BQ57" s="6"/>
      <c r="BR57" s="6"/>
      <c r="BS57" s="6"/>
      <c r="BT57" s="29"/>
      <c r="BU57" s="29"/>
      <c r="BV57" s="29"/>
      <c r="BW57" s="29"/>
      <c r="BX57" s="29"/>
      <c r="BY57" s="29"/>
      <c r="BZ57" s="122"/>
      <c r="CA57" s="76"/>
      <c r="CB57" s="12"/>
      <c r="CC57" s="3"/>
      <c r="CD57" s="11"/>
      <c r="CE57" s="146" t="s">
        <v>125</v>
      </c>
      <c r="CF57" s="3"/>
      <c r="CG57" s="3"/>
      <c r="CH57" s="3"/>
      <c r="CI57" s="3"/>
      <c r="CJ57" s="3"/>
      <c r="CK57" s="6"/>
      <c r="CL57" s="6"/>
      <c r="CM57" s="160" t="s">
        <v>187</v>
      </c>
      <c r="CN57" s="160" t="s">
        <v>187</v>
      </c>
      <c r="CO57" s="6"/>
      <c r="CP57" s="6"/>
      <c r="CQ57" s="3"/>
      <c r="CR57" s="3"/>
      <c r="CS57" s="6"/>
      <c r="CT57" s="3"/>
      <c r="CU57" s="3"/>
      <c r="CV57" s="3"/>
      <c r="CW57" s="3"/>
      <c r="CX57" s="3"/>
      <c r="CY57" s="3"/>
      <c r="CZ57" s="3"/>
      <c r="DA57" s="3"/>
      <c r="DB57" s="3"/>
      <c r="DC57" s="12"/>
      <c r="DD57" s="6"/>
    </row>
    <row r="58" spans="1:108" ht="15.75" customHeight="1" thickBot="1">
      <c r="A58" s="7"/>
      <c r="B58" s="26"/>
      <c r="C58" s="26"/>
      <c r="D58" s="26"/>
      <c r="E58" s="26"/>
      <c r="F58" s="162" t="s">
        <v>236</v>
      </c>
      <c r="G58" s="245"/>
      <c r="H58" s="245"/>
      <c r="I58" s="245"/>
      <c r="J58" s="245"/>
      <c r="K58" s="245"/>
      <c r="L58" s="6"/>
      <c r="M58" s="6"/>
      <c r="N58" s="38"/>
      <c r="O58" s="38"/>
      <c r="P58" s="7"/>
      <c r="Q58" s="38"/>
      <c r="R58" s="38"/>
      <c r="S58" s="38"/>
      <c r="T58" s="38"/>
      <c r="U58" s="38"/>
      <c r="V58" s="6"/>
      <c r="W58" s="6"/>
      <c r="X58" s="6"/>
      <c r="Y58" s="6"/>
      <c r="Z58" s="6"/>
      <c r="AA58" s="6"/>
      <c r="AB58" s="6"/>
      <c r="AC58" s="29"/>
      <c r="AD58" s="29"/>
      <c r="AE58" s="235"/>
      <c r="AF58" s="38"/>
      <c r="AG58" s="38"/>
      <c r="AH58" s="38"/>
      <c r="AI58" s="66"/>
      <c r="AJ58" s="236"/>
      <c r="AK58" s="12"/>
      <c r="AL58" s="3"/>
      <c r="AM58" s="7"/>
      <c r="AN58" s="146" t="s">
        <v>125</v>
      </c>
      <c r="AO58" s="150"/>
      <c r="AP58" s="150"/>
      <c r="AQ58" s="150"/>
      <c r="AR58" s="212"/>
      <c r="AS58" s="3"/>
      <c r="AT58" s="186" t="s">
        <v>199</v>
      </c>
      <c r="AU58" s="186" t="s">
        <v>199</v>
      </c>
      <c r="AV58" s="3"/>
      <c r="AW58" s="3"/>
      <c r="AX58" s="3"/>
      <c r="AY58" s="246"/>
      <c r="AZ58" s="246"/>
      <c r="BA58" s="7"/>
      <c r="BB58" s="246"/>
      <c r="BC58" s="246"/>
      <c r="BD58" s="242"/>
      <c r="BE58" s="3"/>
      <c r="BF58" s="6"/>
      <c r="BG58" s="6"/>
      <c r="BH58" s="6"/>
      <c r="BI58" s="6"/>
      <c r="BJ58" s="6"/>
      <c r="BK58" s="3"/>
      <c r="BL58" s="3"/>
      <c r="BM58" s="6"/>
      <c r="BN58" s="29"/>
      <c r="BO58" s="3"/>
      <c r="BP58" s="6"/>
      <c r="BQ58" s="6"/>
      <c r="BR58" s="6"/>
      <c r="BS58" s="6"/>
      <c r="BT58" s="29"/>
      <c r="BU58" s="734" t="s">
        <v>150</v>
      </c>
      <c r="BV58" s="721"/>
      <c r="BW58" s="721"/>
      <c r="BX58" s="721"/>
      <c r="BY58" s="721"/>
      <c r="BZ58" s="721"/>
      <c r="CA58" s="722"/>
      <c r="CB58" s="12"/>
      <c r="CC58" s="3"/>
      <c r="CD58" s="11"/>
      <c r="CE58" s="146" t="s">
        <v>125</v>
      </c>
      <c r="CF58" s="3"/>
      <c r="CG58" s="3"/>
      <c r="CH58" s="247" t="s">
        <v>199</v>
      </c>
      <c r="CI58" s="247" t="s">
        <v>199</v>
      </c>
      <c r="CJ58" s="3"/>
      <c r="CK58" s="6"/>
      <c r="CL58" s="6"/>
      <c r="CM58" s="160" t="s">
        <v>187</v>
      </c>
      <c r="CN58" s="160" t="s">
        <v>187</v>
      </c>
      <c r="CO58" s="6"/>
      <c r="CP58" s="6"/>
      <c r="CQ58" s="3"/>
      <c r="CR58" s="3"/>
      <c r="CS58" s="6"/>
      <c r="CT58" s="6"/>
      <c r="CU58" s="6"/>
      <c r="CV58" s="6"/>
      <c r="CW58" s="6"/>
      <c r="CX58" s="6"/>
      <c r="CY58" s="6"/>
      <c r="CZ58" s="6"/>
      <c r="DA58" s="6"/>
      <c r="DB58" s="248"/>
      <c r="DC58" s="12"/>
      <c r="DD58" s="6"/>
    </row>
    <row r="59" spans="1:108" ht="15.75" customHeight="1">
      <c r="A59" s="7"/>
      <c r="B59" s="26"/>
      <c r="C59" s="26"/>
      <c r="D59" s="26"/>
      <c r="E59" s="26"/>
      <c r="F59" s="245"/>
      <c r="G59" s="245"/>
      <c r="H59" s="245"/>
      <c r="I59" s="245"/>
      <c r="J59" s="245"/>
      <c r="K59" s="245"/>
      <c r="L59" s="245"/>
      <c r="M59" s="26"/>
      <c r="N59" s="38"/>
      <c r="O59" s="249"/>
      <c r="P59" s="7"/>
      <c r="Q59" s="38"/>
      <c r="R59" s="38"/>
      <c r="S59" s="38"/>
      <c r="T59" s="38"/>
      <c r="U59" s="38"/>
      <c r="V59" s="6"/>
      <c r="W59" s="6"/>
      <c r="X59" s="6"/>
      <c r="Y59" s="6"/>
      <c r="Z59" s="6"/>
      <c r="AA59" s="6"/>
      <c r="AB59" s="6"/>
      <c r="AC59" s="3"/>
      <c r="AD59" s="3"/>
      <c r="AE59" s="235"/>
      <c r="AF59" s="38"/>
      <c r="AG59" s="38"/>
      <c r="AH59" s="250"/>
      <c r="AI59" s="66"/>
      <c r="AJ59" s="236"/>
      <c r="AK59" s="12"/>
      <c r="AL59" s="3"/>
      <c r="AM59" s="7"/>
      <c r="AN59" s="150"/>
      <c r="AO59" s="150"/>
      <c r="AP59" s="150"/>
      <c r="AQ59" s="150"/>
      <c r="AR59" s="3"/>
      <c r="AS59" s="3"/>
      <c r="AT59" s="186" t="s">
        <v>199</v>
      </c>
      <c r="AU59" s="186" t="s">
        <v>199</v>
      </c>
      <c r="AV59" s="3"/>
      <c r="AW59" s="3"/>
      <c r="AX59" s="3"/>
      <c r="AY59" s="246"/>
      <c r="AZ59" s="63" t="s">
        <v>147</v>
      </c>
      <c r="BA59" s="7"/>
      <c r="BB59" s="246"/>
      <c r="BC59" s="246"/>
      <c r="BD59" s="242"/>
      <c r="BE59" s="29"/>
      <c r="BF59" s="6"/>
      <c r="BG59" s="6"/>
      <c r="BH59" s="6"/>
      <c r="BI59" s="29"/>
      <c r="BJ59" s="29"/>
      <c r="BK59" s="29"/>
      <c r="BL59" s="29"/>
      <c r="BM59" s="3"/>
      <c r="BN59" s="3"/>
      <c r="BO59" s="3"/>
      <c r="BP59" s="6"/>
      <c r="BQ59" s="6"/>
      <c r="BR59" s="6"/>
      <c r="BS59" s="6"/>
      <c r="BT59" s="29"/>
      <c r="BU59" s="723"/>
      <c r="BV59" s="724"/>
      <c r="BW59" s="724"/>
      <c r="BX59" s="724"/>
      <c r="BY59" s="724"/>
      <c r="BZ59" s="724"/>
      <c r="CA59" s="725"/>
      <c r="CB59" s="12"/>
      <c r="CC59" s="3"/>
      <c r="CD59" s="11"/>
      <c r="CF59" s="3"/>
      <c r="CG59" s="3"/>
      <c r="CH59" s="247" t="s">
        <v>199</v>
      </c>
      <c r="CI59" s="247" t="s">
        <v>199</v>
      </c>
      <c r="CJ59" s="3"/>
      <c r="CK59" s="6"/>
      <c r="CL59" s="3"/>
      <c r="CO59" s="6"/>
      <c r="CP59" s="6"/>
      <c r="CQ59" s="3"/>
      <c r="CR59" s="3"/>
      <c r="CS59" s="6"/>
      <c r="CT59" s="6"/>
      <c r="CU59" s="6"/>
      <c r="CV59" s="6"/>
      <c r="CW59" s="720" t="s">
        <v>150</v>
      </c>
      <c r="CX59" s="721"/>
      <c r="CY59" s="721"/>
      <c r="CZ59" s="721"/>
      <c r="DA59" s="721"/>
      <c r="DB59" s="722"/>
      <c r="DC59" s="12"/>
      <c r="DD59" s="6"/>
    </row>
    <row r="60" spans="1:108" ht="15.75" customHeight="1">
      <c r="A60" s="7"/>
      <c r="B60" s="26"/>
      <c r="C60" s="26"/>
      <c r="D60" s="26"/>
      <c r="E60" s="26"/>
      <c r="F60" s="245"/>
      <c r="G60" s="245"/>
      <c r="H60" s="245"/>
      <c r="I60" s="245"/>
      <c r="J60" s="245"/>
      <c r="K60" s="245"/>
      <c r="L60" s="245"/>
      <c r="M60" s="26"/>
      <c r="N60" s="38"/>
      <c r="O60" s="38"/>
      <c r="P60" s="7"/>
      <c r="Q60" s="38"/>
      <c r="R60" s="38"/>
      <c r="S60" s="38"/>
      <c r="T60" s="38"/>
      <c r="U60" s="38"/>
      <c r="V60" s="6"/>
      <c r="W60" s="6"/>
      <c r="X60" s="6"/>
      <c r="Y60" s="6"/>
      <c r="Z60" s="6"/>
      <c r="AA60" s="6"/>
      <c r="AB60" s="6"/>
      <c r="AC60" s="3"/>
      <c r="AD60" s="3"/>
      <c r="AE60" s="235"/>
      <c r="AF60" s="38"/>
      <c r="AG60" s="38"/>
      <c r="AH60" s="250"/>
      <c r="AI60" s="66"/>
      <c r="AJ60" s="236"/>
      <c r="AK60" s="12"/>
      <c r="AL60" s="3"/>
      <c r="AM60" s="7"/>
      <c r="AN60" s="146" t="s">
        <v>125</v>
      </c>
      <c r="AO60" s="150"/>
      <c r="AP60" s="150"/>
      <c r="AQ60" s="150"/>
      <c r="AR60" s="3"/>
      <c r="AS60" s="212"/>
      <c r="AT60" s="186" t="s">
        <v>199</v>
      </c>
      <c r="AU60" s="186" t="s">
        <v>199</v>
      </c>
      <c r="AV60" s="212"/>
      <c r="AW60" s="212"/>
      <c r="AX60" s="212"/>
      <c r="AY60" s="246"/>
      <c r="AZ60" s="63" t="s">
        <v>147</v>
      </c>
      <c r="BA60" s="7"/>
      <c r="BB60" s="246"/>
      <c r="BC60" s="246"/>
      <c r="BD60" s="242"/>
      <c r="BE60" s="29"/>
      <c r="BF60" s="6"/>
      <c r="BG60" s="6"/>
      <c r="BH60" s="6"/>
      <c r="BI60" s="29"/>
      <c r="BJ60" s="29"/>
      <c r="BK60" s="29"/>
      <c r="BL60" s="29"/>
      <c r="BM60" s="29"/>
      <c r="BN60" s="29"/>
      <c r="BO60" s="29"/>
      <c r="BP60" s="6"/>
      <c r="BQ60" s="6"/>
      <c r="BR60" s="6"/>
      <c r="BS60" s="6"/>
      <c r="BT60" s="29"/>
      <c r="BU60" s="723"/>
      <c r="BV60" s="724"/>
      <c r="BW60" s="724"/>
      <c r="BX60" s="724"/>
      <c r="BY60" s="724"/>
      <c r="BZ60" s="724"/>
      <c r="CA60" s="725"/>
      <c r="CB60" s="12"/>
      <c r="CC60" s="3"/>
      <c r="CD60" s="11"/>
      <c r="CF60" s="3"/>
      <c r="CG60" s="3"/>
      <c r="CH60" s="247" t="s">
        <v>199</v>
      </c>
      <c r="CI60" s="247" t="s">
        <v>199</v>
      </c>
      <c r="CJ60" s="3"/>
      <c r="CK60" s="6"/>
      <c r="CL60" s="3"/>
      <c r="CM60" s="6"/>
      <c r="CN60" s="6"/>
      <c r="CO60" s="6"/>
      <c r="CP60" s="6"/>
      <c r="CQ60" s="3"/>
      <c r="CR60" s="3"/>
      <c r="CS60" s="6"/>
      <c r="CT60" s="6"/>
      <c r="CU60" s="6"/>
      <c r="CV60" s="6"/>
      <c r="CW60" s="723"/>
      <c r="CX60" s="724"/>
      <c r="CY60" s="724"/>
      <c r="CZ60" s="724"/>
      <c r="DA60" s="724"/>
      <c r="DB60" s="725"/>
      <c r="DC60" s="12"/>
      <c r="DD60" s="6"/>
    </row>
    <row r="61" spans="1:108" ht="15.75" customHeight="1" thickBot="1">
      <c r="A61" s="7"/>
      <c r="B61" s="26"/>
      <c r="C61" s="26"/>
      <c r="D61" s="26"/>
      <c r="E61" s="26"/>
      <c r="F61" s="245"/>
      <c r="G61" s="245"/>
      <c r="H61" s="245"/>
      <c r="I61" s="245"/>
      <c r="J61" s="245"/>
      <c r="K61" s="245"/>
      <c r="L61" s="245"/>
      <c r="M61" s="26"/>
      <c r="N61" s="38"/>
      <c r="O61" s="38"/>
      <c r="P61" s="7"/>
      <c r="Q61" s="38"/>
      <c r="R61" s="38"/>
      <c r="S61" s="38"/>
      <c r="T61" s="38"/>
      <c r="U61" s="38"/>
      <c r="V61" s="6"/>
      <c r="W61" s="6"/>
      <c r="X61" s="6"/>
      <c r="Y61" s="6"/>
      <c r="Z61" s="6"/>
      <c r="AA61" s="6"/>
      <c r="AB61" s="6"/>
      <c r="AC61" s="3"/>
      <c r="AD61" s="3"/>
      <c r="AE61" s="251"/>
      <c r="AF61" s="91"/>
      <c r="AG61" s="91"/>
      <c r="AH61" s="252"/>
      <c r="AI61" s="253"/>
      <c r="AJ61" s="254"/>
      <c r="AK61" s="12"/>
      <c r="AL61" s="3"/>
      <c r="AM61" s="7"/>
      <c r="AN61" s="150"/>
      <c r="AO61" s="150"/>
      <c r="AP61" s="150"/>
      <c r="AQ61" s="150"/>
      <c r="AR61" s="3"/>
      <c r="AS61" s="6"/>
      <c r="AT61" s="6"/>
      <c r="AU61" s="6"/>
      <c r="AV61" s="6"/>
      <c r="AW61" s="6"/>
      <c r="AX61" s="212"/>
      <c r="AY61" s="212"/>
      <c r="AZ61" s="63" t="s">
        <v>147</v>
      </c>
      <c r="BA61" s="7"/>
      <c r="BB61" s="26"/>
      <c r="BC61" s="212"/>
      <c r="BD61" s="255"/>
      <c r="BE61" s="212"/>
      <c r="BF61" s="6"/>
      <c r="BG61" s="29"/>
      <c r="BH61" s="29"/>
      <c r="BI61" s="29"/>
      <c r="BJ61" s="29"/>
      <c r="BK61" s="29"/>
      <c r="BL61" s="29"/>
      <c r="BM61" s="29"/>
      <c r="BN61" s="29"/>
      <c r="BO61" s="29"/>
      <c r="BP61" s="6"/>
      <c r="BQ61" s="6"/>
      <c r="BR61" s="6"/>
      <c r="BS61" s="6"/>
      <c r="BT61" s="29"/>
      <c r="BU61" s="723"/>
      <c r="BV61" s="724"/>
      <c r="BW61" s="724"/>
      <c r="BX61" s="724"/>
      <c r="BY61" s="724"/>
      <c r="BZ61" s="724"/>
      <c r="CA61" s="725"/>
      <c r="CB61" s="12"/>
      <c r="CC61" s="3"/>
      <c r="CD61" s="11"/>
      <c r="CE61" s="3"/>
      <c r="CF61" s="3"/>
      <c r="CG61" s="3"/>
      <c r="CH61" s="3"/>
      <c r="CI61" s="3"/>
      <c r="CJ61" s="3"/>
      <c r="CK61" s="6"/>
      <c r="CL61" s="3"/>
      <c r="CM61" s="3"/>
      <c r="CN61" s="6"/>
      <c r="CO61" s="6"/>
      <c r="CP61" s="6"/>
      <c r="CQ61" s="3"/>
      <c r="CR61" s="3"/>
      <c r="CS61" s="6"/>
      <c r="CT61" s="6"/>
      <c r="CU61" s="6"/>
      <c r="CV61" s="42"/>
      <c r="CW61" s="723"/>
      <c r="CX61" s="724"/>
      <c r="CY61" s="724"/>
      <c r="CZ61" s="724"/>
      <c r="DA61" s="724"/>
      <c r="DB61" s="725"/>
      <c r="DC61" s="12"/>
      <c r="DD61" s="6"/>
    </row>
    <row r="62" spans="1:108" ht="15.75" customHeight="1">
      <c r="A62" s="7"/>
      <c r="B62" s="26"/>
      <c r="C62" s="26"/>
      <c r="D62" s="26"/>
      <c r="E62" s="26"/>
      <c r="F62" s="245"/>
      <c r="G62" s="245"/>
      <c r="H62" s="245"/>
      <c r="I62" s="245"/>
      <c r="J62" s="245"/>
      <c r="K62" s="245"/>
      <c r="L62" s="245"/>
      <c r="M62" s="26"/>
      <c r="N62" s="38"/>
      <c r="O62" s="38"/>
      <c r="P62" s="7"/>
      <c r="Q62" s="38"/>
      <c r="R62" s="38"/>
      <c r="S62" s="38"/>
      <c r="T62" s="38"/>
      <c r="U62" s="38"/>
      <c r="V62" s="6"/>
      <c r="W62" s="6"/>
      <c r="X62" s="6"/>
      <c r="Y62" s="6"/>
      <c r="Z62" s="6"/>
      <c r="AA62" s="6"/>
      <c r="AB62" s="6"/>
      <c r="AC62" s="3"/>
      <c r="AD62" s="30" t="s">
        <v>131</v>
      </c>
      <c r="AE62" s="30" t="s">
        <v>131</v>
      </c>
      <c r="AF62" s="159" t="s">
        <v>186</v>
      </c>
      <c r="AG62" s="250"/>
      <c r="AH62" s="250"/>
      <c r="AI62" s="250"/>
      <c r="AJ62" s="250"/>
      <c r="AK62" s="12"/>
      <c r="AL62" s="3"/>
      <c r="AM62" s="7"/>
      <c r="AN62" s="146" t="s">
        <v>125</v>
      </c>
      <c r="AO62" s="150"/>
      <c r="AP62" s="150"/>
      <c r="AQ62" s="150"/>
      <c r="AR62" s="3"/>
      <c r="AS62" s="6"/>
      <c r="AT62" s="6"/>
      <c r="AU62" s="6"/>
      <c r="AV62" s="6"/>
      <c r="AW62" s="6"/>
      <c r="AX62" s="26"/>
      <c r="AY62" s="3"/>
      <c r="AZ62" s="256"/>
      <c r="BA62" s="7"/>
      <c r="BB62" s="256"/>
      <c r="BC62" s="256"/>
      <c r="BD62" s="255"/>
      <c r="BE62" s="212"/>
      <c r="BF62" s="6"/>
      <c r="BG62" s="29"/>
      <c r="BH62" s="29"/>
      <c r="BI62" s="29"/>
      <c r="BJ62" s="29"/>
      <c r="BK62" s="29"/>
      <c r="BL62" s="29"/>
      <c r="BM62" s="29"/>
      <c r="BN62" s="29"/>
      <c r="BO62" s="29"/>
      <c r="BP62" s="6"/>
      <c r="BQ62" s="6"/>
      <c r="BR62" s="6"/>
      <c r="BS62" s="6"/>
      <c r="BT62" s="29"/>
      <c r="BU62" s="723"/>
      <c r="BV62" s="724"/>
      <c r="BW62" s="724"/>
      <c r="BX62" s="724"/>
      <c r="BY62" s="724"/>
      <c r="BZ62" s="724"/>
      <c r="CA62" s="725"/>
      <c r="CB62" s="11"/>
      <c r="CC62" s="3"/>
      <c r="CD62" s="11"/>
      <c r="CE62" s="3"/>
      <c r="CF62" s="3"/>
      <c r="CG62" s="3"/>
      <c r="CH62" s="3"/>
      <c r="CI62" s="3"/>
      <c r="CJ62" s="3"/>
      <c r="CK62" s="6"/>
      <c r="CL62" s="6"/>
      <c r="CM62" s="6"/>
      <c r="CN62" s="6"/>
      <c r="CO62" s="6"/>
      <c r="CP62" s="6"/>
      <c r="CQ62" s="3"/>
      <c r="CR62" s="3"/>
      <c r="CS62" s="6"/>
      <c r="CT62" s="6"/>
      <c r="CU62" s="6"/>
      <c r="CV62" s="29"/>
      <c r="CW62" s="723"/>
      <c r="CX62" s="724"/>
      <c r="CY62" s="724"/>
      <c r="CZ62" s="724"/>
      <c r="DA62" s="724"/>
      <c r="DB62" s="725"/>
      <c r="DC62" s="12"/>
      <c r="DD62" s="6"/>
    </row>
    <row r="63" spans="1:108" ht="15.75" customHeight="1">
      <c r="A63" s="7"/>
      <c r="B63" s="26"/>
      <c r="C63" s="26"/>
      <c r="D63" s="26"/>
      <c r="E63" s="26"/>
      <c r="F63" s="245"/>
      <c r="G63" s="245"/>
      <c r="H63" s="245"/>
      <c r="I63" s="245"/>
      <c r="J63" s="245"/>
      <c r="K63" s="245"/>
      <c r="L63" s="245"/>
      <c r="M63" s="26"/>
      <c r="N63" s="38"/>
      <c r="O63" s="38"/>
      <c r="P63" s="7"/>
      <c r="Q63" s="38"/>
      <c r="R63" s="38"/>
      <c r="S63" s="38"/>
      <c r="T63" s="38"/>
      <c r="U63" s="38"/>
      <c r="V63" s="6"/>
      <c r="W63" s="6"/>
      <c r="X63" s="6"/>
      <c r="Y63" s="6"/>
      <c r="Z63" s="6"/>
      <c r="AA63" s="6"/>
      <c r="AB63" s="6"/>
      <c r="AC63" s="3"/>
      <c r="AD63" s="3"/>
      <c r="AE63" s="250"/>
      <c r="AF63" s="250"/>
      <c r="AG63" s="250"/>
      <c r="AH63" s="250"/>
      <c r="AI63" s="250"/>
      <c r="AJ63" s="250"/>
      <c r="AK63" s="11"/>
      <c r="AL63" s="3"/>
      <c r="AM63" s="7"/>
      <c r="AN63" s="150"/>
      <c r="AO63" s="150"/>
      <c r="AP63" s="150"/>
      <c r="AQ63" s="150"/>
      <c r="AR63" s="3"/>
      <c r="AS63" s="6"/>
      <c r="AT63" s="257" t="s">
        <v>237</v>
      </c>
      <c r="AU63" s="257" t="s">
        <v>237</v>
      </c>
      <c r="AV63" s="6"/>
      <c r="AW63" s="6"/>
      <c r="AX63" s="3"/>
      <c r="AY63" s="3"/>
      <c r="AZ63" s="256"/>
      <c r="BA63" s="7"/>
      <c r="BB63" s="256"/>
      <c r="BC63" s="256"/>
      <c r="BD63" s="38"/>
      <c r="BE63" s="258"/>
      <c r="BF63" s="259"/>
      <c r="BG63" s="259"/>
      <c r="BH63" s="11"/>
      <c r="BI63" s="11"/>
      <c r="BJ63" s="11"/>
      <c r="BK63" s="11"/>
      <c r="BL63" s="11"/>
      <c r="BM63" s="11"/>
      <c r="BN63" s="11"/>
      <c r="BO63" s="11"/>
      <c r="BP63" s="6"/>
      <c r="BQ63" s="6"/>
      <c r="BR63" s="6"/>
      <c r="BS63" s="6"/>
      <c r="BT63" s="38"/>
      <c r="BU63" s="723"/>
      <c r="BV63" s="724"/>
      <c r="BW63" s="724"/>
      <c r="BX63" s="724"/>
      <c r="BY63" s="724"/>
      <c r="BZ63" s="724"/>
      <c r="CA63" s="725"/>
      <c r="CB63" s="11"/>
      <c r="CC63" s="3"/>
      <c r="CD63" s="11"/>
      <c r="CE63" s="3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3"/>
      <c r="CR63" s="3"/>
      <c r="CS63" s="6"/>
      <c r="CT63" s="6"/>
      <c r="CU63" s="6"/>
      <c r="CV63" s="29"/>
      <c r="CW63" s="723"/>
      <c r="CX63" s="724"/>
      <c r="CY63" s="724"/>
      <c r="CZ63" s="724"/>
      <c r="DA63" s="724"/>
      <c r="DB63" s="725"/>
      <c r="DC63" s="12"/>
      <c r="DD63" s="6"/>
    </row>
    <row r="64" spans="1:108" ht="15.75" customHeight="1" thickBot="1">
      <c r="A64" s="7"/>
      <c r="B64" s="26"/>
      <c r="C64" s="26"/>
      <c r="D64" s="26"/>
      <c r="E64" s="26"/>
      <c r="F64" s="245"/>
      <c r="G64" s="245"/>
      <c r="H64" s="245"/>
      <c r="I64" s="245"/>
      <c r="J64" s="245"/>
      <c r="K64" s="245"/>
      <c r="L64" s="245"/>
      <c r="M64" s="26"/>
      <c r="N64" s="38"/>
      <c r="O64" s="38"/>
      <c r="P64" s="7"/>
      <c r="Q64" s="38"/>
      <c r="R64" s="38"/>
      <c r="S64" s="38"/>
      <c r="T64" s="38"/>
      <c r="U64" s="38"/>
      <c r="V64" s="38"/>
      <c r="W64" s="38"/>
      <c r="X64" s="29"/>
      <c r="Y64" s="3"/>
      <c r="Z64" s="3"/>
      <c r="AA64" s="3"/>
      <c r="AB64" s="3"/>
      <c r="AC64" s="3"/>
      <c r="AD64" s="3"/>
      <c r="AE64" s="250"/>
      <c r="AF64" s="250"/>
      <c r="AG64" s="250"/>
      <c r="AH64" s="250"/>
      <c r="AI64" s="250"/>
      <c r="AJ64" s="250"/>
      <c r="AK64" s="11"/>
      <c r="AL64" s="3"/>
      <c r="AM64" s="7"/>
      <c r="AN64" s="146" t="s">
        <v>125</v>
      </c>
      <c r="AO64" s="150"/>
      <c r="AP64" s="150"/>
      <c r="AQ64" s="6"/>
      <c r="AR64" s="6"/>
      <c r="AS64" s="6"/>
      <c r="AT64" s="257" t="s">
        <v>237</v>
      </c>
      <c r="AU64" s="257" t="s">
        <v>237</v>
      </c>
      <c r="AV64" s="6"/>
      <c r="AW64" s="3"/>
      <c r="AX64" s="3"/>
      <c r="AY64" s="212"/>
      <c r="AZ64" s="212"/>
      <c r="BA64" s="7"/>
      <c r="BB64" s="212"/>
      <c r="BC64" s="212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11"/>
      <c r="BP64" s="38"/>
      <c r="BQ64" s="38"/>
      <c r="BR64" s="38"/>
      <c r="BS64" s="38"/>
      <c r="BT64" s="38"/>
      <c r="BU64" s="723"/>
      <c r="BV64" s="724"/>
      <c r="BW64" s="724"/>
      <c r="BX64" s="724"/>
      <c r="BY64" s="724"/>
      <c r="BZ64" s="724"/>
      <c r="CA64" s="725"/>
      <c r="CB64" s="260"/>
      <c r="CC64" s="3"/>
      <c r="CD64" s="11"/>
      <c r="CE64" s="6"/>
      <c r="CF64" s="6"/>
      <c r="CG64" s="6"/>
      <c r="CH64" s="3"/>
      <c r="CI64" s="3"/>
      <c r="CJ64" s="3"/>
      <c r="CK64" s="6"/>
      <c r="CL64" s="6"/>
      <c r="CM64" s="6"/>
      <c r="CN64" s="6"/>
      <c r="CO64" s="6"/>
      <c r="CP64" s="6"/>
      <c r="CQ64" s="3"/>
      <c r="CR64" s="3"/>
      <c r="CS64" s="6"/>
      <c r="CT64" s="6"/>
      <c r="CU64" s="6"/>
      <c r="CV64" s="29"/>
      <c r="CW64" s="726"/>
      <c r="CX64" s="727"/>
      <c r="CY64" s="727"/>
      <c r="CZ64" s="727"/>
      <c r="DA64" s="727"/>
      <c r="DB64" s="728"/>
      <c r="DC64" s="12"/>
      <c r="DD64" s="6"/>
    </row>
    <row r="65" spans="1:108" ht="15.75" customHeight="1">
      <c r="A65" s="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38"/>
      <c r="O65" s="38"/>
      <c r="P65" s="7"/>
      <c r="Q65" s="38"/>
      <c r="R65" s="38"/>
      <c r="S65" s="38"/>
      <c r="T65" s="38"/>
      <c r="U65" s="38"/>
      <c r="V65" s="38"/>
      <c r="W65" s="38"/>
      <c r="X65" s="29"/>
      <c r="Y65" s="29"/>
      <c r="Z65" s="3"/>
      <c r="AA65" s="3"/>
      <c r="AB65" s="3"/>
      <c r="AC65" s="3"/>
      <c r="AD65" s="3"/>
      <c r="AE65" s="6"/>
      <c r="AF65" s="6"/>
      <c r="AG65" s="250"/>
      <c r="AH65" s="250"/>
      <c r="AI65" s="250"/>
      <c r="AJ65" s="250"/>
      <c r="AK65" s="260"/>
      <c r="AL65" s="3"/>
      <c r="AM65" s="7"/>
      <c r="AN65" s="150"/>
      <c r="AO65" s="150"/>
      <c r="AP65" s="150"/>
      <c r="AQ65" s="6"/>
      <c r="AR65" s="6"/>
      <c r="AS65" s="6"/>
      <c r="AT65" s="257" t="s">
        <v>237</v>
      </c>
      <c r="AU65" s="257" t="s">
        <v>237</v>
      </c>
      <c r="AV65" s="6"/>
      <c r="AW65" s="3"/>
      <c r="AX65" s="3"/>
      <c r="AY65" s="212"/>
      <c r="AZ65" s="26"/>
      <c r="BA65" s="7"/>
      <c r="BB65" s="26"/>
      <c r="BC65" s="26"/>
      <c r="BD65" s="26"/>
      <c r="BE65" s="38"/>
      <c r="BF65" s="38"/>
      <c r="BG65" s="38"/>
      <c r="BH65" s="38"/>
      <c r="BI65" s="261" t="s">
        <v>238</v>
      </c>
      <c r="BJ65" s="261"/>
      <c r="BK65" s="38"/>
      <c r="BL65" s="38"/>
      <c r="BM65" s="38"/>
      <c r="BN65" s="38"/>
      <c r="BO65" s="11"/>
      <c r="BP65" s="38"/>
      <c r="BQ65" s="38"/>
      <c r="BR65" s="38"/>
      <c r="BS65" s="38"/>
      <c r="BT65" s="38"/>
      <c r="BU65" s="723"/>
      <c r="BV65" s="724"/>
      <c r="BW65" s="724"/>
      <c r="BX65" s="724"/>
      <c r="BY65" s="724"/>
      <c r="BZ65" s="724"/>
      <c r="CA65" s="725"/>
      <c r="CB65" s="260"/>
      <c r="CC65" s="3"/>
      <c r="CD65" s="11"/>
      <c r="CE65" s="6"/>
      <c r="CF65" s="6"/>
      <c r="CG65" s="6"/>
      <c r="CH65" s="3"/>
      <c r="CI65" s="3"/>
      <c r="CJ65" s="3"/>
      <c r="CK65" s="6"/>
      <c r="CL65" s="6"/>
      <c r="CM65" s="6"/>
      <c r="CN65" s="6"/>
      <c r="CO65" s="6"/>
      <c r="CP65" s="6"/>
      <c r="CQ65" s="3"/>
      <c r="CR65" s="3"/>
      <c r="CS65" s="6"/>
      <c r="CT65" s="6"/>
      <c r="CU65" s="6"/>
      <c r="CV65" s="29"/>
      <c r="CW65" s="29"/>
      <c r="CX65" s="773" t="s">
        <v>151</v>
      </c>
      <c r="CY65" s="721"/>
      <c r="CZ65" s="721"/>
      <c r="DA65" s="122"/>
      <c r="DB65" s="122"/>
      <c r="DC65" s="12"/>
      <c r="DD65" s="6"/>
    </row>
    <row r="66" spans="1:108" ht="15.75" customHeight="1">
      <c r="A66" s="7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38"/>
      <c r="O66" s="38"/>
      <c r="P66" s="7"/>
      <c r="Q66" s="38"/>
      <c r="R66" s="38"/>
      <c r="S66" s="38"/>
      <c r="T66" s="38"/>
      <c r="U66" s="38"/>
      <c r="V66" s="38"/>
      <c r="W66" s="38"/>
      <c r="X66" s="29"/>
      <c r="Y66" s="29"/>
      <c r="Z66" s="29"/>
      <c r="AA66" s="3"/>
      <c r="AB66" s="3"/>
      <c r="AC66" s="732" t="s">
        <v>204</v>
      </c>
      <c r="AD66" s="730"/>
      <c r="AE66" s="730"/>
      <c r="AF66" s="730"/>
      <c r="AG66" s="250"/>
      <c r="AH66" s="250"/>
      <c r="AI66" s="66"/>
      <c r="AJ66" s="66"/>
      <c r="AK66" s="260"/>
      <c r="AL66" s="3"/>
      <c r="AM66" s="7"/>
      <c r="AN66" s="150"/>
      <c r="AO66" s="150"/>
      <c r="AP66" s="150"/>
      <c r="AQ66" s="3"/>
      <c r="AR66" s="3"/>
      <c r="AS66" s="6"/>
      <c r="AT66" s="6"/>
      <c r="AU66" s="6"/>
      <c r="AV66" s="6"/>
      <c r="AW66" s="3"/>
      <c r="AX66" s="3"/>
      <c r="AY66" s="212"/>
      <c r="AZ66" s="26"/>
      <c r="BA66" s="7"/>
      <c r="BB66" s="26"/>
      <c r="BC66" s="212"/>
      <c r="BD66" s="212"/>
      <c r="BE66" s="212"/>
      <c r="BF66" s="212"/>
      <c r="BG66" s="38"/>
      <c r="BH66" s="38"/>
      <c r="BI66" s="38"/>
      <c r="BJ66" s="38"/>
      <c r="BK66" s="38"/>
      <c r="BL66" s="38"/>
      <c r="BM66" s="38"/>
      <c r="BN66" s="38"/>
      <c r="BO66" s="11"/>
      <c r="BP66" s="38"/>
      <c r="BQ66" s="38"/>
      <c r="BR66" s="38"/>
      <c r="BS66" s="38"/>
      <c r="BT66" s="38"/>
      <c r="BU66" s="723"/>
      <c r="BV66" s="724"/>
      <c r="BW66" s="724"/>
      <c r="BX66" s="724"/>
      <c r="BY66" s="724"/>
      <c r="BZ66" s="724"/>
      <c r="CA66" s="725"/>
      <c r="CB66" s="260"/>
      <c r="CC66" s="3"/>
      <c r="CD66" s="11"/>
      <c r="CE66" s="29"/>
      <c r="CF66" s="29"/>
      <c r="CG66" s="38"/>
      <c r="CH66" s="3"/>
      <c r="CI66" s="3"/>
      <c r="CJ66" s="3"/>
      <c r="CK66" s="6"/>
      <c r="CL66" s="6"/>
      <c r="CM66" s="6"/>
      <c r="CN66" s="6"/>
      <c r="CO66" s="6"/>
      <c r="CP66" s="6"/>
      <c r="CQ66" s="38"/>
      <c r="CR66" s="6"/>
      <c r="CS66" s="6"/>
      <c r="CT66" s="6"/>
      <c r="CU66" s="6"/>
      <c r="CV66" s="29"/>
      <c r="CW66" s="29"/>
      <c r="CX66" s="262">
        <v>1</v>
      </c>
      <c r="CY66" s="263">
        <v>2</v>
      </c>
      <c r="CZ66" s="263">
        <v>3</v>
      </c>
      <c r="DA66" s="122"/>
      <c r="DB66" s="122"/>
      <c r="DC66" s="12"/>
      <c r="DD66" s="6"/>
    </row>
    <row r="67" spans="1:108" ht="15.75" customHeight="1">
      <c r="A67" s="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38"/>
      <c r="O67" s="38"/>
      <c r="P67" s="7"/>
      <c r="Q67" s="38"/>
      <c r="R67" s="38"/>
      <c r="S67" s="38"/>
      <c r="T67" s="38"/>
      <c r="U67" s="38"/>
      <c r="V67" s="38"/>
      <c r="W67" s="38"/>
      <c r="X67" s="29"/>
      <c r="Y67" s="136"/>
      <c r="Z67" s="136"/>
      <c r="AA67" s="3"/>
      <c r="AB67" s="3"/>
      <c r="AC67" s="46">
        <v>1</v>
      </c>
      <c r="AD67" s="46">
        <v>2</v>
      </c>
      <c r="AE67" s="46">
        <v>3</v>
      </c>
      <c r="AF67" s="46">
        <v>4</v>
      </c>
      <c r="AG67" s="250"/>
      <c r="AH67" s="101"/>
      <c r="AI67" s="101"/>
      <c r="AJ67" s="66"/>
      <c r="AK67" s="260"/>
      <c r="AL67" s="3"/>
      <c r="AM67" s="7"/>
      <c r="AN67" s="150"/>
      <c r="AO67" s="150"/>
      <c r="AP67" s="150"/>
      <c r="AQ67" s="3"/>
      <c r="AR67" s="3"/>
      <c r="AS67" s="6"/>
      <c r="AT67" s="6"/>
      <c r="AU67" s="6"/>
      <c r="AV67" s="6"/>
      <c r="AW67" s="3"/>
      <c r="AX67" s="3"/>
      <c r="AY67" s="212"/>
      <c r="AZ67" s="26"/>
      <c r="BA67" s="7"/>
      <c r="BB67" s="167"/>
      <c r="BC67" s="212"/>
      <c r="BD67" s="212"/>
      <c r="BE67" s="212"/>
      <c r="BF67" s="212"/>
      <c r="BG67" s="38"/>
      <c r="BH67" s="38"/>
      <c r="BI67" s="38"/>
      <c r="BJ67" s="38"/>
      <c r="BK67" s="38"/>
      <c r="BL67" s="38"/>
      <c r="BM67" s="38"/>
      <c r="BN67" s="38"/>
      <c r="BO67" s="11"/>
      <c r="BP67" s="38"/>
      <c r="BQ67" s="38"/>
      <c r="BR67" s="38"/>
      <c r="BS67" s="38"/>
      <c r="BT67" s="38"/>
      <c r="BU67" s="723"/>
      <c r="BV67" s="724"/>
      <c r="BW67" s="724"/>
      <c r="BX67" s="724"/>
      <c r="BY67" s="724"/>
      <c r="BZ67" s="724"/>
      <c r="CA67" s="725"/>
      <c r="CB67" s="11"/>
      <c r="CC67" s="3"/>
      <c r="CD67" s="11"/>
      <c r="CE67" s="264"/>
      <c r="CF67" s="29"/>
      <c r="CG67" s="3"/>
      <c r="CH67" s="29"/>
      <c r="CI67" s="6"/>
      <c r="CJ67" s="6"/>
      <c r="CK67" s="6"/>
      <c r="CL67" s="6"/>
      <c r="CM67" s="6"/>
      <c r="CN67" s="6"/>
      <c r="CO67" s="38"/>
      <c r="CP67" s="265"/>
      <c r="CQ67" s="38"/>
      <c r="CR67" s="6"/>
      <c r="CS67" s="6"/>
      <c r="CT67" s="6"/>
      <c r="CU67" s="6"/>
      <c r="CV67" s="29"/>
      <c r="CW67" s="35" t="s">
        <v>239</v>
      </c>
      <c r="CX67" s="37" t="s">
        <v>137</v>
      </c>
      <c r="CY67" s="37" t="s">
        <v>137</v>
      </c>
      <c r="CZ67" s="37" t="s">
        <v>137</v>
      </c>
      <c r="DA67" s="122"/>
      <c r="DB67" s="122"/>
      <c r="DC67" s="12"/>
      <c r="DD67" s="6"/>
    </row>
    <row r="68" spans="1:108" ht="15.75" customHeight="1" thickBot="1">
      <c r="A68" s="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38"/>
      <c r="O68" s="38"/>
      <c r="P68" s="7"/>
      <c r="Q68" s="38"/>
      <c r="R68" s="38"/>
      <c r="S68" s="38"/>
      <c r="T68" s="38"/>
      <c r="U68" s="38"/>
      <c r="V68" s="38"/>
      <c r="W68" s="38"/>
      <c r="X68" s="3"/>
      <c r="Y68" s="29"/>
      <c r="Z68" s="29"/>
      <c r="AA68" s="3"/>
      <c r="AB68" s="35" t="s">
        <v>240</v>
      </c>
      <c r="AC68" s="266" t="s">
        <v>137</v>
      </c>
      <c r="AD68" s="266" t="s">
        <v>137</v>
      </c>
      <c r="AE68" s="266" t="s">
        <v>137</v>
      </c>
      <c r="AF68" s="266" t="s">
        <v>137</v>
      </c>
      <c r="AG68" s="250"/>
      <c r="AH68" s="38"/>
      <c r="AI68" s="38"/>
      <c r="AJ68" s="38"/>
      <c r="AK68" s="11"/>
      <c r="AL68" s="3"/>
      <c r="AM68" s="7"/>
      <c r="AN68" s="3"/>
      <c r="AO68" s="3"/>
      <c r="AP68" s="3"/>
      <c r="AQ68" s="3"/>
      <c r="AR68" s="3"/>
      <c r="AS68" s="212"/>
      <c r="AT68" s="714" t="s">
        <v>241</v>
      </c>
      <c r="AU68" s="715"/>
      <c r="AV68" s="212"/>
      <c r="AW68" s="3"/>
      <c r="AX68" s="3"/>
      <c r="AY68" s="212"/>
      <c r="AZ68" s="26"/>
      <c r="BA68" s="7"/>
      <c r="BB68" s="212"/>
      <c r="BC68" s="212"/>
      <c r="BD68" s="212"/>
      <c r="BE68" s="212"/>
      <c r="BF68" s="212"/>
      <c r="BG68" s="38"/>
      <c r="BH68" s="38"/>
      <c r="BI68" s="38"/>
      <c r="BJ68" s="38"/>
      <c r="BK68" s="38"/>
      <c r="BL68" s="38"/>
      <c r="BM68" s="38"/>
      <c r="BN68" s="38"/>
      <c r="BO68" s="11"/>
      <c r="BP68" s="38"/>
      <c r="BQ68" s="38"/>
      <c r="BR68" s="38"/>
      <c r="BS68" s="38"/>
      <c r="BT68" s="38"/>
      <c r="BU68" s="726"/>
      <c r="BV68" s="727"/>
      <c r="BW68" s="727"/>
      <c r="BX68" s="727"/>
      <c r="BY68" s="727"/>
      <c r="BZ68" s="727"/>
      <c r="CA68" s="728"/>
      <c r="CB68" s="11"/>
      <c r="CC68" s="3"/>
      <c r="CD68" s="11"/>
      <c r="CE68" s="29"/>
      <c r="CF68" s="29"/>
      <c r="CG68" s="3"/>
      <c r="CH68" s="29"/>
      <c r="CI68" s="6"/>
      <c r="CJ68" s="6"/>
      <c r="CK68" s="29"/>
      <c r="CL68" s="29"/>
      <c r="CM68" s="29"/>
      <c r="CN68" s="29"/>
      <c r="CO68" s="233"/>
      <c r="CP68" s="265"/>
      <c r="CQ68" s="38"/>
      <c r="CR68" s="6"/>
      <c r="CS68" s="6"/>
      <c r="CT68" s="6"/>
      <c r="CU68" s="6"/>
      <c r="CV68" s="29"/>
      <c r="CW68" s="37"/>
      <c r="CX68" s="16" t="s">
        <v>48</v>
      </c>
      <c r="CY68" s="16" t="s">
        <v>48</v>
      </c>
      <c r="CZ68" s="16" t="s">
        <v>48</v>
      </c>
      <c r="DA68" s="29"/>
      <c r="DB68" s="29"/>
      <c r="DC68" s="11"/>
      <c r="DD68" s="6"/>
    </row>
    <row r="69" spans="1:108" ht="15.75" customHeight="1" thickBot="1">
      <c r="A69" s="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38"/>
      <c r="O69" s="38"/>
      <c r="P69" s="7"/>
      <c r="Q69" s="38"/>
      <c r="R69" s="38"/>
      <c r="S69" s="38"/>
      <c r="T69" s="38"/>
      <c r="U69" s="38"/>
      <c r="V69" s="38"/>
      <c r="W69" s="38"/>
      <c r="X69" s="29"/>
      <c r="Y69" s="3"/>
      <c r="Z69" s="3"/>
      <c r="AA69" s="3"/>
      <c r="AB69" s="267"/>
      <c r="AC69" s="16" t="s">
        <v>48</v>
      </c>
      <c r="AD69" s="16" t="s">
        <v>48</v>
      </c>
      <c r="AE69" s="16" t="s">
        <v>48</v>
      </c>
      <c r="AF69" s="16" t="s">
        <v>48</v>
      </c>
      <c r="AG69" s="267"/>
      <c r="AH69" s="6"/>
      <c r="AI69" s="38"/>
      <c r="AJ69" s="38"/>
      <c r="AK69" s="11"/>
      <c r="AL69" s="3"/>
      <c r="AM69" s="7"/>
      <c r="AN69" s="146" t="s">
        <v>125</v>
      </c>
      <c r="AO69" s="3"/>
      <c r="AP69" s="3"/>
      <c r="AQ69" s="3"/>
      <c r="AR69" s="3"/>
      <c r="AS69" s="3"/>
      <c r="AT69" s="123" t="s">
        <v>162</v>
      </c>
      <c r="AU69" s="123" t="s">
        <v>162</v>
      </c>
      <c r="AV69" s="3"/>
      <c r="AW69" s="3"/>
      <c r="AX69" s="3"/>
      <c r="AY69" s="212"/>
      <c r="AZ69" s="26"/>
      <c r="BA69" s="7"/>
      <c r="BB69" s="212"/>
      <c r="BC69" s="212"/>
      <c r="BD69" s="212"/>
      <c r="BE69" s="212"/>
      <c r="BF69" s="212"/>
      <c r="BG69" s="38"/>
      <c r="BH69" s="38"/>
      <c r="BI69" s="38"/>
      <c r="BJ69" s="38"/>
      <c r="BK69" s="38"/>
      <c r="BL69" s="38"/>
      <c r="BM69" s="38"/>
      <c r="BN69" s="38"/>
      <c r="BO69" s="11"/>
      <c r="BP69" s="38"/>
      <c r="BQ69" s="38"/>
      <c r="BR69" s="38"/>
      <c r="BS69" s="38"/>
      <c r="BT69" s="38"/>
      <c r="BU69" s="38"/>
      <c r="BV69" s="249"/>
      <c r="BW69" s="249"/>
      <c r="BX69" s="38"/>
      <c r="BY69" s="32"/>
      <c r="BZ69" s="29"/>
      <c r="CA69" s="29"/>
      <c r="CB69" s="11"/>
      <c r="CC69" s="3"/>
      <c r="CD69" s="11"/>
      <c r="CE69" s="29"/>
      <c r="CF69" s="29"/>
      <c r="CG69" s="3"/>
      <c r="CH69" s="29"/>
      <c r="CI69" s="6"/>
      <c r="CJ69" s="29"/>
      <c r="CK69" s="6"/>
      <c r="CL69" s="44"/>
      <c r="CM69" s="29"/>
      <c r="CN69" s="6"/>
      <c r="CO69" s="6"/>
      <c r="CP69" s="6"/>
      <c r="CQ69" s="6"/>
      <c r="CR69" s="6"/>
      <c r="CS69" s="6"/>
      <c r="CT69" s="6"/>
      <c r="CU69" s="3"/>
      <c r="CV69" s="159" t="s">
        <v>186</v>
      </c>
      <c r="CW69" s="759"/>
      <c r="CX69" s="721"/>
      <c r="CY69" s="721"/>
      <c r="CZ69" s="722"/>
      <c r="DA69" s="29"/>
      <c r="DB69" s="29"/>
      <c r="DC69" s="11"/>
      <c r="DD69" s="6"/>
    </row>
    <row r="70" spans="1:108" ht="15.75" customHeight="1">
      <c r="A70" s="7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8"/>
      <c r="O70" s="38"/>
      <c r="P70" s="7"/>
      <c r="Q70" s="38"/>
      <c r="R70" s="38"/>
      <c r="S70" s="38"/>
      <c r="T70" s="38"/>
      <c r="U70" s="38"/>
      <c r="V70" s="38"/>
      <c r="W70" s="38"/>
      <c r="X70" s="38"/>
      <c r="Y70" s="38"/>
      <c r="Z70" s="29"/>
      <c r="AA70" s="29"/>
      <c r="AB70" s="6"/>
      <c r="AC70" s="229"/>
      <c r="AD70" s="230"/>
      <c r="AE70" s="230"/>
      <c r="AF70" s="230"/>
      <c r="AG70" s="268"/>
      <c r="AH70" s="250"/>
      <c r="AI70" s="38"/>
      <c r="AJ70" s="38"/>
      <c r="AK70" s="11"/>
      <c r="AL70" s="3"/>
      <c r="AM70" s="7"/>
      <c r="AN70" s="146" t="s">
        <v>125</v>
      </c>
      <c r="AO70" s="3"/>
      <c r="AP70" s="6"/>
      <c r="AQ70" s="6"/>
      <c r="AR70" s="3"/>
      <c r="AS70" s="3"/>
      <c r="AT70" s="123" t="s">
        <v>162</v>
      </c>
      <c r="AU70" s="123" t="s">
        <v>162</v>
      </c>
      <c r="AV70" s="3"/>
      <c r="AW70" s="3"/>
      <c r="AX70" s="3"/>
      <c r="AY70" s="3"/>
      <c r="AZ70" s="3"/>
      <c r="BA70" s="7"/>
      <c r="BB70" s="26"/>
      <c r="BC70" s="26"/>
      <c r="BD70" s="26"/>
      <c r="BE70" s="38"/>
      <c r="BF70" s="27"/>
      <c r="BG70" s="38"/>
      <c r="BH70" s="3"/>
      <c r="BI70" s="3"/>
      <c r="BJ70" s="3"/>
      <c r="BK70" s="3"/>
      <c r="BL70" s="3"/>
      <c r="BM70" s="3"/>
      <c r="BN70" s="3"/>
      <c r="BO70" s="11"/>
      <c r="BP70" s="38"/>
      <c r="BQ70" s="38"/>
      <c r="BR70" s="38"/>
      <c r="BS70" s="38"/>
      <c r="BT70" s="38"/>
      <c r="BU70" s="38"/>
      <c r="BV70" s="38"/>
      <c r="BW70" s="38"/>
      <c r="BX70" s="38"/>
      <c r="BY70" s="32"/>
      <c r="BZ70" s="29"/>
      <c r="CA70" s="29"/>
      <c r="CB70" s="11"/>
      <c r="CC70" s="3"/>
      <c r="CD70" s="11"/>
      <c r="CE70" s="760" t="s">
        <v>238</v>
      </c>
      <c r="CF70" s="721"/>
      <c r="CG70" s="721"/>
      <c r="CH70" s="721"/>
      <c r="CI70" s="721"/>
      <c r="CJ70" s="721"/>
      <c r="CK70" s="721"/>
      <c r="CL70" s="721"/>
      <c r="CM70" s="721"/>
      <c r="CN70" s="721"/>
      <c r="CO70" s="722"/>
      <c r="CP70" s="269"/>
      <c r="CQ70" s="3"/>
      <c r="CR70" s="3"/>
      <c r="CS70" s="3"/>
      <c r="CT70" s="6"/>
      <c r="CU70" s="3"/>
      <c r="CV70" s="159" t="s">
        <v>186</v>
      </c>
      <c r="CW70" s="723"/>
      <c r="CX70" s="724"/>
      <c r="CY70" s="724"/>
      <c r="CZ70" s="725"/>
      <c r="DA70" s="3"/>
      <c r="DB70" s="3"/>
      <c r="DC70" s="260"/>
      <c r="DD70" s="6"/>
    </row>
    <row r="71" spans="1:108" ht="15.75" customHeight="1" thickBot="1">
      <c r="A71" s="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8"/>
      <c r="O71" s="27"/>
      <c r="P71" s="38"/>
      <c r="Q71" s="11"/>
      <c r="R71" s="11"/>
      <c r="S71" s="11"/>
      <c r="T71" s="11"/>
      <c r="U71" s="11"/>
      <c r="V71" s="11"/>
      <c r="W71" s="11"/>
      <c r="X71" s="11"/>
      <c r="Y71" s="38"/>
      <c r="Z71" s="38"/>
      <c r="AA71" s="29"/>
      <c r="AB71" s="6"/>
      <c r="AC71" s="235"/>
      <c r="AD71" s="38"/>
      <c r="AE71" s="38"/>
      <c r="AF71" s="38"/>
      <c r="AG71" s="270"/>
      <c r="AH71" s="250"/>
      <c r="AI71" s="3"/>
      <c r="AJ71" s="3"/>
      <c r="AK71" s="11"/>
      <c r="AL71" s="3"/>
      <c r="AM71" s="7"/>
      <c r="AN71" s="146" t="s">
        <v>125</v>
      </c>
      <c r="AO71" s="3"/>
      <c r="AP71" s="3"/>
      <c r="AQ71" s="3"/>
      <c r="AR71" s="3"/>
      <c r="AS71" s="3"/>
      <c r="AT71" s="6"/>
      <c r="AU71" s="6"/>
      <c r="AV71" s="26"/>
      <c r="AW71" s="26"/>
      <c r="AX71" s="26"/>
      <c r="AY71" s="26"/>
      <c r="AZ71" s="26"/>
      <c r="BA71" s="7"/>
      <c r="BB71" s="26"/>
      <c r="BC71" s="26"/>
      <c r="BD71" s="26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11"/>
      <c r="BP71" s="38"/>
      <c r="BQ71" s="38"/>
      <c r="BR71" s="38"/>
      <c r="BS71" s="38"/>
      <c r="BT71" s="38"/>
      <c r="BU71" s="222" t="s">
        <v>216</v>
      </c>
      <c r="BV71" s="222" t="s">
        <v>216</v>
      </c>
      <c r="BW71" s="222" t="s">
        <v>216</v>
      </c>
      <c r="BX71" s="222" t="s">
        <v>216</v>
      </c>
      <c r="BY71" s="32"/>
      <c r="BZ71" s="29"/>
      <c r="CA71" s="29"/>
      <c r="CB71" s="11"/>
      <c r="CC71" s="3"/>
      <c r="CD71" s="11"/>
      <c r="CE71" s="723"/>
      <c r="CF71" s="724"/>
      <c r="CG71" s="724"/>
      <c r="CH71" s="724"/>
      <c r="CI71" s="724"/>
      <c r="CJ71" s="724"/>
      <c r="CK71" s="724"/>
      <c r="CL71" s="724"/>
      <c r="CM71" s="724"/>
      <c r="CN71" s="724"/>
      <c r="CO71" s="725"/>
      <c r="CP71" s="269"/>
      <c r="CQ71" s="3"/>
      <c r="CR71" s="3"/>
      <c r="CS71" s="3"/>
      <c r="CT71" s="6"/>
      <c r="CU71" s="3"/>
      <c r="CV71" s="159" t="s">
        <v>186</v>
      </c>
      <c r="CW71" s="723"/>
      <c r="CX71" s="724"/>
      <c r="CY71" s="724"/>
      <c r="CZ71" s="725"/>
      <c r="DA71" s="3"/>
      <c r="DB71" s="3"/>
      <c r="DC71" s="260"/>
      <c r="DD71" s="6"/>
    </row>
    <row r="72" spans="1:108" ht="15.75" customHeight="1" thickBot="1">
      <c r="A72" s="7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11"/>
      <c r="Y72" s="38"/>
      <c r="Z72" s="38"/>
      <c r="AA72" s="29"/>
      <c r="AB72" s="6"/>
      <c r="AC72" s="235"/>
      <c r="AD72" s="38"/>
      <c r="AE72" s="38"/>
      <c r="AF72" s="38"/>
      <c r="AG72" s="270"/>
      <c r="AH72" s="720" t="s">
        <v>242</v>
      </c>
      <c r="AI72" s="721"/>
      <c r="AJ72" s="721"/>
      <c r="AK72" s="11"/>
      <c r="AL72" s="3"/>
      <c r="AM72" s="7"/>
      <c r="AN72" s="146" t="s">
        <v>125</v>
      </c>
      <c r="AO72" s="3"/>
      <c r="AP72" s="3"/>
      <c r="AQ72" s="3"/>
      <c r="AR72" s="3"/>
      <c r="AS72" s="3"/>
      <c r="AT72" s="146" t="s">
        <v>125</v>
      </c>
      <c r="AU72" s="146" t="s">
        <v>125</v>
      </c>
      <c r="AV72" s="26"/>
      <c r="AW72" s="26"/>
      <c r="AX72" s="26"/>
      <c r="AY72" s="26"/>
      <c r="AZ72" s="26"/>
      <c r="BA72" s="7"/>
      <c r="BB72" s="26"/>
      <c r="BC72" s="26"/>
      <c r="BD72" s="26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11"/>
      <c r="BP72" s="38"/>
      <c r="BQ72" s="38"/>
      <c r="BR72" s="38"/>
      <c r="BS72" s="38"/>
      <c r="BT72" s="38"/>
      <c r="BU72" s="761" t="s">
        <v>213</v>
      </c>
      <c r="BV72" s="744"/>
      <c r="BW72" s="744"/>
      <c r="BX72" s="744"/>
      <c r="BY72" s="29"/>
      <c r="BZ72" s="29"/>
      <c r="CA72" s="29"/>
      <c r="CB72" s="11"/>
      <c r="CC72" s="3"/>
      <c r="CD72" s="11"/>
      <c r="CE72" s="723"/>
      <c r="CF72" s="724"/>
      <c r="CG72" s="724"/>
      <c r="CH72" s="724"/>
      <c r="CI72" s="724"/>
      <c r="CJ72" s="724"/>
      <c r="CK72" s="724"/>
      <c r="CL72" s="724"/>
      <c r="CM72" s="724"/>
      <c r="CN72" s="724"/>
      <c r="CO72" s="725"/>
      <c r="CP72" s="269"/>
      <c r="CQ72" s="3"/>
      <c r="CR72" s="3"/>
      <c r="CS72" s="3"/>
      <c r="CT72" s="6"/>
      <c r="CU72" s="3"/>
      <c r="CV72" s="3"/>
      <c r="CW72" s="723"/>
      <c r="CX72" s="724"/>
      <c r="CY72" s="724"/>
      <c r="CZ72" s="725"/>
      <c r="DA72" s="3"/>
      <c r="DB72" s="3"/>
      <c r="DC72" s="260"/>
      <c r="DD72" s="6"/>
    </row>
    <row r="73" spans="1:108" ht="15.75" customHeight="1">
      <c r="A73" s="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11"/>
      <c r="Y73" s="38"/>
      <c r="Z73" s="38"/>
      <c r="AA73" s="29"/>
      <c r="AB73" s="6"/>
      <c r="AC73" s="235"/>
      <c r="AD73" s="38"/>
      <c r="AE73" s="38"/>
      <c r="AF73" s="38"/>
      <c r="AG73" s="270"/>
      <c r="AH73" s="723"/>
      <c r="AI73" s="724"/>
      <c r="AJ73" s="724"/>
      <c r="AK73" s="11"/>
      <c r="AL73" s="3"/>
      <c r="AM73" s="7"/>
      <c r="AN73" s="3"/>
      <c r="AO73" s="3"/>
      <c r="AP73" s="3"/>
      <c r="AQ73" s="3"/>
      <c r="AR73" s="3"/>
      <c r="AS73" s="26"/>
      <c r="AT73" s="146" t="s">
        <v>125</v>
      </c>
      <c r="AU73" s="146" t="s">
        <v>125</v>
      </c>
      <c r="AV73" s="26"/>
      <c r="AW73" s="26"/>
      <c r="AX73" s="26"/>
      <c r="AY73" s="26"/>
      <c r="AZ73" s="26"/>
      <c r="BA73" s="7"/>
      <c r="BB73" s="26"/>
      <c r="BC73" s="26"/>
      <c r="BD73" s="26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11"/>
      <c r="BP73" s="38"/>
      <c r="BQ73" s="38"/>
      <c r="BR73" s="38"/>
      <c r="BS73" s="38"/>
      <c r="BT73" s="38"/>
      <c r="BU73" s="38"/>
      <c r="BV73" s="38"/>
      <c r="BW73" s="38"/>
      <c r="BX73" s="38"/>
      <c r="BY73" s="29"/>
      <c r="BZ73" s="29"/>
      <c r="CA73" s="29"/>
      <c r="CB73" s="11"/>
      <c r="CC73" s="3"/>
      <c r="CD73" s="11"/>
      <c r="CE73" s="723"/>
      <c r="CF73" s="724"/>
      <c r="CG73" s="724"/>
      <c r="CH73" s="724"/>
      <c r="CI73" s="724"/>
      <c r="CJ73" s="724"/>
      <c r="CK73" s="724"/>
      <c r="CL73" s="724"/>
      <c r="CM73" s="724"/>
      <c r="CN73" s="724"/>
      <c r="CO73" s="725"/>
      <c r="CP73" s="269"/>
      <c r="CQ73" s="3"/>
      <c r="CR73" s="3"/>
      <c r="CS73" s="3"/>
      <c r="CT73" s="6"/>
      <c r="CU73" s="3"/>
      <c r="CV73" s="3"/>
      <c r="CW73" s="723"/>
      <c r="CX73" s="724"/>
      <c r="CY73" s="724"/>
      <c r="CZ73" s="725"/>
      <c r="DA73" s="720" t="s">
        <v>243</v>
      </c>
      <c r="DB73" s="722"/>
      <c r="DC73" s="11"/>
      <c r="DD73" s="6"/>
    </row>
    <row r="74" spans="1:108" ht="15.75" customHeight="1" thickBot="1">
      <c r="A74" s="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11"/>
      <c r="Y74" s="38"/>
      <c r="Z74" s="38"/>
      <c r="AA74" s="29"/>
      <c r="AB74" s="6"/>
      <c r="AC74" s="235"/>
      <c r="AD74" s="38"/>
      <c r="AE74" s="38"/>
      <c r="AF74" s="38"/>
      <c r="AG74" s="270"/>
      <c r="AH74" s="723"/>
      <c r="AI74" s="724"/>
      <c r="AJ74" s="724"/>
      <c r="AK74" s="11"/>
      <c r="AL74" s="3"/>
      <c r="AM74" s="7"/>
      <c r="AN74" s="3"/>
      <c r="AO74" s="3"/>
      <c r="AP74" s="3"/>
      <c r="AQ74" s="3"/>
      <c r="AR74" s="26"/>
      <c r="AS74" s="26"/>
      <c r="AT74" s="26"/>
      <c r="AU74" s="26"/>
      <c r="AV74" s="26"/>
      <c r="AW74" s="26"/>
      <c r="AX74" s="26"/>
      <c r="AY74" s="26"/>
      <c r="AZ74" s="26"/>
      <c r="BA74" s="7"/>
      <c r="BB74" s="26"/>
      <c r="BC74" s="26"/>
      <c r="BD74" s="26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11"/>
      <c r="BP74" s="38"/>
      <c r="BQ74" s="38"/>
      <c r="BR74" s="38"/>
      <c r="BS74" s="38"/>
      <c r="BT74" s="38"/>
      <c r="BU74" s="38"/>
      <c r="BV74" s="38"/>
      <c r="BW74" s="38"/>
      <c r="BX74" s="38"/>
      <c r="BY74" s="29"/>
      <c r="BZ74" s="38"/>
      <c r="CA74" s="38"/>
      <c r="CB74" s="11"/>
      <c r="CC74" s="3"/>
      <c r="CD74" s="11"/>
      <c r="CE74" s="723"/>
      <c r="CF74" s="724"/>
      <c r="CG74" s="724"/>
      <c r="CH74" s="724"/>
      <c r="CI74" s="724"/>
      <c r="CJ74" s="724"/>
      <c r="CK74" s="724"/>
      <c r="CL74" s="724"/>
      <c r="CM74" s="724"/>
      <c r="CN74" s="724"/>
      <c r="CO74" s="725"/>
      <c r="CP74" s="269"/>
      <c r="CQ74" s="3"/>
      <c r="CR74" s="3"/>
      <c r="CS74" s="3"/>
      <c r="CT74" s="6"/>
      <c r="CU74" s="3"/>
      <c r="CV74" s="3"/>
      <c r="CW74" s="723"/>
      <c r="CX74" s="724"/>
      <c r="CY74" s="724"/>
      <c r="CZ74" s="725"/>
      <c r="DA74" s="723"/>
      <c r="DB74" s="725"/>
      <c r="DC74" s="11"/>
      <c r="DD74" s="6"/>
    </row>
    <row r="75" spans="1:108" ht="15.75" customHeight="1" thickBot="1">
      <c r="A75" s="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11"/>
      <c r="Y75" s="38"/>
      <c r="Z75" s="38"/>
      <c r="AA75" s="38"/>
      <c r="AB75" s="6"/>
      <c r="AC75" s="235"/>
      <c r="AD75" s="38"/>
      <c r="AE75" s="38"/>
      <c r="AF75" s="38"/>
      <c r="AG75" s="270"/>
      <c r="AH75" s="723"/>
      <c r="AI75" s="724"/>
      <c r="AJ75" s="724"/>
      <c r="AK75" s="11"/>
      <c r="AL75" s="3"/>
      <c r="AM75" s="7"/>
      <c r="AN75" s="3"/>
      <c r="AO75" s="3"/>
      <c r="AP75" s="3"/>
      <c r="AQ75" s="3"/>
      <c r="AR75" s="3"/>
      <c r="AS75" s="3"/>
      <c r="AT75" s="3"/>
      <c r="AU75" s="3"/>
      <c r="AV75" s="3"/>
      <c r="AW75" s="26"/>
      <c r="AX75" s="26"/>
      <c r="AY75" s="26"/>
      <c r="AZ75" s="26"/>
      <c r="BA75" s="7"/>
      <c r="BB75" s="26"/>
      <c r="BC75" s="26"/>
      <c r="BD75" s="26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11"/>
      <c r="BP75" s="784" t="s">
        <v>244</v>
      </c>
      <c r="BQ75" s="721"/>
      <c r="BR75" s="722"/>
      <c r="BS75" s="38"/>
      <c r="BT75" s="29"/>
      <c r="BU75" s="29"/>
      <c r="BV75" s="29"/>
      <c r="BW75" s="29"/>
      <c r="BX75" s="6"/>
      <c r="BY75" s="6"/>
      <c r="BZ75" s="759" t="s">
        <v>242</v>
      </c>
      <c r="CA75" s="722"/>
      <c r="CB75" s="11"/>
      <c r="CC75" s="3"/>
      <c r="CD75" s="11"/>
      <c r="CE75" s="726"/>
      <c r="CF75" s="727"/>
      <c r="CG75" s="727"/>
      <c r="CH75" s="727"/>
      <c r="CI75" s="727"/>
      <c r="CJ75" s="727"/>
      <c r="CK75" s="727"/>
      <c r="CL75" s="727"/>
      <c r="CM75" s="727"/>
      <c r="CN75" s="727"/>
      <c r="CO75" s="728"/>
      <c r="CP75" s="271"/>
      <c r="CQ75" s="29"/>
      <c r="CR75" s="29"/>
      <c r="CS75" s="29"/>
      <c r="CT75" s="29"/>
      <c r="CU75" s="3"/>
      <c r="CV75" s="3"/>
      <c r="CW75" s="726"/>
      <c r="CX75" s="727"/>
      <c r="CY75" s="727"/>
      <c r="CZ75" s="728"/>
      <c r="DA75" s="726"/>
      <c r="DB75" s="728"/>
      <c r="DC75" s="11"/>
      <c r="DD75" s="6"/>
    </row>
    <row r="76" spans="1:108" ht="15.75" customHeight="1" thickBot="1">
      <c r="A76" s="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11"/>
      <c r="Y76" s="38"/>
      <c r="Z76" s="38"/>
      <c r="AA76" s="38"/>
      <c r="AB76" s="6"/>
      <c r="AC76" s="235"/>
      <c r="AD76" s="38"/>
      <c r="AE76" s="38"/>
      <c r="AF76" s="38"/>
      <c r="AG76" s="272"/>
      <c r="AH76" s="723"/>
      <c r="AI76" s="724"/>
      <c r="AJ76" s="724"/>
      <c r="AK76" s="11"/>
      <c r="AL76" s="3"/>
      <c r="AM76" s="7"/>
      <c r="AN76" s="146" t="s">
        <v>125</v>
      </c>
      <c r="AO76" s="146" t="s">
        <v>125</v>
      </c>
      <c r="AP76" s="146" t="s">
        <v>125</v>
      </c>
      <c r="AQ76" s="146" t="s">
        <v>125</v>
      </c>
      <c r="AR76" s="159" t="s">
        <v>186</v>
      </c>
      <c r="AS76" s="159" t="s">
        <v>186</v>
      </c>
      <c r="AT76" s="6"/>
      <c r="AU76" s="3"/>
      <c r="AV76" s="26"/>
      <c r="AW76" s="26"/>
      <c r="AX76" s="26"/>
      <c r="AY76" s="26"/>
      <c r="AZ76" s="26"/>
      <c r="BA76" s="7"/>
      <c r="BB76" s="26"/>
      <c r="BC76" s="26"/>
      <c r="BD76" s="26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11"/>
      <c r="BP76" s="726"/>
      <c r="BQ76" s="727"/>
      <c r="BR76" s="728"/>
      <c r="BS76" s="38"/>
      <c r="BT76" s="38"/>
      <c r="BU76" s="38"/>
      <c r="BV76" s="38"/>
      <c r="BW76" s="38"/>
      <c r="BX76" s="6"/>
      <c r="BY76" s="6"/>
      <c r="BZ76" s="726"/>
      <c r="CA76" s="728"/>
      <c r="CB76" s="11"/>
      <c r="CC76" s="3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6"/>
    </row>
    <row r="77" spans="1:108" ht="15.75" customHeight="1">
      <c r="A77" s="7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3"/>
      <c r="AM77" s="7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6"/>
    </row>
    <row r="78" spans="1:10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</row>
    <row r="79" spans="1:108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</row>
    <row r="80" spans="1:108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</row>
    <row r="81" spans="1:108" ht="15.75" customHeight="1">
      <c r="M81" s="22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</row>
    <row r="82" spans="1:108" ht="15.75" customHeight="1">
      <c r="M82" s="22"/>
    </row>
    <row r="83" spans="1:108" ht="15.75" customHeight="1" thickBot="1">
      <c r="M83" s="22"/>
    </row>
    <row r="84" spans="1:108" ht="15.75" customHeight="1" thickBot="1">
      <c r="A84" s="785" t="s">
        <v>245</v>
      </c>
      <c r="B84" s="717"/>
      <c r="C84" s="717"/>
      <c r="D84" s="717"/>
      <c r="E84" s="717"/>
      <c r="F84" s="717"/>
      <c r="G84" s="717"/>
      <c r="H84" s="717"/>
      <c r="I84" s="718"/>
      <c r="J84" s="786">
        <f>IFERROR(SUM(AE101:AE217)+G86,"")</f>
        <v>567</v>
      </c>
      <c r="K84" s="717"/>
      <c r="L84" s="717"/>
      <c r="M84" s="718"/>
      <c r="P84" s="273"/>
      <c r="AB84" s="274"/>
      <c r="AC84" s="274"/>
      <c r="AD84" s="274"/>
      <c r="AE84" s="274"/>
      <c r="AF84" s="274"/>
      <c r="AG84" s="274"/>
    </row>
    <row r="85" spans="1:108" ht="15.75" customHeight="1" thickBot="1">
      <c r="A85" s="275" t="s">
        <v>246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AB85" s="276"/>
      <c r="AC85" s="276"/>
      <c r="AD85" s="276"/>
      <c r="AE85" s="276"/>
      <c r="AF85" s="276"/>
      <c r="AG85" s="276"/>
    </row>
    <row r="86" spans="1:108" ht="15.75" customHeight="1" thickBot="1">
      <c r="A86" s="780" t="s">
        <v>247</v>
      </c>
      <c r="B86" s="717"/>
      <c r="C86" s="717"/>
      <c r="D86" s="717"/>
      <c r="E86" s="717"/>
      <c r="F86" s="718"/>
      <c r="G86" s="787">
        <f>I101+V101</f>
        <v>38</v>
      </c>
      <c r="H86" s="717"/>
      <c r="I86" s="718"/>
      <c r="AB86" s="276"/>
      <c r="AC86" s="276"/>
      <c r="AD86" s="276"/>
      <c r="AE86" s="276"/>
      <c r="AF86" s="276"/>
      <c r="AG86" s="276"/>
    </row>
    <row r="87" spans="1:108" ht="15.75" customHeight="1" thickBot="1">
      <c r="A87" s="277"/>
      <c r="B87" s="277"/>
      <c r="C87" s="277"/>
      <c r="D87" s="277"/>
      <c r="E87" s="277"/>
      <c r="F87" s="277"/>
      <c r="G87" s="277"/>
      <c r="H87" s="277"/>
      <c r="I87" s="277"/>
      <c r="AF87" s="278"/>
      <c r="AG87" s="278"/>
    </row>
    <row r="88" spans="1:108" ht="15.75" customHeight="1" thickTop="1" thickBot="1">
      <c r="A88" s="780" t="s">
        <v>248</v>
      </c>
      <c r="B88" s="717"/>
      <c r="C88" s="717"/>
      <c r="D88" s="717"/>
      <c r="E88" s="279">
        <f t="shared" ref="E88:E89" si="0">I97+V97</f>
        <v>0</v>
      </c>
      <c r="F88" s="277"/>
      <c r="G88" s="277"/>
      <c r="H88" s="277"/>
      <c r="I88" s="277"/>
      <c r="AF88" s="280"/>
      <c r="AG88" s="280"/>
    </row>
    <row r="89" spans="1:108" ht="15.75" customHeight="1" thickTop="1" thickBot="1">
      <c r="A89" s="780" t="s">
        <v>249</v>
      </c>
      <c r="B89" s="717"/>
      <c r="C89" s="717"/>
      <c r="D89" s="717"/>
      <c r="E89" s="279">
        <f t="shared" si="0"/>
        <v>0</v>
      </c>
      <c r="F89" s="277"/>
      <c r="G89" s="277"/>
      <c r="H89" s="277"/>
      <c r="I89" s="281"/>
      <c r="AF89" s="280"/>
      <c r="AG89" s="280"/>
    </row>
    <row r="90" spans="1:108" ht="15.75" customHeight="1" thickBot="1">
      <c r="F90" s="282"/>
      <c r="G90" s="277"/>
      <c r="H90" s="277"/>
      <c r="I90" s="277"/>
      <c r="AF90" s="283"/>
      <c r="AG90" s="283"/>
    </row>
    <row r="91" spans="1:108" ht="15.75" customHeight="1" thickBot="1">
      <c r="A91" s="781" t="s">
        <v>250</v>
      </c>
      <c r="B91" s="717"/>
      <c r="C91" s="717"/>
      <c r="D91" s="782"/>
      <c r="E91" s="284">
        <f>K204+X204</f>
        <v>0</v>
      </c>
      <c r="F91" s="277"/>
      <c r="G91" s="277"/>
      <c r="H91" s="277"/>
      <c r="I91" s="277"/>
    </row>
    <row r="92" spans="1:108" ht="15.75" customHeight="1" thickBot="1">
      <c r="A92" s="781" t="s">
        <v>251</v>
      </c>
      <c r="B92" s="717"/>
      <c r="C92" s="717"/>
      <c r="D92" s="782"/>
      <c r="E92" s="285">
        <f>L204+Y204</f>
        <v>37</v>
      </c>
      <c r="F92" s="277"/>
      <c r="G92" s="277"/>
      <c r="H92" s="277"/>
      <c r="I92" s="277"/>
    </row>
    <row r="93" spans="1:108" ht="15.75" customHeight="1" thickBot="1">
      <c r="A93" s="781" t="s">
        <v>252</v>
      </c>
      <c r="B93" s="717"/>
      <c r="C93" s="717"/>
      <c r="D93" s="782"/>
      <c r="E93" s="286">
        <f>J204+W204</f>
        <v>0</v>
      </c>
    </row>
    <row r="94" spans="1:108" ht="15.75" customHeight="1"/>
    <row r="95" spans="1:108" ht="15.75" customHeight="1"/>
    <row r="96" spans="1:108" ht="15.75" customHeight="1" thickBot="1">
      <c r="A96" s="783" t="s">
        <v>253</v>
      </c>
      <c r="B96" s="730"/>
      <c r="C96" s="730"/>
      <c r="D96" s="730"/>
      <c r="E96" s="730"/>
      <c r="F96" s="730"/>
      <c r="G96" s="730"/>
      <c r="H96" s="730"/>
      <c r="I96" s="730"/>
      <c r="J96" s="730"/>
      <c r="K96" s="730"/>
      <c r="L96" s="730"/>
      <c r="M96" s="730"/>
      <c r="N96" s="730"/>
      <c r="O96" s="730"/>
      <c r="P96" s="730"/>
      <c r="Q96" s="730"/>
      <c r="R96" s="730"/>
      <c r="S96" s="730"/>
      <c r="T96" s="730"/>
      <c r="U96" s="730"/>
      <c r="V96" s="730"/>
      <c r="W96" s="730"/>
      <c r="X96" s="730"/>
      <c r="Y96" s="730"/>
      <c r="Z96" s="730"/>
      <c r="AA96" s="275"/>
    </row>
    <row r="97" spans="1:56" ht="15.75" customHeight="1" thickTop="1" thickBot="1">
      <c r="D97" s="776" t="s">
        <v>254</v>
      </c>
      <c r="E97" s="717"/>
      <c r="F97" s="717"/>
      <c r="G97" s="717"/>
      <c r="H97" s="717"/>
      <c r="I97" s="777">
        <f>COUNTIF($P$1:$Q$1,"25C")</f>
        <v>0</v>
      </c>
      <c r="J97" s="778"/>
      <c r="M97" s="22"/>
      <c r="Q97" s="776" t="s">
        <v>255</v>
      </c>
      <c r="R97" s="717"/>
      <c r="S97" s="717"/>
      <c r="T97" s="717"/>
      <c r="U97" s="717"/>
      <c r="V97" s="777">
        <f>COUNTIF($P$1:$Q$1,"25C")</f>
        <v>0</v>
      </c>
      <c r="W97" s="778"/>
      <c r="AA97" s="287"/>
      <c r="AB97" s="288"/>
      <c r="AC97" s="779" t="s">
        <v>256</v>
      </c>
      <c r="AD97" s="721"/>
      <c r="AE97" s="721"/>
      <c r="AF97" s="722"/>
      <c r="AG97" s="288"/>
      <c r="AI97" s="289"/>
      <c r="AJ97" s="290"/>
      <c r="AK97" s="290"/>
      <c r="AL97" s="290"/>
      <c r="AM97" s="290"/>
      <c r="AN97" s="290"/>
      <c r="AO97" s="290"/>
      <c r="AP97" s="290"/>
      <c r="AQ97" s="290"/>
      <c r="AR97" s="290"/>
      <c r="AS97" s="290"/>
      <c r="AT97" s="290"/>
      <c r="AU97" s="290"/>
      <c r="AV97" s="290"/>
      <c r="AW97" s="290"/>
      <c r="AX97" s="290"/>
      <c r="AY97" s="290"/>
      <c r="AZ97" s="290"/>
      <c r="BA97" s="291"/>
    </row>
    <row r="98" spans="1:56" ht="15.75" customHeight="1" thickTop="1" thickBot="1">
      <c r="D98" s="776" t="s">
        <v>257</v>
      </c>
      <c r="E98" s="717"/>
      <c r="F98" s="717"/>
      <c r="G98" s="717"/>
      <c r="H98" s="717"/>
      <c r="I98" s="777">
        <f>COUNTIF($P$1:$Q$1,"50C")</f>
        <v>0</v>
      </c>
      <c r="J98" s="778"/>
      <c r="M98" s="22"/>
      <c r="Q98" s="776" t="s">
        <v>258</v>
      </c>
      <c r="R98" s="717"/>
      <c r="S98" s="717"/>
      <c r="T98" s="717"/>
      <c r="U98" s="717"/>
      <c r="V98" s="777">
        <f>COUNTIF($P$1:$Q$1,"50C")</f>
        <v>0</v>
      </c>
      <c r="W98" s="778"/>
      <c r="AA98" s="287"/>
      <c r="AC98" s="726"/>
      <c r="AD98" s="727"/>
      <c r="AE98" s="727"/>
      <c r="AF98" s="728"/>
      <c r="AH98" s="292"/>
      <c r="AI98" s="796" t="s">
        <v>259</v>
      </c>
      <c r="AJ98" s="789"/>
      <c r="AK98" s="789"/>
      <c r="AL98" s="789"/>
      <c r="AM98" s="789"/>
      <c r="AN98" s="756"/>
      <c r="AO98" s="293" t="s">
        <v>260</v>
      </c>
      <c r="AP98" s="294"/>
      <c r="AQ98" s="292"/>
      <c r="AR98" s="795" t="s">
        <v>261</v>
      </c>
      <c r="AS98" s="789"/>
      <c r="AT98" s="789"/>
      <c r="AU98" s="789"/>
      <c r="AV98" s="789"/>
      <c r="AW98" s="756"/>
      <c r="AX98" s="293" t="s">
        <v>260</v>
      </c>
      <c r="AY98" s="294"/>
      <c r="AZ98" s="292"/>
      <c r="BA98" s="295"/>
    </row>
    <row r="99" spans="1:56" ht="15.75" customHeight="1" thickBot="1">
      <c r="A99" s="275"/>
      <c r="B99" s="275"/>
      <c r="C99" s="275"/>
      <c r="D99" s="776" t="s">
        <v>262</v>
      </c>
      <c r="E99" s="717"/>
      <c r="F99" s="717"/>
      <c r="G99" s="717"/>
      <c r="H99" s="718"/>
      <c r="I99" s="793">
        <f>G125</f>
        <v>14</v>
      </c>
      <c r="J99" s="722"/>
      <c r="K99" s="275"/>
      <c r="L99" s="46"/>
      <c r="M99" s="287"/>
      <c r="N99" s="287"/>
      <c r="O99" s="296"/>
      <c r="P99" s="296"/>
      <c r="Q99" s="794" t="s">
        <v>263</v>
      </c>
      <c r="R99" s="721"/>
      <c r="S99" s="721"/>
      <c r="T99" s="721"/>
      <c r="U99" s="722"/>
      <c r="V99" s="793">
        <f>T125</f>
        <v>14</v>
      </c>
      <c r="W99" s="722"/>
      <c r="X99" s="296"/>
      <c r="Y99" s="296"/>
      <c r="Z99" s="46"/>
      <c r="AA99" s="287"/>
      <c r="AC99" s="797" t="s">
        <v>264</v>
      </c>
      <c r="AD99" s="798"/>
      <c r="AE99" s="297" t="s">
        <v>265</v>
      </c>
      <c r="AF99" s="298" t="s">
        <v>266</v>
      </c>
      <c r="AH99" s="292"/>
      <c r="AI99" s="792" t="s">
        <v>267</v>
      </c>
      <c r="AJ99" s="789"/>
      <c r="AK99" s="789"/>
      <c r="AL99" s="789"/>
      <c r="AM99" s="756"/>
      <c r="AN99" s="137" t="s">
        <v>231</v>
      </c>
      <c r="AO99" s="299"/>
      <c r="AP99" s="300"/>
      <c r="AQ99" s="292"/>
      <c r="AR99" s="788" t="s">
        <v>268</v>
      </c>
      <c r="AS99" s="789"/>
      <c r="AT99" s="789"/>
      <c r="AU99" s="789"/>
      <c r="AV99" s="789"/>
      <c r="AW99" s="217" t="s">
        <v>269</v>
      </c>
      <c r="AX99" s="299">
        <f t="shared" ref="AX99:AX139" si="1">COUNTIF($A$1:$DD$79,AW99)</f>
        <v>0</v>
      </c>
      <c r="AY99" s="302"/>
      <c r="AZ99" s="292"/>
      <c r="BA99" s="295"/>
      <c r="BC99" s="303"/>
      <c r="BD99" s="303"/>
    </row>
    <row r="100" spans="1:56" ht="15.75" customHeight="1" thickBot="1">
      <c r="C100" s="22" t="b">
        <v>0</v>
      </c>
      <c r="D100" s="776" t="s">
        <v>270</v>
      </c>
      <c r="E100" s="717"/>
      <c r="F100" s="717"/>
      <c r="G100" s="717"/>
      <c r="H100" s="718"/>
      <c r="I100" s="793">
        <f>G149</f>
        <v>0</v>
      </c>
      <c r="J100" s="722"/>
      <c r="M100" s="22"/>
      <c r="Q100" s="794" t="s">
        <v>271</v>
      </c>
      <c r="R100" s="721"/>
      <c r="S100" s="721"/>
      <c r="T100" s="721"/>
      <c r="U100" s="722"/>
      <c r="V100" s="793">
        <f>T149</f>
        <v>0</v>
      </c>
      <c r="W100" s="722"/>
      <c r="AA100" s="22"/>
      <c r="AC100" s="795" t="s">
        <v>272</v>
      </c>
      <c r="AD100" s="789"/>
      <c r="AE100" s="789"/>
      <c r="AF100" s="789"/>
      <c r="AH100" s="292"/>
      <c r="AI100" s="792" t="s">
        <v>273</v>
      </c>
      <c r="AJ100" s="789"/>
      <c r="AK100" s="789"/>
      <c r="AL100" s="789"/>
      <c r="AM100" s="756"/>
      <c r="AN100" s="304" t="s">
        <v>274</v>
      </c>
      <c r="AO100" s="299">
        <f t="shared" ref="AO100:AO174" si="2">COUNTIF($A$1:$DD$79,AN100)</f>
        <v>0</v>
      </c>
      <c r="AP100" s="300"/>
      <c r="AQ100" s="292"/>
      <c r="AR100" s="788" t="s">
        <v>275</v>
      </c>
      <c r="AS100" s="789"/>
      <c r="AT100" s="789"/>
      <c r="AU100" s="789"/>
      <c r="AV100" s="789"/>
      <c r="AW100" s="305" t="s">
        <v>276</v>
      </c>
      <c r="AX100" s="299">
        <f t="shared" si="1"/>
        <v>0</v>
      </c>
      <c r="AY100" s="306"/>
      <c r="AZ100" s="292"/>
      <c r="BA100" s="295"/>
      <c r="BC100" s="307"/>
      <c r="BD100" s="307"/>
    </row>
    <row r="101" spans="1:56" ht="15.75" customHeight="1" thickBot="1">
      <c r="C101" s="22" t="b">
        <v>0</v>
      </c>
      <c r="D101" s="790" t="s">
        <v>277</v>
      </c>
      <c r="E101" s="717"/>
      <c r="F101" s="717"/>
      <c r="G101" s="717"/>
      <c r="H101" s="718"/>
      <c r="I101" s="791">
        <f>G204</f>
        <v>16</v>
      </c>
      <c r="J101" s="718"/>
      <c r="M101" s="22"/>
      <c r="Q101" s="790" t="s">
        <v>278</v>
      </c>
      <c r="R101" s="717"/>
      <c r="S101" s="717"/>
      <c r="T101" s="717"/>
      <c r="U101" s="718"/>
      <c r="V101" s="791">
        <f>T204</f>
        <v>22</v>
      </c>
      <c r="W101" s="718"/>
      <c r="AA101" s="22"/>
      <c r="AC101" s="308" t="s">
        <v>259</v>
      </c>
      <c r="AD101" s="309" t="s">
        <v>259</v>
      </c>
      <c r="AE101" s="310">
        <f>AO175</f>
        <v>83</v>
      </c>
      <c r="AF101" s="311" t="str">
        <f t="shared" ref="AF101:AF123" si="3">IFERROR(AE101/$J$4,"")</f>
        <v/>
      </c>
      <c r="AH101" s="292"/>
      <c r="AI101" s="792" t="s">
        <v>279</v>
      </c>
      <c r="AJ101" s="789"/>
      <c r="AK101" s="789"/>
      <c r="AL101" s="789"/>
      <c r="AM101" s="756"/>
      <c r="AN101" s="312" t="s">
        <v>280</v>
      </c>
      <c r="AO101" s="299">
        <f t="shared" si="2"/>
        <v>0</v>
      </c>
      <c r="AP101" s="300"/>
      <c r="AQ101" s="292"/>
      <c r="AR101" s="788" t="s">
        <v>281</v>
      </c>
      <c r="AS101" s="789"/>
      <c r="AT101" s="789"/>
      <c r="AU101" s="789"/>
      <c r="AV101" s="789"/>
      <c r="AW101" s="313" t="s">
        <v>282</v>
      </c>
      <c r="AX101" s="299">
        <f t="shared" si="1"/>
        <v>0</v>
      </c>
      <c r="AY101" s="306"/>
      <c r="AZ101" s="292"/>
      <c r="BA101" s="295"/>
      <c r="BC101" s="307"/>
      <c r="BD101" s="307"/>
    </row>
    <row r="102" spans="1:56" ht="15.75" customHeight="1">
      <c r="A102" s="22"/>
      <c r="B102" s="22"/>
      <c r="C102" s="22"/>
      <c r="D102" s="314"/>
      <c r="E102" s="314"/>
      <c r="F102" s="314"/>
      <c r="G102" s="314"/>
      <c r="H102" s="314"/>
      <c r="I102" s="315"/>
      <c r="J102" s="315"/>
      <c r="K102" s="22"/>
      <c r="L102" s="22"/>
      <c r="M102" s="22"/>
      <c r="N102" s="22"/>
      <c r="O102" s="22"/>
      <c r="P102" s="22"/>
      <c r="Q102" s="314"/>
      <c r="R102" s="314"/>
      <c r="S102" s="314"/>
      <c r="T102" s="314"/>
      <c r="U102" s="314"/>
      <c r="V102" s="315"/>
      <c r="W102" s="315"/>
      <c r="X102" s="22"/>
      <c r="Y102" s="22"/>
      <c r="Z102" s="22"/>
      <c r="AA102" s="22"/>
      <c r="AC102" s="308" t="s">
        <v>283</v>
      </c>
      <c r="AD102" s="316" t="s">
        <v>284</v>
      </c>
      <c r="AE102" s="310">
        <f>AX274</f>
        <v>0</v>
      </c>
      <c r="AF102" s="311" t="str">
        <f t="shared" si="3"/>
        <v/>
      </c>
      <c r="AH102" s="292"/>
      <c r="AI102" s="792" t="s">
        <v>285</v>
      </c>
      <c r="AJ102" s="789"/>
      <c r="AK102" s="789"/>
      <c r="AL102" s="789"/>
      <c r="AM102" s="756"/>
      <c r="AN102" s="317" t="s">
        <v>286</v>
      </c>
      <c r="AO102" s="299">
        <f t="shared" si="2"/>
        <v>0</v>
      </c>
      <c r="AP102" s="300"/>
      <c r="AQ102" s="292"/>
      <c r="AR102" s="788" t="s">
        <v>287</v>
      </c>
      <c r="AS102" s="789"/>
      <c r="AT102" s="789"/>
      <c r="AU102" s="789"/>
      <c r="AV102" s="789"/>
      <c r="AW102" s="318" t="s">
        <v>288</v>
      </c>
      <c r="AX102" s="299">
        <f t="shared" si="1"/>
        <v>0</v>
      </c>
      <c r="AY102" s="306"/>
      <c r="AZ102" s="292"/>
      <c r="BA102" s="295"/>
      <c r="BC102" s="319"/>
      <c r="BD102" s="319"/>
    </row>
    <row r="103" spans="1:56" ht="15.75" customHeight="1" thickBot="1">
      <c r="A103" s="800" t="s">
        <v>289</v>
      </c>
      <c r="B103" s="730"/>
      <c r="C103" s="730"/>
      <c r="D103" s="730"/>
      <c r="E103" s="730"/>
      <c r="F103" s="730"/>
      <c r="G103" s="730"/>
      <c r="H103" s="730"/>
      <c r="I103" s="754"/>
      <c r="J103" s="320" t="s">
        <v>290</v>
      </c>
      <c r="K103" s="320" t="s">
        <v>291</v>
      </c>
      <c r="L103" s="320" t="s">
        <v>292</v>
      </c>
      <c r="M103" s="22"/>
      <c r="N103" s="800" t="s">
        <v>289</v>
      </c>
      <c r="O103" s="730"/>
      <c r="P103" s="730"/>
      <c r="Q103" s="730"/>
      <c r="R103" s="730"/>
      <c r="S103" s="730"/>
      <c r="T103" s="730"/>
      <c r="U103" s="730"/>
      <c r="V103" s="754"/>
      <c r="W103" s="321" t="s">
        <v>290</v>
      </c>
      <c r="X103" s="321" t="s">
        <v>291</v>
      </c>
      <c r="Y103" s="321" t="s">
        <v>292</v>
      </c>
      <c r="Z103" s="321" t="s">
        <v>293</v>
      </c>
      <c r="AA103" s="22"/>
      <c r="AC103" s="308" t="s">
        <v>294</v>
      </c>
      <c r="AD103" s="322" t="s">
        <v>295</v>
      </c>
      <c r="AE103" s="310">
        <f>AO208</f>
        <v>10</v>
      </c>
      <c r="AF103" s="311" t="str">
        <f t="shared" si="3"/>
        <v/>
      </c>
      <c r="AH103" s="292"/>
      <c r="AI103" s="792" t="s">
        <v>296</v>
      </c>
      <c r="AJ103" s="789"/>
      <c r="AK103" s="789"/>
      <c r="AL103" s="789"/>
      <c r="AM103" s="756"/>
      <c r="AN103" s="323" t="s">
        <v>297</v>
      </c>
      <c r="AO103" s="299">
        <f t="shared" si="2"/>
        <v>0</v>
      </c>
      <c r="AP103" s="300"/>
      <c r="AQ103" s="292"/>
      <c r="AR103" s="788" t="s">
        <v>298</v>
      </c>
      <c r="AS103" s="789"/>
      <c r="AT103" s="789"/>
      <c r="AU103" s="789"/>
      <c r="AV103" s="789"/>
      <c r="AW103" s="318" t="s">
        <v>299</v>
      </c>
      <c r="AX103" s="299">
        <f t="shared" si="1"/>
        <v>0</v>
      </c>
      <c r="AY103" s="306"/>
      <c r="AZ103" s="292"/>
      <c r="BA103" s="295"/>
      <c r="BC103" s="307"/>
      <c r="BD103" s="307"/>
    </row>
    <row r="104" spans="1:56" ht="15.75" customHeight="1" thickBot="1">
      <c r="A104" s="788" t="s">
        <v>70</v>
      </c>
      <c r="B104" s="789"/>
      <c r="C104" s="756"/>
      <c r="D104" s="324" t="s">
        <v>25</v>
      </c>
      <c r="E104" s="325"/>
      <c r="F104" s="326" t="s">
        <v>69</v>
      </c>
      <c r="G104" s="799">
        <f>COUNTIF($A$1:$AJ$77,F104)</f>
        <v>0</v>
      </c>
      <c r="H104" s="789"/>
      <c r="I104" s="756"/>
      <c r="J104" s="327"/>
      <c r="K104" s="328"/>
      <c r="L104" s="329">
        <f t="shared" ref="L104:L124" si="4">G104-K104-J104</f>
        <v>0</v>
      </c>
      <c r="M104" s="22"/>
      <c r="N104" s="788" t="s">
        <v>70</v>
      </c>
      <c r="O104" s="789"/>
      <c r="P104" s="756"/>
      <c r="Q104" s="324" t="s">
        <v>25</v>
      </c>
      <c r="R104" s="325"/>
      <c r="S104" s="326" t="s">
        <v>69</v>
      </c>
      <c r="T104" s="799">
        <f>COUNTIF($AM$2:$DD$79,S104)</f>
        <v>0</v>
      </c>
      <c r="U104" s="789"/>
      <c r="V104" s="756"/>
      <c r="W104" s="327"/>
      <c r="X104" s="328"/>
      <c r="Y104" s="329">
        <f t="shared" ref="Y104:Y124" si="5">T104-X104-W104</f>
        <v>0</v>
      </c>
      <c r="Z104" s="330">
        <f t="shared" ref="Z104:Z125" si="6">T104+G104</f>
        <v>0</v>
      </c>
      <c r="AA104" s="22"/>
      <c r="AC104" s="308" t="s">
        <v>300</v>
      </c>
      <c r="AD104" s="331" t="s">
        <v>301</v>
      </c>
      <c r="AE104" s="310">
        <f>AX250</f>
        <v>0</v>
      </c>
      <c r="AF104" s="311" t="str">
        <f t="shared" si="3"/>
        <v/>
      </c>
      <c r="AH104" s="292"/>
      <c r="AI104" s="792" t="s">
        <v>302</v>
      </c>
      <c r="AJ104" s="789"/>
      <c r="AK104" s="789"/>
      <c r="AL104" s="789"/>
      <c r="AM104" s="756"/>
      <c r="AN104" s="293" t="s">
        <v>303</v>
      </c>
      <c r="AO104" s="299">
        <f t="shared" si="2"/>
        <v>0</v>
      </c>
      <c r="AP104" s="300"/>
      <c r="AQ104" s="292"/>
      <c r="AR104" s="788" t="s">
        <v>304</v>
      </c>
      <c r="AS104" s="789"/>
      <c r="AT104" s="789"/>
      <c r="AU104" s="789"/>
      <c r="AV104" s="789"/>
      <c r="AW104" s="332" t="s">
        <v>305</v>
      </c>
      <c r="AX104" s="299">
        <f t="shared" si="1"/>
        <v>0</v>
      </c>
      <c r="AY104" s="306"/>
      <c r="AZ104" s="292"/>
      <c r="BA104" s="295"/>
      <c r="BC104" s="307"/>
      <c r="BD104" s="307"/>
    </row>
    <row r="105" spans="1:56" ht="15.75" customHeight="1" thickBot="1">
      <c r="A105" s="788" t="s">
        <v>28</v>
      </c>
      <c r="B105" s="789"/>
      <c r="C105" s="756"/>
      <c r="D105" s="324"/>
      <c r="E105" s="325" t="s">
        <v>306</v>
      </c>
      <c r="F105" s="333" t="s">
        <v>25</v>
      </c>
      <c r="G105" s="799">
        <f t="shared" ref="G105:G124" si="7">COUNTIF($A$1:$AJ$77,F105)</f>
        <v>4</v>
      </c>
      <c r="H105" s="789"/>
      <c r="I105" s="756"/>
      <c r="J105" s="327"/>
      <c r="K105" s="328"/>
      <c r="L105" s="329">
        <f t="shared" si="4"/>
        <v>4</v>
      </c>
      <c r="M105" s="22"/>
      <c r="N105" s="788" t="s">
        <v>28</v>
      </c>
      <c r="O105" s="789"/>
      <c r="P105" s="756"/>
      <c r="Q105" s="324"/>
      <c r="R105" s="325" t="s">
        <v>306</v>
      </c>
      <c r="S105" s="333" t="s">
        <v>25</v>
      </c>
      <c r="T105" s="799">
        <f t="shared" ref="T105:T124" si="8">COUNTIF($AM$2:$DD$79,S105)</f>
        <v>2</v>
      </c>
      <c r="U105" s="789"/>
      <c r="V105" s="756"/>
      <c r="W105" s="327"/>
      <c r="X105" s="328"/>
      <c r="Y105" s="329">
        <f t="shared" si="5"/>
        <v>2</v>
      </c>
      <c r="Z105" s="330">
        <f t="shared" si="6"/>
        <v>6</v>
      </c>
      <c r="AA105" s="22"/>
      <c r="AC105" s="308" t="s">
        <v>307</v>
      </c>
      <c r="AD105" s="334" t="s">
        <v>307</v>
      </c>
      <c r="AE105" s="310">
        <f>AX196</f>
        <v>18</v>
      </c>
      <c r="AF105" s="311" t="str">
        <f t="shared" si="3"/>
        <v/>
      </c>
      <c r="AH105" s="292"/>
      <c r="AI105" s="792" t="s">
        <v>308</v>
      </c>
      <c r="AJ105" s="789"/>
      <c r="AK105" s="789"/>
      <c r="AL105" s="789"/>
      <c r="AM105" s="756"/>
      <c r="AN105" s="25" t="s">
        <v>309</v>
      </c>
      <c r="AO105" s="299">
        <f t="shared" si="2"/>
        <v>0</v>
      </c>
      <c r="AP105" s="300"/>
      <c r="AQ105" s="292"/>
      <c r="AR105" s="788" t="s">
        <v>310</v>
      </c>
      <c r="AS105" s="789"/>
      <c r="AT105" s="789"/>
      <c r="AU105" s="789"/>
      <c r="AV105" s="789"/>
      <c r="AW105" s="335" t="s">
        <v>311</v>
      </c>
      <c r="AX105" s="299">
        <f t="shared" si="1"/>
        <v>0</v>
      </c>
      <c r="AY105" s="306"/>
      <c r="AZ105" s="292"/>
      <c r="BA105" s="295"/>
      <c r="BC105" s="307"/>
      <c r="BD105" s="307"/>
    </row>
    <row r="106" spans="1:56" ht="15.75" customHeight="1" thickBot="1">
      <c r="A106" s="788" t="s">
        <v>22</v>
      </c>
      <c r="B106" s="789"/>
      <c r="C106" s="756"/>
      <c r="D106" s="324"/>
      <c r="E106" s="325" t="s">
        <v>306</v>
      </c>
      <c r="F106" s="336" t="s">
        <v>71</v>
      </c>
      <c r="G106" s="799">
        <f t="shared" si="7"/>
        <v>3</v>
      </c>
      <c r="H106" s="789"/>
      <c r="I106" s="756"/>
      <c r="J106" s="327"/>
      <c r="K106" s="328"/>
      <c r="L106" s="329">
        <f t="shared" si="4"/>
        <v>3</v>
      </c>
      <c r="M106" s="22"/>
      <c r="N106" s="788" t="s">
        <v>22</v>
      </c>
      <c r="O106" s="789"/>
      <c r="P106" s="756"/>
      <c r="Q106" s="324"/>
      <c r="R106" s="325" t="s">
        <v>306</v>
      </c>
      <c r="S106" s="336" t="s">
        <v>71</v>
      </c>
      <c r="T106" s="799">
        <f t="shared" si="8"/>
        <v>4</v>
      </c>
      <c r="U106" s="789"/>
      <c r="V106" s="756"/>
      <c r="W106" s="327"/>
      <c r="X106" s="328"/>
      <c r="Y106" s="329">
        <f t="shared" si="5"/>
        <v>4</v>
      </c>
      <c r="Z106" s="330">
        <f t="shared" si="6"/>
        <v>7</v>
      </c>
      <c r="AA106" s="22"/>
      <c r="AC106" s="308" t="s">
        <v>312</v>
      </c>
      <c r="AD106" s="337" t="s">
        <v>312</v>
      </c>
      <c r="AE106" s="310">
        <f>AO214</f>
        <v>0</v>
      </c>
      <c r="AF106" s="311" t="str">
        <f t="shared" si="3"/>
        <v/>
      </c>
      <c r="AH106" s="292"/>
      <c r="AI106" s="792" t="s">
        <v>313</v>
      </c>
      <c r="AJ106" s="789"/>
      <c r="AK106" s="789"/>
      <c r="AL106" s="789"/>
      <c r="AM106" s="756"/>
      <c r="AN106" s="25" t="s">
        <v>314</v>
      </c>
      <c r="AO106" s="299">
        <f t="shared" si="2"/>
        <v>0</v>
      </c>
      <c r="AP106" s="300"/>
      <c r="AQ106" s="292"/>
      <c r="AR106" s="788" t="s">
        <v>315</v>
      </c>
      <c r="AS106" s="789"/>
      <c r="AT106" s="789"/>
      <c r="AU106" s="789"/>
      <c r="AV106" s="789"/>
      <c r="AW106" s="338" t="s">
        <v>316</v>
      </c>
      <c r="AX106" s="299">
        <f t="shared" si="1"/>
        <v>0</v>
      </c>
      <c r="AY106" s="306"/>
      <c r="AZ106" s="292"/>
      <c r="BA106" s="295"/>
      <c r="BC106" s="319"/>
      <c r="BD106" s="319"/>
    </row>
    <row r="107" spans="1:56" ht="15.75" customHeight="1" thickBot="1">
      <c r="A107" s="788" t="s">
        <v>73</v>
      </c>
      <c r="B107" s="789"/>
      <c r="C107" s="756"/>
      <c r="D107" s="324" t="s">
        <v>317</v>
      </c>
      <c r="E107" s="325" t="s">
        <v>306</v>
      </c>
      <c r="F107" s="339" t="s">
        <v>72</v>
      </c>
      <c r="G107" s="799">
        <f t="shared" si="7"/>
        <v>0</v>
      </c>
      <c r="H107" s="789"/>
      <c r="I107" s="756"/>
      <c r="J107" s="327"/>
      <c r="K107" s="328"/>
      <c r="L107" s="329">
        <f t="shared" si="4"/>
        <v>0</v>
      </c>
      <c r="M107" s="22"/>
      <c r="N107" s="788" t="s">
        <v>73</v>
      </c>
      <c r="O107" s="789"/>
      <c r="P107" s="756"/>
      <c r="Q107" s="324" t="s">
        <v>317</v>
      </c>
      <c r="R107" s="325" t="s">
        <v>306</v>
      </c>
      <c r="S107" s="339" t="s">
        <v>72</v>
      </c>
      <c r="T107" s="799">
        <f t="shared" si="8"/>
        <v>0</v>
      </c>
      <c r="U107" s="789"/>
      <c r="V107" s="756"/>
      <c r="W107" s="327"/>
      <c r="X107" s="328"/>
      <c r="Y107" s="329">
        <f t="shared" si="5"/>
        <v>0</v>
      </c>
      <c r="Z107" s="330">
        <f t="shared" si="6"/>
        <v>0</v>
      </c>
      <c r="AA107" s="22"/>
      <c r="AC107" s="308" t="s">
        <v>318</v>
      </c>
      <c r="AD107" s="340" t="s">
        <v>319</v>
      </c>
      <c r="AE107" s="310">
        <f>AO225</f>
        <v>0</v>
      </c>
      <c r="AF107" s="311" t="str">
        <f t="shared" si="3"/>
        <v/>
      </c>
      <c r="AH107" s="292"/>
      <c r="AI107" s="792" t="s">
        <v>320</v>
      </c>
      <c r="AJ107" s="789"/>
      <c r="AK107" s="789"/>
      <c r="AL107" s="789"/>
      <c r="AM107" s="756"/>
      <c r="AN107" s="36" t="s">
        <v>135</v>
      </c>
      <c r="AO107" s="299">
        <f t="shared" si="2"/>
        <v>5</v>
      </c>
      <c r="AP107" s="300"/>
      <c r="AQ107" s="292"/>
      <c r="AR107" s="788" t="s">
        <v>321</v>
      </c>
      <c r="AS107" s="789"/>
      <c r="AT107" s="789"/>
      <c r="AU107" s="789"/>
      <c r="AV107" s="789"/>
      <c r="AW107" s="341" t="s">
        <v>322</v>
      </c>
      <c r="AX107" s="299">
        <f t="shared" si="1"/>
        <v>0</v>
      </c>
      <c r="AY107" s="306"/>
      <c r="AZ107" s="292"/>
      <c r="BA107" s="295"/>
    </row>
    <row r="108" spans="1:56" ht="15.75" customHeight="1" thickBot="1">
      <c r="A108" s="788" t="s">
        <v>45</v>
      </c>
      <c r="B108" s="789"/>
      <c r="C108" s="756"/>
      <c r="D108" s="324"/>
      <c r="E108" s="325" t="s">
        <v>306</v>
      </c>
      <c r="F108" s="342" t="s">
        <v>46</v>
      </c>
      <c r="G108" s="799">
        <f t="shared" si="7"/>
        <v>1</v>
      </c>
      <c r="H108" s="789"/>
      <c r="I108" s="756"/>
      <c r="J108" s="327"/>
      <c r="K108" s="328"/>
      <c r="L108" s="329">
        <f t="shared" si="4"/>
        <v>1</v>
      </c>
      <c r="M108" s="22"/>
      <c r="N108" s="788" t="s">
        <v>45</v>
      </c>
      <c r="O108" s="789"/>
      <c r="P108" s="756"/>
      <c r="Q108" s="324"/>
      <c r="R108" s="325" t="s">
        <v>306</v>
      </c>
      <c r="S108" s="342" t="s">
        <v>46</v>
      </c>
      <c r="T108" s="799">
        <f t="shared" si="8"/>
        <v>2</v>
      </c>
      <c r="U108" s="789"/>
      <c r="V108" s="756"/>
      <c r="W108" s="327"/>
      <c r="X108" s="328"/>
      <c r="Y108" s="329">
        <f t="shared" si="5"/>
        <v>2</v>
      </c>
      <c r="Z108" s="330">
        <f t="shared" si="6"/>
        <v>3</v>
      </c>
      <c r="AA108" s="22" t="b">
        <f t="shared" ref="AA108:AA109" si="9">IFERROR(T109&gt;0.5,FALSE)</f>
        <v>0</v>
      </c>
      <c r="AC108" s="308" t="s">
        <v>323</v>
      </c>
      <c r="AD108" s="343" t="s">
        <v>324</v>
      </c>
      <c r="AE108" s="310">
        <f>AO281</f>
        <v>0</v>
      </c>
      <c r="AF108" s="311" t="str">
        <f t="shared" si="3"/>
        <v/>
      </c>
      <c r="AH108" s="292"/>
      <c r="AI108" s="792" t="s">
        <v>325</v>
      </c>
      <c r="AJ108" s="789"/>
      <c r="AK108" s="789"/>
      <c r="AL108" s="789"/>
      <c r="AM108" s="756"/>
      <c r="AN108" s="107" t="s">
        <v>326</v>
      </c>
      <c r="AO108" s="299">
        <f t="shared" si="2"/>
        <v>0</v>
      </c>
      <c r="AP108" s="300"/>
      <c r="AQ108" s="292"/>
      <c r="AR108" s="788" t="s">
        <v>327</v>
      </c>
      <c r="AS108" s="789"/>
      <c r="AT108" s="789"/>
      <c r="AU108" s="789"/>
      <c r="AV108" s="789"/>
      <c r="AW108" s="344" t="s">
        <v>328</v>
      </c>
      <c r="AX108" s="299">
        <f t="shared" si="1"/>
        <v>0</v>
      </c>
      <c r="AY108" s="306"/>
      <c r="AZ108" s="292"/>
      <c r="BA108" s="295"/>
    </row>
    <row r="109" spans="1:56" ht="15.75" customHeight="1" thickBot="1">
      <c r="A109" s="788" t="s">
        <v>75</v>
      </c>
      <c r="B109" s="789"/>
      <c r="C109" s="756"/>
      <c r="D109" s="324" t="s">
        <v>329</v>
      </c>
      <c r="E109" s="325" t="s">
        <v>306</v>
      </c>
      <c r="F109" s="345" t="s">
        <v>74</v>
      </c>
      <c r="G109" s="799">
        <f t="shared" si="7"/>
        <v>0</v>
      </c>
      <c r="H109" s="789"/>
      <c r="I109" s="756"/>
      <c r="J109" s="327"/>
      <c r="K109" s="346"/>
      <c r="L109" s="329">
        <f t="shared" si="4"/>
        <v>0</v>
      </c>
      <c r="M109" s="22"/>
      <c r="N109" s="788" t="s">
        <v>75</v>
      </c>
      <c r="O109" s="789"/>
      <c r="P109" s="756"/>
      <c r="Q109" s="324" t="s">
        <v>329</v>
      </c>
      <c r="R109" s="325" t="s">
        <v>306</v>
      </c>
      <c r="S109" s="345" t="s">
        <v>74</v>
      </c>
      <c r="T109" s="799">
        <f t="shared" si="8"/>
        <v>0</v>
      </c>
      <c r="U109" s="789"/>
      <c r="V109" s="756"/>
      <c r="W109" s="327"/>
      <c r="X109" s="346"/>
      <c r="Y109" s="329">
        <f t="shared" si="5"/>
        <v>0</v>
      </c>
      <c r="Z109" s="330">
        <f t="shared" si="6"/>
        <v>0</v>
      </c>
      <c r="AA109" s="22" t="b">
        <f t="shared" si="9"/>
        <v>1</v>
      </c>
      <c r="AC109" s="308" t="s">
        <v>330</v>
      </c>
      <c r="AD109" s="347" t="s">
        <v>331</v>
      </c>
      <c r="AE109" s="310">
        <f>AO245</f>
        <v>0</v>
      </c>
      <c r="AF109" s="311" t="str">
        <f t="shared" si="3"/>
        <v/>
      </c>
      <c r="AH109" s="292"/>
      <c r="AI109" s="792" t="s">
        <v>332</v>
      </c>
      <c r="AJ109" s="789"/>
      <c r="AK109" s="789"/>
      <c r="AL109" s="789"/>
      <c r="AM109" s="756"/>
      <c r="AN109" s="312" t="s">
        <v>333</v>
      </c>
      <c r="AO109" s="299">
        <f t="shared" si="2"/>
        <v>0</v>
      </c>
      <c r="AP109" s="300"/>
      <c r="AQ109" s="292"/>
      <c r="AR109" s="788" t="s">
        <v>334</v>
      </c>
      <c r="AS109" s="789"/>
      <c r="AT109" s="789"/>
      <c r="AU109" s="789"/>
      <c r="AV109" s="789"/>
      <c r="AW109" s="348" t="s">
        <v>335</v>
      </c>
      <c r="AX109" s="299">
        <f t="shared" si="1"/>
        <v>0</v>
      </c>
      <c r="AY109" s="306"/>
      <c r="AZ109" s="292"/>
      <c r="BA109" s="295"/>
    </row>
    <row r="110" spans="1:56" ht="15.75" customHeight="1" thickBot="1">
      <c r="A110" s="788" t="s">
        <v>8</v>
      </c>
      <c r="B110" s="789"/>
      <c r="C110" s="756"/>
      <c r="D110" s="324"/>
      <c r="E110" s="325" t="s">
        <v>306</v>
      </c>
      <c r="F110" s="349" t="s">
        <v>9</v>
      </c>
      <c r="G110" s="799">
        <f t="shared" si="7"/>
        <v>1</v>
      </c>
      <c r="H110" s="789"/>
      <c r="I110" s="756"/>
      <c r="J110" s="327"/>
      <c r="K110" s="346"/>
      <c r="L110" s="329">
        <f t="shared" si="4"/>
        <v>1</v>
      </c>
      <c r="M110" s="22"/>
      <c r="N110" s="788" t="s">
        <v>8</v>
      </c>
      <c r="O110" s="789"/>
      <c r="P110" s="756"/>
      <c r="Q110" s="324"/>
      <c r="R110" s="325" t="s">
        <v>306</v>
      </c>
      <c r="S110" s="349" t="s">
        <v>9</v>
      </c>
      <c r="T110" s="799">
        <f t="shared" si="8"/>
        <v>2</v>
      </c>
      <c r="U110" s="789"/>
      <c r="V110" s="756"/>
      <c r="W110" s="327"/>
      <c r="X110" s="346"/>
      <c r="Y110" s="329">
        <f t="shared" si="5"/>
        <v>2</v>
      </c>
      <c r="Z110" s="330">
        <f t="shared" si="6"/>
        <v>3</v>
      </c>
      <c r="AA110" s="22"/>
      <c r="AC110" s="308" t="s">
        <v>336</v>
      </c>
      <c r="AD110" s="350" t="s">
        <v>57</v>
      </c>
      <c r="AE110" s="310">
        <f>AX237</f>
        <v>0</v>
      </c>
      <c r="AF110" s="311" t="str">
        <f t="shared" si="3"/>
        <v/>
      </c>
      <c r="AH110" s="292"/>
      <c r="AI110" s="792" t="s">
        <v>337</v>
      </c>
      <c r="AJ110" s="789"/>
      <c r="AK110" s="789"/>
      <c r="AL110" s="789"/>
      <c r="AM110" s="756"/>
      <c r="AN110" s="155" t="s">
        <v>338</v>
      </c>
      <c r="AO110" s="299">
        <f t="shared" si="2"/>
        <v>0</v>
      </c>
      <c r="AP110" s="300"/>
      <c r="AQ110" s="292"/>
      <c r="AR110" s="788" t="s">
        <v>339</v>
      </c>
      <c r="AS110" s="789"/>
      <c r="AT110" s="789"/>
      <c r="AU110" s="789"/>
      <c r="AV110" s="789"/>
      <c r="AW110" s="351" t="s">
        <v>340</v>
      </c>
      <c r="AX110" s="299">
        <f t="shared" si="1"/>
        <v>0</v>
      </c>
      <c r="AY110" s="306"/>
      <c r="AZ110" s="292"/>
      <c r="BA110" s="295"/>
    </row>
    <row r="111" spans="1:56" ht="15.75" customHeight="1" thickBot="1">
      <c r="A111" s="788" t="s">
        <v>15</v>
      </c>
      <c r="B111" s="789"/>
      <c r="C111" s="756"/>
      <c r="D111" s="324"/>
      <c r="E111" s="325"/>
      <c r="F111" s="352" t="s">
        <v>14</v>
      </c>
      <c r="G111" s="799">
        <f t="shared" si="7"/>
        <v>0</v>
      </c>
      <c r="H111" s="789"/>
      <c r="I111" s="756"/>
      <c r="J111" s="327"/>
      <c r="K111" s="328"/>
      <c r="L111" s="329">
        <f t="shared" si="4"/>
        <v>0</v>
      </c>
      <c r="M111" s="22"/>
      <c r="N111" s="788" t="s">
        <v>15</v>
      </c>
      <c r="O111" s="789"/>
      <c r="P111" s="756"/>
      <c r="Q111" s="324"/>
      <c r="R111" s="325"/>
      <c r="S111" s="352" t="s">
        <v>14</v>
      </c>
      <c r="T111" s="799">
        <f t="shared" si="8"/>
        <v>0</v>
      </c>
      <c r="U111" s="789"/>
      <c r="V111" s="756"/>
      <c r="W111" s="327"/>
      <c r="X111" s="328"/>
      <c r="Y111" s="329">
        <f t="shared" si="5"/>
        <v>0</v>
      </c>
      <c r="Z111" s="330">
        <f t="shared" si="6"/>
        <v>0</v>
      </c>
      <c r="AA111" s="22"/>
      <c r="AC111" s="308" t="s">
        <v>341</v>
      </c>
      <c r="AD111" s="353" t="s">
        <v>341</v>
      </c>
      <c r="AE111" s="310">
        <f>AX242</f>
        <v>0</v>
      </c>
      <c r="AF111" s="311" t="str">
        <f t="shared" si="3"/>
        <v/>
      </c>
      <c r="AH111" s="292"/>
      <c r="AI111" s="792" t="s">
        <v>342</v>
      </c>
      <c r="AJ111" s="789"/>
      <c r="AK111" s="789"/>
      <c r="AL111" s="789"/>
      <c r="AM111" s="756"/>
      <c r="AN111" s="155" t="s">
        <v>182</v>
      </c>
      <c r="AO111" s="299">
        <f t="shared" si="2"/>
        <v>1</v>
      </c>
      <c r="AP111" s="300"/>
      <c r="AQ111" s="292"/>
      <c r="AR111" s="788" t="s">
        <v>343</v>
      </c>
      <c r="AS111" s="789"/>
      <c r="AT111" s="789"/>
      <c r="AU111" s="789"/>
      <c r="AV111" s="789"/>
      <c r="AW111" s="354" t="s">
        <v>344</v>
      </c>
      <c r="AX111" s="299">
        <f t="shared" si="1"/>
        <v>0</v>
      </c>
      <c r="AY111" s="306"/>
      <c r="AZ111" s="292"/>
      <c r="BA111" s="295"/>
    </row>
    <row r="112" spans="1:56" ht="15.75" customHeight="1" thickBot="1">
      <c r="A112" s="788" t="s">
        <v>29</v>
      </c>
      <c r="B112" s="789"/>
      <c r="C112" s="756"/>
      <c r="D112" s="324"/>
      <c r="E112" s="325"/>
      <c r="F112" s="355" t="s">
        <v>26</v>
      </c>
      <c r="G112" s="799">
        <f t="shared" si="7"/>
        <v>3</v>
      </c>
      <c r="H112" s="789"/>
      <c r="I112" s="756"/>
      <c r="J112" s="327"/>
      <c r="K112" s="346"/>
      <c r="L112" s="329">
        <f t="shared" si="4"/>
        <v>3</v>
      </c>
      <c r="M112" s="22"/>
      <c r="N112" s="788" t="s">
        <v>29</v>
      </c>
      <c r="O112" s="789"/>
      <c r="P112" s="756"/>
      <c r="Q112" s="324"/>
      <c r="R112" s="325"/>
      <c r="S112" s="355" t="s">
        <v>26</v>
      </c>
      <c r="T112" s="799">
        <f t="shared" si="8"/>
        <v>1</v>
      </c>
      <c r="U112" s="789"/>
      <c r="V112" s="756"/>
      <c r="W112" s="327"/>
      <c r="X112" s="346"/>
      <c r="Y112" s="329">
        <f t="shared" si="5"/>
        <v>1</v>
      </c>
      <c r="Z112" s="330">
        <f t="shared" si="6"/>
        <v>4</v>
      </c>
      <c r="AA112" s="22"/>
      <c r="AC112" s="356" t="s">
        <v>345</v>
      </c>
      <c r="AD112" s="357" t="s">
        <v>346</v>
      </c>
      <c r="AE112" s="310">
        <f>AX255</f>
        <v>0</v>
      </c>
      <c r="AF112" s="311" t="str">
        <f t="shared" si="3"/>
        <v/>
      </c>
      <c r="AH112" s="292"/>
      <c r="AI112" s="792" t="s">
        <v>347</v>
      </c>
      <c r="AJ112" s="789"/>
      <c r="AK112" s="789"/>
      <c r="AL112" s="789"/>
      <c r="AM112" s="756"/>
      <c r="AN112" s="358" t="s">
        <v>348</v>
      </c>
      <c r="AO112" s="299">
        <f t="shared" si="2"/>
        <v>0</v>
      </c>
      <c r="AP112" s="300"/>
      <c r="AQ112" s="292"/>
      <c r="AR112" s="788" t="s">
        <v>349</v>
      </c>
      <c r="AS112" s="789"/>
      <c r="AT112" s="789"/>
      <c r="AU112" s="789"/>
      <c r="AV112" s="789"/>
      <c r="AW112" s="293" t="s">
        <v>350</v>
      </c>
      <c r="AX112" s="299">
        <f t="shared" si="1"/>
        <v>0</v>
      </c>
      <c r="AY112" s="306"/>
      <c r="AZ112" s="292"/>
      <c r="BA112" s="295"/>
    </row>
    <row r="113" spans="1:56" ht="15.75" customHeight="1">
      <c r="A113" s="788" t="s">
        <v>77</v>
      </c>
      <c r="B113" s="789"/>
      <c r="C113" s="756"/>
      <c r="D113" s="324"/>
      <c r="E113" s="325" t="s">
        <v>306</v>
      </c>
      <c r="F113" s="359" t="s">
        <v>76</v>
      </c>
      <c r="G113" s="799">
        <f t="shared" si="7"/>
        <v>0</v>
      </c>
      <c r="H113" s="789"/>
      <c r="I113" s="756"/>
      <c r="J113" s="327"/>
      <c r="K113" s="328"/>
      <c r="L113" s="329">
        <f t="shared" si="4"/>
        <v>0</v>
      </c>
      <c r="M113" s="22"/>
      <c r="N113" s="788" t="s">
        <v>77</v>
      </c>
      <c r="O113" s="789"/>
      <c r="P113" s="756"/>
      <c r="Q113" s="324"/>
      <c r="R113" s="325" t="s">
        <v>306</v>
      </c>
      <c r="S113" s="359" t="s">
        <v>76</v>
      </c>
      <c r="T113" s="799">
        <f t="shared" si="8"/>
        <v>0</v>
      </c>
      <c r="U113" s="789"/>
      <c r="V113" s="756"/>
      <c r="W113" s="327"/>
      <c r="X113" s="328"/>
      <c r="Y113" s="329">
        <f t="shared" si="5"/>
        <v>0</v>
      </c>
      <c r="Z113" s="330">
        <f t="shared" si="6"/>
        <v>0</v>
      </c>
      <c r="AA113" s="22"/>
      <c r="AC113" s="356" t="s">
        <v>351</v>
      </c>
      <c r="AD113" s="360" t="s">
        <v>352</v>
      </c>
      <c r="AE113" s="310" t="s">
        <v>353</v>
      </c>
      <c r="AF113" s="311" t="str">
        <f t="shared" si="3"/>
        <v/>
      </c>
      <c r="AH113" s="292"/>
      <c r="AI113" s="792" t="s">
        <v>354</v>
      </c>
      <c r="AJ113" s="789"/>
      <c r="AK113" s="789"/>
      <c r="AL113" s="789"/>
      <c r="AM113" s="756"/>
      <c r="AN113" s="293" t="s">
        <v>355</v>
      </c>
      <c r="AO113" s="299">
        <f t="shared" si="2"/>
        <v>0</v>
      </c>
      <c r="AP113" s="300"/>
      <c r="AQ113" s="292"/>
      <c r="AR113" s="788" t="s">
        <v>356</v>
      </c>
      <c r="AS113" s="789"/>
      <c r="AT113" s="789"/>
      <c r="AU113" s="789"/>
      <c r="AV113" s="789"/>
      <c r="AW113" s="137" t="s">
        <v>357</v>
      </c>
      <c r="AX113" s="299">
        <f t="shared" si="1"/>
        <v>0</v>
      </c>
      <c r="AY113" s="306"/>
      <c r="AZ113" s="292"/>
      <c r="BA113" s="295"/>
    </row>
    <row r="114" spans="1:56" ht="15.75" customHeight="1" thickBot="1">
      <c r="A114" s="788" t="s">
        <v>79</v>
      </c>
      <c r="B114" s="789"/>
      <c r="C114" s="756"/>
      <c r="D114" s="324"/>
      <c r="E114" s="325" t="s">
        <v>306</v>
      </c>
      <c r="F114" s="361" t="s">
        <v>78</v>
      </c>
      <c r="G114" s="799">
        <f t="shared" si="7"/>
        <v>0</v>
      </c>
      <c r="H114" s="789"/>
      <c r="I114" s="756"/>
      <c r="J114" s="327"/>
      <c r="K114" s="328"/>
      <c r="L114" s="329">
        <f t="shared" si="4"/>
        <v>0</v>
      </c>
      <c r="M114" s="22"/>
      <c r="N114" s="788" t="s">
        <v>79</v>
      </c>
      <c r="O114" s="789"/>
      <c r="P114" s="756"/>
      <c r="Q114" s="324"/>
      <c r="R114" s="325" t="s">
        <v>306</v>
      </c>
      <c r="S114" s="361" t="s">
        <v>78</v>
      </c>
      <c r="T114" s="799">
        <f t="shared" si="8"/>
        <v>0</v>
      </c>
      <c r="U114" s="789"/>
      <c r="V114" s="756"/>
      <c r="W114" s="327"/>
      <c r="X114" s="328"/>
      <c r="Y114" s="329">
        <f t="shared" si="5"/>
        <v>0</v>
      </c>
      <c r="Z114" s="330">
        <f t="shared" si="6"/>
        <v>0</v>
      </c>
      <c r="AA114" s="22"/>
      <c r="AC114" s="356" t="s">
        <v>358</v>
      </c>
      <c r="AD114" s="362" t="s">
        <v>359</v>
      </c>
      <c r="AE114" s="310">
        <f>AX259</f>
        <v>0</v>
      </c>
      <c r="AF114" s="311" t="str">
        <f t="shared" si="3"/>
        <v/>
      </c>
      <c r="AH114" s="292"/>
      <c r="AI114" s="792" t="s">
        <v>360</v>
      </c>
      <c r="AJ114" s="789"/>
      <c r="AK114" s="789"/>
      <c r="AL114" s="789"/>
      <c r="AM114" s="756"/>
      <c r="AN114" s="312" t="s">
        <v>361</v>
      </c>
      <c r="AO114" s="299">
        <f t="shared" si="2"/>
        <v>0</v>
      </c>
      <c r="AP114" s="300"/>
      <c r="AQ114" s="292"/>
      <c r="AR114" s="788" t="s">
        <v>362</v>
      </c>
      <c r="AS114" s="789"/>
      <c r="AT114" s="789"/>
      <c r="AU114" s="789"/>
      <c r="AV114" s="789"/>
      <c r="AW114" s="363" t="s">
        <v>363</v>
      </c>
      <c r="AX114" s="299">
        <f t="shared" si="1"/>
        <v>0</v>
      </c>
      <c r="AY114" s="306"/>
      <c r="AZ114" s="292"/>
      <c r="BA114" s="295"/>
    </row>
    <row r="115" spans="1:56" ht="15.75" customHeight="1" thickBot="1">
      <c r="A115" s="788" t="s">
        <v>80</v>
      </c>
      <c r="B115" s="789"/>
      <c r="C115" s="756"/>
      <c r="D115" s="324"/>
      <c r="E115" s="325"/>
      <c r="F115" s="364" t="s">
        <v>115</v>
      </c>
      <c r="G115" s="799">
        <f t="shared" si="7"/>
        <v>0</v>
      </c>
      <c r="H115" s="789"/>
      <c r="I115" s="756"/>
      <c r="J115" s="327"/>
      <c r="K115" s="328"/>
      <c r="L115" s="329">
        <f t="shared" si="4"/>
        <v>0</v>
      </c>
      <c r="M115" s="22"/>
      <c r="N115" s="788" t="s">
        <v>80</v>
      </c>
      <c r="O115" s="789"/>
      <c r="P115" s="756"/>
      <c r="Q115" s="324"/>
      <c r="R115" s="325"/>
      <c r="S115" s="364" t="s">
        <v>115</v>
      </c>
      <c r="T115" s="799">
        <f t="shared" si="8"/>
        <v>0</v>
      </c>
      <c r="U115" s="789"/>
      <c r="V115" s="756"/>
      <c r="W115" s="327"/>
      <c r="X115" s="328"/>
      <c r="Y115" s="329">
        <f t="shared" si="5"/>
        <v>0</v>
      </c>
      <c r="Z115" s="330">
        <f t="shared" si="6"/>
        <v>0</v>
      </c>
      <c r="AA115" s="22"/>
      <c r="AC115" s="356" t="s">
        <v>364</v>
      </c>
      <c r="AD115" s="365" t="s">
        <v>365</v>
      </c>
      <c r="AE115" s="310">
        <f>AO263</f>
        <v>0</v>
      </c>
      <c r="AF115" s="311" t="str">
        <f t="shared" si="3"/>
        <v/>
      </c>
      <c r="AH115" s="292"/>
      <c r="AI115" s="792" t="s">
        <v>366</v>
      </c>
      <c r="AJ115" s="789"/>
      <c r="AK115" s="789"/>
      <c r="AL115" s="789"/>
      <c r="AM115" s="756"/>
      <c r="AN115" s="366" t="s">
        <v>367</v>
      </c>
      <c r="AO115" s="299">
        <f t="shared" si="2"/>
        <v>0</v>
      </c>
      <c r="AP115" s="300"/>
      <c r="AQ115" s="292"/>
      <c r="AR115" s="788" t="s">
        <v>368</v>
      </c>
      <c r="AS115" s="789"/>
      <c r="AT115" s="789"/>
      <c r="AU115" s="789"/>
      <c r="AV115" s="789"/>
      <c r="AW115" s="367" t="s">
        <v>369</v>
      </c>
      <c r="AX115" s="299">
        <f t="shared" si="1"/>
        <v>0</v>
      </c>
      <c r="AY115" s="306"/>
      <c r="AZ115" s="292"/>
      <c r="BA115" s="295"/>
    </row>
    <row r="116" spans="1:56" ht="15.75" customHeight="1" thickBot="1">
      <c r="A116" s="788" t="s">
        <v>36</v>
      </c>
      <c r="B116" s="789"/>
      <c r="C116" s="756"/>
      <c r="D116" s="324"/>
      <c r="E116" s="325" t="s">
        <v>306</v>
      </c>
      <c r="F116" s="368" t="s">
        <v>37</v>
      </c>
      <c r="G116" s="799">
        <f t="shared" si="7"/>
        <v>0</v>
      </c>
      <c r="H116" s="789"/>
      <c r="I116" s="756"/>
      <c r="J116" s="327"/>
      <c r="K116" s="328"/>
      <c r="L116" s="329">
        <f t="shared" si="4"/>
        <v>0</v>
      </c>
      <c r="M116" s="22"/>
      <c r="N116" s="788" t="s">
        <v>36</v>
      </c>
      <c r="O116" s="789"/>
      <c r="P116" s="756"/>
      <c r="Q116" s="324"/>
      <c r="R116" s="325" t="s">
        <v>306</v>
      </c>
      <c r="S116" s="368" t="s">
        <v>37</v>
      </c>
      <c r="T116" s="799">
        <f t="shared" si="8"/>
        <v>0</v>
      </c>
      <c r="U116" s="789"/>
      <c r="V116" s="756"/>
      <c r="W116" s="327"/>
      <c r="X116" s="328"/>
      <c r="Y116" s="329">
        <f t="shared" si="5"/>
        <v>0</v>
      </c>
      <c r="Z116" s="330">
        <f t="shared" si="6"/>
        <v>0</v>
      </c>
      <c r="AA116" s="22"/>
      <c r="AC116" s="356" t="s">
        <v>261</v>
      </c>
      <c r="AD116" s="369" t="s">
        <v>370</v>
      </c>
      <c r="AE116" s="310">
        <f>AX140</f>
        <v>10</v>
      </c>
      <c r="AF116" s="311" t="str">
        <f t="shared" si="3"/>
        <v/>
      </c>
      <c r="AH116" s="292"/>
      <c r="AI116" s="792" t="s">
        <v>371</v>
      </c>
      <c r="AJ116" s="789"/>
      <c r="AK116" s="789"/>
      <c r="AL116" s="789"/>
      <c r="AM116" s="789"/>
      <c r="AN116" s="370" t="s">
        <v>372</v>
      </c>
      <c r="AO116" s="299">
        <f t="shared" si="2"/>
        <v>0</v>
      </c>
      <c r="AP116" s="300"/>
      <c r="AQ116" s="292"/>
      <c r="AR116" s="788" t="s">
        <v>373</v>
      </c>
      <c r="AS116" s="789"/>
      <c r="AT116" s="789"/>
      <c r="AU116" s="789"/>
      <c r="AV116" s="789"/>
      <c r="AW116" s="367" t="s">
        <v>374</v>
      </c>
      <c r="AX116" s="299">
        <f t="shared" si="1"/>
        <v>0</v>
      </c>
      <c r="AY116" s="306"/>
      <c r="AZ116" s="292"/>
      <c r="BA116" s="295"/>
    </row>
    <row r="117" spans="1:56" ht="15.75" customHeight="1">
      <c r="A117" s="788" t="s">
        <v>43</v>
      </c>
      <c r="B117" s="789"/>
      <c r="C117" s="756"/>
      <c r="D117" s="324"/>
      <c r="E117" s="325"/>
      <c r="F117" s="371" t="s">
        <v>44</v>
      </c>
      <c r="G117" s="799">
        <f t="shared" si="7"/>
        <v>0</v>
      </c>
      <c r="H117" s="789"/>
      <c r="I117" s="756"/>
      <c r="J117" s="327"/>
      <c r="K117" s="328"/>
      <c r="L117" s="329">
        <f t="shared" si="4"/>
        <v>0</v>
      </c>
      <c r="M117" s="22"/>
      <c r="N117" s="788" t="s">
        <v>43</v>
      </c>
      <c r="O117" s="789"/>
      <c r="P117" s="756"/>
      <c r="Q117" s="324"/>
      <c r="R117" s="325"/>
      <c r="S117" s="371" t="s">
        <v>44</v>
      </c>
      <c r="T117" s="799">
        <f t="shared" si="8"/>
        <v>0</v>
      </c>
      <c r="U117" s="789"/>
      <c r="V117" s="756"/>
      <c r="W117" s="327"/>
      <c r="X117" s="328"/>
      <c r="Y117" s="329">
        <f t="shared" si="5"/>
        <v>0</v>
      </c>
      <c r="Z117" s="330">
        <f t="shared" si="6"/>
        <v>0</v>
      </c>
      <c r="AA117" s="22"/>
      <c r="AC117" s="308" t="s">
        <v>169</v>
      </c>
      <c r="AD117" s="372" t="s">
        <v>375</v>
      </c>
      <c r="AE117" s="310">
        <f t="shared" ref="AE117:AE118" si="10">COUNTIF($P$1:$Q$1,AD117)</f>
        <v>0</v>
      </c>
      <c r="AF117" s="311" t="str">
        <f t="shared" si="3"/>
        <v/>
      </c>
      <c r="AH117" s="292"/>
      <c r="AI117" s="792" t="s">
        <v>376</v>
      </c>
      <c r="AJ117" s="789"/>
      <c r="AK117" s="789"/>
      <c r="AL117" s="789"/>
      <c r="AM117" s="756"/>
      <c r="AN117" s="132" t="s">
        <v>377</v>
      </c>
      <c r="AO117" s="299">
        <f t="shared" si="2"/>
        <v>0</v>
      </c>
      <c r="AP117" s="300"/>
      <c r="AQ117" s="292"/>
      <c r="AR117" s="788" t="s">
        <v>378</v>
      </c>
      <c r="AS117" s="789"/>
      <c r="AT117" s="789"/>
      <c r="AU117" s="789"/>
      <c r="AV117" s="789"/>
      <c r="AW117" s="373" t="s">
        <v>379</v>
      </c>
      <c r="AX117" s="299">
        <f t="shared" si="1"/>
        <v>0</v>
      </c>
      <c r="AY117" s="306"/>
      <c r="AZ117" s="292"/>
      <c r="BA117" s="295"/>
      <c r="BB117" s="292"/>
      <c r="BC117" s="292"/>
      <c r="BD117" s="292"/>
    </row>
    <row r="118" spans="1:56" ht="15.75" customHeight="1" thickBot="1">
      <c r="A118" s="788" t="s">
        <v>16</v>
      </c>
      <c r="B118" s="789"/>
      <c r="C118" s="756"/>
      <c r="D118" s="324"/>
      <c r="E118" s="325"/>
      <c r="F118" s="374" t="s">
        <v>7</v>
      </c>
      <c r="G118" s="799">
        <f t="shared" si="7"/>
        <v>0</v>
      </c>
      <c r="H118" s="789"/>
      <c r="I118" s="756"/>
      <c r="J118" s="327"/>
      <c r="K118" s="328"/>
      <c r="L118" s="329">
        <f t="shared" si="4"/>
        <v>0</v>
      </c>
      <c r="M118" s="22"/>
      <c r="N118" s="788" t="s">
        <v>16</v>
      </c>
      <c r="O118" s="789"/>
      <c r="P118" s="756"/>
      <c r="Q118" s="324"/>
      <c r="R118" s="325"/>
      <c r="S118" s="374" t="s">
        <v>7</v>
      </c>
      <c r="T118" s="799">
        <f t="shared" si="8"/>
        <v>0</v>
      </c>
      <c r="U118" s="789"/>
      <c r="V118" s="756"/>
      <c r="W118" s="327"/>
      <c r="X118" s="328"/>
      <c r="Y118" s="329">
        <f t="shared" si="5"/>
        <v>0</v>
      </c>
      <c r="Z118" s="330">
        <f t="shared" si="6"/>
        <v>0</v>
      </c>
      <c r="AA118" s="22"/>
      <c r="AC118" s="356" t="s">
        <v>380</v>
      </c>
      <c r="AD118" s="375" t="s">
        <v>381</v>
      </c>
      <c r="AE118" s="310">
        <f t="shared" si="10"/>
        <v>0</v>
      </c>
      <c r="AF118" s="311" t="str">
        <f t="shared" si="3"/>
        <v/>
      </c>
      <c r="AH118" s="292"/>
      <c r="AI118" s="792" t="s">
        <v>382</v>
      </c>
      <c r="AJ118" s="789"/>
      <c r="AK118" s="789"/>
      <c r="AL118" s="789"/>
      <c r="AM118" s="756"/>
      <c r="AN118" s="137" t="s">
        <v>170</v>
      </c>
      <c r="AO118" s="299">
        <f t="shared" si="2"/>
        <v>2</v>
      </c>
      <c r="AP118" s="300"/>
      <c r="AQ118" s="292"/>
      <c r="AR118" s="788" t="s">
        <v>383</v>
      </c>
      <c r="AS118" s="789"/>
      <c r="AT118" s="789"/>
      <c r="AU118" s="789"/>
      <c r="AV118" s="789"/>
      <c r="AW118" s="376" t="s">
        <v>384</v>
      </c>
      <c r="AX118" s="299">
        <f t="shared" si="1"/>
        <v>0</v>
      </c>
      <c r="AY118" s="306"/>
      <c r="AZ118" s="292"/>
      <c r="BA118" s="295"/>
      <c r="BB118" s="292"/>
      <c r="BC118" s="292"/>
      <c r="BD118" s="292"/>
    </row>
    <row r="119" spans="1:56" ht="15.75" customHeight="1" thickBot="1">
      <c r="A119" s="788" t="s">
        <v>21</v>
      </c>
      <c r="B119" s="789"/>
      <c r="C119" s="756"/>
      <c r="D119" s="324"/>
      <c r="E119" s="325"/>
      <c r="F119" s="377" t="s">
        <v>11</v>
      </c>
      <c r="G119" s="799">
        <f t="shared" si="7"/>
        <v>0</v>
      </c>
      <c r="H119" s="789"/>
      <c r="I119" s="756"/>
      <c r="J119" s="327"/>
      <c r="K119" s="328"/>
      <c r="L119" s="329">
        <f t="shared" si="4"/>
        <v>0</v>
      </c>
      <c r="M119" s="22"/>
      <c r="N119" s="788" t="s">
        <v>21</v>
      </c>
      <c r="O119" s="789"/>
      <c r="P119" s="756"/>
      <c r="Q119" s="324"/>
      <c r="R119" s="325"/>
      <c r="S119" s="377" t="s">
        <v>11</v>
      </c>
      <c r="T119" s="799">
        <f t="shared" si="8"/>
        <v>0</v>
      </c>
      <c r="U119" s="789"/>
      <c r="V119" s="756"/>
      <c r="W119" s="327"/>
      <c r="X119" s="328"/>
      <c r="Y119" s="329">
        <f t="shared" si="5"/>
        <v>0</v>
      </c>
      <c r="Z119" s="330">
        <f t="shared" si="6"/>
        <v>0</v>
      </c>
      <c r="AA119" s="22"/>
      <c r="AC119" s="356" t="s">
        <v>385</v>
      </c>
      <c r="AD119" s="378" t="s">
        <v>386</v>
      </c>
      <c r="AE119" s="310">
        <f>AO276</f>
        <v>0</v>
      </c>
      <c r="AF119" s="311" t="str">
        <f t="shared" si="3"/>
        <v/>
      </c>
      <c r="AH119" s="292"/>
      <c r="AI119" s="792" t="s">
        <v>387</v>
      </c>
      <c r="AJ119" s="789"/>
      <c r="AK119" s="789"/>
      <c r="AL119" s="789"/>
      <c r="AM119" s="756"/>
      <c r="AN119" s="138" t="s">
        <v>388</v>
      </c>
      <c r="AO119" s="299">
        <f t="shared" si="2"/>
        <v>0</v>
      </c>
      <c r="AP119" s="300"/>
      <c r="AQ119" s="292"/>
      <c r="AR119" s="788" t="s">
        <v>389</v>
      </c>
      <c r="AS119" s="789"/>
      <c r="AT119" s="789"/>
      <c r="AU119" s="789"/>
      <c r="AV119" s="789"/>
      <c r="AW119" s="379" t="s">
        <v>390</v>
      </c>
      <c r="AX119" s="299">
        <f t="shared" si="1"/>
        <v>0</v>
      </c>
      <c r="AY119" s="306"/>
      <c r="AZ119" s="292"/>
      <c r="BA119" s="295"/>
    </row>
    <row r="120" spans="1:56" ht="15.75" customHeight="1" thickBot="1">
      <c r="A120" s="788" t="s">
        <v>81</v>
      </c>
      <c r="B120" s="789"/>
      <c r="C120" s="756"/>
      <c r="D120" s="324"/>
      <c r="E120" s="325" t="s">
        <v>306</v>
      </c>
      <c r="F120" s="380" t="s">
        <v>35</v>
      </c>
      <c r="G120" s="799">
        <f t="shared" si="7"/>
        <v>1</v>
      </c>
      <c r="H120" s="789"/>
      <c r="I120" s="756"/>
      <c r="J120" s="327"/>
      <c r="K120" s="328"/>
      <c r="L120" s="329">
        <f t="shared" si="4"/>
        <v>1</v>
      </c>
      <c r="M120" s="22"/>
      <c r="N120" s="788" t="s">
        <v>81</v>
      </c>
      <c r="O120" s="789"/>
      <c r="P120" s="756"/>
      <c r="Q120" s="324"/>
      <c r="R120" s="325" t="s">
        <v>306</v>
      </c>
      <c r="S120" s="380" t="s">
        <v>35</v>
      </c>
      <c r="T120" s="799">
        <f t="shared" si="8"/>
        <v>0</v>
      </c>
      <c r="U120" s="789"/>
      <c r="V120" s="756"/>
      <c r="W120" s="327"/>
      <c r="X120" s="328"/>
      <c r="Y120" s="329">
        <f t="shared" si="5"/>
        <v>0</v>
      </c>
      <c r="Z120" s="330">
        <f t="shared" si="6"/>
        <v>1</v>
      </c>
      <c r="AA120" s="22"/>
      <c r="AC120" s="356" t="s">
        <v>391</v>
      </c>
      <c r="AD120" s="381" t="s">
        <v>392</v>
      </c>
      <c r="AE120" s="310">
        <f>AX267</f>
        <v>0</v>
      </c>
      <c r="AF120" s="311" t="str">
        <f t="shared" si="3"/>
        <v/>
      </c>
      <c r="AH120" s="292"/>
      <c r="AI120" s="792" t="s">
        <v>393</v>
      </c>
      <c r="AJ120" s="789"/>
      <c r="AK120" s="789"/>
      <c r="AL120" s="789"/>
      <c r="AM120" s="756"/>
      <c r="AN120" s="36" t="s">
        <v>394</v>
      </c>
      <c r="AO120" s="299">
        <f t="shared" si="2"/>
        <v>0</v>
      </c>
      <c r="AP120" s="300"/>
      <c r="AQ120" s="292"/>
      <c r="AR120" s="788" t="s">
        <v>395</v>
      </c>
      <c r="AS120" s="789"/>
      <c r="AT120" s="789"/>
      <c r="AU120" s="789"/>
      <c r="AV120" s="789"/>
      <c r="AW120" s="348" t="s">
        <v>396</v>
      </c>
      <c r="AX120" s="299">
        <f t="shared" si="1"/>
        <v>0</v>
      </c>
      <c r="AY120" s="306"/>
      <c r="AZ120" s="292"/>
      <c r="BA120" s="295"/>
    </row>
    <row r="121" spans="1:56" ht="15.75" customHeight="1" thickBot="1">
      <c r="A121" s="788" t="s">
        <v>12</v>
      </c>
      <c r="B121" s="789"/>
      <c r="C121" s="756"/>
      <c r="D121" s="324"/>
      <c r="E121" s="325"/>
      <c r="F121" s="382" t="s">
        <v>13</v>
      </c>
      <c r="G121" s="799">
        <f t="shared" si="7"/>
        <v>0</v>
      </c>
      <c r="H121" s="789"/>
      <c r="I121" s="756"/>
      <c r="J121" s="327"/>
      <c r="K121" s="328"/>
      <c r="L121" s="329">
        <f t="shared" si="4"/>
        <v>0</v>
      </c>
      <c r="M121" s="22"/>
      <c r="N121" s="788" t="s">
        <v>12</v>
      </c>
      <c r="O121" s="789"/>
      <c r="P121" s="756"/>
      <c r="Q121" s="324"/>
      <c r="R121" s="325"/>
      <c r="S121" s="382" t="s">
        <v>13</v>
      </c>
      <c r="T121" s="799">
        <f t="shared" si="8"/>
        <v>0</v>
      </c>
      <c r="U121" s="789"/>
      <c r="V121" s="756"/>
      <c r="W121" s="327"/>
      <c r="X121" s="328"/>
      <c r="Y121" s="329">
        <f t="shared" si="5"/>
        <v>0</v>
      </c>
      <c r="Z121" s="330">
        <f t="shared" si="6"/>
        <v>0</v>
      </c>
      <c r="AA121" s="22"/>
      <c r="AC121" s="356" t="s">
        <v>397</v>
      </c>
      <c r="AD121" s="383" t="s">
        <v>398</v>
      </c>
      <c r="AE121" s="310">
        <f>AO258</f>
        <v>0</v>
      </c>
      <c r="AF121" s="311" t="str">
        <f t="shared" si="3"/>
        <v/>
      </c>
      <c r="AH121" s="292"/>
      <c r="AI121" s="792" t="s">
        <v>399</v>
      </c>
      <c r="AJ121" s="789"/>
      <c r="AK121" s="789"/>
      <c r="AL121" s="789"/>
      <c r="AM121" s="756"/>
      <c r="AN121" s="137" t="s">
        <v>400</v>
      </c>
      <c r="AO121" s="299">
        <f t="shared" si="2"/>
        <v>0</v>
      </c>
      <c r="AP121" s="300"/>
      <c r="AQ121" s="292"/>
      <c r="AR121" s="788" t="s">
        <v>401</v>
      </c>
      <c r="AS121" s="789"/>
      <c r="AT121" s="789"/>
      <c r="AU121" s="789"/>
      <c r="AV121" s="789"/>
      <c r="AW121" s="160" t="s">
        <v>187</v>
      </c>
      <c r="AX121" s="299">
        <f t="shared" si="1"/>
        <v>10</v>
      </c>
      <c r="AY121" s="306"/>
      <c r="AZ121" s="292"/>
      <c r="BA121" s="295"/>
    </row>
    <row r="122" spans="1:56" ht="15.75" customHeight="1" thickBot="1">
      <c r="A122" s="788" t="s">
        <v>83</v>
      </c>
      <c r="B122" s="789"/>
      <c r="C122" s="756"/>
      <c r="D122" s="324" t="s">
        <v>46</v>
      </c>
      <c r="E122" s="325"/>
      <c r="F122" s="384" t="s">
        <v>82</v>
      </c>
      <c r="G122" s="799">
        <f t="shared" si="7"/>
        <v>0</v>
      </c>
      <c r="H122" s="789"/>
      <c r="I122" s="756"/>
      <c r="J122" s="327"/>
      <c r="K122" s="328"/>
      <c r="L122" s="329">
        <f t="shared" si="4"/>
        <v>0</v>
      </c>
      <c r="M122" s="22"/>
      <c r="N122" s="788" t="s">
        <v>83</v>
      </c>
      <c r="O122" s="789"/>
      <c r="P122" s="756"/>
      <c r="Q122" s="324" t="s">
        <v>46</v>
      </c>
      <c r="R122" s="325"/>
      <c r="S122" s="384" t="s">
        <v>82</v>
      </c>
      <c r="T122" s="799">
        <f t="shared" si="8"/>
        <v>0</v>
      </c>
      <c r="U122" s="789"/>
      <c r="V122" s="756"/>
      <c r="W122" s="327"/>
      <c r="X122" s="328"/>
      <c r="Y122" s="329">
        <f t="shared" si="5"/>
        <v>0</v>
      </c>
      <c r="Z122" s="330">
        <f t="shared" si="6"/>
        <v>0</v>
      </c>
      <c r="AA122" s="22"/>
      <c r="AC122" s="308" t="s">
        <v>402</v>
      </c>
      <c r="AD122" s="219" t="s">
        <v>403</v>
      </c>
      <c r="AE122" s="310">
        <f>AX263</f>
        <v>0</v>
      </c>
      <c r="AF122" s="311" t="str">
        <f t="shared" si="3"/>
        <v/>
      </c>
      <c r="AH122" s="292"/>
      <c r="AI122" s="792" t="s">
        <v>404</v>
      </c>
      <c r="AJ122" s="789"/>
      <c r="AK122" s="789"/>
      <c r="AL122" s="789"/>
      <c r="AM122" s="756"/>
      <c r="AN122" s="338" t="s">
        <v>405</v>
      </c>
      <c r="AO122" s="299">
        <f t="shared" si="2"/>
        <v>0</v>
      </c>
      <c r="AP122" s="300"/>
      <c r="AQ122" s="292"/>
      <c r="AR122" s="788" t="s">
        <v>406</v>
      </c>
      <c r="AS122" s="789"/>
      <c r="AT122" s="789"/>
      <c r="AU122" s="789"/>
      <c r="AV122" s="789"/>
      <c r="AW122" s="379" t="s">
        <v>407</v>
      </c>
      <c r="AX122" s="299">
        <f t="shared" si="1"/>
        <v>0</v>
      </c>
      <c r="AY122" s="306"/>
      <c r="AZ122" s="292"/>
      <c r="BA122" s="295"/>
    </row>
    <row r="123" spans="1:56" ht="15.75" customHeight="1" thickBot="1">
      <c r="A123" s="788" t="s">
        <v>85</v>
      </c>
      <c r="B123" s="789"/>
      <c r="C123" s="756"/>
      <c r="D123" s="324"/>
      <c r="E123" s="325" t="s">
        <v>306</v>
      </c>
      <c r="F123" s="385" t="s">
        <v>84</v>
      </c>
      <c r="G123" s="799">
        <f t="shared" si="7"/>
        <v>1</v>
      </c>
      <c r="H123" s="789"/>
      <c r="I123" s="756"/>
      <c r="J123" s="327"/>
      <c r="K123" s="328"/>
      <c r="L123" s="329">
        <f t="shared" si="4"/>
        <v>1</v>
      </c>
      <c r="M123" s="22"/>
      <c r="N123" s="788" t="s">
        <v>85</v>
      </c>
      <c r="O123" s="789"/>
      <c r="P123" s="756"/>
      <c r="Q123" s="324"/>
      <c r="R123" s="325" t="s">
        <v>306</v>
      </c>
      <c r="S123" s="385" t="s">
        <v>84</v>
      </c>
      <c r="T123" s="799">
        <f t="shared" si="8"/>
        <v>3</v>
      </c>
      <c r="U123" s="789"/>
      <c r="V123" s="756"/>
      <c r="W123" s="327"/>
      <c r="X123" s="328"/>
      <c r="Y123" s="329">
        <f t="shared" si="5"/>
        <v>3</v>
      </c>
      <c r="Z123" s="330">
        <f t="shared" si="6"/>
        <v>4</v>
      </c>
      <c r="AA123" s="22"/>
      <c r="AC123" s="356" t="s">
        <v>408</v>
      </c>
      <c r="AD123" s="383" t="s">
        <v>409</v>
      </c>
      <c r="AE123" s="310">
        <f>COUNTIF($P$1:$Q$1,AD123)</f>
        <v>0</v>
      </c>
      <c r="AF123" s="311" t="str">
        <f t="shared" si="3"/>
        <v/>
      </c>
      <c r="AH123" s="292"/>
      <c r="AI123" s="792" t="s">
        <v>410</v>
      </c>
      <c r="AJ123" s="789"/>
      <c r="AK123" s="789"/>
      <c r="AL123" s="789"/>
      <c r="AM123" s="756"/>
      <c r="AN123" s="379" t="s">
        <v>411</v>
      </c>
      <c r="AO123" s="299">
        <f t="shared" si="2"/>
        <v>0</v>
      </c>
      <c r="AP123" s="300"/>
      <c r="AQ123" s="292"/>
      <c r="AR123" s="788" t="s">
        <v>412</v>
      </c>
      <c r="AS123" s="789"/>
      <c r="AT123" s="789"/>
      <c r="AU123" s="789"/>
      <c r="AV123" s="789"/>
      <c r="AW123" s="386" t="s">
        <v>413</v>
      </c>
      <c r="AX123" s="299">
        <f t="shared" si="1"/>
        <v>0</v>
      </c>
      <c r="AY123" s="306"/>
      <c r="AZ123" s="292"/>
      <c r="BA123" s="295"/>
    </row>
    <row r="124" spans="1:56" ht="15.75" customHeight="1" thickBot="1">
      <c r="A124" s="788" t="s">
        <v>87</v>
      </c>
      <c r="B124" s="789"/>
      <c r="C124" s="756"/>
      <c r="D124" s="324" t="s">
        <v>9</v>
      </c>
      <c r="E124" s="325" t="s">
        <v>306</v>
      </c>
      <c r="F124" s="387" t="s">
        <v>86</v>
      </c>
      <c r="G124" s="799">
        <f t="shared" si="7"/>
        <v>0</v>
      </c>
      <c r="H124" s="789"/>
      <c r="I124" s="756"/>
      <c r="J124" s="327"/>
      <c r="K124" s="328"/>
      <c r="L124" s="329">
        <f t="shared" si="4"/>
        <v>0</v>
      </c>
      <c r="M124" s="22"/>
      <c r="N124" s="788" t="s">
        <v>87</v>
      </c>
      <c r="O124" s="789"/>
      <c r="P124" s="756"/>
      <c r="Q124" s="324" t="s">
        <v>9</v>
      </c>
      <c r="R124" s="325" t="s">
        <v>306</v>
      </c>
      <c r="S124" s="387" t="s">
        <v>86</v>
      </c>
      <c r="T124" s="799">
        <f t="shared" si="8"/>
        <v>0</v>
      </c>
      <c r="U124" s="789"/>
      <c r="V124" s="756"/>
      <c r="W124" s="327"/>
      <c r="X124" s="328"/>
      <c r="Y124" s="329">
        <f t="shared" si="5"/>
        <v>0</v>
      </c>
      <c r="Z124" s="330">
        <f t="shared" si="6"/>
        <v>0</v>
      </c>
      <c r="AA124" s="22"/>
      <c r="AC124" s="795" t="s">
        <v>414</v>
      </c>
      <c r="AD124" s="789"/>
      <c r="AE124" s="789"/>
      <c r="AF124" s="789"/>
      <c r="AH124" s="292"/>
      <c r="AI124" s="792" t="s">
        <v>415</v>
      </c>
      <c r="AJ124" s="789"/>
      <c r="AK124" s="789"/>
      <c r="AL124" s="789"/>
      <c r="AM124" s="756"/>
      <c r="AN124" s="388" t="s">
        <v>416</v>
      </c>
      <c r="AO124" s="299">
        <f t="shared" si="2"/>
        <v>0</v>
      </c>
      <c r="AP124" s="300"/>
      <c r="AQ124" s="292"/>
      <c r="AR124" s="788" t="s">
        <v>417</v>
      </c>
      <c r="AS124" s="789"/>
      <c r="AT124" s="789"/>
      <c r="AU124" s="789"/>
      <c r="AV124" s="789"/>
      <c r="AW124" s="386" t="s">
        <v>418</v>
      </c>
      <c r="AX124" s="299">
        <f t="shared" si="1"/>
        <v>0</v>
      </c>
      <c r="AY124" s="306"/>
      <c r="AZ124" s="292"/>
      <c r="BA124" s="389"/>
    </row>
    <row r="125" spans="1:56" ht="15.75" customHeight="1">
      <c r="A125" s="804" t="s">
        <v>260</v>
      </c>
      <c r="B125" s="744"/>
      <c r="C125" s="744"/>
      <c r="D125" s="744"/>
      <c r="E125" s="744"/>
      <c r="F125" s="390"/>
      <c r="G125" s="805">
        <f>SUM(G104:I124)</f>
        <v>14</v>
      </c>
      <c r="H125" s="744"/>
      <c r="I125" s="806"/>
      <c r="J125" s="391">
        <f t="shared" ref="J125:L125" si="11">SUM(J104:J124)</f>
        <v>0</v>
      </c>
      <c r="K125" s="346">
        <f t="shared" si="11"/>
        <v>0</v>
      </c>
      <c r="L125" s="329">
        <f t="shared" si="11"/>
        <v>14</v>
      </c>
      <c r="M125" s="22"/>
      <c r="N125" s="807" t="s">
        <v>260</v>
      </c>
      <c r="O125" s="789"/>
      <c r="P125" s="789"/>
      <c r="Q125" s="789"/>
      <c r="R125" s="789"/>
      <c r="S125" s="393"/>
      <c r="T125" s="808">
        <f>SUM(T104:V124)</f>
        <v>14</v>
      </c>
      <c r="U125" s="789"/>
      <c r="V125" s="756"/>
      <c r="W125" s="391">
        <f t="shared" ref="W125:Y125" si="12">SUM(W104:W124)</f>
        <v>0</v>
      </c>
      <c r="X125" s="346">
        <f t="shared" si="12"/>
        <v>0</v>
      </c>
      <c r="Y125" s="329">
        <f t="shared" si="12"/>
        <v>14</v>
      </c>
      <c r="Z125" s="330">
        <f t="shared" si="6"/>
        <v>28</v>
      </c>
      <c r="AA125" s="22"/>
      <c r="AC125" s="308" t="s">
        <v>419</v>
      </c>
      <c r="AD125" s="394" t="s">
        <v>131</v>
      </c>
      <c r="AE125" s="299">
        <f t="shared" ref="AE125:AE197" si="13">COUNTIF($A$1:$DD$79,AD125)</f>
        <v>50</v>
      </c>
      <c r="AF125" s="311" t="str">
        <f t="shared" ref="AF125:AF197" si="14">IFERROR(AE125/$J$4,"")</f>
        <v/>
      </c>
      <c r="AH125" s="292"/>
      <c r="AI125" s="792" t="s">
        <v>420</v>
      </c>
      <c r="AJ125" s="789"/>
      <c r="AK125" s="789"/>
      <c r="AL125" s="789"/>
      <c r="AM125" s="756"/>
      <c r="AN125" s="171" t="s">
        <v>193</v>
      </c>
      <c r="AO125" s="299">
        <f t="shared" si="2"/>
        <v>14</v>
      </c>
      <c r="AP125" s="300"/>
      <c r="AQ125" s="292"/>
      <c r="AR125" s="788" t="s">
        <v>421</v>
      </c>
      <c r="AS125" s="789"/>
      <c r="AT125" s="789"/>
      <c r="AU125" s="789"/>
      <c r="AV125" s="789"/>
      <c r="AW125" s="395" t="s">
        <v>422</v>
      </c>
      <c r="AX125" s="299">
        <f t="shared" si="1"/>
        <v>0</v>
      </c>
      <c r="AY125" s="306"/>
      <c r="AZ125" s="292"/>
      <c r="BA125" s="389"/>
    </row>
    <row r="126" spans="1:56" ht="15.75" customHeight="1">
      <c r="A126" s="801" t="s">
        <v>423</v>
      </c>
      <c r="B126" s="789"/>
      <c r="C126" s="789"/>
      <c r="D126" s="789"/>
      <c r="E126" s="789"/>
      <c r="F126" s="789"/>
      <c r="G126" s="789"/>
      <c r="H126" s="789"/>
      <c r="I126" s="756"/>
      <c r="J126" s="320" t="s">
        <v>290</v>
      </c>
      <c r="K126" s="320" t="s">
        <v>291</v>
      </c>
      <c r="L126" s="320" t="s">
        <v>292</v>
      </c>
      <c r="M126" s="22"/>
      <c r="N126" s="801" t="s">
        <v>423</v>
      </c>
      <c r="O126" s="789"/>
      <c r="P126" s="789"/>
      <c r="Q126" s="789"/>
      <c r="R126" s="789"/>
      <c r="S126" s="789"/>
      <c r="T126" s="789"/>
      <c r="U126" s="789"/>
      <c r="V126" s="756"/>
      <c r="W126" s="321" t="s">
        <v>290</v>
      </c>
      <c r="X126" s="321" t="s">
        <v>291</v>
      </c>
      <c r="Y126" s="321" t="s">
        <v>292</v>
      </c>
      <c r="AA126" s="22"/>
      <c r="AC126" s="308" t="s">
        <v>424</v>
      </c>
      <c r="AD126" s="396" t="s">
        <v>425</v>
      </c>
      <c r="AE126" s="299">
        <f t="shared" si="13"/>
        <v>0</v>
      </c>
      <c r="AF126" s="311" t="str">
        <f t="shared" si="14"/>
        <v/>
      </c>
      <c r="AH126" s="292"/>
      <c r="AI126" s="792" t="s">
        <v>426</v>
      </c>
      <c r="AJ126" s="789"/>
      <c r="AK126" s="789"/>
      <c r="AL126" s="789"/>
      <c r="AM126" s="756"/>
      <c r="AN126" s="25" t="s">
        <v>129</v>
      </c>
      <c r="AO126" s="299">
        <f t="shared" si="2"/>
        <v>29</v>
      </c>
      <c r="AP126" s="300"/>
      <c r="AQ126" s="292"/>
      <c r="AR126" s="788" t="s">
        <v>427</v>
      </c>
      <c r="AS126" s="789"/>
      <c r="AT126" s="789"/>
      <c r="AU126" s="789"/>
      <c r="AV126" s="789"/>
      <c r="AW126" s="397" t="s">
        <v>428</v>
      </c>
      <c r="AX126" s="299">
        <f t="shared" si="1"/>
        <v>0</v>
      </c>
      <c r="AY126" s="306"/>
      <c r="AZ126" s="292"/>
      <c r="BA126" s="295"/>
    </row>
    <row r="127" spans="1:56" ht="15.75" customHeight="1">
      <c r="A127" s="802" t="s">
        <v>17</v>
      </c>
      <c r="B127" s="715"/>
      <c r="C127" s="803"/>
      <c r="D127" s="398"/>
      <c r="E127" s="399" t="s">
        <v>306</v>
      </c>
      <c r="F127" s="400" t="s">
        <v>6</v>
      </c>
      <c r="G127" s="799">
        <f t="shared" ref="G127:G144" si="15">COUNTIF($A$1:$AJ$77,F127)</f>
        <v>0</v>
      </c>
      <c r="H127" s="789"/>
      <c r="I127" s="756"/>
      <c r="J127" s="327"/>
      <c r="K127" s="328"/>
      <c r="L127" s="329">
        <f t="shared" ref="L127:L128" si="16">G127-K127-J127</f>
        <v>0</v>
      </c>
      <c r="M127" s="22"/>
      <c r="N127" s="802" t="s">
        <v>17</v>
      </c>
      <c r="O127" s="715"/>
      <c r="P127" s="803"/>
      <c r="Q127" s="398"/>
      <c r="R127" s="399" t="s">
        <v>306</v>
      </c>
      <c r="S127" s="400" t="s">
        <v>6</v>
      </c>
      <c r="T127" s="799">
        <f t="shared" ref="T127:T144" si="17">COUNTIF($AM$2:$DD$79,S127)</f>
        <v>2</v>
      </c>
      <c r="U127" s="789"/>
      <c r="V127" s="756"/>
      <c r="W127" s="327"/>
      <c r="X127" s="328"/>
      <c r="Y127" s="329">
        <f t="shared" ref="Y127:Y144" si="18">T127-X127-W127</f>
        <v>2</v>
      </c>
      <c r="Z127" s="330">
        <f t="shared" ref="Z127:Z145" si="19">T127+G127</f>
        <v>2</v>
      </c>
      <c r="AA127" s="22"/>
      <c r="AC127" s="308" t="s">
        <v>429</v>
      </c>
      <c r="AD127" s="401" t="s">
        <v>430</v>
      </c>
      <c r="AE127" s="299">
        <f t="shared" si="13"/>
        <v>0</v>
      </c>
      <c r="AF127" s="311" t="str">
        <f t="shared" si="14"/>
        <v/>
      </c>
      <c r="AH127" s="292"/>
      <c r="AI127" s="792" t="s">
        <v>431</v>
      </c>
      <c r="AJ127" s="789"/>
      <c r="AK127" s="789"/>
      <c r="AL127" s="789"/>
      <c r="AM127" s="756"/>
      <c r="AN127" s="25" t="s">
        <v>432</v>
      </c>
      <c r="AO127" s="299">
        <f t="shared" si="2"/>
        <v>0</v>
      </c>
      <c r="AP127" s="300"/>
      <c r="AQ127" s="292"/>
      <c r="AR127" s="788" t="s">
        <v>433</v>
      </c>
      <c r="AS127" s="789"/>
      <c r="AT127" s="789"/>
      <c r="AU127" s="789"/>
      <c r="AV127" s="789"/>
      <c r="AW127" s="402" t="s">
        <v>434</v>
      </c>
      <c r="AX127" s="299">
        <f t="shared" si="1"/>
        <v>0</v>
      </c>
      <c r="AY127" s="306"/>
      <c r="AZ127" s="292"/>
      <c r="BA127" s="295"/>
    </row>
    <row r="128" spans="1:56" ht="15.75" customHeight="1" thickBot="1">
      <c r="A128" s="788" t="s">
        <v>89</v>
      </c>
      <c r="B128" s="789"/>
      <c r="C128" s="756"/>
      <c r="D128" s="324" t="s">
        <v>31</v>
      </c>
      <c r="E128" s="325"/>
      <c r="F128" s="403" t="s">
        <v>88</v>
      </c>
      <c r="G128" s="799">
        <f t="shared" si="15"/>
        <v>0</v>
      </c>
      <c r="H128" s="789"/>
      <c r="I128" s="756"/>
      <c r="J128" s="327"/>
      <c r="K128" s="346"/>
      <c r="L128" s="329">
        <f t="shared" si="16"/>
        <v>0</v>
      </c>
      <c r="M128" s="22"/>
      <c r="N128" s="788" t="s">
        <v>89</v>
      </c>
      <c r="O128" s="789"/>
      <c r="P128" s="756"/>
      <c r="Q128" s="324" t="s">
        <v>31</v>
      </c>
      <c r="R128" s="325"/>
      <c r="S128" s="403" t="s">
        <v>88</v>
      </c>
      <c r="T128" s="799">
        <f t="shared" si="17"/>
        <v>0</v>
      </c>
      <c r="U128" s="789"/>
      <c r="V128" s="756"/>
      <c r="W128" s="327"/>
      <c r="X128" s="346"/>
      <c r="Y128" s="329">
        <f t="shared" si="18"/>
        <v>0</v>
      </c>
      <c r="Z128" s="330">
        <f t="shared" si="19"/>
        <v>0</v>
      </c>
      <c r="AA128" s="22"/>
      <c r="AC128" s="308" t="s">
        <v>435</v>
      </c>
      <c r="AD128" s="404" t="s">
        <v>436</v>
      </c>
      <c r="AE128" s="299">
        <f t="shared" si="13"/>
        <v>0</v>
      </c>
      <c r="AF128" s="311" t="str">
        <f t="shared" si="14"/>
        <v/>
      </c>
      <c r="AH128" s="292"/>
      <c r="AI128" s="792" t="s">
        <v>437</v>
      </c>
      <c r="AJ128" s="789"/>
      <c r="AK128" s="789"/>
      <c r="AL128" s="789"/>
      <c r="AM128" s="756"/>
      <c r="AN128" s="405" t="s">
        <v>438</v>
      </c>
      <c r="AO128" s="299">
        <f t="shared" si="2"/>
        <v>0</v>
      </c>
      <c r="AP128" s="300"/>
      <c r="AQ128" s="292"/>
      <c r="AR128" s="788" t="s">
        <v>439</v>
      </c>
      <c r="AS128" s="789"/>
      <c r="AT128" s="789"/>
      <c r="AU128" s="789"/>
      <c r="AV128" s="789"/>
      <c r="AW128" s="402" t="s">
        <v>440</v>
      </c>
      <c r="AX128" s="299">
        <f t="shared" si="1"/>
        <v>0</v>
      </c>
      <c r="AY128" s="306"/>
      <c r="AZ128" s="292"/>
      <c r="BA128" s="295"/>
    </row>
    <row r="129" spans="1:56" ht="15.75" customHeight="1">
      <c r="A129" s="788" t="s">
        <v>441</v>
      </c>
      <c r="B129" s="789"/>
      <c r="C129" s="756"/>
      <c r="D129" s="324"/>
      <c r="E129" s="325"/>
      <c r="F129" s="406" t="s">
        <v>442</v>
      </c>
      <c r="G129" s="799">
        <f t="shared" si="15"/>
        <v>0</v>
      </c>
      <c r="H129" s="789"/>
      <c r="I129" s="756"/>
      <c r="J129" s="327"/>
      <c r="K129" s="346"/>
      <c r="L129" s="329"/>
      <c r="M129" s="22"/>
      <c r="N129" s="788" t="s">
        <v>441</v>
      </c>
      <c r="O129" s="789"/>
      <c r="P129" s="756"/>
      <c r="Q129" s="324"/>
      <c r="R129" s="325"/>
      <c r="S129" s="406" t="s">
        <v>442</v>
      </c>
      <c r="T129" s="799">
        <f t="shared" si="17"/>
        <v>0</v>
      </c>
      <c r="U129" s="789"/>
      <c r="V129" s="756"/>
      <c r="W129" s="327"/>
      <c r="X129" s="346"/>
      <c r="Y129" s="329">
        <f t="shared" si="18"/>
        <v>0</v>
      </c>
      <c r="Z129" s="330">
        <f t="shared" si="19"/>
        <v>0</v>
      </c>
      <c r="AA129" s="22"/>
      <c r="AC129" s="308" t="s">
        <v>169</v>
      </c>
      <c r="AD129" s="372" t="s">
        <v>169</v>
      </c>
      <c r="AE129" s="299">
        <f t="shared" si="13"/>
        <v>19</v>
      </c>
      <c r="AF129" s="311" t="str">
        <f t="shared" si="14"/>
        <v/>
      </c>
      <c r="AH129" s="292"/>
      <c r="AI129" s="792" t="s">
        <v>443</v>
      </c>
      <c r="AJ129" s="789"/>
      <c r="AK129" s="789"/>
      <c r="AL129" s="789"/>
      <c r="AM129" s="756"/>
      <c r="AN129" s="138" t="s">
        <v>171</v>
      </c>
      <c r="AO129" s="299">
        <f t="shared" si="2"/>
        <v>2</v>
      </c>
      <c r="AP129" s="300"/>
      <c r="AQ129" s="292"/>
      <c r="AR129" s="788" t="s">
        <v>444</v>
      </c>
      <c r="AS129" s="789"/>
      <c r="AT129" s="789"/>
      <c r="AU129" s="789"/>
      <c r="AV129" s="789"/>
      <c r="AW129" s="69" t="s">
        <v>445</v>
      </c>
      <c r="AX129" s="299">
        <f t="shared" si="1"/>
        <v>0</v>
      </c>
      <c r="AY129" s="306"/>
      <c r="AZ129" s="292"/>
      <c r="BA129" s="295"/>
    </row>
    <row r="130" spans="1:56" ht="15.75" customHeight="1" thickBot="1">
      <c r="A130" s="788" t="s">
        <v>446</v>
      </c>
      <c r="B130" s="789"/>
      <c r="C130" s="756"/>
      <c r="D130" s="324"/>
      <c r="E130" s="325"/>
      <c r="F130" s="407" t="s">
        <v>447</v>
      </c>
      <c r="G130" s="799">
        <f t="shared" si="15"/>
        <v>0</v>
      </c>
      <c r="H130" s="789"/>
      <c r="I130" s="756"/>
      <c r="J130" s="327"/>
      <c r="K130" s="346"/>
      <c r="L130" s="329"/>
      <c r="M130" s="22"/>
      <c r="N130" s="788" t="s">
        <v>446</v>
      </c>
      <c r="O130" s="789"/>
      <c r="P130" s="756"/>
      <c r="Q130" s="324"/>
      <c r="R130" s="325"/>
      <c r="S130" s="407" t="s">
        <v>447</v>
      </c>
      <c r="T130" s="799">
        <f t="shared" si="17"/>
        <v>0</v>
      </c>
      <c r="U130" s="789"/>
      <c r="V130" s="756"/>
      <c r="W130" s="327"/>
      <c r="X130" s="346"/>
      <c r="Y130" s="329">
        <f t="shared" si="18"/>
        <v>0</v>
      </c>
      <c r="Z130" s="330">
        <f t="shared" si="19"/>
        <v>0</v>
      </c>
      <c r="AA130" s="22"/>
      <c r="AC130" s="308" t="s">
        <v>448</v>
      </c>
      <c r="AD130" s="408" t="s">
        <v>449</v>
      </c>
      <c r="AE130" s="299">
        <f t="shared" si="13"/>
        <v>0</v>
      </c>
      <c r="AF130" s="311" t="str">
        <f t="shared" si="14"/>
        <v/>
      </c>
      <c r="AH130" s="292"/>
      <c r="AI130" s="792" t="s">
        <v>450</v>
      </c>
      <c r="AJ130" s="789"/>
      <c r="AK130" s="789"/>
      <c r="AL130" s="789"/>
      <c r="AM130" s="756"/>
      <c r="AN130" s="409" t="s">
        <v>451</v>
      </c>
      <c r="AO130" s="299">
        <f t="shared" si="2"/>
        <v>0</v>
      </c>
      <c r="AP130" s="300"/>
      <c r="AQ130" s="292"/>
      <c r="AR130" s="788" t="s">
        <v>452</v>
      </c>
      <c r="AS130" s="789"/>
      <c r="AT130" s="789"/>
      <c r="AU130" s="789"/>
      <c r="AV130" s="789"/>
      <c r="AW130" s="410" t="s">
        <v>453</v>
      </c>
      <c r="AX130" s="299">
        <f t="shared" si="1"/>
        <v>0</v>
      </c>
      <c r="AY130" s="306"/>
      <c r="AZ130" s="292"/>
      <c r="BA130" s="295"/>
    </row>
    <row r="131" spans="1:56" ht="15.75" customHeight="1" thickBot="1">
      <c r="A131" s="788" t="s">
        <v>30</v>
      </c>
      <c r="B131" s="789"/>
      <c r="C131" s="756"/>
      <c r="D131" s="324"/>
      <c r="E131" s="325" t="s">
        <v>306</v>
      </c>
      <c r="F131" s="411" t="s">
        <v>31</v>
      </c>
      <c r="G131" s="799">
        <f t="shared" si="15"/>
        <v>0</v>
      </c>
      <c r="H131" s="789"/>
      <c r="I131" s="756"/>
      <c r="J131" s="327"/>
      <c r="K131" s="328"/>
      <c r="L131" s="329">
        <f t="shared" ref="L131:L144" si="20">G131-K131-J131</f>
        <v>0</v>
      </c>
      <c r="M131" s="22"/>
      <c r="N131" s="788" t="s">
        <v>30</v>
      </c>
      <c r="O131" s="789"/>
      <c r="P131" s="756"/>
      <c r="Q131" s="324"/>
      <c r="R131" s="325" t="s">
        <v>306</v>
      </c>
      <c r="S131" s="411" t="s">
        <v>31</v>
      </c>
      <c r="T131" s="799">
        <f t="shared" si="17"/>
        <v>0</v>
      </c>
      <c r="U131" s="789"/>
      <c r="V131" s="756"/>
      <c r="W131" s="327"/>
      <c r="X131" s="328"/>
      <c r="Y131" s="329">
        <f t="shared" si="18"/>
        <v>0</v>
      </c>
      <c r="Z131" s="330">
        <f t="shared" si="19"/>
        <v>0</v>
      </c>
      <c r="AA131" s="22"/>
      <c r="AC131" s="308" t="s">
        <v>454</v>
      </c>
      <c r="AD131" s="166" t="s">
        <v>189</v>
      </c>
      <c r="AE131" s="299">
        <f t="shared" si="13"/>
        <v>12</v>
      </c>
      <c r="AF131" s="311" t="str">
        <f t="shared" si="14"/>
        <v/>
      </c>
      <c r="AH131" s="292"/>
      <c r="AI131" s="792" t="s">
        <v>455</v>
      </c>
      <c r="AJ131" s="789"/>
      <c r="AK131" s="789"/>
      <c r="AL131" s="789"/>
      <c r="AM131" s="756"/>
      <c r="AN131" s="36" t="s">
        <v>456</v>
      </c>
      <c r="AO131" s="299">
        <f t="shared" si="2"/>
        <v>0</v>
      </c>
      <c r="AP131" s="300"/>
      <c r="AQ131" s="292"/>
      <c r="AR131" s="788" t="s">
        <v>457</v>
      </c>
      <c r="AS131" s="789"/>
      <c r="AT131" s="789"/>
      <c r="AU131" s="789"/>
      <c r="AV131" s="789"/>
      <c r="AW131" s="412" t="s">
        <v>458</v>
      </c>
      <c r="AX131" s="299">
        <f t="shared" si="1"/>
        <v>0</v>
      </c>
      <c r="AY131" s="306"/>
      <c r="AZ131" s="292"/>
      <c r="BA131" s="295"/>
    </row>
    <row r="132" spans="1:56" ht="15.75" customHeight="1" thickBot="1">
      <c r="A132" s="788" t="s">
        <v>27</v>
      </c>
      <c r="B132" s="789"/>
      <c r="C132" s="756"/>
      <c r="D132" s="324"/>
      <c r="E132" s="325"/>
      <c r="F132" s="413" t="s">
        <v>24</v>
      </c>
      <c r="G132" s="799">
        <f t="shared" si="15"/>
        <v>0</v>
      </c>
      <c r="H132" s="789"/>
      <c r="I132" s="756"/>
      <c r="J132" s="327"/>
      <c r="K132" s="328"/>
      <c r="L132" s="329">
        <f t="shared" si="20"/>
        <v>0</v>
      </c>
      <c r="M132" s="22"/>
      <c r="N132" s="788" t="s">
        <v>27</v>
      </c>
      <c r="O132" s="789"/>
      <c r="P132" s="756"/>
      <c r="Q132" s="324"/>
      <c r="R132" s="325"/>
      <c r="S132" s="413" t="s">
        <v>24</v>
      </c>
      <c r="T132" s="799">
        <f t="shared" si="17"/>
        <v>1</v>
      </c>
      <c r="U132" s="789"/>
      <c r="V132" s="756"/>
      <c r="W132" s="327"/>
      <c r="X132" s="328"/>
      <c r="Y132" s="329">
        <f t="shared" si="18"/>
        <v>1</v>
      </c>
      <c r="Z132" s="330">
        <f t="shared" si="19"/>
        <v>1</v>
      </c>
      <c r="AA132" s="22"/>
      <c r="AC132" s="308" t="s">
        <v>459</v>
      </c>
      <c r="AD132" s="360" t="s">
        <v>459</v>
      </c>
      <c r="AE132" s="299">
        <f t="shared" si="13"/>
        <v>0</v>
      </c>
      <c r="AF132" s="311" t="str">
        <f t="shared" si="14"/>
        <v/>
      </c>
      <c r="AH132" s="292"/>
      <c r="AI132" s="792" t="s">
        <v>460</v>
      </c>
      <c r="AJ132" s="789"/>
      <c r="AK132" s="789"/>
      <c r="AL132" s="789"/>
      <c r="AM132" s="756"/>
      <c r="AN132" s="107" t="s">
        <v>461</v>
      </c>
      <c r="AO132" s="299">
        <f t="shared" si="2"/>
        <v>0</v>
      </c>
      <c r="AP132" s="300"/>
      <c r="AQ132" s="292"/>
      <c r="AR132" s="788" t="s">
        <v>462</v>
      </c>
      <c r="AS132" s="789"/>
      <c r="AT132" s="789"/>
      <c r="AU132" s="789"/>
      <c r="AV132" s="789"/>
      <c r="AW132" s="414" t="s">
        <v>463</v>
      </c>
      <c r="AX132" s="299">
        <f t="shared" si="1"/>
        <v>0</v>
      </c>
      <c r="AY132" s="415"/>
      <c r="AZ132" s="292"/>
      <c r="BA132" s="295"/>
    </row>
    <row r="133" spans="1:56" ht="15.75" customHeight="1">
      <c r="A133" s="788" t="s">
        <v>114</v>
      </c>
      <c r="B133" s="789"/>
      <c r="C133" s="756"/>
      <c r="D133" s="324"/>
      <c r="E133" s="325"/>
      <c r="F133" s="416" t="s">
        <v>113</v>
      </c>
      <c r="G133" s="799">
        <f t="shared" si="15"/>
        <v>0</v>
      </c>
      <c r="H133" s="789"/>
      <c r="I133" s="756"/>
      <c r="J133" s="327"/>
      <c r="K133" s="346"/>
      <c r="L133" s="329">
        <f t="shared" si="20"/>
        <v>0</v>
      </c>
      <c r="M133" s="22"/>
      <c r="N133" s="788" t="s">
        <v>114</v>
      </c>
      <c r="O133" s="789"/>
      <c r="P133" s="756"/>
      <c r="Q133" s="324"/>
      <c r="R133" s="325"/>
      <c r="S133" s="416" t="s">
        <v>113</v>
      </c>
      <c r="T133" s="799">
        <f t="shared" si="17"/>
        <v>0</v>
      </c>
      <c r="U133" s="789"/>
      <c r="V133" s="756"/>
      <c r="W133" s="327"/>
      <c r="X133" s="346"/>
      <c r="Y133" s="329">
        <f t="shared" si="18"/>
        <v>0</v>
      </c>
      <c r="Z133" s="330">
        <f t="shared" si="19"/>
        <v>0</v>
      </c>
      <c r="AA133" s="22"/>
      <c r="AC133" s="308" t="s">
        <v>464</v>
      </c>
      <c r="AD133" s="360" t="s">
        <v>162</v>
      </c>
      <c r="AE133" s="299">
        <f t="shared" si="13"/>
        <v>22</v>
      </c>
      <c r="AF133" s="311" t="str">
        <f t="shared" si="14"/>
        <v/>
      </c>
      <c r="AH133" s="292"/>
      <c r="AI133" s="792" t="s">
        <v>465</v>
      </c>
      <c r="AJ133" s="789"/>
      <c r="AK133" s="789"/>
      <c r="AL133" s="789"/>
      <c r="AM133" s="756"/>
      <c r="AN133" s="312" t="s">
        <v>466</v>
      </c>
      <c r="AO133" s="299">
        <f t="shared" si="2"/>
        <v>0</v>
      </c>
      <c r="AP133" s="300"/>
      <c r="AQ133" s="292"/>
      <c r="AR133" s="788" t="s">
        <v>467</v>
      </c>
      <c r="AS133" s="789"/>
      <c r="AT133" s="789"/>
      <c r="AU133" s="789"/>
      <c r="AV133" s="789"/>
      <c r="AW133" s="142" t="s">
        <v>468</v>
      </c>
      <c r="AX133" s="299">
        <f t="shared" si="1"/>
        <v>0</v>
      </c>
      <c r="AY133" s="415"/>
      <c r="AZ133" s="292"/>
      <c r="BA133" s="295"/>
    </row>
    <row r="134" spans="1:56" ht="15.75" customHeight="1" thickBot="1">
      <c r="A134" s="788" t="s">
        <v>112</v>
      </c>
      <c r="B134" s="789"/>
      <c r="C134" s="756"/>
      <c r="D134" s="324"/>
      <c r="E134" s="325"/>
      <c r="F134" s="417" t="s">
        <v>111</v>
      </c>
      <c r="G134" s="799">
        <f t="shared" si="15"/>
        <v>0</v>
      </c>
      <c r="H134" s="789"/>
      <c r="I134" s="756"/>
      <c r="J134" s="327"/>
      <c r="K134" s="328"/>
      <c r="L134" s="329">
        <f t="shared" si="20"/>
        <v>0</v>
      </c>
      <c r="M134" s="22"/>
      <c r="N134" s="788" t="s">
        <v>112</v>
      </c>
      <c r="O134" s="789"/>
      <c r="P134" s="756"/>
      <c r="Q134" s="324"/>
      <c r="R134" s="325"/>
      <c r="S134" s="417" t="s">
        <v>111</v>
      </c>
      <c r="T134" s="799">
        <f t="shared" si="17"/>
        <v>0</v>
      </c>
      <c r="U134" s="789"/>
      <c r="V134" s="756"/>
      <c r="W134" s="327"/>
      <c r="X134" s="328"/>
      <c r="Y134" s="329">
        <f t="shared" si="18"/>
        <v>0</v>
      </c>
      <c r="Z134" s="330">
        <f t="shared" si="19"/>
        <v>0</v>
      </c>
      <c r="AA134" s="22"/>
      <c r="AC134" s="308" t="s">
        <v>469</v>
      </c>
      <c r="AD134" s="418" t="s">
        <v>470</v>
      </c>
      <c r="AE134" s="299">
        <f t="shared" si="13"/>
        <v>0</v>
      </c>
      <c r="AF134" s="311" t="str">
        <f t="shared" si="14"/>
        <v/>
      </c>
      <c r="AH134" s="292"/>
      <c r="AI134" s="792" t="s">
        <v>471</v>
      </c>
      <c r="AJ134" s="789"/>
      <c r="AK134" s="789"/>
      <c r="AL134" s="789"/>
      <c r="AM134" s="756"/>
      <c r="AN134" s="332" t="s">
        <v>472</v>
      </c>
      <c r="AO134" s="299">
        <f t="shared" si="2"/>
        <v>0</v>
      </c>
      <c r="AP134" s="300"/>
      <c r="AQ134" s="292"/>
      <c r="AR134" s="788" t="s">
        <v>473</v>
      </c>
      <c r="AS134" s="789"/>
      <c r="AT134" s="789"/>
      <c r="AU134" s="789"/>
      <c r="AV134" s="789"/>
      <c r="AW134" s="419" t="s">
        <v>474</v>
      </c>
      <c r="AX134" s="299">
        <f t="shared" si="1"/>
        <v>0</v>
      </c>
      <c r="AY134" s="306"/>
      <c r="AZ134" s="292"/>
      <c r="BA134" s="295"/>
    </row>
    <row r="135" spans="1:56" ht="15.75" customHeight="1">
      <c r="A135" s="788" t="s">
        <v>475</v>
      </c>
      <c r="B135" s="789"/>
      <c r="C135" s="756"/>
      <c r="D135" s="324"/>
      <c r="E135" s="325"/>
      <c r="F135" s="420" t="s">
        <v>476</v>
      </c>
      <c r="G135" s="799">
        <f t="shared" si="15"/>
        <v>0</v>
      </c>
      <c r="H135" s="789"/>
      <c r="I135" s="756"/>
      <c r="J135" s="327"/>
      <c r="K135" s="328"/>
      <c r="L135" s="329">
        <f t="shared" si="20"/>
        <v>0</v>
      </c>
      <c r="M135" s="22"/>
      <c r="N135" s="788" t="s">
        <v>475</v>
      </c>
      <c r="O135" s="789"/>
      <c r="P135" s="756"/>
      <c r="Q135" s="324"/>
      <c r="R135" s="325"/>
      <c r="S135" s="420" t="s">
        <v>476</v>
      </c>
      <c r="T135" s="799">
        <f t="shared" si="17"/>
        <v>0</v>
      </c>
      <c r="U135" s="789"/>
      <c r="V135" s="756"/>
      <c r="W135" s="327"/>
      <c r="X135" s="328"/>
      <c r="Y135" s="329">
        <f t="shared" si="18"/>
        <v>0</v>
      </c>
      <c r="Z135" s="330">
        <f t="shared" si="19"/>
        <v>0</v>
      </c>
      <c r="AA135" s="22"/>
      <c r="AC135" s="308" t="s">
        <v>477</v>
      </c>
      <c r="AD135" s="421" t="s">
        <v>477</v>
      </c>
      <c r="AE135" s="299">
        <f t="shared" si="13"/>
        <v>0</v>
      </c>
      <c r="AF135" s="311" t="str">
        <f t="shared" si="14"/>
        <v/>
      </c>
      <c r="AH135" s="292"/>
      <c r="AI135" s="792" t="s">
        <v>478</v>
      </c>
      <c r="AJ135" s="789"/>
      <c r="AK135" s="789"/>
      <c r="AL135" s="789"/>
      <c r="AM135" s="756"/>
      <c r="AN135" s="36" t="s">
        <v>479</v>
      </c>
      <c r="AO135" s="299">
        <f t="shared" si="2"/>
        <v>0</v>
      </c>
      <c r="AP135" s="300"/>
      <c r="AQ135" s="292"/>
      <c r="AR135" s="788" t="s">
        <v>480</v>
      </c>
      <c r="AS135" s="789"/>
      <c r="AT135" s="789"/>
      <c r="AU135" s="789"/>
      <c r="AV135" s="789"/>
      <c r="AW135" s="422" t="s">
        <v>481</v>
      </c>
      <c r="AX135" s="299">
        <f t="shared" si="1"/>
        <v>0</v>
      </c>
      <c r="AY135" s="306"/>
      <c r="AZ135" s="292"/>
      <c r="BA135" s="295"/>
      <c r="BC135" s="292"/>
      <c r="BD135" s="292"/>
    </row>
    <row r="136" spans="1:56" ht="15.75" customHeight="1" thickBot="1">
      <c r="A136" s="788" t="s">
        <v>42</v>
      </c>
      <c r="B136" s="789"/>
      <c r="C136" s="756"/>
      <c r="D136" s="324"/>
      <c r="E136" s="325"/>
      <c r="F136" s="423" t="s">
        <v>42</v>
      </c>
      <c r="G136" s="799">
        <f t="shared" si="15"/>
        <v>0</v>
      </c>
      <c r="H136" s="789"/>
      <c r="I136" s="756"/>
      <c r="J136" s="327"/>
      <c r="K136" s="328"/>
      <c r="L136" s="329">
        <f t="shared" si="20"/>
        <v>0</v>
      </c>
      <c r="M136" s="22"/>
      <c r="N136" s="788" t="s">
        <v>42</v>
      </c>
      <c r="O136" s="789"/>
      <c r="P136" s="756"/>
      <c r="Q136" s="324"/>
      <c r="R136" s="325"/>
      <c r="S136" s="423" t="s">
        <v>42</v>
      </c>
      <c r="T136" s="799">
        <f t="shared" si="17"/>
        <v>0</v>
      </c>
      <c r="U136" s="789"/>
      <c r="V136" s="756"/>
      <c r="W136" s="327"/>
      <c r="X136" s="328"/>
      <c r="Y136" s="329">
        <f t="shared" si="18"/>
        <v>0</v>
      </c>
      <c r="Z136" s="330">
        <f t="shared" si="19"/>
        <v>0</v>
      </c>
      <c r="AA136" s="22"/>
      <c r="AC136" s="308" t="s">
        <v>482</v>
      </c>
      <c r="AD136" s="137" t="s">
        <v>483</v>
      </c>
      <c r="AE136" s="299">
        <f t="shared" si="13"/>
        <v>0</v>
      </c>
      <c r="AF136" s="311" t="str">
        <f t="shared" si="14"/>
        <v/>
      </c>
      <c r="AH136" s="292"/>
      <c r="AI136" s="792" t="s">
        <v>484</v>
      </c>
      <c r="AJ136" s="789"/>
      <c r="AK136" s="789"/>
      <c r="AL136" s="789"/>
      <c r="AM136" s="756"/>
      <c r="AN136" s="36" t="s">
        <v>166</v>
      </c>
      <c r="AO136" s="299">
        <f t="shared" si="2"/>
        <v>2</v>
      </c>
      <c r="AP136" s="300"/>
      <c r="AQ136" s="292"/>
      <c r="AR136" s="788" t="s">
        <v>485</v>
      </c>
      <c r="AS136" s="789"/>
      <c r="AT136" s="789"/>
      <c r="AU136" s="789"/>
      <c r="AV136" s="789"/>
      <c r="AW136" s="424" t="s">
        <v>486</v>
      </c>
      <c r="AX136" s="299">
        <f t="shared" si="1"/>
        <v>0</v>
      </c>
      <c r="AY136" s="415"/>
      <c r="AZ136" s="292"/>
      <c r="BA136" s="295"/>
      <c r="BB136" s="292"/>
      <c r="BC136" s="292"/>
      <c r="BD136" s="292"/>
    </row>
    <row r="137" spans="1:56" ht="15.75" customHeight="1">
      <c r="A137" s="788" t="s">
        <v>487</v>
      </c>
      <c r="B137" s="789"/>
      <c r="C137" s="756"/>
      <c r="D137" s="324"/>
      <c r="E137" s="325"/>
      <c r="F137" s="425" t="s">
        <v>488</v>
      </c>
      <c r="G137" s="799">
        <f t="shared" si="15"/>
        <v>0</v>
      </c>
      <c r="H137" s="789"/>
      <c r="I137" s="756"/>
      <c r="J137" s="327"/>
      <c r="K137" s="346"/>
      <c r="L137" s="329">
        <f t="shared" si="20"/>
        <v>0</v>
      </c>
      <c r="M137" s="22"/>
      <c r="N137" s="788" t="s">
        <v>487</v>
      </c>
      <c r="O137" s="789"/>
      <c r="P137" s="756"/>
      <c r="Q137" s="324"/>
      <c r="R137" s="325"/>
      <c r="S137" s="425" t="s">
        <v>488</v>
      </c>
      <c r="T137" s="799">
        <f t="shared" si="17"/>
        <v>0</v>
      </c>
      <c r="U137" s="789"/>
      <c r="V137" s="756"/>
      <c r="W137" s="327"/>
      <c r="X137" s="346"/>
      <c r="Y137" s="329">
        <f t="shared" si="18"/>
        <v>0</v>
      </c>
      <c r="Z137" s="330">
        <f t="shared" si="19"/>
        <v>0</v>
      </c>
      <c r="AA137" s="22"/>
      <c r="AC137" s="308" t="s">
        <v>489</v>
      </c>
      <c r="AD137" s="293" t="s">
        <v>490</v>
      </c>
      <c r="AE137" s="299">
        <f t="shared" si="13"/>
        <v>0</v>
      </c>
      <c r="AF137" s="311" t="str">
        <f t="shared" si="14"/>
        <v/>
      </c>
      <c r="AH137" s="292"/>
      <c r="AI137" s="792" t="s">
        <v>491</v>
      </c>
      <c r="AJ137" s="789"/>
      <c r="AK137" s="789"/>
      <c r="AL137" s="789"/>
      <c r="AM137" s="756"/>
      <c r="AN137" s="36" t="s">
        <v>492</v>
      </c>
      <c r="AO137" s="299">
        <f t="shared" si="2"/>
        <v>0</v>
      </c>
      <c r="AP137" s="300"/>
      <c r="AQ137" s="292"/>
      <c r="AR137" s="301" t="s">
        <v>493</v>
      </c>
      <c r="AS137" s="426"/>
      <c r="AT137" s="426"/>
      <c r="AU137" s="426"/>
      <c r="AV137" s="426"/>
      <c r="AW137" s="367" t="s">
        <v>494</v>
      </c>
      <c r="AX137" s="299">
        <f t="shared" si="1"/>
        <v>0</v>
      </c>
      <c r="AY137" s="306"/>
      <c r="AZ137" s="292"/>
      <c r="BA137" s="295"/>
      <c r="BB137" s="292"/>
      <c r="BC137" s="292"/>
      <c r="BD137" s="292"/>
    </row>
    <row r="138" spans="1:56" ht="15.75" customHeight="1" thickBot="1">
      <c r="A138" s="788" t="s">
        <v>91</v>
      </c>
      <c r="B138" s="789"/>
      <c r="C138" s="756"/>
      <c r="D138" s="324"/>
      <c r="E138" s="325" t="s">
        <v>306</v>
      </c>
      <c r="F138" s="427" t="s">
        <v>90</v>
      </c>
      <c r="G138" s="799">
        <f t="shared" si="15"/>
        <v>0</v>
      </c>
      <c r="H138" s="789"/>
      <c r="I138" s="756"/>
      <c r="J138" s="327"/>
      <c r="K138" s="346"/>
      <c r="L138" s="329">
        <f t="shared" si="20"/>
        <v>0</v>
      </c>
      <c r="M138" s="22"/>
      <c r="N138" s="788" t="s">
        <v>91</v>
      </c>
      <c r="O138" s="789"/>
      <c r="P138" s="756"/>
      <c r="Q138" s="324"/>
      <c r="R138" s="325" t="s">
        <v>306</v>
      </c>
      <c r="S138" s="427" t="s">
        <v>90</v>
      </c>
      <c r="T138" s="799">
        <f t="shared" si="17"/>
        <v>0</v>
      </c>
      <c r="U138" s="789"/>
      <c r="V138" s="756"/>
      <c r="W138" s="327"/>
      <c r="X138" s="346"/>
      <c r="Y138" s="329">
        <f t="shared" si="18"/>
        <v>0</v>
      </c>
      <c r="Z138" s="330">
        <f t="shared" si="19"/>
        <v>0</v>
      </c>
      <c r="AA138" s="22"/>
      <c r="AC138" s="308" t="s">
        <v>495</v>
      </c>
      <c r="AD138" s="396" t="s">
        <v>496</v>
      </c>
      <c r="AE138" s="299">
        <f t="shared" si="13"/>
        <v>0</v>
      </c>
      <c r="AF138" s="311" t="str">
        <f t="shared" si="14"/>
        <v/>
      </c>
      <c r="AH138" s="292"/>
      <c r="AI138" s="792" t="s">
        <v>497</v>
      </c>
      <c r="AJ138" s="789"/>
      <c r="AK138" s="789"/>
      <c r="AL138" s="789"/>
      <c r="AM138" s="756"/>
      <c r="AN138" s="428" t="s">
        <v>498</v>
      </c>
      <c r="AO138" s="299">
        <f t="shared" si="2"/>
        <v>0</v>
      </c>
      <c r="AP138" s="300"/>
      <c r="AQ138" s="292"/>
      <c r="AR138" s="788" t="s">
        <v>499</v>
      </c>
      <c r="AS138" s="789"/>
      <c r="AT138" s="789"/>
      <c r="AU138" s="789"/>
      <c r="AV138" s="756"/>
      <c r="AW138" s="429" t="s">
        <v>500</v>
      </c>
      <c r="AX138" s="299">
        <f t="shared" si="1"/>
        <v>0</v>
      </c>
      <c r="AY138" s="306"/>
      <c r="AZ138" s="292"/>
      <c r="BA138" s="295"/>
      <c r="BB138" s="292"/>
      <c r="BC138" s="292"/>
      <c r="BD138" s="292"/>
    </row>
    <row r="139" spans="1:56" ht="15.75" customHeight="1" thickBot="1">
      <c r="A139" s="788" t="s">
        <v>93</v>
      </c>
      <c r="B139" s="789"/>
      <c r="C139" s="756"/>
      <c r="D139" s="324"/>
      <c r="E139" s="325" t="s">
        <v>306</v>
      </c>
      <c r="F139" s="430" t="s">
        <v>92</v>
      </c>
      <c r="G139" s="799">
        <f t="shared" si="15"/>
        <v>0</v>
      </c>
      <c r="H139" s="789"/>
      <c r="I139" s="756"/>
      <c r="J139" s="327"/>
      <c r="K139" s="328"/>
      <c r="L139" s="329">
        <f t="shared" si="20"/>
        <v>0</v>
      </c>
      <c r="M139" s="22"/>
      <c r="N139" s="788" t="s">
        <v>93</v>
      </c>
      <c r="O139" s="789"/>
      <c r="P139" s="756"/>
      <c r="Q139" s="324"/>
      <c r="R139" s="325" t="s">
        <v>306</v>
      </c>
      <c r="S139" s="430" t="s">
        <v>92</v>
      </c>
      <c r="T139" s="799">
        <f t="shared" si="17"/>
        <v>0</v>
      </c>
      <c r="U139" s="789"/>
      <c r="V139" s="756"/>
      <c r="W139" s="327"/>
      <c r="X139" s="328"/>
      <c r="Y139" s="329">
        <f t="shared" si="18"/>
        <v>0</v>
      </c>
      <c r="Z139" s="330">
        <f t="shared" si="19"/>
        <v>0</v>
      </c>
      <c r="AA139" s="22"/>
      <c r="AC139" s="308" t="s">
        <v>501</v>
      </c>
      <c r="AD139" s="431" t="s">
        <v>502</v>
      </c>
      <c r="AE139" s="299">
        <f t="shared" si="13"/>
        <v>0</v>
      </c>
      <c r="AF139" s="311" t="str">
        <f t="shared" si="14"/>
        <v/>
      </c>
      <c r="AH139" s="292"/>
      <c r="AI139" s="792" t="s">
        <v>503</v>
      </c>
      <c r="AJ139" s="789"/>
      <c r="AK139" s="789"/>
      <c r="AL139" s="789"/>
      <c r="AM139" s="756"/>
      <c r="AN139" s="36" t="s">
        <v>504</v>
      </c>
      <c r="AO139" s="299">
        <f t="shared" si="2"/>
        <v>0</v>
      </c>
      <c r="AP139" s="300"/>
      <c r="AQ139" s="292"/>
      <c r="AR139" s="792" t="s">
        <v>505</v>
      </c>
      <c r="AS139" s="789"/>
      <c r="AT139" s="789"/>
      <c r="AU139" s="789"/>
      <c r="AV139" s="789"/>
      <c r="AW139" s="432" t="s">
        <v>506</v>
      </c>
      <c r="AX139" s="299">
        <f t="shared" si="1"/>
        <v>0</v>
      </c>
      <c r="AY139" s="433"/>
      <c r="AZ139" s="292"/>
      <c r="BA139" s="295"/>
      <c r="BB139" s="292"/>
      <c r="BC139" s="292"/>
      <c r="BD139" s="292"/>
    </row>
    <row r="140" spans="1:56" ht="15.75" customHeight="1" thickBot="1">
      <c r="A140" s="788" t="s">
        <v>507</v>
      </c>
      <c r="B140" s="789"/>
      <c r="C140" s="756"/>
      <c r="D140" s="324" t="s">
        <v>6</v>
      </c>
      <c r="E140" s="325" t="s">
        <v>306</v>
      </c>
      <c r="F140" s="434" t="s">
        <v>116</v>
      </c>
      <c r="G140" s="799">
        <f t="shared" si="15"/>
        <v>0</v>
      </c>
      <c r="H140" s="789"/>
      <c r="I140" s="756"/>
      <c r="J140" s="327"/>
      <c r="K140" s="328"/>
      <c r="L140" s="329">
        <f t="shared" si="20"/>
        <v>0</v>
      </c>
      <c r="M140" s="22"/>
      <c r="N140" s="788" t="s">
        <v>507</v>
      </c>
      <c r="O140" s="789"/>
      <c r="P140" s="756"/>
      <c r="Q140" s="324" t="s">
        <v>6</v>
      </c>
      <c r="R140" s="325" t="s">
        <v>306</v>
      </c>
      <c r="S140" s="434" t="s">
        <v>116</v>
      </c>
      <c r="T140" s="799">
        <f t="shared" si="17"/>
        <v>0</v>
      </c>
      <c r="U140" s="789"/>
      <c r="V140" s="756"/>
      <c r="W140" s="327"/>
      <c r="X140" s="328"/>
      <c r="Y140" s="329">
        <f t="shared" si="18"/>
        <v>0</v>
      </c>
      <c r="Z140" s="330">
        <f t="shared" si="19"/>
        <v>0</v>
      </c>
      <c r="AA140" s="22"/>
      <c r="AC140" s="308" t="s">
        <v>508</v>
      </c>
      <c r="AD140" s="360" t="s">
        <v>509</v>
      </c>
      <c r="AE140" s="299">
        <f t="shared" si="13"/>
        <v>0</v>
      </c>
      <c r="AF140" s="311" t="str">
        <f t="shared" si="14"/>
        <v/>
      </c>
      <c r="AH140" s="292"/>
      <c r="AI140" s="792" t="s">
        <v>510</v>
      </c>
      <c r="AJ140" s="789"/>
      <c r="AK140" s="789"/>
      <c r="AL140" s="789"/>
      <c r="AM140" s="756"/>
      <c r="AN140" s="435" t="s">
        <v>511</v>
      </c>
      <c r="AO140" s="299">
        <f t="shared" si="2"/>
        <v>0</v>
      </c>
      <c r="AP140" s="300"/>
      <c r="AQ140" s="292"/>
      <c r="AR140" s="809" t="s">
        <v>512</v>
      </c>
      <c r="AS140" s="789"/>
      <c r="AT140" s="789"/>
      <c r="AU140" s="789"/>
      <c r="AV140" s="756"/>
      <c r="AW140" s="436"/>
      <c r="AX140" s="437">
        <f>SUM(AX99:AX139)</f>
        <v>10</v>
      </c>
      <c r="AY140" s="292"/>
      <c r="AZ140" s="292"/>
      <c r="BA140" s="295"/>
      <c r="BB140" s="292"/>
      <c r="BC140" s="292"/>
      <c r="BD140" s="292"/>
    </row>
    <row r="141" spans="1:56" ht="15.75" customHeight="1" thickBot="1">
      <c r="A141" s="788" t="s">
        <v>33</v>
      </c>
      <c r="B141" s="789"/>
      <c r="C141" s="756"/>
      <c r="D141" s="324"/>
      <c r="E141" s="325" t="s">
        <v>306</v>
      </c>
      <c r="F141" s="438" t="s">
        <v>34</v>
      </c>
      <c r="G141" s="799">
        <f t="shared" si="15"/>
        <v>0</v>
      </c>
      <c r="H141" s="789"/>
      <c r="I141" s="756"/>
      <c r="J141" s="327"/>
      <c r="K141" s="346"/>
      <c r="L141" s="329">
        <f t="shared" si="20"/>
        <v>0</v>
      </c>
      <c r="M141" s="22"/>
      <c r="N141" s="788" t="s">
        <v>33</v>
      </c>
      <c r="O141" s="789"/>
      <c r="P141" s="756"/>
      <c r="Q141" s="324"/>
      <c r="R141" s="325" t="s">
        <v>306</v>
      </c>
      <c r="S141" s="438" t="s">
        <v>34</v>
      </c>
      <c r="T141" s="799">
        <f t="shared" si="17"/>
        <v>1</v>
      </c>
      <c r="U141" s="789"/>
      <c r="V141" s="756"/>
      <c r="W141" s="327"/>
      <c r="X141" s="346"/>
      <c r="Y141" s="329">
        <f t="shared" si="18"/>
        <v>1</v>
      </c>
      <c r="Z141" s="330">
        <f t="shared" si="19"/>
        <v>1</v>
      </c>
      <c r="AA141" s="22"/>
      <c r="AC141" s="308" t="s">
        <v>345</v>
      </c>
      <c r="AD141" s="439" t="s">
        <v>513</v>
      </c>
      <c r="AE141" s="299">
        <f t="shared" si="13"/>
        <v>0</v>
      </c>
      <c r="AF141" s="311" t="str">
        <f t="shared" si="14"/>
        <v/>
      </c>
      <c r="AH141" s="292"/>
      <c r="AI141" s="792" t="s">
        <v>514</v>
      </c>
      <c r="AJ141" s="789"/>
      <c r="AK141" s="789"/>
      <c r="AL141" s="789"/>
      <c r="AM141" s="756"/>
      <c r="AN141" s="59" t="s">
        <v>515</v>
      </c>
      <c r="AO141" s="299">
        <f t="shared" si="2"/>
        <v>0</v>
      </c>
      <c r="AP141" s="300"/>
      <c r="AQ141" s="292"/>
      <c r="AR141" s="292"/>
      <c r="AS141" s="292"/>
      <c r="AT141" s="292"/>
      <c r="AU141" s="292"/>
      <c r="AV141" s="292"/>
      <c r="AW141" s="292"/>
      <c r="AX141" s="292"/>
      <c r="AY141" s="292"/>
      <c r="AZ141" s="292"/>
      <c r="BA141" s="295"/>
      <c r="BB141" s="292"/>
      <c r="BC141" s="292"/>
      <c r="BD141" s="292"/>
    </row>
    <row r="142" spans="1:56" ht="15.75" customHeight="1" thickBot="1">
      <c r="A142" s="788" t="s">
        <v>95</v>
      </c>
      <c r="B142" s="789"/>
      <c r="C142" s="756"/>
      <c r="D142" s="324"/>
      <c r="E142" s="325" t="s">
        <v>306</v>
      </c>
      <c r="F142" s="440" t="s">
        <v>94</v>
      </c>
      <c r="G142" s="799">
        <f t="shared" si="15"/>
        <v>0</v>
      </c>
      <c r="H142" s="789"/>
      <c r="I142" s="756"/>
      <c r="J142" s="327"/>
      <c r="K142" s="346"/>
      <c r="L142" s="329">
        <f t="shared" si="20"/>
        <v>0</v>
      </c>
      <c r="M142" s="22"/>
      <c r="N142" s="788" t="s">
        <v>95</v>
      </c>
      <c r="O142" s="789"/>
      <c r="P142" s="756"/>
      <c r="Q142" s="324"/>
      <c r="R142" s="325" t="s">
        <v>306</v>
      </c>
      <c r="S142" s="440" t="s">
        <v>94</v>
      </c>
      <c r="T142" s="799">
        <f t="shared" si="17"/>
        <v>0</v>
      </c>
      <c r="U142" s="789"/>
      <c r="V142" s="756"/>
      <c r="W142" s="327"/>
      <c r="X142" s="346"/>
      <c r="Y142" s="329">
        <f t="shared" si="18"/>
        <v>0</v>
      </c>
      <c r="Z142" s="330">
        <f t="shared" si="19"/>
        <v>0</v>
      </c>
      <c r="AA142" s="22"/>
      <c r="AC142" s="308" t="s">
        <v>516</v>
      </c>
      <c r="AD142" s="441" t="s">
        <v>517</v>
      </c>
      <c r="AE142" s="299">
        <f t="shared" si="13"/>
        <v>0</v>
      </c>
      <c r="AF142" s="311" t="str">
        <f t="shared" si="14"/>
        <v/>
      </c>
      <c r="AH142" s="292"/>
      <c r="AI142" s="792" t="s">
        <v>518</v>
      </c>
      <c r="AJ142" s="789"/>
      <c r="AK142" s="789"/>
      <c r="AL142" s="789"/>
      <c r="AM142" s="756"/>
      <c r="AN142" s="59" t="s">
        <v>143</v>
      </c>
      <c r="AO142" s="299">
        <f t="shared" si="2"/>
        <v>3</v>
      </c>
      <c r="AP142" s="300"/>
      <c r="AQ142" s="292"/>
      <c r="AR142" s="795" t="s">
        <v>307</v>
      </c>
      <c r="AS142" s="789"/>
      <c r="AT142" s="789"/>
      <c r="AU142" s="789"/>
      <c r="AV142" s="789"/>
      <c r="AW142" s="756"/>
      <c r="AX142" s="293" t="s">
        <v>260</v>
      </c>
      <c r="AY142" s="294"/>
      <c r="AZ142" s="292"/>
      <c r="BA142" s="295"/>
      <c r="BB142" s="292"/>
      <c r="BC142" s="292"/>
      <c r="BD142" s="292"/>
    </row>
    <row r="143" spans="1:56" ht="15.75" customHeight="1" thickBot="1">
      <c r="A143" s="788" t="s">
        <v>97</v>
      </c>
      <c r="B143" s="789"/>
      <c r="C143" s="756"/>
      <c r="D143" s="324"/>
      <c r="E143" s="325" t="s">
        <v>306</v>
      </c>
      <c r="F143" s="440" t="s">
        <v>96</v>
      </c>
      <c r="G143" s="799">
        <f t="shared" si="15"/>
        <v>0</v>
      </c>
      <c r="H143" s="789"/>
      <c r="I143" s="756"/>
      <c r="J143" s="327"/>
      <c r="K143" s="346"/>
      <c r="L143" s="329">
        <f t="shared" si="20"/>
        <v>0</v>
      </c>
      <c r="M143" s="22"/>
      <c r="N143" s="788" t="s">
        <v>97</v>
      </c>
      <c r="O143" s="789"/>
      <c r="P143" s="756"/>
      <c r="Q143" s="324"/>
      <c r="R143" s="325" t="s">
        <v>306</v>
      </c>
      <c r="S143" s="440" t="s">
        <v>96</v>
      </c>
      <c r="T143" s="799">
        <f t="shared" si="17"/>
        <v>0</v>
      </c>
      <c r="U143" s="789"/>
      <c r="V143" s="756"/>
      <c r="W143" s="327"/>
      <c r="X143" s="346"/>
      <c r="Y143" s="329">
        <f t="shared" si="18"/>
        <v>0</v>
      </c>
      <c r="Z143" s="330">
        <f t="shared" si="19"/>
        <v>0</v>
      </c>
      <c r="AA143" s="22"/>
      <c r="AC143" s="308" t="s">
        <v>48</v>
      </c>
      <c r="AD143" s="442" t="s">
        <v>48</v>
      </c>
      <c r="AE143" s="299">
        <f t="shared" si="13"/>
        <v>72</v>
      </c>
      <c r="AF143" s="311" t="str">
        <f t="shared" si="14"/>
        <v/>
      </c>
      <c r="AH143" s="292"/>
      <c r="AI143" s="792" t="s">
        <v>519</v>
      </c>
      <c r="AJ143" s="789"/>
      <c r="AK143" s="789"/>
      <c r="AL143" s="789"/>
      <c r="AM143" s="756"/>
      <c r="AN143" s="67" t="s">
        <v>148</v>
      </c>
      <c r="AO143" s="299">
        <f t="shared" si="2"/>
        <v>7</v>
      </c>
      <c r="AP143" s="300"/>
      <c r="AQ143" s="292"/>
      <c r="AR143" s="810" t="s">
        <v>520</v>
      </c>
      <c r="AS143" s="789"/>
      <c r="AT143" s="789"/>
      <c r="AU143" s="789"/>
      <c r="AV143" s="789"/>
      <c r="AW143" s="443" t="s">
        <v>521</v>
      </c>
      <c r="AX143" s="299">
        <f t="shared" ref="AX143:AX195" si="21">COUNTIF($A$1:$DD$79,AW143)</f>
        <v>0</v>
      </c>
      <c r="AY143" s="444"/>
      <c r="AZ143" s="292"/>
      <c r="BA143" s="295"/>
      <c r="BB143" s="292"/>
    </row>
    <row r="144" spans="1:56" ht="15.75" customHeight="1">
      <c r="A144" s="788" t="s">
        <v>522</v>
      </c>
      <c r="B144" s="789"/>
      <c r="C144" s="756"/>
      <c r="D144" s="445"/>
      <c r="E144" s="446"/>
      <c r="F144" s="447" t="s">
        <v>523</v>
      </c>
      <c r="G144" s="799">
        <f t="shared" si="15"/>
        <v>0</v>
      </c>
      <c r="H144" s="789"/>
      <c r="I144" s="756"/>
      <c r="J144" s="327"/>
      <c r="K144" s="346"/>
      <c r="L144" s="329">
        <f t="shared" si="20"/>
        <v>0</v>
      </c>
      <c r="M144" s="22"/>
      <c r="N144" s="788" t="s">
        <v>522</v>
      </c>
      <c r="O144" s="789"/>
      <c r="P144" s="756"/>
      <c r="Q144" s="448"/>
      <c r="R144" s="449"/>
      <c r="S144" s="447" t="s">
        <v>523</v>
      </c>
      <c r="T144" s="799">
        <f t="shared" si="17"/>
        <v>0</v>
      </c>
      <c r="U144" s="789"/>
      <c r="V144" s="756"/>
      <c r="W144" s="327"/>
      <c r="X144" s="346"/>
      <c r="Y144" s="329">
        <f t="shared" si="18"/>
        <v>0</v>
      </c>
      <c r="Z144" s="330">
        <f t="shared" si="19"/>
        <v>0</v>
      </c>
      <c r="AA144" s="22"/>
      <c r="AC144" s="356" t="s">
        <v>524</v>
      </c>
      <c r="AD144" s="217" t="s">
        <v>525</v>
      </c>
      <c r="AE144" s="299">
        <f t="shared" si="13"/>
        <v>0</v>
      </c>
      <c r="AF144" s="311" t="str">
        <f t="shared" si="14"/>
        <v/>
      </c>
      <c r="AH144" s="292"/>
      <c r="AI144" s="792" t="s">
        <v>526</v>
      </c>
      <c r="AJ144" s="789"/>
      <c r="AK144" s="789"/>
      <c r="AL144" s="789"/>
      <c r="AM144" s="756"/>
      <c r="AN144" s="132" t="s">
        <v>167</v>
      </c>
      <c r="AO144" s="299">
        <f t="shared" si="2"/>
        <v>2</v>
      </c>
      <c r="AP144" s="300"/>
      <c r="AQ144" s="292"/>
      <c r="AR144" s="810" t="s">
        <v>527</v>
      </c>
      <c r="AS144" s="789"/>
      <c r="AT144" s="789"/>
      <c r="AU144" s="789"/>
      <c r="AV144" s="789"/>
      <c r="AW144" s="215" t="s">
        <v>528</v>
      </c>
      <c r="AX144" s="299">
        <f t="shared" si="21"/>
        <v>0</v>
      </c>
      <c r="AY144" s="444"/>
      <c r="AZ144" s="292"/>
      <c r="BA144" s="295"/>
      <c r="BB144" s="292"/>
    </row>
    <row r="145" spans="1:54" ht="15.75" customHeight="1">
      <c r="A145" s="807" t="s">
        <v>260</v>
      </c>
      <c r="B145" s="789"/>
      <c r="C145" s="789"/>
      <c r="D145" s="789"/>
      <c r="E145" s="789"/>
      <c r="F145" s="393"/>
      <c r="G145" s="808">
        <f>SUM(G127:I144)</f>
        <v>0</v>
      </c>
      <c r="H145" s="789"/>
      <c r="I145" s="756"/>
      <c r="J145" s="391">
        <f t="shared" ref="J145:L145" si="22">SUM(J127:J144)</f>
        <v>0</v>
      </c>
      <c r="K145" s="346">
        <f t="shared" si="22"/>
        <v>0</v>
      </c>
      <c r="L145" s="329">
        <f t="shared" si="22"/>
        <v>0</v>
      </c>
      <c r="M145" s="22"/>
      <c r="N145" s="807" t="s">
        <v>260</v>
      </c>
      <c r="O145" s="789"/>
      <c r="P145" s="789"/>
      <c r="Q145" s="789"/>
      <c r="R145" s="789"/>
      <c r="S145" s="393"/>
      <c r="T145" s="812">
        <f>SUM(T127:V144)</f>
        <v>4</v>
      </c>
      <c r="U145" s="789"/>
      <c r="V145" s="756"/>
      <c r="W145" s="391">
        <f t="shared" ref="W145:Y145" si="23">SUM(W127:W144)</f>
        <v>0</v>
      </c>
      <c r="X145" s="346">
        <f t="shared" si="23"/>
        <v>0</v>
      </c>
      <c r="Y145" s="329">
        <f t="shared" si="23"/>
        <v>4</v>
      </c>
      <c r="Z145" s="330">
        <f t="shared" si="19"/>
        <v>4</v>
      </c>
      <c r="AA145" s="22"/>
      <c r="AC145" s="308" t="s">
        <v>529</v>
      </c>
      <c r="AD145" s="450" t="s">
        <v>530</v>
      </c>
      <c r="AE145" s="299">
        <f t="shared" si="13"/>
        <v>0</v>
      </c>
      <c r="AF145" s="311" t="str">
        <f t="shared" si="14"/>
        <v/>
      </c>
      <c r="AH145" s="292"/>
      <c r="AI145" s="792" t="s">
        <v>531</v>
      </c>
      <c r="AJ145" s="789"/>
      <c r="AK145" s="789"/>
      <c r="AL145" s="789"/>
      <c r="AM145" s="756"/>
      <c r="AN145" s="451" t="s">
        <v>532</v>
      </c>
      <c r="AO145" s="299">
        <f t="shared" si="2"/>
        <v>0</v>
      </c>
      <c r="AP145" s="300"/>
      <c r="AQ145" s="292"/>
      <c r="AR145" s="810" t="s">
        <v>533</v>
      </c>
      <c r="AS145" s="789"/>
      <c r="AT145" s="789"/>
      <c r="AU145" s="789"/>
      <c r="AV145" s="789"/>
      <c r="AW145" s="215" t="s">
        <v>211</v>
      </c>
      <c r="AX145" s="299">
        <f t="shared" si="21"/>
        <v>2</v>
      </c>
      <c r="AY145" s="444"/>
      <c r="AZ145" s="292"/>
      <c r="BA145" s="295"/>
      <c r="BB145" s="292"/>
    </row>
    <row r="146" spans="1:54" ht="15.75" customHeight="1">
      <c r="A146" s="811" t="s">
        <v>534</v>
      </c>
      <c r="B146" s="789"/>
      <c r="C146" s="789"/>
      <c r="D146" s="789"/>
      <c r="E146" s="789"/>
      <c r="F146" s="789"/>
      <c r="G146" s="789"/>
      <c r="H146" s="789"/>
      <c r="I146" s="756"/>
      <c r="J146" s="320" t="s">
        <v>290</v>
      </c>
      <c r="K146" s="320" t="s">
        <v>291</v>
      </c>
      <c r="L146" s="320" t="s">
        <v>292</v>
      </c>
      <c r="M146" s="22"/>
      <c r="N146" s="811" t="s">
        <v>534</v>
      </c>
      <c r="O146" s="789"/>
      <c r="P146" s="789"/>
      <c r="Q146" s="789"/>
      <c r="R146" s="789"/>
      <c r="S146" s="789"/>
      <c r="T146" s="789"/>
      <c r="U146" s="789"/>
      <c r="V146" s="756"/>
      <c r="W146" s="321" t="s">
        <v>290</v>
      </c>
      <c r="X146" s="321" t="s">
        <v>291</v>
      </c>
      <c r="Y146" s="321" t="s">
        <v>292</v>
      </c>
      <c r="AA146" s="22"/>
      <c r="AC146" s="308" t="s">
        <v>535</v>
      </c>
      <c r="AD146" s="452" t="s">
        <v>536</v>
      </c>
      <c r="AE146" s="299">
        <f t="shared" si="13"/>
        <v>0</v>
      </c>
      <c r="AF146" s="311" t="str">
        <f t="shared" si="14"/>
        <v/>
      </c>
      <c r="AH146" s="292"/>
      <c r="AI146" s="792" t="s">
        <v>537</v>
      </c>
      <c r="AJ146" s="789"/>
      <c r="AK146" s="789"/>
      <c r="AL146" s="789"/>
      <c r="AM146" s="756"/>
      <c r="AN146" s="36" t="s">
        <v>538</v>
      </c>
      <c r="AO146" s="299">
        <f t="shared" si="2"/>
        <v>0</v>
      </c>
      <c r="AP146" s="300"/>
      <c r="AQ146" s="292"/>
      <c r="AR146" s="810" t="s">
        <v>539</v>
      </c>
      <c r="AS146" s="789"/>
      <c r="AT146" s="789"/>
      <c r="AU146" s="789"/>
      <c r="AV146" s="789"/>
      <c r="AW146" s="453" t="s">
        <v>540</v>
      </c>
      <c r="AX146" s="299">
        <f t="shared" si="21"/>
        <v>0</v>
      </c>
      <c r="AY146" s="444"/>
      <c r="AZ146" s="292"/>
      <c r="BA146" s="295"/>
    </row>
    <row r="147" spans="1:54" ht="15.75" customHeight="1" thickBot="1">
      <c r="A147" s="802" t="s">
        <v>541</v>
      </c>
      <c r="B147" s="715"/>
      <c r="C147" s="803"/>
      <c r="D147" s="398"/>
      <c r="E147" s="399"/>
      <c r="F147" s="336" t="s">
        <v>542</v>
      </c>
      <c r="G147" s="799">
        <f t="shared" ref="G147:G148" si="24">COUNTIF($A$1:$AJ$77,F147)</f>
        <v>0</v>
      </c>
      <c r="H147" s="789"/>
      <c r="I147" s="756"/>
      <c r="J147" s="327"/>
      <c r="K147" s="328"/>
      <c r="L147" s="329">
        <f t="shared" ref="L147:L148" si="25">G147-K147-J147</f>
        <v>0</v>
      </c>
      <c r="M147" s="22"/>
      <c r="N147" s="802" t="s">
        <v>541</v>
      </c>
      <c r="O147" s="715"/>
      <c r="P147" s="803"/>
      <c r="Q147" s="398"/>
      <c r="R147" s="399"/>
      <c r="S147" s="336" t="s">
        <v>542</v>
      </c>
      <c r="T147" s="799">
        <f t="shared" ref="T147:T148" si="26">COUNTIF($AM$2:$DD$79,S147)</f>
        <v>0</v>
      </c>
      <c r="U147" s="789"/>
      <c r="V147" s="756"/>
      <c r="W147" s="327"/>
      <c r="X147" s="328"/>
      <c r="Y147" s="329">
        <f t="shared" ref="Y147:Y148" si="27">T147-X147-W147</f>
        <v>0</v>
      </c>
      <c r="Z147" s="330">
        <f t="shared" ref="Z147:Z149" si="28">T147+G147</f>
        <v>0</v>
      </c>
      <c r="AA147" s="22"/>
      <c r="AC147" s="356" t="s">
        <v>543</v>
      </c>
      <c r="AD147" s="454" t="s">
        <v>544</v>
      </c>
      <c r="AE147" s="299">
        <f t="shared" si="13"/>
        <v>0</v>
      </c>
      <c r="AF147" s="311" t="str">
        <f t="shared" si="14"/>
        <v/>
      </c>
      <c r="AH147" s="292"/>
      <c r="AI147" s="792" t="s">
        <v>545</v>
      </c>
      <c r="AJ147" s="789"/>
      <c r="AK147" s="789"/>
      <c r="AL147" s="789"/>
      <c r="AM147" s="756"/>
      <c r="AN147" s="455" t="s">
        <v>546</v>
      </c>
      <c r="AO147" s="299">
        <f t="shared" si="2"/>
        <v>0</v>
      </c>
      <c r="AP147" s="300"/>
      <c r="AQ147" s="292"/>
      <c r="AR147" s="810" t="s">
        <v>547</v>
      </c>
      <c r="AS147" s="789"/>
      <c r="AT147" s="789"/>
      <c r="AU147" s="789"/>
      <c r="AV147" s="789"/>
      <c r="AW147" s="373" t="s">
        <v>548</v>
      </c>
      <c r="AX147" s="299">
        <f t="shared" si="21"/>
        <v>0</v>
      </c>
      <c r="AY147" s="444"/>
      <c r="AZ147" s="292"/>
      <c r="BA147" s="295"/>
    </row>
    <row r="148" spans="1:54" ht="15.75" customHeight="1" thickBot="1">
      <c r="A148" s="788" t="s">
        <v>549</v>
      </c>
      <c r="B148" s="789"/>
      <c r="C148" s="756"/>
      <c r="D148" s="324"/>
      <c r="E148" s="325"/>
      <c r="F148" s="411" t="s">
        <v>550</v>
      </c>
      <c r="G148" s="799">
        <f t="shared" si="24"/>
        <v>0</v>
      </c>
      <c r="H148" s="789"/>
      <c r="I148" s="756"/>
      <c r="J148" s="327"/>
      <c r="K148" s="346"/>
      <c r="L148" s="329">
        <f t="shared" si="25"/>
        <v>0</v>
      </c>
      <c r="M148" s="22"/>
      <c r="N148" s="788" t="s">
        <v>549</v>
      </c>
      <c r="O148" s="789"/>
      <c r="P148" s="756"/>
      <c r="Q148" s="324"/>
      <c r="R148" s="325"/>
      <c r="S148" s="411" t="s">
        <v>550</v>
      </c>
      <c r="T148" s="799">
        <f t="shared" si="26"/>
        <v>0</v>
      </c>
      <c r="U148" s="789"/>
      <c r="V148" s="756"/>
      <c r="W148" s="327"/>
      <c r="X148" s="346"/>
      <c r="Y148" s="329">
        <f t="shared" si="27"/>
        <v>0</v>
      </c>
      <c r="Z148" s="330">
        <f t="shared" si="28"/>
        <v>0</v>
      </c>
      <c r="AA148" s="22"/>
      <c r="AC148" s="308" t="s">
        <v>551</v>
      </c>
      <c r="AD148" s="456" t="s">
        <v>551</v>
      </c>
      <c r="AE148" s="299">
        <f t="shared" si="13"/>
        <v>0</v>
      </c>
      <c r="AF148" s="311" t="str">
        <f t="shared" si="14"/>
        <v/>
      </c>
      <c r="AH148" s="292"/>
      <c r="AI148" s="792" t="s">
        <v>552</v>
      </c>
      <c r="AJ148" s="789"/>
      <c r="AK148" s="789"/>
      <c r="AL148" s="789"/>
      <c r="AM148" s="756"/>
      <c r="AN148" s="457" t="s">
        <v>553</v>
      </c>
      <c r="AO148" s="299">
        <f t="shared" si="2"/>
        <v>0</v>
      </c>
      <c r="AP148" s="300"/>
      <c r="AQ148" s="292"/>
      <c r="AR148" s="810" t="s">
        <v>554</v>
      </c>
      <c r="AS148" s="789"/>
      <c r="AT148" s="789"/>
      <c r="AU148" s="789"/>
      <c r="AV148" s="789"/>
      <c r="AW148" s="373" t="s">
        <v>555</v>
      </c>
      <c r="AX148" s="299">
        <f t="shared" si="21"/>
        <v>0</v>
      </c>
      <c r="AY148" s="444"/>
      <c r="AZ148" s="292"/>
      <c r="BA148" s="295"/>
    </row>
    <row r="149" spans="1:54" ht="15.75" customHeight="1">
      <c r="A149" s="807" t="s">
        <v>260</v>
      </c>
      <c r="B149" s="789"/>
      <c r="C149" s="789"/>
      <c r="D149" s="789"/>
      <c r="E149" s="789"/>
      <c r="F149" s="393"/>
      <c r="G149" s="808">
        <f>SUM(G147:I148)</f>
        <v>0</v>
      </c>
      <c r="H149" s="789"/>
      <c r="I149" s="756"/>
      <c r="J149" s="391">
        <f t="shared" ref="J149:L149" si="29">SUM(J147:J148)</f>
        <v>0</v>
      </c>
      <c r="K149" s="346">
        <f t="shared" si="29"/>
        <v>0</v>
      </c>
      <c r="L149" s="329">
        <f t="shared" si="29"/>
        <v>0</v>
      </c>
      <c r="M149" s="22"/>
      <c r="N149" s="807" t="s">
        <v>260</v>
      </c>
      <c r="O149" s="789"/>
      <c r="P149" s="789"/>
      <c r="Q149" s="789"/>
      <c r="R149" s="789"/>
      <c r="S149" s="393"/>
      <c r="T149" s="812">
        <f>SUM(T147:V148)</f>
        <v>0</v>
      </c>
      <c r="U149" s="789"/>
      <c r="V149" s="756"/>
      <c r="W149" s="391">
        <f t="shared" ref="W149:Y149" si="30">SUM(W147:W148)</f>
        <v>0</v>
      </c>
      <c r="X149" s="346">
        <f t="shared" si="30"/>
        <v>0</v>
      </c>
      <c r="Y149" s="329">
        <f t="shared" si="30"/>
        <v>0</v>
      </c>
      <c r="Z149" s="330">
        <f t="shared" si="28"/>
        <v>0</v>
      </c>
      <c r="AA149" s="22"/>
      <c r="AC149" s="308" t="s">
        <v>556</v>
      </c>
      <c r="AD149" s="458" t="s">
        <v>557</v>
      </c>
      <c r="AE149" s="299">
        <f t="shared" si="13"/>
        <v>0</v>
      </c>
      <c r="AF149" s="311" t="str">
        <f t="shared" si="14"/>
        <v/>
      </c>
      <c r="AH149" s="292"/>
      <c r="AI149" s="792" t="s">
        <v>558</v>
      </c>
      <c r="AJ149" s="789"/>
      <c r="AK149" s="789"/>
      <c r="AL149" s="789"/>
      <c r="AM149" s="756"/>
      <c r="AN149" s="459" t="s">
        <v>559</v>
      </c>
      <c r="AO149" s="299">
        <f t="shared" si="2"/>
        <v>0</v>
      </c>
      <c r="AP149" s="300"/>
      <c r="AQ149" s="292"/>
      <c r="AR149" s="810" t="s">
        <v>560</v>
      </c>
      <c r="AS149" s="789"/>
      <c r="AT149" s="789"/>
      <c r="AU149" s="789"/>
      <c r="AV149" s="789"/>
      <c r="AW149" s="373" t="s">
        <v>561</v>
      </c>
      <c r="AX149" s="299">
        <f t="shared" si="21"/>
        <v>0</v>
      </c>
      <c r="AY149" s="460"/>
      <c r="AZ149" s="292"/>
      <c r="BA149" s="295"/>
    </row>
    <row r="150" spans="1:54" ht="15.75" customHeight="1">
      <c r="A150" s="813" t="s">
        <v>562</v>
      </c>
      <c r="B150" s="789"/>
      <c r="C150" s="789"/>
      <c r="D150" s="789"/>
      <c r="E150" s="789"/>
      <c r="F150" s="789"/>
      <c r="G150" s="789"/>
      <c r="H150" s="789"/>
      <c r="I150" s="756"/>
      <c r="J150" s="320" t="s">
        <v>290</v>
      </c>
      <c r="K150" s="320" t="s">
        <v>291</v>
      </c>
      <c r="L150" s="320" t="s">
        <v>292</v>
      </c>
      <c r="M150" s="22"/>
      <c r="N150" s="813" t="s">
        <v>562</v>
      </c>
      <c r="O150" s="789"/>
      <c r="P150" s="789"/>
      <c r="Q150" s="789"/>
      <c r="R150" s="789"/>
      <c r="S150" s="789"/>
      <c r="T150" s="789"/>
      <c r="U150" s="789"/>
      <c r="V150" s="756"/>
      <c r="W150" s="321" t="s">
        <v>290</v>
      </c>
      <c r="X150" s="321" t="s">
        <v>291</v>
      </c>
      <c r="Y150" s="321" t="s">
        <v>292</v>
      </c>
      <c r="AA150" s="22"/>
      <c r="AC150" s="356" t="s">
        <v>563</v>
      </c>
      <c r="AD150" s="360" t="s">
        <v>564</v>
      </c>
      <c r="AE150" s="299">
        <f t="shared" si="13"/>
        <v>0</v>
      </c>
      <c r="AF150" s="311" t="str">
        <f t="shared" si="14"/>
        <v/>
      </c>
      <c r="AH150" s="292"/>
      <c r="AI150" s="792" t="s">
        <v>565</v>
      </c>
      <c r="AJ150" s="789"/>
      <c r="AK150" s="789"/>
      <c r="AL150" s="789"/>
      <c r="AM150" s="756"/>
      <c r="AN150" s="293" t="s">
        <v>565</v>
      </c>
      <c r="AO150" s="299">
        <f t="shared" si="2"/>
        <v>0</v>
      </c>
      <c r="AP150" s="300"/>
      <c r="AQ150" s="292"/>
      <c r="AR150" s="810" t="s">
        <v>566</v>
      </c>
      <c r="AS150" s="789"/>
      <c r="AT150" s="789"/>
      <c r="AU150" s="789"/>
      <c r="AV150" s="789"/>
      <c r="AW150" s="214" t="s">
        <v>567</v>
      </c>
      <c r="AX150" s="299">
        <f t="shared" si="21"/>
        <v>0</v>
      </c>
      <c r="AY150" s="460"/>
      <c r="AZ150" s="292"/>
      <c r="BA150" s="295"/>
    </row>
    <row r="151" spans="1:54" ht="15.75" customHeight="1" thickBot="1">
      <c r="A151" s="788" t="s">
        <v>99</v>
      </c>
      <c r="B151" s="789"/>
      <c r="C151" s="756"/>
      <c r="D151" s="324" t="s">
        <v>568</v>
      </c>
      <c r="E151" s="325" t="s">
        <v>306</v>
      </c>
      <c r="F151" s="440" t="s">
        <v>98</v>
      </c>
      <c r="G151" s="799">
        <f t="shared" ref="G151:G168" si="31">COUNTIF($A$1:$AJ$77,F151)</f>
        <v>0</v>
      </c>
      <c r="H151" s="789"/>
      <c r="I151" s="756"/>
      <c r="J151" s="327"/>
      <c r="K151" s="328"/>
      <c r="L151" s="329">
        <f t="shared" ref="L151:L168" si="32">G151-K151-J151</f>
        <v>0</v>
      </c>
      <c r="M151" s="22"/>
      <c r="N151" s="788" t="s">
        <v>99</v>
      </c>
      <c r="O151" s="789"/>
      <c r="P151" s="756"/>
      <c r="Q151" s="324" t="s">
        <v>568</v>
      </c>
      <c r="R151" s="325" t="s">
        <v>306</v>
      </c>
      <c r="S151" s="440" t="s">
        <v>98</v>
      </c>
      <c r="T151" s="799">
        <f t="shared" ref="T151:T168" si="33">COUNTIF($AM$2:$DD$79,S151)</f>
        <v>0</v>
      </c>
      <c r="U151" s="789"/>
      <c r="V151" s="756"/>
      <c r="W151" s="327"/>
      <c r="X151" s="328"/>
      <c r="Y151" s="329">
        <f t="shared" ref="Y151:Y168" si="34">T151-X151-W151</f>
        <v>0</v>
      </c>
      <c r="Z151" s="330">
        <f t="shared" ref="Z151:Z169" si="35">T151+G151</f>
        <v>0</v>
      </c>
      <c r="AA151" s="22" t="b">
        <f>IFERROR(#REF!&gt;0.5,FALSE)</f>
        <v>0</v>
      </c>
      <c r="AC151" s="308" t="s">
        <v>569</v>
      </c>
      <c r="AD151" s="461" t="s">
        <v>570</v>
      </c>
      <c r="AE151" s="299">
        <f t="shared" si="13"/>
        <v>0</v>
      </c>
      <c r="AF151" s="311" t="str">
        <f t="shared" si="14"/>
        <v/>
      </c>
      <c r="AH151" s="292"/>
      <c r="AI151" s="792" t="s">
        <v>571</v>
      </c>
      <c r="AJ151" s="789"/>
      <c r="AK151" s="789"/>
      <c r="AL151" s="789"/>
      <c r="AM151" s="756"/>
      <c r="AN151" s="462" t="s">
        <v>572</v>
      </c>
      <c r="AO151" s="299">
        <f t="shared" si="2"/>
        <v>0</v>
      </c>
      <c r="AP151" s="300"/>
      <c r="AQ151" s="292"/>
      <c r="AR151" s="810" t="s">
        <v>573</v>
      </c>
      <c r="AS151" s="789"/>
      <c r="AT151" s="789"/>
      <c r="AU151" s="789"/>
      <c r="AV151" s="789"/>
      <c r="AW151" s="214" t="s">
        <v>574</v>
      </c>
      <c r="AX151" s="299">
        <f t="shared" si="21"/>
        <v>0</v>
      </c>
      <c r="AY151" s="460"/>
      <c r="AZ151" s="292"/>
      <c r="BA151" s="295"/>
    </row>
    <row r="152" spans="1:54" ht="15.75" customHeight="1">
      <c r="A152" s="788" t="s">
        <v>575</v>
      </c>
      <c r="B152" s="789"/>
      <c r="C152" s="756"/>
      <c r="D152" s="324"/>
      <c r="E152" s="325"/>
      <c r="F152" s="463" t="s">
        <v>576</v>
      </c>
      <c r="G152" s="799">
        <f t="shared" si="31"/>
        <v>0</v>
      </c>
      <c r="H152" s="789"/>
      <c r="I152" s="756"/>
      <c r="J152" s="327"/>
      <c r="K152" s="328"/>
      <c r="L152" s="329">
        <f t="shared" si="32"/>
        <v>0</v>
      </c>
      <c r="M152" s="22"/>
      <c r="N152" s="788" t="s">
        <v>575</v>
      </c>
      <c r="O152" s="789"/>
      <c r="P152" s="756"/>
      <c r="Q152" s="324"/>
      <c r="R152" s="325"/>
      <c r="S152" s="463" t="s">
        <v>576</v>
      </c>
      <c r="T152" s="799">
        <f t="shared" si="33"/>
        <v>0</v>
      </c>
      <c r="U152" s="789"/>
      <c r="V152" s="756"/>
      <c r="W152" s="327"/>
      <c r="X152" s="328"/>
      <c r="Y152" s="329">
        <f t="shared" si="34"/>
        <v>0</v>
      </c>
      <c r="Z152" s="330">
        <f t="shared" si="35"/>
        <v>0</v>
      </c>
      <c r="AA152" s="22"/>
      <c r="AC152" s="308" t="s">
        <v>577</v>
      </c>
      <c r="AD152" s="293" t="s">
        <v>578</v>
      </c>
      <c r="AE152" s="299">
        <f t="shared" si="13"/>
        <v>0</v>
      </c>
      <c r="AF152" s="311" t="str">
        <f t="shared" si="14"/>
        <v/>
      </c>
      <c r="AH152" s="292"/>
      <c r="AI152" s="792" t="s">
        <v>579</v>
      </c>
      <c r="AJ152" s="789"/>
      <c r="AK152" s="789"/>
      <c r="AL152" s="789"/>
      <c r="AM152" s="756"/>
      <c r="AN152" s="464" t="s">
        <v>580</v>
      </c>
      <c r="AO152" s="299">
        <f t="shared" si="2"/>
        <v>0</v>
      </c>
      <c r="AP152" s="465"/>
      <c r="AQ152" s="292"/>
      <c r="AR152" s="810" t="s">
        <v>581</v>
      </c>
      <c r="AS152" s="789"/>
      <c r="AT152" s="789"/>
      <c r="AU152" s="789"/>
      <c r="AV152" s="789"/>
      <c r="AW152" s="466" t="s">
        <v>582</v>
      </c>
      <c r="AX152" s="299">
        <f t="shared" si="21"/>
        <v>0</v>
      </c>
      <c r="AY152" s="460"/>
      <c r="AZ152" s="292"/>
      <c r="BA152" s="295"/>
    </row>
    <row r="153" spans="1:54" ht="15.75" customHeight="1" thickBot="1">
      <c r="A153" s="788" t="s">
        <v>100</v>
      </c>
      <c r="B153" s="789"/>
      <c r="C153" s="756"/>
      <c r="D153" s="324"/>
      <c r="E153" s="325"/>
      <c r="F153" s="467" t="s">
        <v>0</v>
      </c>
      <c r="G153" s="799">
        <f t="shared" si="31"/>
        <v>0</v>
      </c>
      <c r="H153" s="789"/>
      <c r="I153" s="756"/>
      <c r="J153" s="327"/>
      <c r="K153" s="328"/>
      <c r="L153" s="329">
        <f t="shared" si="32"/>
        <v>0</v>
      </c>
      <c r="M153" s="22"/>
      <c r="N153" s="788" t="s">
        <v>100</v>
      </c>
      <c r="O153" s="789"/>
      <c r="P153" s="756"/>
      <c r="Q153" s="324"/>
      <c r="R153" s="325"/>
      <c r="S153" s="467" t="s">
        <v>0</v>
      </c>
      <c r="T153" s="799">
        <f t="shared" si="33"/>
        <v>1</v>
      </c>
      <c r="U153" s="789"/>
      <c r="V153" s="756"/>
      <c r="W153" s="327"/>
      <c r="X153" s="328"/>
      <c r="Y153" s="329">
        <f t="shared" si="34"/>
        <v>1</v>
      </c>
      <c r="Z153" s="330">
        <f t="shared" si="35"/>
        <v>1</v>
      </c>
      <c r="AA153" s="22"/>
      <c r="AC153" s="308" t="s">
        <v>583</v>
      </c>
      <c r="AD153" s="468" t="s">
        <v>584</v>
      </c>
      <c r="AE153" s="299">
        <f t="shared" si="13"/>
        <v>0</v>
      </c>
      <c r="AF153" s="311" t="str">
        <f t="shared" si="14"/>
        <v/>
      </c>
      <c r="AH153" s="292"/>
      <c r="AI153" s="792" t="s">
        <v>585</v>
      </c>
      <c r="AJ153" s="789"/>
      <c r="AK153" s="789"/>
      <c r="AL153" s="789"/>
      <c r="AM153" s="756"/>
      <c r="AN153" s="293" t="s">
        <v>586</v>
      </c>
      <c r="AO153" s="299">
        <f t="shared" si="2"/>
        <v>0</v>
      </c>
      <c r="AP153" s="300"/>
      <c r="AQ153" s="292"/>
      <c r="AR153" s="810" t="s">
        <v>587</v>
      </c>
      <c r="AS153" s="789"/>
      <c r="AT153" s="789"/>
      <c r="AU153" s="789"/>
      <c r="AV153" s="789"/>
      <c r="AW153" s="214" t="s">
        <v>210</v>
      </c>
      <c r="AX153" s="299">
        <f t="shared" si="21"/>
        <v>2</v>
      </c>
      <c r="AY153" s="444"/>
      <c r="AZ153" s="292"/>
      <c r="BA153" s="295"/>
    </row>
    <row r="154" spans="1:54" ht="15.75" customHeight="1" thickBot="1">
      <c r="A154" s="788" t="s">
        <v>102</v>
      </c>
      <c r="B154" s="789"/>
      <c r="C154" s="756"/>
      <c r="D154" s="324" t="s">
        <v>0</v>
      </c>
      <c r="E154" s="325"/>
      <c r="F154" s="469" t="s">
        <v>101</v>
      </c>
      <c r="G154" s="799">
        <f t="shared" si="31"/>
        <v>0</v>
      </c>
      <c r="H154" s="789"/>
      <c r="I154" s="756"/>
      <c r="J154" s="327"/>
      <c r="K154" s="328"/>
      <c r="L154" s="329">
        <f t="shared" si="32"/>
        <v>0</v>
      </c>
      <c r="M154" s="22"/>
      <c r="N154" s="788" t="s">
        <v>102</v>
      </c>
      <c r="O154" s="789"/>
      <c r="P154" s="756"/>
      <c r="Q154" s="324" t="s">
        <v>0</v>
      </c>
      <c r="R154" s="325"/>
      <c r="S154" s="469" t="s">
        <v>101</v>
      </c>
      <c r="T154" s="799">
        <f t="shared" si="33"/>
        <v>0</v>
      </c>
      <c r="U154" s="789"/>
      <c r="V154" s="756"/>
      <c r="W154" s="327"/>
      <c r="X154" s="328"/>
      <c r="Y154" s="329">
        <f t="shared" si="34"/>
        <v>0</v>
      </c>
      <c r="Z154" s="330">
        <f t="shared" si="35"/>
        <v>0</v>
      </c>
      <c r="AA154" s="22"/>
      <c r="AC154" s="308" t="s">
        <v>588</v>
      </c>
      <c r="AD154" s="470" t="s">
        <v>589</v>
      </c>
      <c r="AE154" s="299">
        <f t="shared" si="13"/>
        <v>0</v>
      </c>
      <c r="AF154" s="311" t="str">
        <f t="shared" si="14"/>
        <v/>
      </c>
      <c r="AH154" s="292"/>
      <c r="AI154" s="792" t="s">
        <v>590</v>
      </c>
      <c r="AJ154" s="789"/>
      <c r="AK154" s="789"/>
      <c r="AL154" s="789"/>
      <c r="AM154" s="756"/>
      <c r="AN154" s="396" t="s">
        <v>591</v>
      </c>
      <c r="AO154" s="299">
        <f t="shared" si="2"/>
        <v>0</v>
      </c>
      <c r="AP154" s="300"/>
      <c r="AQ154" s="292"/>
      <c r="AR154" s="810" t="s">
        <v>592</v>
      </c>
      <c r="AS154" s="789"/>
      <c r="AT154" s="789"/>
      <c r="AU154" s="789"/>
      <c r="AV154" s="789"/>
      <c r="AW154" s="293" t="s">
        <v>593</v>
      </c>
      <c r="AX154" s="299">
        <f t="shared" si="21"/>
        <v>0</v>
      </c>
      <c r="AY154" s="444"/>
      <c r="AZ154" s="292"/>
      <c r="BA154" s="389"/>
    </row>
    <row r="155" spans="1:54" ht="15.75" customHeight="1" thickBot="1">
      <c r="A155" s="788" t="s">
        <v>18</v>
      </c>
      <c r="B155" s="789"/>
      <c r="C155" s="756"/>
      <c r="D155" s="324"/>
      <c r="E155" s="325"/>
      <c r="F155" s="471" t="s">
        <v>1</v>
      </c>
      <c r="G155" s="799">
        <f t="shared" si="31"/>
        <v>0</v>
      </c>
      <c r="H155" s="789"/>
      <c r="I155" s="756"/>
      <c r="J155" s="327"/>
      <c r="K155" s="328"/>
      <c r="L155" s="329">
        <f t="shared" si="32"/>
        <v>0</v>
      </c>
      <c r="M155" s="22"/>
      <c r="N155" s="788" t="s">
        <v>18</v>
      </c>
      <c r="O155" s="789"/>
      <c r="P155" s="756"/>
      <c r="Q155" s="324"/>
      <c r="R155" s="325"/>
      <c r="S155" s="471" t="s">
        <v>1</v>
      </c>
      <c r="T155" s="799">
        <f t="shared" si="33"/>
        <v>0</v>
      </c>
      <c r="U155" s="789"/>
      <c r="V155" s="756"/>
      <c r="W155" s="327"/>
      <c r="X155" s="328"/>
      <c r="Y155" s="329">
        <f t="shared" si="34"/>
        <v>0</v>
      </c>
      <c r="Z155" s="330">
        <f t="shared" si="35"/>
        <v>0</v>
      </c>
      <c r="AC155" s="308" t="s">
        <v>174</v>
      </c>
      <c r="AD155" s="472" t="s">
        <v>174</v>
      </c>
      <c r="AE155" s="299">
        <f t="shared" si="13"/>
        <v>14</v>
      </c>
      <c r="AF155" s="311" t="str">
        <f t="shared" si="14"/>
        <v/>
      </c>
      <c r="AH155" s="292"/>
      <c r="AI155" s="792" t="s">
        <v>594</v>
      </c>
      <c r="AJ155" s="789"/>
      <c r="AK155" s="789"/>
      <c r="AL155" s="789"/>
      <c r="AM155" s="756"/>
      <c r="AN155" s="462" t="s">
        <v>595</v>
      </c>
      <c r="AO155" s="299">
        <f t="shared" si="2"/>
        <v>0</v>
      </c>
      <c r="AP155" s="300"/>
      <c r="AQ155" s="292"/>
      <c r="AR155" s="810" t="s">
        <v>596</v>
      </c>
      <c r="AS155" s="789"/>
      <c r="AT155" s="789"/>
      <c r="AU155" s="789"/>
      <c r="AV155" s="789"/>
      <c r="AW155" s="171" t="s">
        <v>597</v>
      </c>
      <c r="AX155" s="299">
        <f t="shared" si="21"/>
        <v>0</v>
      </c>
      <c r="AY155" s="444"/>
      <c r="AZ155" s="292"/>
      <c r="BA155" s="389"/>
    </row>
    <row r="156" spans="1:54" ht="15.75" customHeight="1">
      <c r="A156" s="788" t="s">
        <v>598</v>
      </c>
      <c r="B156" s="789"/>
      <c r="C156" s="756"/>
      <c r="D156" s="324"/>
      <c r="E156" s="325"/>
      <c r="F156" s="473" t="s">
        <v>599</v>
      </c>
      <c r="G156" s="799">
        <f t="shared" si="31"/>
        <v>0</v>
      </c>
      <c r="H156" s="789"/>
      <c r="I156" s="756"/>
      <c r="J156" s="327"/>
      <c r="K156" s="328"/>
      <c r="L156" s="329">
        <f t="shared" si="32"/>
        <v>0</v>
      </c>
      <c r="M156" s="22"/>
      <c r="N156" s="788" t="s">
        <v>598</v>
      </c>
      <c r="O156" s="789"/>
      <c r="P156" s="756"/>
      <c r="Q156" s="324"/>
      <c r="R156" s="325"/>
      <c r="S156" s="473" t="s">
        <v>599</v>
      </c>
      <c r="T156" s="799">
        <f t="shared" si="33"/>
        <v>0</v>
      </c>
      <c r="U156" s="789"/>
      <c r="V156" s="756"/>
      <c r="W156" s="327"/>
      <c r="X156" s="328"/>
      <c r="Y156" s="329">
        <f t="shared" si="34"/>
        <v>0</v>
      </c>
      <c r="Z156" s="330">
        <f t="shared" si="35"/>
        <v>0</v>
      </c>
      <c r="AC156" s="308" t="s">
        <v>600</v>
      </c>
      <c r="AD156" s="474" t="s">
        <v>601</v>
      </c>
      <c r="AE156" s="299">
        <f t="shared" si="13"/>
        <v>0</v>
      </c>
      <c r="AF156" s="311" t="str">
        <f t="shared" si="14"/>
        <v/>
      </c>
      <c r="AH156" s="292"/>
      <c r="AI156" s="792" t="s">
        <v>602</v>
      </c>
      <c r="AJ156" s="789"/>
      <c r="AK156" s="789"/>
      <c r="AL156" s="789"/>
      <c r="AM156" s="756"/>
      <c r="AN156" s="475" t="s">
        <v>603</v>
      </c>
      <c r="AO156" s="299">
        <f t="shared" si="2"/>
        <v>0</v>
      </c>
      <c r="AP156" s="300"/>
      <c r="AQ156" s="292"/>
      <c r="AR156" s="810" t="s">
        <v>604</v>
      </c>
      <c r="AS156" s="789"/>
      <c r="AT156" s="789"/>
      <c r="AU156" s="789"/>
      <c r="AV156" s="789"/>
      <c r="AW156" s="476" t="s">
        <v>605</v>
      </c>
      <c r="AX156" s="299">
        <f t="shared" si="21"/>
        <v>0</v>
      </c>
      <c r="AY156" s="444"/>
      <c r="AZ156" s="292"/>
      <c r="BA156" s="389"/>
    </row>
    <row r="157" spans="1:54" ht="15.75" customHeight="1">
      <c r="A157" s="788" t="s">
        <v>32</v>
      </c>
      <c r="B157" s="789"/>
      <c r="C157" s="756"/>
      <c r="D157" s="324"/>
      <c r="E157" s="325" t="s">
        <v>306</v>
      </c>
      <c r="F157" s="349" t="s">
        <v>68</v>
      </c>
      <c r="G157" s="799">
        <f t="shared" si="31"/>
        <v>0</v>
      </c>
      <c r="H157" s="789"/>
      <c r="I157" s="756"/>
      <c r="J157" s="327"/>
      <c r="K157" s="328"/>
      <c r="L157" s="329">
        <f t="shared" si="32"/>
        <v>0</v>
      </c>
      <c r="M157" s="22"/>
      <c r="N157" s="788" t="s">
        <v>32</v>
      </c>
      <c r="O157" s="789"/>
      <c r="P157" s="756"/>
      <c r="Q157" s="324"/>
      <c r="R157" s="325" t="s">
        <v>306</v>
      </c>
      <c r="S157" s="349" t="s">
        <v>68</v>
      </c>
      <c r="T157" s="799">
        <f t="shared" si="33"/>
        <v>1</v>
      </c>
      <c r="U157" s="789"/>
      <c r="V157" s="756"/>
      <c r="W157" s="327"/>
      <c r="X157" s="328"/>
      <c r="Y157" s="329">
        <f t="shared" si="34"/>
        <v>1</v>
      </c>
      <c r="Z157" s="330">
        <f t="shared" si="35"/>
        <v>1</v>
      </c>
      <c r="AC157" s="308" t="s">
        <v>606</v>
      </c>
      <c r="AD157" s="304" t="s">
        <v>607</v>
      </c>
      <c r="AE157" s="299">
        <f t="shared" si="13"/>
        <v>0</v>
      </c>
      <c r="AF157" s="311" t="str">
        <f t="shared" si="14"/>
        <v/>
      </c>
      <c r="AH157" s="292"/>
      <c r="AI157" s="792" t="s">
        <v>608</v>
      </c>
      <c r="AJ157" s="789"/>
      <c r="AK157" s="789"/>
      <c r="AL157" s="789"/>
      <c r="AM157" s="756"/>
      <c r="AN157" s="36" t="s">
        <v>609</v>
      </c>
      <c r="AO157" s="299">
        <f t="shared" si="2"/>
        <v>0</v>
      </c>
      <c r="AP157" s="300"/>
      <c r="AQ157" s="292"/>
      <c r="AR157" s="810" t="s">
        <v>610</v>
      </c>
      <c r="AS157" s="789"/>
      <c r="AT157" s="789"/>
      <c r="AU157" s="789"/>
      <c r="AV157" s="789"/>
      <c r="AW157" s="332" t="s">
        <v>611</v>
      </c>
      <c r="AX157" s="299">
        <f t="shared" si="21"/>
        <v>0</v>
      </c>
      <c r="AY157" s="444"/>
      <c r="AZ157" s="292"/>
      <c r="BA157" s="389"/>
    </row>
    <row r="158" spans="1:54" ht="15.75" customHeight="1">
      <c r="A158" s="788" t="s">
        <v>110</v>
      </c>
      <c r="B158" s="789"/>
      <c r="C158" s="756"/>
      <c r="D158" s="324"/>
      <c r="E158" s="325"/>
      <c r="F158" s="477" t="s">
        <v>109</v>
      </c>
      <c r="G158" s="799">
        <f t="shared" si="31"/>
        <v>0</v>
      </c>
      <c r="H158" s="789"/>
      <c r="I158" s="756"/>
      <c r="J158" s="327"/>
      <c r="K158" s="328"/>
      <c r="L158" s="329">
        <f t="shared" si="32"/>
        <v>0</v>
      </c>
      <c r="M158" s="22"/>
      <c r="N158" s="788" t="s">
        <v>110</v>
      </c>
      <c r="O158" s="789"/>
      <c r="P158" s="756"/>
      <c r="Q158" s="324"/>
      <c r="R158" s="325"/>
      <c r="S158" s="477" t="s">
        <v>109</v>
      </c>
      <c r="T158" s="799">
        <f t="shared" si="33"/>
        <v>0</v>
      </c>
      <c r="U158" s="789"/>
      <c r="V158" s="756"/>
      <c r="W158" s="327"/>
      <c r="X158" s="328"/>
      <c r="Y158" s="329">
        <f t="shared" si="34"/>
        <v>0</v>
      </c>
      <c r="Z158" s="330">
        <f t="shared" si="35"/>
        <v>0</v>
      </c>
      <c r="AC158" s="308" t="s">
        <v>612</v>
      </c>
      <c r="AD158" s="478" t="s">
        <v>613</v>
      </c>
      <c r="AE158" s="299">
        <f t="shared" si="13"/>
        <v>0</v>
      </c>
      <c r="AF158" s="311" t="str">
        <f t="shared" si="14"/>
        <v/>
      </c>
      <c r="AH158" s="292"/>
      <c r="AI158" s="792" t="s">
        <v>614</v>
      </c>
      <c r="AJ158" s="789"/>
      <c r="AK158" s="789"/>
      <c r="AL158" s="789"/>
      <c r="AM158" s="756"/>
      <c r="AN158" s="479" t="s">
        <v>615</v>
      </c>
      <c r="AO158" s="299">
        <f t="shared" si="2"/>
        <v>0</v>
      </c>
      <c r="AP158" s="300"/>
      <c r="AQ158" s="292"/>
      <c r="AR158" s="810" t="s">
        <v>616</v>
      </c>
      <c r="AS158" s="789"/>
      <c r="AT158" s="789"/>
      <c r="AU158" s="789"/>
      <c r="AV158" s="789"/>
      <c r="AW158" s="480" t="s">
        <v>617</v>
      </c>
      <c r="AX158" s="299">
        <f t="shared" si="21"/>
        <v>0</v>
      </c>
      <c r="AY158" s="444"/>
      <c r="AZ158" s="292"/>
      <c r="BA158" s="389"/>
    </row>
    <row r="159" spans="1:54" ht="15.75" customHeight="1">
      <c r="A159" s="788" t="s">
        <v>106</v>
      </c>
      <c r="B159" s="789"/>
      <c r="C159" s="756"/>
      <c r="D159" s="324"/>
      <c r="E159" s="325"/>
      <c r="F159" s="481" t="s">
        <v>105</v>
      </c>
      <c r="G159" s="799">
        <f t="shared" si="31"/>
        <v>0</v>
      </c>
      <c r="H159" s="789"/>
      <c r="I159" s="756"/>
      <c r="J159" s="327"/>
      <c r="K159" s="328"/>
      <c r="L159" s="329">
        <f t="shared" si="32"/>
        <v>0</v>
      </c>
      <c r="M159" s="22"/>
      <c r="N159" s="788" t="s">
        <v>106</v>
      </c>
      <c r="O159" s="789"/>
      <c r="P159" s="756"/>
      <c r="Q159" s="324"/>
      <c r="R159" s="325"/>
      <c r="S159" s="481" t="s">
        <v>105</v>
      </c>
      <c r="T159" s="799">
        <f t="shared" si="33"/>
        <v>0</v>
      </c>
      <c r="U159" s="789"/>
      <c r="V159" s="756"/>
      <c r="W159" s="327"/>
      <c r="X159" s="328"/>
      <c r="Y159" s="329">
        <f t="shared" si="34"/>
        <v>0</v>
      </c>
      <c r="Z159" s="330">
        <f t="shared" si="35"/>
        <v>0</v>
      </c>
      <c r="AC159" s="308" t="s">
        <v>618</v>
      </c>
      <c r="AD159" s="478" t="s">
        <v>619</v>
      </c>
      <c r="AE159" s="299">
        <f t="shared" si="13"/>
        <v>0</v>
      </c>
      <c r="AF159" s="311" t="str">
        <f t="shared" si="14"/>
        <v/>
      </c>
      <c r="AH159" s="292"/>
      <c r="AI159" s="792" t="s">
        <v>620</v>
      </c>
      <c r="AJ159" s="789"/>
      <c r="AK159" s="789"/>
      <c r="AL159" s="789"/>
      <c r="AM159" s="756"/>
      <c r="AN159" s="482" t="s">
        <v>621</v>
      </c>
      <c r="AO159" s="299">
        <f t="shared" si="2"/>
        <v>0</v>
      </c>
      <c r="AP159" s="300"/>
      <c r="AQ159" s="292"/>
      <c r="AR159" s="810" t="s">
        <v>622</v>
      </c>
      <c r="AS159" s="789"/>
      <c r="AT159" s="789"/>
      <c r="AU159" s="789"/>
      <c r="AV159" s="789"/>
      <c r="AW159" s="483" t="s">
        <v>623</v>
      </c>
      <c r="AX159" s="299">
        <f t="shared" si="21"/>
        <v>0</v>
      </c>
      <c r="AY159" s="444"/>
      <c r="AZ159" s="292"/>
      <c r="BA159" s="389"/>
    </row>
    <row r="160" spans="1:54" ht="15.75" customHeight="1" thickBot="1">
      <c r="A160" s="788" t="s">
        <v>10</v>
      </c>
      <c r="B160" s="789"/>
      <c r="C160" s="756"/>
      <c r="D160" s="324"/>
      <c r="E160" s="325"/>
      <c r="F160" s="469" t="s">
        <v>47</v>
      </c>
      <c r="G160" s="799">
        <f t="shared" si="31"/>
        <v>0</v>
      </c>
      <c r="H160" s="789"/>
      <c r="I160" s="756"/>
      <c r="J160" s="327"/>
      <c r="K160" s="346"/>
      <c r="L160" s="329">
        <f t="shared" si="32"/>
        <v>0</v>
      </c>
      <c r="M160" s="22"/>
      <c r="N160" s="788" t="s">
        <v>10</v>
      </c>
      <c r="O160" s="789"/>
      <c r="P160" s="756"/>
      <c r="Q160" s="324"/>
      <c r="R160" s="325"/>
      <c r="S160" s="469" t="s">
        <v>47</v>
      </c>
      <c r="T160" s="799">
        <f t="shared" si="33"/>
        <v>1</v>
      </c>
      <c r="U160" s="789"/>
      <c r="V160" s="756"/>
      <c r="W160" s="327"/>
      <c r="X160" s="346"/>
      <c r="Y160" s="329">
        <f t="shared" si="34"/>
        <v>1</v>
      </c>
      <c r="Z160" s="330">
        <f t="shared" si="35"/>
        <v>1</v>
      </c>
      <c r="AC160" s="308" t="s">
        <v>624</v>
      </c>
      <c r="AD160" s="159" t="s">
        <v>625</v>
      </c>
      <c r="AE160" s="299">
        <f t="shared" si="13"/>
        <v>0</v>
      </c>
      <c r="AF160" s="311" t="str">
        <f t="shared" si="14"/>
        <v/>
      </c>
      <c r="AH160" s="292"/>
      <c r="AI160" s="792" t="s">
        <v>626</v>
      </c>
      <c r="AJ160" s="789"/>
      <c r="AK160" s="789"/>
      <c r="AL160" s="789"/>
      <c r="AM160" s="756"/>
      <c r="AN160" s="224" t="s">
        <v>217</v>
      </c>
      <c r="AO160" s="299">
        <f t="shared" si="2"/>
        <v>1</v>
      </c>
      <c r="AP160" s="300"/>
      <c r="AQ160" s="292"/>
      <c r="AR160" s="810" t="s">
        <v>627</v>
      </c>
      <c r="AS160" s="789"/>
      <c r="AT160" s="789"/>
      <c r="AU160" s="789"/>
      <c r="AV160" s="789"/>
      <c r="AW160" s="139" t="s">
        <v>172</v>
      </c>
      <c r="AX160" s="299">
        <f t="shared" si="21"/>
        <v>1</v>
      </c>
      <c r="AY160" s="444"/>
      <c r="AZ160" s="292"/>
      <c r="BA160" s="389"/>
    </row>
    <row r="161" spans="1:53" ht="15.75" customHeight="1" thickBot="1">
      <c r="A161" s="788" t="s">
        <v>38</v>
      </c>
      <c r="B161" s="789"/>
      <c r="C161" s="756"/>
      <c r="D161" s="324"/>
      <c r="E161" s="325"/>
      <c r="F161" s="484" t="s">
        <v>39</v>
      </c>
      <c r="G161" s="799">
        <f t="shared" si="31"/>
        <v>0</v>
      </c>
      <c r="H161" s="789"/>
      <c r="I161" s="756"/>
      <c r="J161" s="327"/>
      <c r="K161" s="328"/>
      <c r="L161" s="329">
        <f t="shared" si="32"/>
        <v>0</v>
      </c>
      <c r="M161" s="22"/>
      <c r="N161" s="788" t="s">
        <v>38</v>
      </c>
      <c r="O161" s="789"/>
      <c r="P161" s="756"/>
      <c r="Q161" s="324"/>
      <c r="R161" s="325"/>
      <c r="S161" s="484" t="s">
        <v>39</v>
      </c>
      <c r="T161" s="799">
        <f t="shared" si="33"/>
        <v>0</v>
      </c>
      <c r="U161" s="789"/>
      <c r="V161" s="756"/>
      <c r="W161" s="327"/>
      <c r="X161" s="328"/>
      <c r="Y161" s="329">
        <f t="shared" si="34"/>
        <v>0</v>
      </c>
      <c r="Z161" s="330">
        <f t="shared" si="35"/>
        <v>0</v>
      </c>
      <c r="AC161" s="308" t="s">
        <v>628</v>
      </c>
      <c r="AD161" s="317" t="s">
        <v>629</v>
      </c>
      <c r="AE161" s="299">
        <f t="shared" si="13"/>
        <v>0</v>
      </c>
      <c r="AF161" s="311" t="str">
        <f t="shared" si="14"/>
        <v/>
      </c>
      <c r="AH161" s="292"/>
      <c r="AI161" s="792" t="s">
        <v>630</v>
      </c>
      <c r="AJ161" s="789"/>
      <c r="AK161" s="789"/>
      <c r="AL161" s="789"/>
      <c r="AM161" s="756"/>
      <c r="AN161" s="485" t="s">
        <v>631</v>
      </c>
      <c r="AO161" s="299">
        <f t="shared" si="2"/>
        <v>0</v>
      </c>
      <c r="AP161" s="300"/>
      <c r="AQ161" s="292"/>
      <c r="AR161" s="810" t="s">
        <v>632</v>
      </c>
      <c r="AS161" s="789"/>
      <c r="AT161" s="789"/>
      <c r="AU161" s="789"/>
      <c r="AV161" s="789"/>
      <c r="AW161" s="139" t="s">
        <v>633</v>
      </c>
      <c r="AX161" s="299">
        <f t="shared" si="21"/>
        <v>0</v>
      </c>
      <c r="AY161" s="444"/>
      <c r="AZ161" s="292"/>
      <c r="BA161" s="389"/>
    </row>
    <row r="162" spans="1:53" ht="15.75" customHeight="1" thickBot="1">
      <c r="A162" s="788" t="s">
        <v>104</v>
      </c>
      <c r="B162" s="789"/>
      <c r="C162" s="756"/>
      <c r="D162" s="324" t="s">
        <v>2</v>
      </c>
      <c r="E162" s="325"/>
      <c r="F162" s="469" t="s">
        <v>103</v>
      </c>
      <c r="G162" s="799">
        <f t="shared" si="31"/>
        <v>0</v>
      </c>
      <c r="H162" s="789"/>
      <c r="I162" s="756"/>
      <c r="J162" s="327"/>
      <c r="K162" s="328"/>
      <c r="L162" s="329">
        <f t="shared" si="32"/>
        <v>0</v>
      </c>
      <c r="M162" s="22"/>
      <c r="N162" s="788" t="s">
        <v>104</v>
      </c>
      <c r="O162" s="789"/>
      <c r="P162" s="756"/>
      <c r="Q162" s="324" t="s">
        <v>2</v>
      </c>
      <c r="R162" s="325"/>
      <c r="S162" s="469" t="s">
        <v>103</v>
      </c>
      <c r="T162" s="799">
        <f t="shared" si="33"/>
        <v>0</v>
      </c>
      <c r="U162" s="789"/>
      <c r="V162" s="756"/>
      <c r="W162" s="327"/>
      <c r="X162" s="328"/>
      <c r="Y162" s="329">
        <f t="shared" si="34"/>
        <v>0</v>
      </c>
      <c r="Z162" s="330">
        <f t="shared" si="35"/>
        <v>0</v>
      </c>
      <c r="AC162" s="308" t="s">
        <v>634</v>
      </c>
      <c r="AD162" s="317" t="s">
        <v>635</v>
      </c>
      <c r="AE162" s="299">
        <f t="shared" si="13"/>
        <v>0</v>
      </c>
      <c r="AF162" s="311" t="str">
        <f t="shared" si="14"/>
        <v/>
      </c>
      <c r="AH162" s="292"/>
      <c r="AI162" s="792" t="s">
        <v>636</v>
      </c>
      <c r="AJ162" s="789"/>
      <c r="AK162" s="789"/>
      <c r="AL162" s="789"/>
      <c r="AM162" s="756"/>
      <c r="AN162" s="486" t="s">
        <v>637</v>
      </c>
      <c r="AO162" s="299">
        <f t="shared" si="2"/>
        <v>0</v>
      </c>
      <c r="AP162" s="300"/>
      <c r="AQ162" s="292"/>
      <c r="AR162" s="810" t="s">
        <v>638</v>
      </c>
      <c r="AS162" s="789"/>
      <c r="AT162" s="789"/>
      <c r="AU162" s="789"/>
      <c r="AV162" s="789"/>
      <c r="AW162" s="443" t="s">
        <v>639</v>
      </c>
      <c r="AX162" s="299">
        <f t="shared" si="21"/>
        <v>0</v>
      </c>
      <c r="AY162" s="444"/>
      <c r="AZ162" s="292"/>
      <c r="BA162" s="389"/>
    </row>
    <row r="163" spans="1:53" ht="15.75" customHeight="1" thickBot="1">
      <c r="A163" s="788" t="s">
        <v>23</v>
      </c>
      <c r="B163" s="789"/>
      <c r="C163" s="756"/>
      <c r="D163" s="324"/>
      <c r="E163" s="325" t="s">
        <v>306</v>
      </c>
      <c r="F163" s="487" t="s">
        <v>4</v>
      </c>
      <c r="G163" s="799">
        <f t="shared" si="31"/>
        <v>1</v>
      </c>
      <c r="H163" s="789"/>
      <c r="I163" s="756"/>
      <c r="J163" s="327"/>
      <c r="K163" s="328"/>
      <c r="L163" s="329">
        <f t="shared" si="32"/>
        <v>1</v>
      </c>
      <c r="M163" s="22"/>
      <c r="N163" s="788" t="s">
        <v>23</v>
      </c>
      <c r="O163" s="789"/>
      <c r="P163" s="756"/>
      <c r="Q163" s="324"/>
      <c r="R163" s="325" t="s">
        <v>306</v>
      </c>
      <c r="S163" s="487" t="s">
        <v>4</v>
      </c>
      <c r="T163" s="799">
        <f t="shared" si="33"/>
        <v>1</v>
      </c>
      <c r="U163" s="789"/>
      <c r="V163" s="756"/>
      <c r="W163" s="327"/>
      <c r="X163" s="328"/>
      <c r="Y163" s="329">
        <f t="shared" si="34"/>
        <v>1</v>
      </c>
      <c r="Z163" s="330">
        <f t="shared" si="35"/>
        <v>2</v>
      </c>
      <c r="AC163" s="308" t="s">
        <v>640</v>
      </c>
      <c r="AD163" s="482" t="s">
        <v>641</v>
      </c>
      <c r="AE163" s="299">
        <f t="shared" si="13"/>
        <v>0</v>
      </c>
      <c r="AF163" s="311" t="str">
        <f t="shared" si="14"/>
        <v/>
      </c>
      <c r="AH163" s="292"/>
      <c r="AI163" s="792" t="s">
        <v>642</v>
      </c>
      <c r="AJ163" s="789"/>
      <c r="AK163" s="789"/>
      <c r="AL163" s="789"/>
      <c r="AM163" s="756"/>
      <c r="AN163" s="59" t="s">
        <v>643</v>
      </c>
      <c r="AO163" s="299">
        <f t="shared" si="2"/>
        <v>0</v>
      </c>
      <c r="AP163" s="300"/>
      <c r="AQ163" s="292"/>
      <c r="AR163" s="810" t="s">
        <v>644</v>
      </c>
      <c r="AS163" s="789"/>
      <c r="AT163" s="789"/>
      <c r="AU163" s="789"/>
      <c r="AV163" s="789"/>
      <c r="AW163" s="453" t="s">
        <v>645</v>
      </c>
      <c r="AX163" s="299">
        <f t="shared" si="21"/>
        <v>0</v>
      </c>
      <c r="AY163" s="444"/>
      <c r="AZ163" s="292"/>
      <c r="BA163" s="389"/>
    </row>
    <row r="164" spans="1:53" ht="15.75" customHeight="1">
      <c r="A164" s="788" t="s">
        <v>19</v>
      </c>
      <c r="B164" s="789"/>
      <c r="C164" s="756"/>
      <c r="D164" s="324"/>
      <c r="E164" s="325"/>
      <c r="F164" s="488" t="s">
        <v>2</v>
      </c>
      <c r="G164" s="799">
        <f t="shared" si="31"/>
        <v>0</v>
      </c>
      <c r="H164" s="789"/>
      <c r="I164" s="756"/>
      <c r="J164" s="327"/>
      <c r="K164" s="328"/>
      <c r="L164" s="329">
        <f t="shared" si="32"/>
        <v>0</v>
      </c>
      <c r="M164" s="22"/>
      <c r="N164" s="788" t="s">
        <v>19</v>
      </c>
      <c r="O164" s="789"/>
      <c r="P164" s="756"/>
      <c r="Q164" s="324"/>
      <c r="R164" s="325"/>
      <c r="S164" s="488" t="s">
        <v>2</v>
      </c>
      <c r="T164" s="799">
        <f t="shared" si="33"/>
        <v>0</v>
      </c>
      <c r="U164" s="789"/>
      <c r="V164" s="756"/>
      <c r="W164" s="327"/>
      <c r="X164" s="328"/>
      <c r="Y164" s="329">
        <f t="shared" si="34"/>
        <v>0</v>
      </c>
      <c r="Z164" s="330">
        <f t="shared" si="35"/>
        <v>0</v>
      </c>
      <c r="AC164" s="308" t="s">
        <v>646</v>
      </c>
      <c r="AD164" s="489" t="s">
        <v>647</v>
      </c>
      <c r="AE164" s="299">
        <f t="shared" si="13"/>
        <v>0</v>
      </c>
      <c r="AF164" s="311" t="str">
        <f t="shared" si="14"/>
        <v/>
      </c>
      <c r="AH164" s="292"/>
      <c r="AI164" s="792" t="s">
        <v>648</v>
      </c>
      <c r="AJ164" s="789"/>
      <c r="AK164" s="789"/>
      <c r="AL164" s="789"/>
      <c r="AM164" s="756"/>
      <c r="AN164" s="36" t="s">
        <v>194</v>
      </c>
      <c r="AO164" s="299">
        <f t="shared" si="2"/>
        <v>3</v>
      </c>
      <c r="AP164" s="300"/>
      <c r="AQ164" s="292"/>
      <c r="AR164" s="810" t="s">
        <v>649</v>
      </c>
      <c r="AS164" s="789"/>
      <c r="AT164" s="789"/>
      <c r="AU164" s="789"/>
      <c r="AV164" s="789"/>
      <c r="AW164" s="453" t="s">
        <v>650</v>
      </c>
      <c r="AX164" s="299">
        <f t="shared" si="21"/>
        <v>0</v>
      </c>
      <c r="AY164" s="444"/>
      <c r="AZ164" s="292"/>
      <c r="BA164" s="389"/>
    </row>
    <row r="165" spans="1:53" ht="15.75" customHeight="1" thickBot="1">
      <c r="A165" s="788" t="s">
        <v>40</v>
      </c>
      <c r="B165" s="789"/>
      <c r="C165" s="756"/>
      <c r="D165" s="324"/>
      <c r="E165" s="325"/>
      <c r="F165" s="490" t="s">
        <v>41</v>
      </c>
      <c r="G165" s="799">
        <f t="shared" si="31"/>
        <v>0</v>
      </c>
      <c r="H165" s="789"/>
      <c r="I165" s="756"/>
      <c r="J165" s="327"/>
      <c r="K165" s="328"/>
      <c r="L165" s="329">
        <f t="shared" si="32"/>
        <v>0</v>
      </c>
      <c r="M165" s="22"/>
      <c r="N165" s="788" t="s">
        <v>40</v>
      </c>
      <c r="O165" s="789"/>
      <c r="P165" s="756"/>
      <c r="Q165" s="324"/>
      <c r="R165" s="325"/>
      <c r="S165" s="490" t="s">
        <v>41</v>
      </c>
      <c r="T165" s="799">
        <f t="shared" si="33"/>
        <v>0</v>
      </c>
      <c r="U165" s="789"/>
      <c r="V165" s="756"/>
      <c r="W165" s="327"/>
      <c r="X165" s="328"/>
      <c r="Y165" s="329">
        <f t="shared" si="34"/>
        <v>0</v>
      </c>
      <c r="Z165" s="330">
        <f t="shared" si="35"/>
        <v>0</v>
      </c>
      <c r="AC165" s="308" t="s">
        <v>651</v>
      </c>
      <c r="AD165" s="491" t="s">
        <v>652</v>
      </c>
      <c r="AE165" s="299">
        <f t="shared" si="13"/>
        <v>0</v>
      </c>
      <c r="AF165" s="311" t="str">
        <f t="shared" si="14"/>
        <v/>
      </c>
      <c r="AH165" s="292"/>
      <c r="AI165" s="792" t="s">
        <v>653</v>
      </c>
      <c r="AJ165" s="789"/>
      <c r="AK165" s="789"/>
      <c r="AL165" s="789"/>
      <c r="AM165" s="756"/>
      <c r="AN165" s="107" t="s">
        <v>654</v>
      </c>
      <c r="AO165" s="299">
        <f t="shared" si="2"/>
        <v>0</v>
      </c>
      <c r="AP165" s="300"/>
      <c r="AQ165" s="292"/>
      <c r="AR165" s="810" t="s">
        <v>655</v>
      </c>
      <c r="AS165" s="789"/>
      <c r="AT165" s="789"/>
      <c r="AU165" s="789"/>
      <c r="AV165" s="789"/>
      <c r="AW165" s="492" t="s">
        <v>656</v>
      </c>
      <c r="AX165" s="299">
        <f t="shared" si="21"/>
        <v>0</v>
      </c>
      <c r="AY165" s="444"/>
      <c r="AZ165" s="292"/>
      <c r="BA165" s="389"/>
    </row>
    <row r="166" spans="1:53" ht="15.75" customHeight="1">
      <c r="A166" s="493" t="s">
        <v>657</v>
      </c>
      <c r="B166" s="494"/>
      <c r="C166" s="495"/>
      <c r="D166" s="496"/>
      <c r="E166" s="497"/>
      <c r="F166" s="13" t="s">
        <v>124</v>
      </c>
      <c r="G166" s="814">
        <f t="shared" ref="G166" si="36">COUNTIF($A$2:$AK$78,F166)</f>
        <v>1</v>
      </c>
      <c r="H166" s="815"/>
      <c r="I166" s="816"/>
      <c r="J166" s="498"/>
      <c r="K166" s="499"/>
      <c r="L166" s="500"/>
      <c r="M166" s="501"/>
      <c r="N166" s="493" t="s">
        <v>657</v>
      </c>
      <c r="O166" s="502"/>
      <c r="P166" s="503"/>
      <c r="Q166" s="496"/>
      <c r="R166" s="497"/>
      <c r="S166" s="13" t="s">
        <v>124</v>
      </c>
      <c r="T166" s="817">
        <f t="shared" si="33"/>
        <v>0</v>
      </c>
      <c r="U166" s="817"/>
      <c r="V166" s="817"/>
      <c r="W166" s="498"/>
      <c r="X166" s="499"/>
      <c r="Y166" s="500"/>
      <c r="Z166" s="504"/>
      <c r="AC166" s="308" t="s">
        <v>205</v>
      </c>
      <c r="AD166" s="505" t="s">
        <v>205</v>
      </c>
      <c r="AE166" s="299">
        <f t="shared" si="13"/>
        <v>34</v>
      </c>
      <c r="AF166" s="311" t="str">
        <f t="shared" si="14"/>
        <v/>
      </c>
      <c r="AH166" s="292"/>
      <c r="AI166" s="792" t="s">
        <v>658</v>
      </c>
      <c r="AJ166" s="789"/>
      <c r="AK166" s="789"/>
      <c r="AL166" s="789"/>
      <c r="AM166" s="756"/>
      <c r="AN166" s="312" t="s">
        <v>659</v>
      </c>
      <c r="AO166" s="299">
        <f t="shared" si="2"/>
        <v>0</v>
      </c>
      <c r="AP166" s="300"/>
      <c r="AQ166" s="292"/>
      <c r="AR166" s="810" t="s">
        <v>660</v>
      </c>
      <c r="AS166" s="789"/>
      <c r="AT166" s="789"/>
      <c r="AU166" s="789"/>
      <c r="AV166" s="789"/>
      <c r="AW166" s="215" t="s">
        <v>661</v>
      </c>
      <c r="AX166" s="299">
        <f t="shared" si="21"/>
        <v>0</v>
      </c>
      <c r="AY166" s="444"/>
      <c r="AZ166" s="292"/>
      <c r="BA166" s="389"/>
    </row>
    <row r="167" spans="1:53" ht="15.75" customHeight="1">
      <c r="A167" s="788" t="s">
        <v>20</v>
      </c>
      <c r="B167" s="789"/>
      <c r="C167" s="756"/>
      <c r="D167" s="324"/>
      <c r="E167" s="325"/>
      <c r="F167" s="506" t="s">
        <v>3</v>
      </c>
      <c r="G167" s="799">
        <f t="shared" si="31"/>
        <v>0</v>
      </c>
      <c r="H167" s="789"/>
      <c r="I167" s="756"/>
      <c r="J167" s="327"/>
      <c r="K167" s="328"/>
      <c r="L167" s="329">
        <f t="shared" si="32"/>
        <v>0</v>
      </c>
      <c r="M167" s="22"/>
      <c r="N167" s="788" t="s">
        <v>20</v>
      </c>
      <c r="O167" s="789"/>
      <c r="P167" s="756"/>
      <c r="Q167" s="324"/>
      <c r="R167" s="325"/>
      <c r="S167" s="506" t="s">
        <v>3</v>
      </c>
      <c r="T167" s="799">
        <f t="shared" si="33"/>
        <v>0</v>
      </c>
      <c r="U167" s="789"/>
      <c r="V167" s="756"/>
      <c r="W167" s="327"/>
      <c r="X167" s="328"/>
      <c r="Y167" s="329">
        <f t="shared" si="34"/>
        <v>0</v>
      </c>
      <c r="Z167" s="330">
        <f t="shared" si="35"/>
        <v>0</v>
      </c>
      <c r="AC167" s="308" t="s">
        <v>662</v>
      </c>
      <c r="AD167" s="507" t="s">
        <v>663</v>
      </c>
      <c r="AE167" s="299">
        <f t="shared" si="13"/>
        <v>0</v>
      </c>
      <c r="AF167" s="311" t="str">
        <f t="shared" si="14"/>
        <v/>
      </c>
      <c r="AH167" s="292"/>
      <c r="AI167" s="792" t="s">
        <v>664</v>
      </c>
      <c r="AJ167" s="789"/>
      <c r="AK167" s="789"/>
      <c r="AL167" s="789"/>
      <c r="AM167" s="756"/>
      <c r="AN167" s="36" t="s">
        <v>665</v>
      </c>
      <c r="AO167" s="299">
        <f t="shared" si="2"/>
        <v>0</v>
      </c>
      <c r="AP167" s="300"/>
      <c r="AQ167" s="292"/>
      <c r="AR167" s="810" t="s">
        <v>666</v>
      </c>
      <c r="AS167" s="789"/>
      <c r="AT167" s="789"/>
      <c r="AU167" s="789"/>
      <c r="AV167" s="789"/>
      <c r="AW167" s="313" t="s">
        <v>667</v>
      </c>
      <c r="AX167" s="299">
        <f t="shared" si="21"/>
        <v>0</v>
      </c>
      <c r="AY167" s="444"/>
      <c r="AZ167" s="292"/>
      <c r="BA167" s="389"/>
    </row>
    <row r="168" spans="1:53" ht="15.75" customHeight="1" thickBot="1">
      <c r="A168" s="788" t="s">
        <v>108</v>
      </c>
      <c r="B168" s="789"/>
      <c r="C168" s="756"/>
      <c r="D168" s="324" t="s">
        <v>3</v>
      </c>
      <c r="E168" s="325" t="s">
        <v>306</v>
      </c>
      <c r="F168" s="508" t="s">
        <v>107</v>
      </c>
      <c r="G168" s="799">
        <f t="shared" si="31"/>
        <v>0</v>
      </c>
      <c r="H168" s="789"/>
      <c r="I168" s="756"/>
      <c r="J168" s="327"/>
      <c r="K168" s="346"/>
      <c r="L168" s="329">
        <f t="shared" si="32"/>
        <v>0</v>
      </c>
      <c r="M168" s="22"/>
      <c r="N168" s="788" t="s">
        <v>108</v>
      </c>
      <c r="O168" s="789"/>
      <c r="P168" s="756"/>
      <c r="Q168" s="324" t="s">
        <v>3</v>
      </c>
      <c r="R168" s="325" t="s">
        <v>306</v>
      </c>
      <c r="S168" s="508" t="s">
        <v>107</v>
      </c>
      <c r="T168" s="799">
        <f t="shared" si="33"/>
        <v>0</v>
      </c>
      <c r="U168" s="789"/>
      <c r="V168" s="756"/>
      <c r="W168" s="327"/>
      <c r="X168" s="346"/>
      <c r="Y168" s="329">
        <f t="shared" si="34"/>
        <v>0</v>
      </c>
      <c r="Z168" s="330">
        <f t="shared" si="35"/>
        <v>0</v>
      </c>
      <c r="AC168" s="308" t="s">
        <v>668</v>
      </c>
      <c r="AD168" s="509" t="s">
        <v>669</v>
      </c>
      <c r="AE168" s="299">
        <f t="shared" si="13"/>
        <v>0</v>
      </c>
      <c r="AF168" s="311" t="str">
        <f t="shared" si="14"/>
        <v/>
      </c>
      <c r="AH168" s="292"/>
      <c r="AI168" s="792" t="s">
        <v>670</v>
      </c>
      <c r="AJ168" s="789"/>
      <c r="AK168" s="789"/>
      <c r="AL168" s="789"/>
      <c r="AM168" s="756"/>
      <c r="AN168" s="20" t="s">
        <v>127</v>
      </c>
      <c r="AO168" s="299">
        <f t="shared" si="2"/>
        <v>6</v>
      </c>
      <c r="AP168" s="300"/>
      <c r="AQ168" s="292"/>
      <c r="AR168" s="810" t="s">
        <v>671</v>
      </c>
      <c r="AS168" s="789"/>
      <c r="AT168" s="789"/>
      <c r="AU168" s="789"/>
      <c r="AV168" s="789"/>
      <c r="AW168" s="313" t="s">
        <v>672</v>
      </c>
      <c r="AX168" s="299">
        <f t="shared" si="21"/>
        <v>0</v>
      </c>
      <c r="AY168" s="444"/>
      <c r="AZ168" s="292"/>
      <c r="BA168" s="389"/>
    </row>
    <row r="169" spans="1:53" ht="15.75" customHeight="1">
      <c r="A169" s="807" t="s">
        <v>260</v>
      </c>
      <c r="B169" s="789"/>
      <c r="C169" s="789"/>
      <c r="D169" s="789"/>
      <c r="E169" s="789"/>
      <c r="F169" s="393"/>
      <c r="G169" s="808">
        <f>SUM(G151:I168)</f>
        <v>2</v>
      </c>
      <c r="H169" s="789"/>
      <c r="I169" s="756"/>
      <c r="J169" s="391">
        <f>SUM(J151:J168)</f>
        <v>0</v>
      </c>
      <c r="K169" s="346">
        <f>SUM(K151:K168)</f>
        <v>0</v>
      </c>
      <c r="L169" s="329">
        <f>SUM(L151:L168)</f>
        <v>1</v>
      </c>
      <c r="M169" s="22"/>
      <c r="N169" s="807" t="s">
        <v>260</v>
      </c>
      <c r="O169" s="789"/>
      <c r="P169" s="789"/>
      <c r="Q169" s="789"/>
      <c r="R169" s="789"/>
      <c r="S169" s="393"/>
      <c r="T169" s="812">
        <f>SUM(T151:V168)</f>
        <v>4</v>
      </c>
      <c r="U169" s="789"/>
      <c r="V169" s="756"/>
      <c r="W169" s="391">
        <f>SUM(W151:W168)</f>
        <v>0</v>
      </c>
      <c r="X169" s="346">
        <f>SUM(X151:X168)</f>
        <v>0</v>
      </c>
      <c r="Y169" s="329">
        <f>SUM(Y151:Y168)</f>
        <v>4</v>
      </c>
      <c r="Z169" s="330">
        <f t="shared" si="35"/>
        <v>6</v>
      </c>
      <c r="AC169" s="308" t="s">
        <v>673</v>
      </c>
      <c r="AD169" s="219" t="s">
        <v>674</v>
      </c>
      <c r="AE169" s="299">
        <f t="shared" si="13"/>
        <v>0</v>
      </c>
      <c r="AF169" s="311" t="str">
        <f t="shared" si="14"/>
        <v/>
      </c>
      <c r="AH169" s="292"/>
      <c r="AI169" s="792" t="s">
        <v>675</v>
      </c>
      <c r="AJ169" s="789"/>
      <c r="AK169" s="789"/>
      <c r="AL169" s="789"/>
      <c r="AM169" s="756"/>
      <c r="AN169" s="36" t="s">
        <v>154</v>
      </c>
      <c r="AO169" s="299">
        <f t="shared" si="2"/>
        <v>1</v>
      </c>
      <c r="AP169" s="300"/>
      <c r="AQ169" s="292"/>
      <c r="AR169" s="810" t="s">
        <v>676</v>
      </c>
      <c r="AS169" s="789"/>
      <c r="AT169" s="789"/>
      <c r="AU169" s="789"/>
      <c r="AV169" s="789"/>
      <c r="AW169" s="367" t="s">
        <v>677</v>
      </c>
      <c r="AX169" s="299">
        <f t="shared" si="21"/>
        <v>0</v>
      </c>
      <c r="AY169" s="444"/>
      <c r="AZ169" s="292"/>
      <c r="BA169" s="389"/>
    </row>
    <row r="170" spans="1:53" ht="15.75" customHeight="1">
      <c r="A170" s="510"/>
      <c r="B170" s="510"/>
      <c r="C170" s="510"/>
      <c r="D170" s="510"/>
      <c r="E170" s="510"/>
      <c r="F170" s="511"/>
      <c r="J170" s="512"/>
      <c r="K170" s="512"/>
      <c r="M170" s="22"/>
      <c r="N170" s="510"/>
      <c r="O170" s="510"/>
      <c r="P170" s="510"/>
      <c r="Q170" s="510"/>
      <c r="R170" s="510"/>
      <c r="S170" s="511"/>
      <c r="W170" s="512"/>
      <c r="X170" s="512"/>
      <c r="AC170" s="308" t="s">
        <v>678</v>
      </c>
      <c r="AD170" s="219" t="s">
        <v>216</v>
      </c>
      <c r="AE170" s="299">
        <f t="shared" si="13"/>
        <v>8</v>
      </c>
      <c r="AF170" s="311" t="str">
        <f t="shared" si="14"/>
        <v/>
      </c>
      <c r="AH170" s="292"/>
      <c r="AI170" s="792" t="s">
        <v>679</v>
      </c>
      <c r="AJ170" s="789"/>
      <c r="AK170" s="789"/>
      <c r="AL170" s="789"/>
      <c r="AM170" s="756"/>
      <c r="AN170" s="107" t="s">
        <v>157</v>
      </c>
      <c r="AO170" s="299">
        <f t="shared" si="2"/>
        <v>5</v>
      </c>
      <c r="AP170" s="300"/>
      <c r="AQ170" s="292"/>
      <c r="AR170" s="810" t="s">
        <v>680</v>
      </c>
      <c r="AS170" s="789"/>
      <c r="AT170" s="789"/>
      <c r="AU170" s="789"/>
      <c r="AV170" s="789"/>
      <c r="AW170" s="513" t="s">
        <v>681</v>
      </c>
      <c r="AX170" s="299">
        <f t="shared" si="21"/>
        <v>0</v>
      </c>
      <c r="AY170" s="444"/>
      <c r="AZ170" s="292"/>
      <c r="BA170" s="389"/>
    </row>
    <row r="171" spans="1:53" ht="15.75" customHeight="1">
      <c r="A171" s="510"/>
      <c r="B171" s="510"/>
      <c r="C171" s="510"/>
      <c r="D171" s="510"/>
      <c r="E171" s="510"/>
      <c r="F171" s="511"/>
      <c r="J171" s="512"/>
      <c r="K171" s="512"/>
      <c r="M171" s="22"/>
      <c r="N171" s="510"/>
      <c r="O171" s="510"/>
      <c r="P171" s="510"/>
      <c r="Q171" s="510"/>
      <c r="R171" s="510"/>
      <c r="S171" s="511"/>
      <c r="W171" s="512"/>
      <c r="X171" s="512"/>
      <c r="AC171" s="308" t="s">
        <v>682</v>
      </c>
      <c r="AD171" s="219" t="s">
        <v>683</v>
      </c>
      <c r="AE171" s="299">
        <f t="shared" si="13"/>
        <v>0</v>
      </c>
      <c r="AF171" s="311" t="str">
        <f t="shared" si="14"/>
        <v/>
      </c>
      <c r="AH171" s="292"/>
      <c r="AI171" s="792" t="s">
        <v>684</v>
      </c>
      <c r="AJ171" s="789"/>
      <c r="AK171" s="789"/>
      <c r="AL171" s="789"/>
      <c r="AM171" s="756"/>
      <c r="AN171" s="312" t="s">
        <v>685</v>
      </c>
      <c r="AO171" s="299">
        <f t="shared" si="2"/>
        <v>0</v>
      </c>
      <c r="AP171" s="300"/>
      <c r="AQ171" s="292"/>
      <c r="AR171" s="810" t="s">
        <v>686</v>
      </c>
      <c r="AS171" s="789"/>
      <c r="AT171" s="789"/>
      <c r="AU171" s="789"/>
      <c r="AV171" s="789"/>
      <c r="AW171" s="513" t="s">
        <v>687</v>
      </c>
      <c r="AX171" s="299">
        <f t="shared" si="21"/>
        <v>0</v>
      </c>
      <c r="AY171" s="444"/>
      <c r="AZ171" s="292"/>
      <c r="BA171" s="389"/>
    </row>
    <row r="172" spans="1:53" ht="15.75" customHeight="1">
      <c r="A172" s="818" t="s">
        <v>688</v>
      </c>
      <c r="B172" s="789"/>
      <c r="C172" s="789"/>
      <c r="D172" s="789"/>
      <c r="E172" s="756"/>
      <c r="F172" s="514"/>
      <c r="G172" s="819"/>
      <c r="H172" s="715"/>
      <c r="I172" s="803"/>
      <c r="J172" s="321" t="s">
        <v>290</v>
      </c>
      <c r="K172" s="320" t="s">
        <v>291</v>
      </c>
      <c r="L172" s="321" t="s">
        <v>292</v>
      </c>
      <c r="M172" s="22"/>
      <c r="N172" s="818" t="s">
        <v>688</v>
      </c>
      <c r="O172" s="789"/>
      <c r="P172" s="789"/>
      <c r="Q172" s="789"/>
      <c r="R172" s="756"/>
      <c r="S172" s="514"/>
      <c r="T172" s="819"/>
      <c r="U172" s="715"/>
      <c r="V172" s="803"/>
      <c r="W172" s="321" t="s">
        <v>290</v>
      </c>
      <c r="X172" s="320" t="s">
        <v>291</v>
      </c>
      <c r="Y172" s="321" t="s">
        <v>292</v>
      </c>
      <c r="AC172" s="308" t="s">
        <v>689</v>
      </c>
      <c r="AD172" s="515" t="s">
        <v>690</v>
      </c>
      <c r="AE172" s="299">
        <f t="shared" si="13"/>
        <v>0</v>
      </c>
      <c r="AF172" s="311" t="str">
        <f t="shared" si="14"/>
        <v/>
      </c>
      <c r="AH172" s="292"/>
      <c r="AI172" s="792" t="s">
        <v>691</v>
      </c>
      <c r="AJ172" s="789"/>
      <c r="AK172" s="789"/>
      <c r="AL172" s="789"/>
      <c r="AM172" s="756"/>
      <c r="AN172" s="516" t="s">
        <v>692</v>
      </c>
      <c r="AO172" s="299">
        <f t="shared" si="2"/>
        <v>0</v>
      </c>
      <c r="AP172" s="300"/>
      <c r="AQ172" s="292"/>
      <c r="AR172" s="810" t="s">
        <v>693</v>
      </c>
      <c r="AS172" s="789"/>
      <c r="AT172" s="789"/>
      <c r="AU172" s="789"/>
      <c r="AV172" s="789"/>
      <c r="AW172" s="513" t="s">
        <v>694</v>
      </c>
      <c r="AX172" s="299">
        <f t="shared" si="21"/>
        <v>0</v>
      </c>
      <c r="AY172" s="444"/>
      <c r="AZ172" s="292"/>
      <c r="BA172" s="389"/>
    </row>
    <row r="173" spans="1:53" ht="15.75" customHeight="1">
      <c r="A173" s="788" t="s">
        <v>56</v>
      </c>
      <c r="B173" s="789"/>
      <c r="C173" s="756"/>
      <c r="D173" s="788"/>
      <c r="E173" s="756"/>
      <c r="F173" s="392" t="s">
        <v>55</v>
      </c>
      <c r="G173" s="821">
        <f t="shared" ref="G173:G176" si="37">COUNTIF($P$1:$Q$1,F173)</f>
        <v>0</v>
      </c>
      <c r="H173" s="789"/>
      <c r="I173" s="756"/>
      <c r="J173" s="391">
        <f t="shared" ref="J173:J176" si="38">G173-K173</f>
        <v>0</v>
      </c>
      <c r="K173" s="346"/>
      <c r="L173" s="448"/>
      <c r="M173" s="22"/>
      <c r="N173" s="788" t="s">
        <v>56</v>
      </c>
      <c r="O173" s="789"/>
      <c r="P173" s="756"/>
      <c r="Q173" s="788"/>
      <c r="R173" s="756"/>
      <c r="S173" s="392" t="s">
        <v>55</v>
      </c>
      <c r="T173" s="821">
        <f t="shared" ref="T173:T176" si="39">COUNTIF($P$1:$Q$1,S173)</f>
        <v>0</v>
      </c>
      <c r="U173" s="789"/>
      <c r="V173" s="756"/>
      <c r="W173" s="391">
        <f t="shared" ref="W173:W176" si="40">T173-X173</f>
        <v>0</v>
      </c>
      <c r="X173" s="346"/>
      <c r="Y173" s="448"/>
      <c r="Z173" s="330">
        <f t="shared" ref="Z173:Z178" si="41">T173+G173</f>
        <v>0</v>
      </c>
      <c r="AC173" s="308" t="s">
        <v>695</v>
      </c>
      <c r="AD173" s="293" t="s">
        <v>695</v>
      </c>
      <c r="AE173" s="299">
        <f t="shared" si="13"/>
        <v>0</v>
      </c>
      <c r="AF173" s="311" t="str">
        <f t="shared" si="14"/>
        <v/>
      </c>
      <c r="AH173" s="292"/>
      <c r="AI173" s="792" t="s">
        <v>696</v>
      </c>
      <c r="AJ173" s="789"/>
      <c r="AK173" s="789"/>
      <c r="AL173" s="789"/>
      <c r="AM173" s="756"/>
      <c r="AN173" s="517" t="s">
        <v>697</v>
      </c>
      <c r="AO173" s="299">
        <f t="shared" si="2"/>
        <v>0</v>
      </c>
      <c r="AP173" s="300"/>
      <c r="AQ173" s="292"/>
      <c r="AR173" s="810" t="s">
        <v>698</v>
      </c>
      <c r="AS173" s="789"/>
      <c r="AT173" s="789"/>
      <c r="AU173" s="789"/>
      <c r="AV173" s="789"/>
      <c r="AW173" s="518" t="s">
        <v>699</v>
      </c>
      <c r="AX173" s="299">
        <f t="shared" si="21"/>
        <v>0</v>
      </c>
      <c r="AY173" s="460"/>
      <c r="AZ173" s="292"/>
      <c r="BA173" s="389"/>
    </row>
    <row r="174" spans="1:53" ht="15.75" customHeight="1">
      <c r="A174" s="788" t="s">
        <v>53</v>
      </c>
      <c r="B174" s="789"/>
      <c r="C174" s="756"/>
      <c r="D174" s="788"/>
      <c r="E174" s="756"/>
      <c r="F174" s="425" t="s">
        <v>54</v>
      </c>
      <c r="G174" s="821">
        <f t="shared" si="37"/>
        <v>0</v>
      </c>
      <c r="H174" s="789"/>
      <c r="I174" s="756"/>
      <c r="J174" s="391">
        <f t="shared" si="38"/>
        <v>0</v>
      </c>
      <c r="K174" s="346"/>
      <c r="L174" s="448"/>
      <c r="M174" s="22"/>
      <c r="N174" s="788" t="s">
        <v>53</v>
      </c>
      <c r="O174" s="789"/>
      <c r="P174" s="756"/>
      <c r="Q174" s="788"/>
      <c r="R174" s="756"/>
      <c r="S174" s="425" t="s">
        <v>54</v>
      </c>
      <c r="T174" s="821">
        <f t="shared" si="39"/>
        <v>0</v>
      </c>
      <c r="U174" s="789"/>
      <c r="V174" s="756"/>
      <c r="W174" s="391">
        <f t="shared" si="40"/>
        <v>0</v>
      </c>
      <c r="X174" s="346"/>
      <c r="Y174" s="448"/>
      <c r="Z174" s="330">
        <f t="shared" si="41"/>
        <v>0</v>
      </c>
      <c r="AC174" s="308" t="s">
        <v>700</v>
      </c>
      <c r="AD174" s="343" t="s">
        <v>125</v>
      </c>
      <c r="AE174" s="299">
        <f t="shared" si="13"/>
        <v>86</v>
      </c>
      <c r="AF174" s="311" t="str">
        <f t="shared" si="14"/>
        <v/>
      </c>
      <c r="AH174" s="292"/>
      <c r="AI174" s="792" t="s">
        <v>701</v>
      </c>
      <c r="AJ174" s="789"/>
      <c r="AK174" s="789"/>
      <c r="AL174" s="789"/>
      <c r="AM174" s="756"/>
      <c r="AN174" s="519" t="s">
        <v>702</v>
      </c>
      <c r="AO174" s="299">
        <f t="shared" si="2"/>
        <v>0</v>
      </c>
      <c r="AP174" s="300"/>
      <c r="AQ174" s="292"/>
      <c r="AR174" s="810" t="s">
        <v>703</v>
      </c>
      <c r="AS174" s="789"/>
      <c r="AT174" s="789"/>
      <c r="AU174" s="789"/>
      <c r="AV174" s="789"/>
      <c r="AW174" s="520" t="s">
        <v>704</v>
      </c>
      <c r="AX174" s="299">
        <f t="shared" si="21"/>
        <v>0</v>
      </c>
      <c r="AY174" s="460"/>
      <c r="BA174" s="295"/>
    </row>
    <row r="175" spans="1:53" ht="15.75" customHeight="1">
      <c r="A175" s="788" t="s">
        <v>51</v>
      </c>
      <c r="B175" s="789"/>
      <c r="C175" s="756"/>
      <c r="D175" s="788"/>
      <c r="E175" s="756"/>
      <c r="F175" s="521" t="s">
        <v>52</v>
      </c>
      <c r="G175" s="821">
        <f t="shared" si="37"/>
        <v>0</v>
      </c>
      <c r="H175" s="789"/>
      <c r="I175" s="756"/>
      <c r="J175" s="391">
        <f t="shared" si="38"/>
        <v>0</v>
      </c>
      <c r="K175" s="346"/>
      <c r="L175" s="448"/>
      <c r="M175" s="22"/>
      <c r="N175" s="788" t="s">
        <v>51</v>
      </c>
      <c r="O175" s="789"/>
      <c r="P175" s="756"/>
      <c r="Q175" s="788"/>
      <c r="R175" s="756"/>
      <c r="S175" s="521" t="s">
        <v>52</v>
      </c>
      <c r="T175" s="821">
        <f t="shared" si="39"/>
        <v>0</v>
      </c>
      <c r="U175" s="789"/>
      <c r="V175" s="756"/>
      <c r="W175" s="391">
        <f t="shared" si="40"/>
        <v>0</v>
      </c>
      <c r="X175" s="346"/>
      <c r="Y175" s="448"/>
      <c r="Z175" s="330">
        <f t="shared" si="41"/>
        <v>0</v>
      </c>
      <c r="AC175" s="308" t="s">
        <v>705</v>
      </c>
      <c r="AD175" s="459" t="s">
        <v>706</v>
      </c>
      <c r="AE175" s="299">
        <f t="shared" si="13"/>
        <v>0</v>
      </c>
      <c r="AF175" s="311" t="str">
        <f t="shared" si="14"/>
        <v/>
      </c>
      <c r="AH175" s="292"/>
      <c r="AI175" s="820" t="s">
        <v>707</v>
      </c>
      <c r="AJ175" s="789"/>
      <c r="AK175" s="789"/>
      <c r="AL175" s="789"/>
      <c r="AM175" s="756"/>
      <c r="AN175" s="522"/>
      <c r="AO175" s="437">
        <f>SUM(AO99:AO174)</f>
        <v>83</v>
      </c>
      <c r="AQ175" s="292"/>
      <c r="AR175" s="810" t="s">
        <v>708</v>
      </c>
      <c r="AS175" s="789"/>
      <c r="AT175" s="789"/>
      <c r="AU175" s="789"/>
      <c r="AV175" s="789"/>
      <c r="AW175" s="412" t="s">
        <v>709</v>
      </c>
      <c r="AX175" s="299">
        <f t="shared" si="21"/>
        <v>0</v>
      </c>
      <c r="AY175" s="460"/>
      <c r="BA175" s="295"/>
    </row>
    <row r="176" spans="1:53" ht="15.75" customHeight="1">
      <c r="A176" s="788" t="s">
        <v>49</v>
      </c>
      <c r="B176" s="789"/>
      <c r="C176" s="756"/>
      <c r="D176" s="788"/>
      <c r="E176" s="756"/>
      <c r="F176" s="523" t="s">
        <v>50</v>
      </c>
      <c r="G176" s="821">
        <f t="shared" si="37"/>
        <v>0</v>
      </c>
      <c r="H176" s="789"/>
      <c r="I176" s="756"/>
      <c r="J176" s="391">
        <f t="shared" si="38"/>
        <v>0</v>
      </c>
      <c r="K176" s="346"/>
      <c r="L176" s="448"/>
      <c r="M176" s="22"/>
      <c r="N176" s="788" t="s">
        <v>49</v>
      </c>
      <c r="O176" s="789"/>
      <c r="P176" s="756"/>
      <c r="Q176" s="788"/>
      <c r="R176" s="756"/>
      <c r="S176" s="523" t="s">
        <v>50</v>
      </c>
      <c r="T176" s="821">
        <f t="shared" si="39"/>
        <v>0</v>
      </c>
      <c r="U176" s="789"/>
      <c r="V176" s="756"/>
      <c r="W176" s="391">
        <f t="shared" si="40"/>
        <v>0</v>
      </c>
      <c r="X176" s="346"/>
      <c r="Y176" s="448"/>
      <c r="Z176" s="330">
        <f t="shared" si="41"/>
        <v>0</v>
      </c>
      <c r="AC176" s="308" t="s">
        <v>710</v>
      </c>
      <c r="AD176" s="524" t="s">
        <v>237</v>
      </c>
      <c r="AE176" s="299">
        <f t="shared" si="13"/>
        <v>6</v>
      </c>
      <c r="AF176" s="311" t="str">
        <f t="shared" si="14"/>
        <v/>
      </c>
      <c r="AH176" s="292"/>
      <c r="AI176" s="822" t="s">
        <v>711</v>
      </c>
      <c r="AJ176" s="789"/>
      <c r="AK176" s="789"/>
      <c r="AL176" s="789"/>
      <c r="AM176" s="789"/>
      <c r="AN176" s="525" t="s">
        <v>712</v>
      </c>
      <c r="AO176" s="437"/>
      <c r="AQ176" s="292"/>
      <c r="AR176" s="810" t="s">
        <v>713</v>
      </c>
      <c r="AS176" s="789"/>
      <c r="AT176" s="789"/>
      <c r="AU176" s="789"/>
      <c r="AV176" s="789"/>
      <c r="AW176" s="293" t="s">
        <v>714</v>
      </c>
      <c r="AX176" s="299">
        <f t="shared" si="21"/>
        <v>0</v>
      </c>
      <c r="AY176" s="460"/>
      <c r="BA176" s="295"/>
    </row>
    <row r="177" spans="1:56" ht="15.75" customHeight="1">
      <c r="A177" s="807" t="s">
        <v>715</v>
      </c>
      <c r="B177" s="789"/>
      <c r="C177" s="789"/>
      <c r="D177" s="789"/>
      <c r="E177" s="756"/>
      <c r="F177" s="526"/>
      <c r="G177" s="824">
        <f>SUM(G173:I176)</f>
        <v>0</v>
      </c>
      <c r="H177" s="789"/>
      <c r="I177" s="756"/>
      <c r="J177" s="329">
        <f t="shared" ref="J177:K177" si="42">SUM(J173:J176)</f>
        <v>0</v>
      </c>
      <c r="K177" s="527">
        <f t="shared" si="42"/>
        <v>0</v>
      </c>
      <c r="L177" s="448"/>
      <c r="M177" s="22"/>
      <c r="N177" s="807" t="s">
        <v>715</v>
      </c>
      <c r="O177" s="789"/>
      <c r="P177" s="789"/>
      <c r="Q177" s="789"/>
      <c r="R177" s="756"/>
      <c r="S177" s="526"/>
      <c r="T177" s="824">
        <f>SUM(T173:V176)</f>
        <v>0</v>
      </c>
      <c r="U177" s="789"/>
      <c r="V177" s="756"/>
      <c r="W177" s="329">
        <f t="shared" ref="W177:X177" si="43">SUM(W173:W176)</f>
        <v>0</v>
      </c>
      <c r="X177" s="527">
        <f t="shared" si="43"/>
        <v>0</v>
      </c>
      <c r="Y177" s="448"/>
      <c r="Z177" s="330">
        <f t="shared" si="41"/>
        <v>0</v>
      </c>
      <c r="AC177" s="308" t="s">
        <v>716</v>
      </c>
      <c r="AD177" s="360" t="s">
        <v>717</v>
      </c>
      <c r="AE177" s="299">
        <f t="shared" si="13"/>
        <v>0</v>
      </c>
      <c r="AF177" s="311" t="str">
        <f t="shared" si="14"/>
        <v/>
      </c>
      <c r="AH177" s="292"/>
      <c r="AI177" s="528"/>
      <c r="AJ177" s="127"/>
      <c r="AK177" s="127"/>
      <c r="AL177" s="127"/>
      <c r="AM177" s="127"/>
      <c r="AQ177" s="292"/>
      <c r="AR177" s="810" t="s">
        <v>718</v>
      </c>
      <c r="AS177" s="789"/>
      <c r="AT177" s="789"/>
      <c r="AU177" s="789"/>
      <c r="AV177" s="789"/>
      <c r="AW177" s="293" t="s">
        <v>719</v>
      </c>
      <c r="AX177" s="299">
        <f t="shared" si="21"/>
        <v>0</v>
      </c>
      <c r="AY177" s="460"/>
      <c r="BA177" s="295"/>
    </row>
    <row r="178" spans="1:56" ht="15.75" customHeight="1">
      <c r="A178" s="807" t="s">
        <v>715</v>
      </c>
      <c r="B178" s="789"/>
      <c r="C178" s="789"/>
      <c r="D178" s="789"/>
      <c r="E178" s="756"/>
      <c r="F178" s="511"/>
      <c r="G178" s="825">
        <f>G177</f>
        <v>0</v>
      </c>
      <c r="H178" s="744"/>
      <c r="I178" s="806"/>
      <c r="J178" s="329">
        <f t="shared" ref="J178:K178" si="44">J177</f>
        <v>0</v>
      </c>
      <c r="K178" s="527">
        <f t="shared" si="44"/>
        <v>0</v>
      </c>
      <c r="L178" s="448"/>
      <c r="M178" s="22"/>
      <c r="N178" s="807" t="s">
        <v>715</v>
      </c>
      <c r="O178" s="789"/>
      <c r="P178" s="789"/>
      <c r="Q178" s="789"/>
      <c r="R178" s="756"/>
      <c r="S178" s="511"/>
      <c r="T178" s="825">
        <f>T177</f>
        <v>0</v>
      </c>
      <c r="U178" s="744"/>
      <c r="V178" s="806"/>
      <c r="W178" s="329">
        <f t="shared" ref="W178:X178" si="45">W177</f>
        <v>0</v>
      </c>
      <c r="X178" s="527">
        <f t="shared" si="45"/>
        <v>0</v>
      </c>
      <c r="Y178" s="448"/>
      <c r="Z178" s="330">
        <f t="shared" si="41"/>
        <v>0</v>
      </c>
      <c r="AA178" s="22"/>
      <c r="AC178" s="308" t="s">
        <v>720</v>
      </c>
      <c r="AD178" s="529" t="s">
        <v>199</v>
      </c>
      <c r="AE178" s="299">
        <f t="shared" si="13"/>
        <v>26</v>
      </c>
      <c r="AF178" s="311" t="str">
        <f t="shared" si="14"/>
        <v/>
      </c>
      <c r="AH178" s="292"/>
      <c r="AI178" s="796" t="s">
        <v>294</v>
      </c>
      <c r="AJ178" s="789"/>
      <c r="AK178" s="789"/>
      <c r="AL178" s="789"/>
      <c r="AM178" s="789"/>
      <c r="AN178" s="756"/>
      <c r="AO178" s="293" t="s">
        <v>260</v>
      </c>
      <c r="AP178" s="530"/>
      <c r="AQ178" s="292"/>
      <c r="AR178" s="810" t="s">
        <v>721</v>
      </c>
      <c r="AS178" s="789"/>
      <c r="AT178" s="789"/>
      <c r="AU178" s="789"/>
      <c r="AV178" s="789"/>
      <c r="AW178" s="137" t="s">
        <v>179</v>
      </c>
      <c r="AX178" s="299">
        <f t="shared" si="21"/>
        <v>4</v>
      </c>
      <c r="AY178" s="460"/>
      <c r="BA178" s="295"/>
    </row>
    <row r="179" spans="1:56" ht="15.75" customHeight="1">
      <c r="A179" s="510"/>
      <c r="B179" s="510"/>
      <c r="C179" s="510"/>
      <c r="D179" s="510"/>
      <c r="E179" s="510"/>
      <c r="F179" s="511"/>
      <c r="J179" s="512"/>
      <c r="K179" s="512"/>
      <c r="M179" s="22"/>
      <c r="N179" s="510"/>
      <c r="O179" s="510"/>
      <c r="P179" s="510"/>
      <c r="Q179" s="510"/>
      <c r="R179" s="510"/>
      <c r="S179" s="511"/>
      <c r="W179" s="512"/>
      <c r="X179" s="512"/>
      <c r="AA179" s="22"/>
      <c r="AC179" s="356" t="s">
        <v>722</v>
      </c>
      <c r="AD179" s="459" t="s">
        <v>723</v>
      </c>
      <c r="AE179" s="299">
        <f t="shared" si="13"/>
        <v>0</v>
      </c>
      <c r="AF179" s="311" t="str">
        <f t="shared" si="14"/>
        <v/>
      </c>
      <c r="AH179" s="292"/>
      <c r="AI179" s="792" t="s">
        <v>724</v>
      </c>
      <c r="AJ179" s="789"/>
      <c r="AK179" s="789"/>
      <c r="AL179" s="789"/>
      <c r="AM179" s="789"/>
      <c r="AN179" s="531" t="s">
        <v>725</v>
      </c>
      <c r="AO179" s="299">
        <f t="shared" ref="AO179:AO207" si="46">COUNTIF($A$1:$DD$79,AN179)</f>
        <v>0</v>
      </c>
      <c r="AP179" s="532"/>
      <c r="AQ179" s="292"/>
      <c r="AR179" s="810" t="s">
        <v>726</v>
      </c>
      <c r="AS179" s="789"/>
      <c r="AT179" s="789"/>
      <c r="AU179" s="789"/>
      <c r="AV179" s="789"/>
      <c r="AW179" s="410" t="s">
        <v>727</v>
      </c>
      <c r="AX179" s="299">
        <f t="shared" si="21"/>
        <v>0</v>
      </c>
      <c r="AY179" s="460"/>
      <c r="BA179" s="295"/>
    </row>
    <row r="180" spans="1:56" ht="15.75" customHeight="1">
      <c r="A180" s="510"/>
      <c r="B180" s="510"/>
      <c r="C180" s="510"/>
      <c r="D180" s="510"/>
      <c r="E180" s="510"/>
      <c r="F180" s="511"/>
      <c r="J180" s="512"/>
      <c r="K180" s="512"/>
      <c r="M180" s="22"/>
      <c r="N180" s="510"/>
      <c r="O180" s="510"/>
      <c r="P180" s="510"/>
      <c r="Q180" s="510"/>
      <c r="R180" s="510"/>
      <c r="S180" s="511"/>
      <c r="W180" s="512"/>
      <c r="X180" s="512"/>
      <c r="AA180" s="22"/>
      <c r="AC180" s="308" t="s">
        <v>728</v>
      </c>
      <c r="AD180" s="533" t="s">
        <v>729</v>
      </c>
      <c r="AE180" s="299">
        <f t="shared" si="13"/>
        <v>0</v>
      </c>
      <c r="AF180" s="311" t="str">
        <f t="shared" si="14"/>
        <v/>
      </c>
      <c r="AH180" s="292"/>
      <c r="AI180" s="792" t="s">
        <v>730</v>
      </c>
      <c r="AJ180" s="789"/>
      <c r="AK180" s="789"/>
      <c r="AL180" s="789"/>
      <c r="AM180" s="789"/>
      <c r="AN180" s="534" t="s">
        <v>731</v>
      </c>
      <c r="AO180" s="299">
        <f t="shared" si="46"/>
        <v>0</v>
      </c>
      <c r="AP180" s="532"/>
      <c r="AQ180" s="292"/>
      <c r="AR180" s="810" t="s">
        <v>732</v>
      </c>
      <c r="AS180" s="789"/>
      <c r="AT180" s="789"/>
      <c r="AU180" s="789"/>
      <c r="AV180" s="789"/>
      <c r="AW180" s="410" t="s">
        <v>733</v>
      </c>
      <c r="AX180" s="299">
        <f t="shared" si="21"/>
        <v>0</v>
      </c>
      <c r="AY180" s="460"/>
      <c r="BA180" s="295"/>
    </row>
    <row r="181" spans="1:56" ht="15.75" customHeight="1">
      <c r="A181" s="823" t="s">
        <v>734</v>
      </c>
      <c r="B181" s="789"/>
      <c r="C181" s="789"/>
      <c r="D181" s="789"/>
      <c r="E181" s="756"/>
      <c r="F181" s="514"/>
      <c r="G181" s="819"/>
      <c r="H181" s="715"/>
      <c r="I181" s="803"/>
      <c r="J181" s="321" t="s">
        <v>290</v>
      </c>
      <c r="K181" s="320" t="s">
        <v>291</v>
      </c>
      <c r="L181" s="321" t="s">
        <v>292</v>
      </c>
      <c r="M181" s="22"/>
      <c r="N181" s="823" t="s">
        <v>734</v>
      </c>
      <c r="O181" s="789"/>
      <c r="P181" s="789"/>
      <c r="Q181" s="789"/>
      <c r="R181" s="756"/>
      <c r="S181" s="514"/>
      <c r="T181" s="819"/>
      <c r="U181" s="715"/>
      <c r="V181" s="803"/>
      <c r="W181" s="321" t="s">
        <v>290</v>
      </c>
      <c r="X181" s="320" t="s">
        <v>291</v>
      </c>
      <c r="Y181" s="321" t="s">
        <v>292</v>
      </c>
      <c r="AA181" s="22"/>
      <c r="AC181" s="308" t="s">
        <v>735</v>
      </c>
      <c r="AD181" s="435" t="s">
        <v>736</v>
      </c>
      <c r="AE181" s="299">
        <f t="shared" si="13"/>
        <v>0</v>
      </c>
      <c r="AF181" s="311" t="str">
        <f t="shared" si="14"/>
        <v/>
      </c>
      <c r="AH181" s="292"/>
      <c r="AI181" s="792" t="s">
        <v>737</v>
      </c>
      <c r="AJ181" s="789"/>
      <c r="AK181" s="789"/>
      <c r="AL181" s="789"/>
      <c r="AM181" s="789"/>
      <c r="AN181" s="535" t="s">
        <v>738</v>
      </c>
      <c r="AO181" s="299">
        <f t="shared" si="46"/>
        <v>0</v>
      </c>
      <c r="AP181" s="532"/>
      <c r="AQ181" s="292"/>
      <c r="AR181" s="810" t="s">
        <v>739</v>
      </c>
      <c r="AS181" s="789"/>
      <c r="AT181" s="789"/>
      <c r="AU181" s="789"/>
      <c r="AV181" s="789"/>
      <c r="AW181" s="410" t="s">
        <v>740</v>
      </c>
      <c r="AX181" s="299">
        <f t="shared" si="21"/>
        <v>0</v>
      </c>
      <c r="AY181" s="460"/>
      <c r="BA181" s="295"/>
    </row>
    <row r="182" spans="1:56" ht="15.75" customHeight="1">
      <c r="A182" s="788" t="s">
        <v>741</v>
      </c>
      <c r="B182" s="789"/>
      <c r="C182" s="756"/>
      <c r="D182" s="788"/>
      <c r="E182" s="756"/>
      <c r="F182" s="536" t="s">
        <v>65</v>
      </c>
      <c r="G182" s="821">
        <f t="shared" ref="G182:G184" si="47">COUNTIF($P$1:$Q$1,F182)</f>
        <v>0</v>
      </c>
      <c r="H182" s="789"/>
      <c r="I182" s="756"/>
      <c r="J182" s="391">
        <f t="shared" ref="J182:J184" si="48">G182-K182</f>
        <v>0</v>
      </c>
      <c r="K182" s="346"/>
      <c r="L182" s="448"/>
      <c r="M182" s="22"/>
      <c r="N182" s="788" t="s">
        <v>741</v>
      </c>
      <c r="O182" s="789"/>
      <c r="P182" s="756"/>
      <c r="Q182" s="788"/>
      <c r="R182" s="756"/>
      <c r="S182" s="536" t="s">
        <v>65</v>
      </c>
      <c r="T182" s="821">
        <f t="shared" ref="T182:T184" si="49">COUNTIF($P$1:$Q$1,S182)</f>
        <v>0</v>
      </c>
      <c r="U182" s="789"/>
      <c r="V182" s="756"/>
      <c r="W182" s="391">
        <f t="shared" ref="W182:W184" si="50">T182-X182</f>
        <v>0</v>
      </c>
      <c r="X182" s="346"/>
      <c r="Y182" s="448"/>
      <c r="Z182" s="330">
        <f t="shared" ref="Z182:Z186" si="51">T182+G182</f>
        <v>0</v>
      </c>
      <c r="AA182" s="22"/>
      <c r="AC182" s="308" t="s">
        <v>742</v>
      </c>
      <c r="AD182" s="537" t="s">
        <v>743</v>
      </c>
      <c r="AE182" s="299">
        <f t="shared" si="13"/>
        <v>0</v>
      </c>
      <c r="AF182" s="311" t="str">
        <f t="shared" si="14"/>
        <v/>
      </c>
      <c r="AH182" s="292"/>
      <c r="AI182" s="792" t="s">
        <v>744</v>
      </c>
      <c r="AJ182" s="789"/>
      <c r="AK182" s="789"/>
      <c r="AL182" s="789"/>
      <c r="AM182" s="789"/>
      <c r="AN182" s="538" t="s">
        <v>745</v>
      </c>
      <c r="AO182" s="299">
        <f t="shared" si="46"/>
        <v>0</v>
      </c>
      <c r="AP182" s="532"/>
      <c r="AQ182" s="292"/>
      <c r="AR182" s="810" t="s">
        <v>746</v>
      </c>
      <c r="AS182" s="789"/>
      <c r="AT182" s="789"/>
      <c r="AU182" s="789"/>
      <c r="AV182" s="789"/>
      <c r="AW182" s="69" t="s">
        <v>214</v>
      </c>
      <c r="AX182" s="299">
        <f t="shared" si="21"/>
        <v>2</v>
      </c>
      <c r="AY182" s="460"/>
      <c r="BA182" s="295"/>
    </row>
    <row r="183" spans="1:56" ht="15.75" customHeight="1">
      <c r="A183" s="788" t="s">
        <v>747</v>
      </c>
      <c r="B183" s="789"/>
      <c r="C183" s="756"/>
      <c r="D183" s="788"/>
      <c r="E183" s="756"/>
      <c r="F183" s="539" t="s">
        <v>64</v>
      </c>
      <c r="G183" s="821">
        <f t="shared" si="47"/>
        <v>0</v>
      </c>
      <c r="H183" s="789"/>
      <c r="I183" s="756"/>
      <c r="J183" s="391">
        <f t="shared" si="48"/>
        <v>0</v>
      </c>
      <c r="K183" s="346"/>
      <c r="L183" s="448"/>
      <c r="M183" s="22"/>
      <c r="N183" s="788" t="s">
        <v>747</v>
      </c>
      <c r="O183" s="789"/>
      <c r="P183" s="756"/>
      <c r="Q183" s="788"/>
      <c r="R183" s="756"/>
      <c r="S183" s="539" t="s">
        <v>64</v>
      </c>
      <c r="T183" s="821">
        <f t="shared" si="49"/>
        <v>0</v>
      </c>
      <c r="U183" s="789"/>
      <c r="V183" s="756"/>
      <c r="W183" s="391">
        <f t="shared" si="50"/>
        <v>0</v>
      </c>
      <c r="X183" s="346"/>
      <c r="Y183" s="448"/>
      <c r="Z183" s="330">
        <f t="shared" si="51"/>
        <v>0</v>
      </c>
      <c r="AA183" s="22"/>
      <c r="AC183" s="308" t="s">
        <v>748</v>
      </c>
      <c r="AD183" s="540" t="s">
        <v>749</v>
      </c>
      <c r="AE183" s="299">
        <f t="shared" si="13"/>
        <v>0</v>
      </c>
      <c r="AF183" s="311" t="str">
        <f t="shared" si="14"/>
        <v/>
      </c>
      <c r="AH183" s="292"/>
      <c r="AI183" s="792" t="s">
        <v>750</v>
      </c>
      <c r="AJ183" s="789"/>
      <c r="AK183" s="789"/>
      <c r="AL183" s="789"/>
      <c r="AM183" s="789"/>
      <c r="AN183" s="541" t="s">
        <v>751</v>
      </c>
      <c r="AO183" s="299">
        <f t="shared" si="46"/>
        <v>0</v>
      </c>
      <c r="AP183" s="532"/>
      <c r="AQ183" s="292"/>
      <c r="AR183" s="810" t="s">
        <v>752</v>
      </c>
      <c r="AS183" s="789"/>
      <c r="AT183" s="789"/>
      <c r="AU183" s="789"/>
      <c r="AV183" s="789"/>
      <c r="AW183" s="69" t="s">
        <v>753</v>
      </c>
      <c r="AX183" s="299">
        <f t="shared" si="21"/>
        <v>0</v>
      </c>
      <c r="AY183" s="460"/>
      <c r="BA183" s="295"/>
    </row>
    <row r="184" spans="1:56" ht="15.75" customHeight="1">
      <c r="A184" s="788" t="s">
        <v>66</v>
      </c>
      <c r="B184" s="789"/>
      <c r="C184" s="756"/>
      <c r="D184" s="788"/>
      <c r="E184" s="756"/>
      <c r="F184" s="542" t="s">
        <v>67</v>
      </c>
      <c r="G184" s="821">
        <f t="shared" si="47"/>
        <v>0</v>
      </c>
      <c r="H184" s="789"/>
      <c r="I184" s="756"/>
      <c r="J184" s="391">
        <f t="shared" si="48"/>
        <v>0</v>
      </c>
      <c r="K184" s="346"/>
      <c r="L184" s="448"/>
      <c r="M184" s="22"/>
      <c r="N184" s="788" t="s">
        <v>66</v>
      </c>
      <c r="O184" s="789"/>
      <c r="P184" s="756"/>
      <c r="Q184" s="788"/>
      <c r="R184" s="756"/>
      <c r="S184" s="542" t="s">
        <v>67</v>
      </c>
      <c r="T184" s="821">
        <f t="shared" si="49"/>
        <v>0</v>
      </c>
      <c r="U184" s="789"/>
      <c r="V184" s="756"/>
      <c r="W184" s="391">
        <f t="shared" si="50"/>
        <v>0</v>
      </c>
      <c r="X184" s="346"/>
      <c r="Y184" s="448"/>
      <c r="Z184" s="330">
        <f t="shared" si="51"/>
        <v>0</v>
      </c>
      <c r="AA184" s="22" t="b">
        <f>IFERROR(#REF!&gt;0.5,FALSE)</f>
        <v>0</v>
      </c>
      <c r="AC184" s="308" t="s">
        <v>754</v>
      </c>
      <c r="AD184" s="540" t="s">
        <v>754</v>
      </c>
      <c r="AE184" s="299">
        <f t="shared" si="13"/>
        <v>0</v>
      </c>
      <c r="AF184" s="311" t="str">
        <f t="shared" si="14"/>
        <v/>
      </c>
      <c r="AH184" s="292"/>
      <c r="AI184" s="792" t="s">
        <v>755</v>
      </c>
      <c r="AJ184" s="789"/>
      <c r="AK184" s="789"/>
      <c r="AL184" s="789"/>
      <c r="AM184" s="789"/>
      <c r="AN184" s="543" t="s">
        <v>756</v>
      </c>
      <c r="AO184" s="299">
        <f t="shared" si="46"/>
        <v>0</v>
      </c>
      <c r="AP184" s="532"/>
      <c r="AQ184" s="292"/>
      <c r="AR184" s="810" t="s">
        <v>757</v>
      </c>
      <c r="AS184" s="789"/>
      <c r="AT184" s="789"/>
      <c r="AU184" s="789"/>
      <c r="AV184" s="789"/>
      <c r="AW184" s="217" t="s">
        <v>215</v>
      </c>
      <c r="AX184" s="299">
        <f t="shared" si="21"/>
        <v>4</v>
      </c>
      <c r="AY184" s="460"/>
      <c r="BA184" s="295"/>
    </row>
    <row r="185" spans="1:56" ht="15.75" customHeight="1">
      <c r="A185" s="807" t="s">
        <v>758</v>
      </c>
      <c r="B185" s="789"/>
      <c r="C185" s="789"/>
      <c r="D185" s="789"/>
      <c r="E185" s="756"/>
      <c r="F185" s="526"/>
      <c r="G185" s="824">
        <f>SUM(G182:I184)</f>
        <v>0</v>
      </c>
      <c r="H185" s="789"/>
      <c r="I185" s="756"/>
      <c r="J185" s="329">
        <f t="shared" ref="J185:K185" si="52">SUM(J182:J184)</f>
        <v>0</v>
      </c>
      <c r="K185" s="527">
        <f t="shared" si="52"/>
        <v>0</v>
      </c>
      <c r="L185" s="448"/>
      <c r="M185" s="22"/>
      <c r="N185" s="807" t="s">
        <v>758</v>
      </c>
      <c r="O185" s="789"/>
      <c r="P185" s="789"/>
      <c r="Q185" s="789"/>
      <c r="R185" s="756"/>
      <c r="S185" s="526"/>
      <c r="T185" s="824">
        <f>SUM(T182:V184)</f>
        <v>0</v>
      </c>
      <c r="U185" s="789"/>
      <c r="V185" s="756"/>
      <c r="W185" s="329">
        <f t="shared" ref="W185:X185" si="53">SUM(W182:W184)</f>
        <v>0</v>
      </c>
      <c r="X185" s="527">
        <f t="shared" si="53"/>
        <v>0</v>
      </c>
      <c r="Y185" s="448"/>
      <c r="Z185" s="330">
        <f t="shared" si="51"/>
        <v>0</v>
      </c>
      <c r="AA185" s="22"/>
      <c r="AC185" s="308" t="s">
        <v>300</v>
      </c>
      <c r="AD185" s="544" t="s">
        <v>759</v>
      </c>
      <c r="AE185" s="299">
        <f t="shared" si="13"/>
        <v>0</v>
      </c>
      <c r="AF185" s="311" t="str">
        <f t="shared" si="14"/>
        <v/>
      </c>
      <c r="AH185" s="292"/>
      <c r="AI185" s="792" t="s">
        <v>760</v>
      </c>
      <c r="AJ185" s="789"/>
      <c r="AK185" s="789"/>
      <c r="AL185" s="789"/>
      <c r="AM185" s="789"/>
      <c r="AN185" s="293" t="s">
        <v>761</v>
      </c>
      <c r="AO185" s="299">
        <f t="shared" si="46"/>
        <v>0</v>
      </c>
      <c r="AP185" s="532"/>
      <c r="AQ185" s="292"/>
      <c r="AR185" s="810" t="s">
        <v>762</v>
      </c>
      <c r="AS185" s="789"/>
      <c r="AT185" s="789"/>
      <c r="AU185" s="789"/>
      <c r="AV185" s="789"/>
      <c r="AW185" s="332" t="s">
        <v>763</v>
      </c>
      <c r="AX185" s="299">
        <f t="shared" si="21"/>
        <v>0</v>
      </c>
      <c r="AY185" s="460"/>
      <c r="BA185" s="295"/>
      <c r="BC185" s="545"/>
      <c r="BD185" s="545"/>
    </row>
    <row r="186" spans="1:56" ht="15.75" customHeight="1">
      <c r="A186" s="807" t="s">
        <v>758</v>
      </c>
      <c r="B186" s="789"/>
      <c r="C186" s="789"/>
      <c r="D186" s="789"/>
      <c r="E186" s="756"/>
      <c r="F186" s="511"/>
      <c r="G186" s="825">
        <f>G185</f>
        <v>0</v>
      </c>
      <c r="H186" s="744"/>
      <c r="I186" s="806"/>
      <c r="J186" s="329">
        <f t="shared" ref="J186:K186" si="54">J185</f>
        <v>0</v>
      </c>
      <c r="K186" s="527">
        <f t="shared" si="54"/>
        <v>0</v>
      </c>
      <c r="L186" s="448"/>
      <c r="M186" s="22"/>
      <c r="N186" s="807" t="s">
        <v>758</v>
      </c>
      <c r="O186" s="789"/>
      <c r="P186" s="789"/>
      <c r="Q186" s="789"/>
      <c r="R186" s="756"/>
      <c r="S186" s="511"/>
      <c r="T186" s="825">
        <f>T185</f>
        <v>0</v>
      </c>
      <c r="U186" s="744"/>
      <c r="V186" s="806"/>
      <c r="W186" s="329">
        <f t="shared" ref="W186:X186" si="55">W185</f>
        <v>0</v>
      </c>
      <c r="X186" s="527">
        <f t="shared" si="55"/>
        <v>0</v>
      </c>
      <c r="Y186" s="448"/>
      <c r="Z186" s="330">
        <f t="shared" si="51"/>
        <v>0</v>
      </c>
      <c r="AA186" s="22"/>
      <c r="AC186" s="546" t="s">
        <v>764</v>
      </c>
      <c r="AD186" s="63" t="s">
        <v>147</v>
      </c>
      <c r="AE186" s="299">
        <f t="shared" si="13"/>
        <v>47</v>
      </c>
      <c r="AF186" s="311" t="str">
        <f t="shared" si="14"/>
        <v/>
      </c>
      <c r="AH186" s="292"/>
      <c r="AI186" s="792" t="s">
        <v>765</v>
      </c>
      <c r="AJ186" s="789"/>
      <c r="AK186" s="789"/>
      <c r="AL186" s="789"/>
      <c r="AM186" s="789"/>
      <c r="AN186" s="217" t="s">
        <v>766</v>
      </c>
      <c r="AO186" s="299">
        <f t="shared" si="46"/>
        <v>0</v>
      </c>
      <c r="AP186" s="532"/>
      <c r="AQ186" s="292"/>
      <c r="AR186" s="810" t="s">
        <v>767</v>
      </c>
      <c r="AS186" s="789"/>
      <c r="AT186" s="789"/>
      <c r="AU186" s="789"/>
      <c r="AV186" s="789"/>
      <c r="AW186" s="547" t="s">
        <v>768</v>
      </c>
      <c r="AX186" s="299">
        <f t="shared" si="21"/>
        <v>0</v>
      </c>
      <c r="AY186" s="460"/>
      <c r="BA186" s="295"/>
      <c r="BC186" s="280"/>
      <c r="BD186" s="280"/>
    </row>
    <row r="187" spans="1:56" ht="15.75" customHeight="1">
      <c r="A187" s="510"/>
      <c r="B187" s="510"/>
      <c r="C187" s="510"/>
      <c r="D187" s="510"/>
      <c r="E187" s="510"/>
      <c r="F187" s="511"/>
      <c r="J187" s="512"/>
      <c r="K187" s="512"/>
      <c r="M187" s="22"/>
      <c r="N187" s="510"/>
      <c r="O187" s="510"/>
      <c r="P187" s="510"/>
      <c r="Q187" s="510"/>
      <c r="R187" s="510"/>
      <c r="S187" s="511"/>
      <c r="W187" s="512"/>
      <c r="X187" s="512"/>
      <c r="AA187" s="22"/>
      <c r="AC187" s="308" t="s">
        <v>769</v>
      </c>
      <c r="AD187" s="548" t="s">
        <v>770</v>
      </c>
      <c r="AE187" s="299">
        <f t="shared" si="13"/>
        <v>0</v>
      </c>
      <c r="AF187" s="311" t="str">
        <f t="shared" si="14"/>
        <v/>
      </c>
      <c r="AH187" s="292"/>
      <c r="AI187" s="792" t="s">
        <v>771</v>
      </c>
      <c r="AJ187" s="789"/>
      <c r="AK187" s="789"/>
      <c r="AL187" s="789"/>
      <c r="AM187" s="789"/>
      <c r="AN187" s="69" t="s">
        <v>772</v>
      </c>
      <c r="AO187" s="299">
        <f t="shared" si="46"/>
        <v>0</v>
      </c>
      <c r="AP187" s="532"/>
      <c r="AQ187" s="292"/>
      <c r="AR187" s="810" t="s">
        <v>773</v>
      </c>
      <c r="AS187" s="789"/>
      <c r="AT187" s="789"/>
      <c r="AU187" s="789"/>
      <c r="AV187" s="789"/>
      <c r="AW187" s="549" t="s">
        <v>774</v>
      </c>
      <c r="AX187" s="299">
        <f t="shared" si="21"/>
        <v>0</v>
      </c>
      <c r="AY187" s="460"/>
      <c r="BA187" s="295"/>
      <c r="BC187" s="545"/>
      <c r="BD187" s="545"/>
    </row>
    <row r="188" spans="1:56" ht="15.75" customHeight="1">
      <c r="A188" s="510"/>
      <c r="B188" s="510"/>
      <c r="C188" s="510"/>
      <c r="D188" s="510"/>
      <c r="E188" s="510"/>
      <c r="F188" s="511"/>
      <c r="J188" s="512"/>
      <c r="K188" s="512"/>
      <c r="M188" s="22"/>
      <c r="N188" s="510"/>
      <c r="O188" s="510"/>
      <c r="P188" s="510"/>
      <c r="Q188" s="510"/>
      <c r="R188" s="510"/>
      <c r="S188" s="511"/>
      <c r="W188" s="512"/>
      <c r="X188" s="512"/>
      <c r="AA188" s="22"/>
      <c r="AC188" s="546" t="s">
        <v>775</v>
      </c>
      <c r="AD188" s="323" t="s">
        <v>776</v>
      </c>
      <c r="AE188" s="299">
        <f t="shared" si="13"/>
        <v>0</v>
      </c>
      <c r="AF188" s="311" t="str">
        <f t="shared" si="14"/>
        <v/>
      </c>
      <c r="AH188" s="292"/>
      <c r="AI188" s="792" t="s">
        <v>777</v>
      </c>
      <c r="AJ188" s="789"/>
      <c r="AK188" s="789"/>
      <c r="AL188" s="789"/>
      <c r="AM188" s="789"/>
      <c r="AN188" s="69" t="s">
        <v>5</v>
      </c>
      <c r="AO188" s="299">
        <f t="shared" si="46"/>
        <v>1</v>
      </c>
      <c r="AP188" s="532"/>
      <c r="AQ188" s="292"/>
      <c r="AR188" s="810" t="s">
        <v>778</v>
      </c>
      <c r="AS188" s="789"/>
      <c r="AT188" s="789"/>
      <c r="AU188" s="789"/>
      <c r="AV188" s="789"/>
      <c r="AW188" s="549" t="s">
        <v>779</v>
      </c>
      <c r="AX188" s="299">
        <f t="shared" si="21"/>
        <v>0</v>
      </c>
      <c r="AY188" s="460"/>
      <c r="BA188" s="295"/>
      <c r="BC188" s="550"/>
      <c r="BD188" s="550"/>
    </row>
    <row r="189" spans="1:56" ht="15.75" customHeight="1">
      <c r="A189" s="826" t="s">
        <v>780</v>
      </c>
      <c r="B189" s="789"/>
      <c r="C189" s="789"/>
      <c r="D189" s="789"/>
      <c r="E189" s="756"/>
      <c r="F189" s="514"/>
      <c r="G189" s="819"/>
      <c r="H189" s="715"/>
      <c r="I189" s="803"/>
      <c r="J189" s="321" t="s">
        <v>290</v>
      </c>
      <c r="K189" s="320" t="s">
        <v>291</v>
      </c>
      <c r="L189" s="321" t="s">
        <v>292</v>
      </c>
      <c r="M189" s="22"/>
      <c r="N189" s="826" t="s">
        <v>780</v>
      </c>
      <c r="O189" s="789"/>
      <c r="P189" s="789"/>
      <c r="Q189" s="789"/>
      <c r="R189" s="756"/>
      <c r="S189" s="514"/>
      <c r="T189" s="819"/>
      <c r="U189" s="715"/>
      <c r="V189" s="803"/>
      <c r="W189" s="321" t="s">
        <v>290</v>
      </c>
      <c r="X189" s="320" t="s">
        <v>291</v>
      </c>
      <c r="Y189" s="321" t="s">
        <v>292</v>
      </c>
      <c r="AA189" s="22"/>
      <c r="AC189" s="308" t="s">
        <v>781</v>
      </c>
      <c r="AD189" s="323" t="s">
        <v>782</v>
      </c>
      <c r="AE189" s="299">
        <f t="shared" si="13"/>
        <v>0</v>
      </c>
      <c r="AF189" s="311" t="str">
        <f t="shared" si="14"/>
        <v/>
      </c>
      <c r="AH189" s="292"/>
      <c r="AI189" s="792" t="s">
        <v>783</v>
      </c>
      <c r="AJ189" s="789"/>
      <c r="AK189" s="789"/>
      <c r="AL189" s="789"/>
      <c r="AM189" s="789"/>
      <c r="AN189" s="79" t="s">
        <v>152</v>
      </c>
      <c r="AO189" s="299">
        <f t="shared" si="46"/>
        <v>5</v>
      </c>
      <c r="AP189" s="532"/>
      <c r="AQ189" s="292"/>
      <c r="AR189" s="810" t="s">
        <v>784</v>
      </c>
      <c r="AS189" s="789"/>
      <c r="AT189" s="789"/>
      <c r="AU189" s="789"/>
      <c r="AV189" s="789"/>
      <c r="AW189" s="227" t="s">
        <v>222</v>
      </c>
      <c r="AX189" s="299">
        <f t="shared" si="21"/>
        <v>1</v>
      </c>
      <c r="AY189" s="460"/>
      <c r="BA189" s="295"/>
    </row>
    <row r="190" spans="1:56" ht="15.75" customHeight="1">
      <c r="A190" s="788" t="s">
        <v>785</v>
      </c>
      <c r="B190" s="789"/>
      <c r="C190" s="756"/>
      <c r="D190" s="788"/>
      <c r="E190" s="756"/>
      <c r="F190" s="551" t="s">
        <v>786</v>
      </c>
      <c r="G190" s="821">
        <f t="shared" ref="G190:G193" si="56">COUNTIF($P$1:$Q$1,F190)</f>
        <v>0</v>
      </c>
      <c r="H190" s="789"/>
      <c r="I190" s="756"/>
      <c r="J190" s="391">
        <f t="shared" ref="J190:J193" si="57">G190-K190</f>
        <v>0</v>
      </c>
      <c r="K190" s="346"/>
      <c r="L190" s="448"/>
      <c r="M190" s="22"/>
      <c r="N190" s="788" t="s">
        <v>785</v>
      </c>
      <c r="O190" s="789"/>
      <c r="P190" s="756"/>
      <c r="Q190" s="788"/>
      <c r="R190" s="756"/>
      <c r="S190" s="551" t="s">
        <v>786</v>
      </c>
      <c r="T190" s="821">
        <f t="shared" ref="T190:T193" si="58">COUNTIF($P$1:$Q$1,S190)</f>
        <v>0</v>
      </c>
      <c r="U190" s="789"/>
      <c r="V190" s="756"/>
      <c r="W190" s="391">
        <f t="shared" ref="W190:W193" si="59">T190-X190</f>
        <v>0</v>
      </c>
      <c r="X190" s="346"/>
      <c r="Y190" s="448"/>
      <c r="Z190" s="330">
        <f t="shared" ref="Z190:Z195" si="60">T190+G190</f>
        <v>0</v>
      </c>
      <c r="AA190" s="22"/>
      <c r="AC190" s="308" t="s">
        <v>787</v>
      </c>
      <c r="AD190" s="552" t="s">
        <v>788</v>
      </c>
      <c r="AE190" s="299">
        <f t="shared" si="13"/>
        <v>0</v>
      </c>
      <c r="AF190" s="311" t="str">
        <f t="shared" si="14"/>
        <v/>
      </c>
      <c r="AH190" s="292"/>
      <c r="AI190" s="792" t="s">
        <v>789</v>
      </c>
      <c r="AJ190" s="789"/>
      <c r="AK190" s="789"/>
      <c r="AL190" s="789"/>
      <c r="AM190" s="789"/>
      <c r="AN190" s="313" t="s">
        <v>790</v>
      </c>
      <c r="AO190" s="299">
        <f t="shared" si="46"/>
        <v>0</v>
      </c>
      <c r="AP190" s="532"/>
      <c r="AQ190" s="292"/>
      <c r="AR190" s="810" t="s">
        <v>791</v>
      </c>
      <c r="AS190" s="789"/>
      <c r="AT190" s="789"/>
      <c r="AU190" s="789"/>
      <c r="AV190" s="789"/>
      <c r="AW190" s="553" t="s">
        <v>792</v>
      </c>
      <c r="AX190" s="299">
        <f t="shared" si="21"/>
        <v>0</v>
      </c>
      <c r="AY190" s="460"/>
      <c r="BA190" s="295"/>
      <c r="BC190" s="545"/>
      <c r="BD190" s="545"/>
    </row>
    <row r="191" spans="1:56" ht="15.75" customHeight="1">
      <c r="A191" s="788" t="s">
        <v>793</v>
      </c>
      <c r="B191" s="789"/>
      <c r="C191" s="756"/>
      <c r="D191" s="788"/>
      <c r="E191" s="756"/>
      <c r="F191" s="554" t="s">
        <v>794</v>
      </c>
      <c r="G191" s="821">
        <f t="shared" si="56"/>
        <v>0</v>
      </c>
      <c r="H191" s="789"/>
      <c r="I191" s="756"/>
      <c r="J191" s="391">
        <f t="shared" si="57"/>
        <v>0</v>
      </c>
      <c r="K191" s="346"/>
      <c r="L191" s="448"/>
      <c r="M191" s="22"/>
      <c r="N191" s="788" t="s">
        <v>793</v>
      </c>
      <c r="O191" s="789"/>
      <c r="P191" s="756"/>
      <c r="Q191" s="788"/>
      <c r="R191" s="756"/>
      <c r="S191" s="554" t="s">
        <v>794</v>
      </c>
      <c r="T191" s="821">
        <f t="shared" si="58"/>
        <v>0</v>
      </c>
      <c r="U191" s="789"/>
      <c r="V191" s="756"/>
      <c r="W191" s="391">
        <f t="shared" si="59"/>
        <v>0</v>
      </c>
      <c r="X191" s="346"/>
      <c r="Y191" s="448"/>
      <c r="Z191" s="330">
        <f t="shared" si="60"/>
        <v>0</v>
      </c>
      <c r="AA191" s="22"/>
      <c r="AC191" s="308" t="s">
        <v>795</v>
      </c>
      <c r="AD191" s="529" t="s">
        <v>796</v>
      </c>
      <c r="AE191" s="299">
        <f t="shared" si="13"/>
        <v>0</v>
      </c>
      <c r="AF191" s="311" t="str">
        <f t="shared" si="14"/>
        <v/>
      </c>
      <c r="AH191" s="292"/>
      <c r="AI191" s="792" t="s">
        <v>797</v>
      </c>
      <c r="AJ191" s="789"/>
      <c r="AK191" s="789"/>
      <c r="AL191" s="789"/>
      <c r="AM191" s="789"/>
      <c r="AN191" s="373" t="s">
        <v>798</v>
      </c>
      <c r="AO191" s="299">
        <f t="shared" si="46"/>
        <v>0</v>
      </c>
      <c r="AP191" s="532"/>
      <c r="AQ191" s="292"/>
      <c r="AR191" s="810" t="s">
        <v>799</v>
      </c>
      <c r="AS191" s="789"/>
      <c r="AT191" s="789"/>
      <c r="AU191" s="789"/>
      <c r="AV191" s="789"/>
      <c r="AW191" s="555" t="s">
        <v>800</v>
      </c>
      <c r="AX191" s="299">
        <f t="shared" si="21"/>
        <v>0</v>
      </c>
      <c r="AY191" s="460"/>
      <c r="BA191" s="295"/>
      <c r="BC191" s="280"/>
      <c r="BD191" s="280"/>
    </row>
    <row r="192" spans="1:56" ht="15.75" customHeight="1">
      <c r="A192" s="788" t="s">
        <v>801</v>
      </c>
      <c r="B192" s="789"/>
      <c r="C192" s="756"/>
      <c r="D192" s="788"/>
      <c r="E192" s="756"/>
      <c r="F192" s="556" t="s">
        <v>802</v>
      </c>
      <c r="G192" s="821">
        <f t="shared" si="56"/>
        <v>0</v>
      </c>
      <c r="H192" s="789"/>
      <c r="I192" s="756"/>
      <c r="J192" s="391">
        <f t="shared" si="57"/>
        <v>0</v>
      </c>
      <c r="K192" s="346"/>
      <c r="L192" s="448"/>
      <c r="M192" s="22"/>
      <c r="N192" s="788" t="s">
        <v>801</v>
      </c>
      <c r="O192" s="789"/>
      <c r="P192" s="756"/>
      <c r="Q192" s="788"/>
      <c r="R192" s="756"/>
      <c r="S192" s="556" t="s">
        <v>802</v>
      </c>
      <c r="T192" s="821">
        <f t="shared" si="58"/>
        <v>0</v>
      </c>
      <c r="U192" s="789"/>
      <c r="V192" s="756"/>
      <c r="W192" s="391">
        <f t="shared" si="59"/>
        <v>0</v>
      </c>
      <c r="X192" s="346"/>
      <c r="Y192" s="448"/>
      <c r="Z192" s="330">
        <f t="shared" si="60"/>
        <v>0</v>
      </c>
      <c r="AA192" s="22"/>
      <c r="AC192" s="308" t="s">
        <v>803</v>
      </c>
      <c r="AD192" s="548" t="s">
        <v>804</v>
      </c>
      <c r="AE192" s="299">
        <f t="shared" si="13"/>
        <v>0</v>
      </c>
      <c r="AF192" s="311" t="str">
        <f t="shared" si="14"/>
        <v/>
      </c>
      <c r="AI192" s="792" t="s">
        <v>805</v>
      </c>
      <c r="AJ192" s="789"/>
      <c r="AK192" s="789"/>
      <c r="AL192" s="789"/>
      <c r="AM192" s="789"/>
      <c r="AN192" s="412" t="s">
        <v>806</v>
      </c>
      <c r="AO192" s="299">
        <f t="shared" si="46"/>
        <v>0</v>
      </c>
      <c r="AP192" s="532"/>
      <c r="AQ192" s="292"/>
      <c r="AR192" s="810" t="s">
        <v>807</v>
      </c>
      <c r="AS192" s="789"/>
      <c r="AT192" s="789"/>
      <c r="AU192" s="789"/>
      <c r="AV192" s="789"/>
      <c r="AW192" s="422" t="s">
        <v>808</v>
      </c>
      <c r="AX192" s="299">
        <f t="shared" si="21"/>
        <v>0</v>
      </c>
      <c r="AY192" s="460"/>
      <c r="BA192" s="295"/>
      <c r="BC192" s="545"/>
      <c r="BD192" s="545"/>
    </row>
    <row r="193" spans="1:56" ht="15.75" customHeight="1">
      <c r="A193" s="788" t="s">
        <v>809</v>
      </c>
      <c r="B193" s="789"/>
      <c r="C193" s="756"/>
      <c r="D193" s="788"/>
      <c r="E193" s="756"/>
      <c r="F193" s="557" t="s">
        <v>810</v>
      </c>
      <c r="G193" s="821">
        <f t="shared" si="56"/>
        <v>0</v>
      </c>
      <c r="H193" s="789"/>
      <c r="I193" s="756"/>
      <c r="J193" s="391">
        <f t="shared" si="57"/>
        <v>0</v>
      </c>
      <c r="K193" s="346"/>
      <c r="L193" s="448"/>
      <c r="M193" s="22"/>
      <c r="N193" s="788" t="s">
        <v>809</v>
      </c>
      <c r="O193" s="789"/>
      <c r="P193" s="756"/>
      <c r="Q193" s="788"/>
      <c r="R193" s="756"/>
      <c r="S193" s="557" t="s">
        <v>810</v>
      </c>
      <c r="T193" s="821">
        <f t="shared" si="58"/>
        <v>0</v>
      </c>
      <c r="U193" s="789"/>
      <c r="V193" s="756"/>
      <c r="W193" s="391">
        <f t="shared" si="59"/>
        <v>0</v>
      </c>
      <c r="X193" s="346"/>
      <c r="Y193" s="448"/>
      <c r="Z193" s="330">
        <f t="shared" si="60"/>
        <v>0</v>
      </c>
      <c r="AA193" s="22"/>
      <c r="AC193" s="308" t="s">
        <v>811</v>
      </c>
      <c r="AD193" s="293" t="s">
        <v>812</v>
      </c>
      <c r="AE193" s="299">
        <f t="shared" si="13"/>
        <v>0</v>
      </c>
      <c r="AF193" s="311" t="str">
        <f t="shared" si="14"/>
        <v/>
      </c>
      <c r="AI193" s="792" t="s">
        <v>813</v>
      </c>
      <c r="AJ193" s="789"/>
      <c r="AK193" s="789"/>
      <c r="AL193" s="789"/>
      <c r="AM193" s="789"/>
      <c r="AN193" s="410" t="s">
        <v>814</v>
      </c>
      <c r="AO193" s="299">
        <f t="shared" si="46"/>
        <v>0</v>
      </c>
      <c r="AP193" s="532"/>
      <c r="AQ193" s="292"/>
      <c r="AR193" s="810" t="s">
        <v>815</v>
      </c>
      <c r="AS193" s="789"/>
      <c r="AT193" s="789"/>
      <c r="AU193" s="789"/>
      <c r="AV193" s="789"/>
      <c r="AW193" s="148" t="s">
        <v>177</v>
      </c>
      <c r="AX193" s="299">
        <f t="shared" si="21"/>
        <v>1</v>
      </c>
      <c r="AY193" s="460"/>
      <c r="BA193" s="295"/>
      <c r="BC193" s="550"/>
      <c r="BD193" s="550"/>
    </row>
    <row r="194" spans="1:56" ht="15.75" customHeight="1">
      <c r="A194" s="807" t="s">
        <v>816</v>
      </c>
      <c r="B194" s="789"/>
      <c r="C194" s="789"/>
      <c r="D194" s="789"/>
      <c r="E194" s="756"/>
      <c r="F194" s="526"/>
      <c r="G194" s="824">
        <f>SUM(G190:I193)</f>
        <v>0</v>
      </c>
      <c r="H194" s="789"/>
      <c r="I194" s="756"/>
      <c r="J194" s="329">
        <f t="shared" ref="J194:K194" si="61">SUM(J190:J193)</f>
        <v>0</v>
      </c>
      <c r="K194" s="527">
        <f t="shared" si="61"/>
        <v>0</v>
      </c>
      <c r="L194" s="448"/>
      <c r="M194" s="22"/>
      <c r="N194" s="807" t="s">
        <v>816</v>
      </c>
      <c r="O194" s="789"/>
      <c r="P194" s="789"/>
      <c r="Q194" s="789"/>
      <c r="R194" s="756"/>
      <c r="S194" s="526"/>
      <c r="T194" s="824">
        <f>SUM(T190:V193)</f>
        <v>0</v>
      </c>
      <c r="U194" s="789"/>
      <c r="V194" s="756"/>
      <c r="W194" s="329">
        <f t="shared" ref="W194:X194" si="62">SUM(W190:W193)</f>
        <v>0</v>
      </c>
      <c r="X194" s="527">
        <f t="shared" si="62"/>
        <v>0</v>
      </c>
      <c r="Y194" s="448"/>
      <c r="Z194" s="330">
        <f t="shared" si="60"/>
        <v>0</v>
      </c>
      <c r="AA194" s="22"/>
      <c r="AC194" s="308" t="s">
        <v>817</v>
      </c>
      <c r="AD194" s="558" t="s">
        <v>817</v>
      </c>
      <c r="AE194" s="299">
        <f t="shared" si="13"/>
        <v>0</v>
      </c>
      <c r="AF194" s="311" t="str">
        <f t="shared" si="14"/>
        <v/>
      </c>
      <c r="AI194" s="792" t="s">
        <v>818</v>
      </c>
      <c r="AJ194" s="789"/>
      <c r="AK194" s="789"/>
      <c r="AL194" s="789"/>
      <c r="AM194" s="789"/>
      <c r="AN194" s="142" t="s">
        <v>819</v>
      </c>
      <c r="AO194" s="299">
        <f t="shared" si="46"/>
        <v>0</v>
      </c>
      <c r="AP194" s="532"/>
      <c r="AQ194" s="292"/>
      <c r="AR194" s="810" t="s">
        <v>820</v>
      </c>
      <c r="AS194" s="789"/>
      <c r="AT194" s="789"/>
      <c r="AU194" s="789"/>
      <c r="AV194" s="789"/>
      <c r="AW194" s="142" t="s">
        <v>173</v>
      </c>
      <c r="AX194" s="299">
        <f t="shared" si="21"/>
        <v>1</v>
      </c>
      <c r="AY194" s="460"/>
      <c r="BA194" s="295"/>
    </row>
    <row r="195" spans="1:56" ht="15.75" customHeight="1">
      <c r="A195" s="807" t="s">
        <v>816</v>
      </c>
      <c r="B195" s="789"/>
      <c r="C195" s="789"/>
      <c r="D195" s="789"/>
      <c r="E195" s="756"/>
      <c r="F195" s="511"/>
      <c r="G195" s="825">
        <f>G194</f>
        <v>0</v>
      </c>
      <c r="H195" s="744"/>
      <c r="I195" s="806"/>
      <c r="J195" s="329">
        <f t="shared" ref="J195:K195" si="63">J194</f>
        <v>0</v>
      </c>
      <c r="K195" s="527">
        <f t="shared" si="63"/>
        <v>0</v>
      </c>
      <c r="L195" s="448"/>
      <c r="M195" s="22"/>
      <c r="N195" s="807" t="s">
        <v>816</v>
      </c>
      <c r="O195" s="789"/>
      <c r="P195" s="789"/>
      <c r="Q195" s="789"/>
      <c r="R195" s="756"/>
      <c r="S195" s="511"/>
      <c r="T195" s="825">
        <f>T194</f>
        <v>0</v>
      </c>
      <c r="U195" s="744"/>
      <c r="V195" s="806"/>
      <c r="W195" s="329">
        <f t="shared" ref="W195:X195" si="64">W194</f>
        <v>0</v>
      </c>
      <c r="X195" s="527">
        <f t="shared" si="64"/>
        <v>0</v>
      </c>
      <c r="Y195" s="448"/>
      <c r="Z195" s="330">
        <f t="shared" si="60"/>
        <v>0</v>
      </c>
      <c r="AA195" s="22"/>
      <c r="AC195" s="308" t="s">
        <v>821</v>
      </c>
      <c r="AD195" s="347" t="s">
        <v>184</v>
      </c>
      <c r="AE195" s="299">
        <f t="shared" si="13"/>
        <v>4</v>
      </c>
      <c r="AF195" s="311" t="str">
        <f t="shared" si="14"/>
        <v/>
      </c>
      <c r="AI195" s="792" t="s">
        <v>822</v>
      </c>
      <c r="AJ195" s="789"/>
      <c r="AK195" s="789"/>
      <c r="AL195" s="789"/>
      <c r="AM195" s="789"/>
      <c r="AN195" s="332" t="s">
        <v>823</v>
      </c>
      <c r="AO195" s="299">
        <f t="shared" si="46"/>
        <v>0</v>
      </c>
      <c r="AP195" s="532"/>
      <c r="AQ195" s="292"/>
      <c r="AR195" s="810" t="s">
        <v>824</v>
      </c>
      <c r="AS195" s="789"/>
      <c r="AT195" s="789"/>
      <c r="AU195" s="789"/>
      <c r="AV195" s="789"/>
      <c r="AW195" s="559" t="s">
        <v>825</v>
      </c>
      <c r="AX195" s="299">
        <f t="shared" si="21"/>
        <v>0</v>
      </c>
      <c r="AY195" s="460"/>
      <c r="BA195" s="295"/>
      <c r="BC195" s="545"/>
      <c r="BD195" s="545"/>
    </row>
    <row r="196" spans="1:56" ht="15.75" customHeight="1">
      <c r="A196" s="510"/>
      <c r="B196" s="510"/>
      <c r="C196" s="510"/>
      <c r="D196" s="510"/>
      <c r="E196" s="510"/>
      <c r="F196" s="511"/>
      <c r="J196" s="512"/>
      <c r="K196" s="512"/>
      <c r="M196" s="22"/>
      <c r="N196" s="510"/>
      <c r="O196" s="510"/>
      <c r="P196" s="510"/>
      <c r="Q196" s="510"/>
      <c r="R196" s="510"/>
      <c r="S196" s="511"/>
      <c r="W196" s="512"/>
      <c r="X196" s="512"/>
      <c r="AA196" s="22"/>
      <c r="AC196" s="308" t="s">
        <v>826</v>
      </c>
      <c r="AD196" s="159" t="s">
        <v>186</v>
      </c>
      <c r="AE196" s="299">
        <f t="shared" si="13"/>
        <v>8</v>
      </c>
      <c r="AF196" s="311" t="str">
        <f t="shared" si="14"/>
        <v/>
      </c>
      <c r="AI196" s="792" t="s">
        <v>827</v>
      </c>
      <c r="AJ196" s="789"/>
      <c r="AK196" s="789"/>
      <c r="AL196" s="789"/>
      <c r="AM196" s="789"/>
      <c r="AN196" s="560" t="s">
        <v>828</v>
      </c>
      <c r="AO196" s="299">
        <f t="shared" si="46"/>
        <v>0</v>
      </c>
      <c r="AP196" s="532"/>
      <c r="AQ196" s="292"/>
      <c r="AR196" s="809" t="s">
        <v>829</v>
      </c>
      <c r="AS196" s="789"/>
      <c r="AT196" s="789"/>
      <c r="AU196" s="789"/>
      <c r="AV196" s="756"/>
      <c r="AW196" s="436"/>
      <c r="AX196" s="437">
        <f>SUM(AX143:AX195)</f>
        <v>18</v>
      </c>
      <c r="AY196" s="292"/>
      <c r="BA196" s="295"/>
      <c r="BC196" s="280"/>
      <c r="BD196" s="280"/>
    </row>
    <row r="197" spans="1:56" ht="15.75" customHeight="1">
      <c r="A197" s="510"/>
      <c r="B197" s="510"/>
      <c r="C197" s="510"/>
      <c r="D197" s="510"/>
      <c r="E197" s="510"/>
      <c r="F197" s="511"/>
      <c r="J197" s="512"/>
      <c r="K197" s="512"/>
      <c r="M197" s="22"/>
      <c r="N197" s="510"/>
      <c r="O197" s="510"/>
      <c r="P197" s="510"/>
      <c r="Q197" s="510"/>
      <c r="R197" s="510"/>
      <c r="S197" s="511"/>
      <c r="W197" s="512"/>
      <c r="X197" s="512"/>
      <c r="AA197" s="22"/>
      <c r="AC197" s="308" t="s">
        <v>830</v>
      </c>
      <c r="AD197" s="561" t="s">
        <v>831</v>
      </c>
      <c r="AE197" s="299">
        <f t="shared" si="13"/>
        <v>0</v>
      </c>
      <c r="AF197" s="311" t="str">
        <f t="shared" si="14"/>
        <v/>
      </c>
      <c r="AI197" s="792" t="s">
        <v>832</v>
      </c>
      <c r="AJ197" s="789"/>
      <c r="AK197" s="789"/>
      <c r="AL197" s="789"/>
      <c r="AM197" s="789"/>
      <c r="AN197" s="562" t="s">
        <v>833</v>
      </c>
      <c r="AO197" s="299">
        <f t="shared" si="46"/>
        <v>0</v>
      </c>
      <c r="AP197" s="532"/>
      <c r="AQ197" s="292"/>
      <c r="AR197" s="292"/>
      <c r="AS197" s="292"/>
      <c r="AT197" s="292"/>
      <c r="AU197" s="292"/>
      <c r="AV197" s="292"/>
      <c r="AW197" s="292"/>
      <c r="AX197" s="292"/>
      <c r="AY197" s="292"/>
      <c r="BA197" s="295"/>
      <c r="BC197" s="545"/>
      <c r="BD197" s="545"/>
    </row>
    <row r="198" spans="1:56" ht="15.75" customHeight="1">
      <c r="A198" s="827" t="s">
        <v>834</v>
      </c>
      <c r="B198" s="789"/>
      <c r="C198" s="789"/>
      <c r="D198" s="789"/>
      <c r="E198" s="756"/>
      <c r="F198" s="514"/>
      <c r="G198" s="819"/>
      <c r="H198" s="715"/>
      <c r="I198" s="803"/>
      <c r="J198" s="321" t="s">
        <v>290</v>
      </c>
      <c r="K198" s="320" t="s">
        <v>291</v>
      </c>
      <c r="L198" s="321" t="s">
        <v>292</v>
      </c>
      <c r="M198" s="22"/>
      <c r="N198" s="827" t="s">
        <v>834</v>
      </c>
      <c r="O198" s="789"/>
      <c r="P198" s="789"/>
      <c r="Q198" s="789"/>
      <c r="R198" s="756"/>
      <c r="S198" s="514"/>
      <c r="T198" s="819"/>
      <c r="U198" s="715"/>
      <c r="V198" s="803"/>
      <c r="W198" s="321" t="s">
        <v>290</v>
      </c>
      <c r="X198" s="320" t="s">
        <v>291</v>
      </c>
      <c r="Y198" s="321" t="s">
        <v>292</v>
      </c>
      <c r="AA198" s="22"/>
      <c r="AI198" s="792" t="s">
        <v>835</v>
      </c>
      <c r="AJ198" s="789"/>
      <c r="AK198" s="789"/>
      <c r="AL198" s="789"/>
      <c r="AM198" s="789"/>
      <c r="AN198" s="139" t="s">
        <v>836</v>
      </c>
      <c r="AO198" s="299">
        <f t="shared" si="46"/>
        <v>0</v>
      </c>
      <c r="AP198" s="532"/>
      <c r="AQ198" s="292"/>
      <c r="AR198" s="795" t="s">
        <v>336</v>
      </c>
      <c r="AS198" s="789"/>
      <c r="AT198" s="789"/>
      <c r="AU198" s="789"/>
      <c r="AV198" s="789"/>
      <c r="AW198" s="756"/>
      <c r="AX198" s="293" t="s">
        <v>260</v>
      </c>
      <c r="AY198" s="294"/>
      <c r="BA198" s="295"/>
      <c r="BC198" s="550"/>
      <c r="BD198" s="550"/>
    </row>
    <row r="199" spans="1:56" ht="15.75" customHeight="1">
      <c r="A199" s="788" t="s">
        <v>58</v>
      </c>
      <c r="B199" s="789"/>
      <c r="C199" s="756"/>
      <c r="D199" s="788"/>
      <c r="E199" s="756"/>
      <c r="F199" s="564" t="s">
        <v>59</v>
      </c>
      <c r="G199" s="821">
        <f t="shared" ref="G199:G201" si="65">COUNTIF($P$1:$Q$1,F199)</f>
        <v>0</v>
      </c>
      <c r="H199" s="789"/>
      <c r="I199" s="756"/>
      <c r="J199" s="391">
        <f t="shared" ref="J199:J201" si="66">G199-K199</f>
        <v>0</v>
      </c>
      <c r="K199" s="346"/>
      <c r="L199" s="448"/>
      <c r="M199" s="22"/>
      <c r="N199" s="788" t="s">
        <v>58</v>
      </c>
      <c r="O199" s="789"/>
      <c r="P199" s="756"/>
      <c r="Q199" s="788"/>
      <c r="R199" s="756"/>
      <c r="S199" s="564" t="s">
        <v>59</v>
      </c>
      <c r="T199" s="821">
        <f t="shared" ref="T199:T201" si="67">COUNTIF($P$1:$Q$1,S199)</f>
        <v>0</v>
      </c>
      <c r="U199" s="789"/>
      <c r="V199" s="756"/>
      <c r="W199" s="391">
        <f t="shared" ref="W199:W201" si="68">T199-X199</f>
        <v>0</v>
      </c>
      <c r="X199" s="346"/>
      <c r="Y199" s="448"/>
      <c r="Z199" s="330">
        <f t="shared" ref="Z199:Z204" si="69">T199+G199</f>
        <v>0</v>
      </c>
      <c r="AA199" s="22"/>
      <c r="AI199" s="792" t="s">
        <v>837</v>
      </c>
      <c r="AJ199" s="789"/>
      <c r="AK199" s="789"/>
      <c r="AL199" s="789"/>
      <c r="AM199" s="789"/>
      <c r="AN199" s="565" t="s">
        <v>838</v>
      </c>
      <c r="AO199" s="299">
        <f t="shared" si="46"/>
        <v>0</v>
      </c>
      <c r="AP199" s="532"/>
      <c r="AQ199" s="292"/>
      <c r="AR199" s="810" t="s">
        <v>839</v>
      </c>
      <c r="AS199" s="789"/>
      <c r="AT199" s="789"/>
      <c r="AU199" s="789"/>
      <c r="AV199" s="789"/>
      <c r="AW199" s="566" t="s">
        <v>840</v>
      </c>
      <c r="AX199" s="299">
        <f t="shared" ref="AX199:AX236" si="70">COUNTIF($P$1:$Q$1,AW199)</f>
        <v>0</v>
      </c>
      <c r="AY199" s="567"/>
      <c r="BA199" s="295"/>
    </row>
    <row r="200" spans="1:56" ht="15.75" customHeight="1">
      <c r="A200" s="788" t="s">
        <v>60</v>
      </c>
      <c r="B200" s="789"/>
      <c r="C200" s="756"/>
      <c r="D200" s="788"/>
      <c r="E200" s="756"/>
      <c r="F200" s="568" t="s">
        <v>61</v>
      </c>
      <c r="G200" s="821">
        <f t="shared" si="65"/>
        <v>0</v>
      </c>
      <c r="H200" s="789"/>
      <c r="I200" s="756"/>
      <c r="J200" s="391">
        <f t="shared" si="66"/>
        <v>0</v>
      </c>
      <c r="K200" s="346"/>
      <c r="L200" s="448"/>
      <c r="M200" s="22"/>
      <c r="N200" s="788" t="s">
        <v>60</v>
      </c>
      <c r="O200" s="789"/>
      <c r="P200" s="756"/>
      <c r="Q200" s="788"/>
      <c r="R200" s="756"/>
      <c r="S200" s="568" t="s">
        <v>61</v>
      </c>
      <c r="T200" s="821">
        <f t="shared" si="67"/>
        <v>0</v>
      </c>
      <c r="U200" s="789"/>
      <c r="V200" s="756"/>
      <c r="W200" s="391">
        <f t="shared" si="68"/>
        <v>0</v>
      </c>
      <c r="X200" s="346"/>
      <c r="Y200" s="448"/>
      <c r="Z200" s="330">
        <f t="shared" si="69"/>
        <v>0</v>
      </c>
      <c r="AA200" s="22"/>
      <c r="AI200" s="792" t="s">
        <v>841</v>
      </c>
      <c r="AJ200" s="789"/>
      <c r="AK200" s="789"/>
      <c r="AL200" s="789"/>
      <c r="AM200" s="789"/>
      <c r="AN200" s="565" t="s">
        <v>842</v>
      </c>
      <c r="AO200" s="299">
        <f t="shared" si="46"/>
        <v>0</v>
      </c>
      <c r="AP200" s="532"/>
      <c r="AQ200" s="292"/>
      <c r="AR200" s="810" t="s">
        <v>843</v>
      </c>
      <c r="AS200" s="789"/>
      <c r="AT200" s="789"/>
      <c r="AU200" s="789"/>
      <c r="AV200" s="789"/>
      <c r="AW200" s="373" t="s">
        <v>844</v>
      </c>
      <c r="AX200" s="299">
        <f t="shared" si="70"/>
        <v>0</v>
      </c>
      <c r="AY200" s="567"/>
      <c r="BA200" s="295"/>
      <c r="BC200" s="545"/>
      <c r="BD200" s="545"/>
    </row>
    <row r="201" spans="1:56" ht="15.75" customHeight="1">
      <c r="A201" s="788" t="s">
        <v>62</v>
      </c>
      <c r="B201" s="789"/>
      <c r="C201" s="756"/>
      <c r="D201" s="788"/>
      <c r="E201" s="756"/>
      <c r="F201" s="569" t="s">
        <v>63</v>
      </c>
      <c r="G201" s="821">
        <f t="shared" si="65"/>
        <v>0</v>
      </c>
      <c r="H201" s="789"/>
      <c r="I201" s="756"/>
      <c r="J201" s="391">
        <f t="shared" si="66"/>
        <v>0</v>
      </c>
      <c r="K201" s="346"/>
      <c r="L201" s="448"/>
      <c r="M201" s="22"/>
      <c r="N201" s="788" t="s">
        <v>62</v>
      </c>
      <c r="O201" s="789"/>
      <c r="P201" s="756"/>
      <c r="Q201" s="788"/>
      <c r="R201" s="756"/>
      <c r="S201" s="569" t="s">
        <v>63</v>
      </c>
      <c r="T201" s="821">
        <f t="shared" si="67"/>
        <v>0</v>
      </c>
      <c r="U201" s="789"/>
      <c r="V201" s="756"/>
      <c r="W201" s="391">
        <f t="shared" si="68"/>
        <v>0</v>
      </c>
      <c r="X201" s="346"/>
      <c r="Y201" s="448"/>
      <c r="Z201" s="330">
        <f t="shared" si="69"/>
        <v>0</v>
      </c>
      <c r="AA201" s="22"/>
      <c r="AI201" s="792" t="s">
        <v>845</v>
      </c>
      <c r="AJ201" s="789"/>
      <c r="AK201" s="789"/>
      <c r="AL201" s="789"/>
      <c r="AM201" s="789"/>
      <c r="AN201" s="570" t="s">
        <v>846</v>
      </c>
      <c r="AO201" s="299">
        <f t="shared" si="46"/>
        <v>0</v>
      </c>
      <c r="AP201" s="532"/>
      <c r="AQ201" s="292"/>
      <c r="AR201" s="810" t="s">
        <v>847</v>
      </c>
      <c r="AS201" s="789"/>
      <c r="AT201" s="789"/>
      <c r="AU201" s="789"/>
      <c r="AV201" s="789"/>
      <c r="AW201" s="571" t="s">
        <v>848</v>
      </c>
      <c r="AX201" s="299">
        <f t="shared" si="70"/>
        <v>0</v>
      </c>
      <c r="AY201" s="567"/>
      <c r="BA201" s="295"/>
      <c r="BB201" s="572"/>
      <c r="BC201" s="545"/>
      <c r="BD201" s="545"/>
    </row>
    <row r="202" spans="1:56" ht="15.75" customHeight="1">
      <c r="A202" s="807" t="s">
        <v>849</v>
      </c>
      <c r="B202" s="789"/>
      <c r="C202" s="789"/>
      <c r="D202" s="789"/>
      <c r="E202" s="756"/>
      <c r="F202" s="526"/>
      <c r="G202" s="824">
        <f>SUM(G199:I201)</f>
        <v>0</v>
      </c>
      <c r="H202" s="789"/>
      <c r="I202" s="756"/>
      <c r="J202" s="329">
        <f t="shared" ref="J202:K202" si="71">SUM(J199:J201)</f>
        <v>0</v>
      </c>
      <c r="K202" s="527">
        <f t="shared" si="71"/>
        <v>0</v>
      </c>
      <c r="L202" s="448"/>
      <c r="M202" s="22"/>
      <c r="N202" s="807" t="s">
        <v>849</v>
      </c>
      <c r="O202" s="789"/>
      <c r="P202" s="789"/>
      <c r="Q202" s="789"/>
      <c r="R202" s="756"/>
      <c r="S202" s="526"/>
      <c r="T202" s="824">
        <f>SUM(T199:V201)</f>
        <v>0</v>
      </c>
      <c r="U202" s="789"/>
      <c r="V202" s="756"/>
      <c r="W202" s="329">
        <f t="shared" ref="W202:X202" si="72">SUM(W199:W201)</f>
        <v>0</v>
      </c>
      <c r="X202" s="527">
        <f t="shared" si="72"/>
        <v>0</v>
      </c>
      <c r="Y202" s="448"/>
      <c r="Z202" s="330">
        <f t="shared" si="69"/>
        <v>0</v>
      </c>
      <c r="AA202" s="22"/>
      <c r="AI202" s="792" t="s">
        <v>850</v>
      </c>
      <c r="AJ202" s="789"/>
      <c r="AK202" s="789"/>
      <c r="AL202" s="789"/>
      <c r="AM202" s="789"/>
      <c r="AN202" s="573" t="s">
        <v>851</v>
      </c>
      <c r="AO202" s="299">
        <f t="shared" si="46"/>
        <v>0</v>
      </c>
      <c r="AP202" s="532"/>
      <c r="AQ202" s="292"/>
      <c r="AR202" s="810" t="s">
        <v>852</v>
      </c>
      <c r="AS202" s="789"/>
      <c r="AT202" s="789"/>
      <c r="AU202" s="789"/>
      <c r="AV202" s="789"/>
      <c r="AW202" s="574" t="s">
        <v>853</v>
      </c>
      <c r="AX202" s="299">
        <f t="shared" si="70"/>
        <v>0</v>
      </c>
      <c r="AY202" s="567"/>
      <c r="BA202" s="295"/>
      <c r="BB202" s="575"/>
      <c r="BC202" s="550"/>
      <c r="BD202" s="550"/>
    </row>
    <row r="203" spans="1:56" ht="15.75" customHeight="1">
      <c r="A203" s="807" t="s">
        <v>849</v>
      </c>
      <c r="B203" s="789"/>
      <c r="C203" s="789"/>
      <c r="D203" s="789"/>
      <c r="E203" s="756"/>
      <c r="F203" s="511"/>
      <c r="G203" s="825">
        <f>G202</f>
        <v>0</v>
      </c>
      <c r="H203" s="744"/>
      <c r="I203" s="806"/>
      <c r="J203" s="329">
        <f t="shared" ref="J203:K203" si="73">J202</f>
        <v>0</v>
      </c>
      <c r="K203" s="527">
        <f t="shared" si="73"/>
        <v>0</v>
      </c>
      <c r="L203" s="448"/>
      <c r="M203" s="22"/>
      <c r="N203" s="807" t="s">
        <v>849</v>
      </c>
      <c r="O203" s="789"/>
      <c r="P203" s="789"/>
      <c r="Q203" s="789"/>
      <c r="R203" s="756"/>
      <c r="S203" s="511"/>
      <c r="T203" s="825">
        <f>T202</f>
        <v>0</v>
      </c>
      <c r="U203" s="744"/>
      <c r="V203" s="806"/>
      <c r="W203" s="329">
        <f t="shared" ref="W203:X203" si="74">W202</f>
        <v>0</v>
      </c>
      <c r="X203" s="527">
        <f t="shared" si="74"/>
        <v>0</v>
      </c>
      <c r="Y203" s="448"/>
      <c r="Z203" s="330">
        <f t="shared" si="69"/>
        <v>0</v>
      </c>
      <c r="AA203" s="22"/>
      <c r="AI203" s="792" t="s">
        <v>854</v>
      </c>
      <c r="AJ203" s="789"/>
      <c r="AK203" s="789"/>
      <c r="AL203" s="789"/>
      <c r="AM203" s="789"/>
      <c r="AN203" s="137" t="s">
        <v>854</v>
      </c>
      <c r="AO203" s="299">
        <f t="shared" si="46"/>
        <v>0</v>
      </c>
      <c r="AP203" s="532"/>
      <c r="AQ203" s="292"/>
      <c r="AR203" s="810" t="s">
        <v>855</v>
      </c>
      <c r="AS203" s="789"/>
      <c r="AT203" s="789"/>
      <c r="AU203" s="789"/>
      <c r="AV203" s="789"/>
      <c r="AW203" s="443" t="s">
        <v>856</v>
      </c>
      <c r="AX203" s="299">
        <f t="shared" si="70"/>
        <v>0</v>
      </c>
      <c r="AY203" s="567"/>
      <c r="BA203" s="295"/>
      <c r="BB203" s="572"/>
    </row>
    <row r="204" spans="1:56" ht="15.75" customHeight="1">
      <c r="A204" s="807" t="s">
        <v>857</v>
      </c>
      <c r="B204" s="789"/>
      <c r="C204" s="789"/>
      <c r="D204" s="789"/>
      <c r="E204" s="789"/>
      <c r="F204" s="576"/>
      <c r="G204" s="799">
        <f>G169+G125+G149+G203+G195+G186+G178+G145</f>
        <v>16</v>
      </c>
      <c r="H204" s="789"/>
      <c r="I204" s="756"/>
      <c r="J204" s="391">
        <f>J169+J125+J149+J203+J195+J186+J178+J145</f>
        <v>0</v>
      </c>
      <c r="K204" s="346">
        <f>K169+K125+K149+K203+K195+K186+K178+K145</f>
        <v>0</v>
      </c>
      <c r="L204" s="329">
        <f>L169+L125+L149+L203+L195+L186+L178+L145</f>
        <v>15</v>
      </c>
      <c r="M204" s="22"/>
      <c r="N204" s="807" t="s">
        <v>858</v>
      </c>
      <c r="O204" s="789"/>
      <c r="P204" s="789"/>
      <c r="Q204" s="789"/>
      <c r="R204" s="789"/>
      <c r="S204" s="393"/>
      <c r="T204" s="799">
        <f>T169+T125+T149+T203+T195+T186+T178+T145</f>
        <v>22</v>
      </c>
      <c r="U204" s="789"/>
      <c r="V204" s="756"/>
      <c r="W204" s="391">
        <f>W169+W125+W149+W203+W195+W186+W178+W145</f>
        <v>0</v>
      </c>
      <c r="X204" s="346">
        <f>X169+X125+X149+X203+X195+X186+X178+X145</f>
        <v>0</v>
      </c>
      <c r="Y204" s="329">
        <f>Y169+Y125+Y149+Y203+Y195+Y186+Y178+Y145</f>
        <v>22</v>
      </c>
      <c r="Z204" s="330">
        <f t="shared" si="69"/>
        <v>38</v>
      </c>
      <c r="AA204" s="22"/>
      <c r="AI204" s="792" t="s">
        <v>859</v>
      </c>
      <c r="AJ204" s="789"/>
      <c r="AK204" s="789"/>
      <c r="AL204" s="789"/>
      <c r="AM204" s="789"/>
      <c r="AN204" s="577" t="s">
        <v>860</v>
      </c>
      <c r="AO204" s="299">
        <f t="shared" si="46"/>
        <v>0</v>
      </c>
      <c r="AP204" s="532"/>
      <c r="AQ204" s="292"/>
      <c r="AR204" s="810" t="s">
        <v>861</v>
      </c>
      <c r="AS204" s="789"/>
      <c r="AT204" s="789"/>
      <c r="AU204" s="789"/>
      <c r="AV204" s="789"/>
      <c r="AW204" s="543" t="s">
        <v>862</v>
      </c>
      <c r="AX204" s="299">
        <f t="shared" si="70"/>
        <v>0</v>
      </c>
      <c r="AY204" s="567"/>
      <c r="BA204" s="295"/>
      <c r="BB204" s="572"/>
      <c r="BC204" s="545"/>
      <c r="BD204" s="545"/>
    </row>
    <row r="205" spans="1:56" ht="15.75" customHeight="1">
      <c r="A205" s="510"/>
      <c r="B205" s="510"/>
      <c r="C205" s="510"/>
      <c r="D205" s="510"/>
      <c r="E205" s="510"/>
      <c r="F205" s="511"/>
      <c r="J205" s="512"/>
      <c r="K205" s="512"/>
      <c r="M205" s="22"/>
      <c r="N205" s="510"/>
      <c r="O205" s="510"/>
      <c r="P205" s="510"/>
      <c r="Q205" s="510"/>
      <c r="R205" s="510"/>
      <c r="S205" s="511"/>
      <c r="W205" s="512"/>
      <c r="X205" s="512"/>
      <c r="AA205" s="22"/>
      <c r="AI205" s="792" t="s">
        <v>863</v>
      </c>
      <c r="AJ205" s="789"/>
      <c r="AK205" s="789"/>
      <c r="AL205" s="789"/>
      <c r="AM205" s="789"/>
      <c r="AN205" s="60" t="s">
        <v>145</v>
      </c>
      <c r="AO205" s="299">
        <f t="shared" si="46"/>
        <v>4</v>
      </c>
      <c r="AP205" s="532"/>
      <c r="AQ205" s="292"/>
      <c r="AR205" s="810" t="s">
        <v>864</v>
      </c>
      <c r="AS205" s="789"/>
      <c r="AT205" s="789"/>
      <c r="AU205" s="789"/>
      <c r="AV205" s="789"/>
      <c r="AW205" s="543" t="s">
        <v>865</v>
      </c>
      <c r="AX205" s="299">
        <f t="shared" si="70"/>
        <v>0</v>
      </c>
      <c r="AY205" s="567"/>
      <c r="BA205" s="295"/>
      <c r="BB205" s="572"/>
      <c r="BC205" s="280"/>
      <c r="BD205" s="280"/>
    </row>
    <row r="206" spans="1:56" ht="15.75" customHeight="1">
      <c r="A206" s="510"/>
      <c r="B206" s="510"/>
      <c r="C206" s="510"/>
      <c r="D206" s="510"/>
      <c r="E206" s="510"/>
      <c r="F206" s="511"/>
      <c r="J206" s="512"/>
      <c r="K206" s="512"/>
      <c r="M206" s="22"/>
      <c r="N206" s="510"/>
      <c r="O206" s="510"/>
      <c r="P206" s="510"/>
      <c r="Q206" s="510"/>
      <c r="R206" s="510"/>
      <c r="S206" s="511"/>
      <c r="W206" s="512"/>
      <c r="X206" s="512"/>
      <c r="AA206" s="22"/>
      <c r="AI206" s="792" t="s">
        <v>866</v>
      </c>
      <c r="AJ206" s="789"/>
      <c r="AK206" s="789"/>
      <c r="AL206" s="789"/>
      <c r="AM206" s="789"/>
      <c r="AN206" s="578" t="s">
        <v>867</v>
      </c>
      <c r="AO206" s="299">
        <f t="shared" si="46"/>
        <v>0</v>
      </c>
      <c r="AP206" s="532"/>
      <c r="AQ206" s="292"/>
      <c r="AR206" s="810" t="s">
        <v>868</v>
      </c>
      <c r="AS206" s="789"/>
      <c r="AT206" s="789"/>
      <c r="AU206" s="789"/>
      <c r="AV206" s="789"/>
      <c r="AW206" s="543" t="s">
        <v>869</v>
      </c>
      <c r="AX206" s="299">
        <f t="shared" si="70"/>
        <v>0</v>
      </c>
      <c r="AY206" s="567"/>
      <c r="BA206" s="295"/>
      <c r="BC206" s="545"/>
      <c r="BD206" s="545"/>
    </row>
    <row r="207" spans="1:56" ht="15.75" customHeight="1">
      <c r="AA207" s="22" t="b">
        <f t="shared" ref="AA207:AA208" si="75">IFERROR(#REF!&gt;0.5,FALSE)</f>
        <v>0</v>
      </c>
      <c r="AI207" s="792" t="s">
        <v>870</v>
      </c>
      <c r="AJ207" s="789"/>
      <c r="AK207" s="789"/>
      <c r="AL207" s="789"/>
      <c r="AM207" s="789"/>
      <c r="AN207" s="483" t="s">
        <v>871</v>
      </c>
      <c r="AO207" s="299">
        <f t="shared" si="46"/>
        <v>0</v>
      </c>
      <c r="AP207" s="532"/>
      <c r="AQ207" s="292"/>
      <c r="AR207" s="810" t="s">
        <v>872</v>
      </c>
      <c r="AS207" s="789"/>
      <c r="AT207" s="789"/>
      <c r="AU207" s="789"/>
      <c r="AV207" s="789"/>
      <c r="AW207" s="443" t="s">
        <v>873</v>
      </c>
      <c r="AX207" s="299">
        <f t="shared" si="70"/>
        <v>0</v>
      </c>
      <c r="AY207" s="567"/>
      <c r="BA207" s="295"/>
      <c r="BB207" s="572"/>
      <c r="BC207" s="550"/>
      <c r="BD207" s="550"/>
    </row>
    <row r="208" spans="1:56" ht="15.75" customHeight="1">
      <c r="A208" s="831" t="s">
        <v>874</v>
      </c>
      <c r="B208" s="730"/>
      <c r="C208" s="730"/>
      <c r="D208" s="730"/>
      <c r="E208" s="730"/>
      <c r="F208" s="730"/>
      <c r="G208" s="730"/>
      <c r="H208" s="730"/>
      <c r="I208" s="730"/>
      <c r="J208" s="730"/>
      <c r="K208" s="730"/>
      <c r="L208" s="730"/>
      <c r="M208" s="730"/>
      <c r="N208" s="730"/>
      <c r="O208" s="730"/>
      <c r="P208" s="730"/>
      <c r="Q208" s="730"/>
      <c r="R208" s="730"/>
      <c r="S208" s="730"/>
      <c r="T208" s="730"/>
      <c r="U208" s="730"/>
      <c r="V208" s="730"/>
      <c r="W208" s="730"/>
      <c r="X208" s="730"/>
      <c r="Y208" s="730"/>
      <c r="Z208" s="730"/>
      <c r="AA208" s="22" t="b">
        <f t="shared" si="75"/>
        <v>0</v>
      </c>
      <c r="AI208" s="796" t="s">
        <v>875</v>
      </c>
      <c r="AJ208" s="789"/>
      <c r="AK208" s="789"/>
      <c r="AL208" s="789"/>
      <c r="AM208" s="756"/>
      <c r="AN208" s="436"/>
      <c r="AO208" s="437">
        <f>SUM(AO179:AO207)</f>
        <v>10</v>
      </c>
      <c r="AP208" s="292"/>
      <c r="AQ208" s="292"/>
      <c r="AR208" s="810" t="s">
        <v>876</v>
      </c>
      <c r="AS208" s="789"/>
      <c r="AT208" s="789"/>
      <c r="AU208" s="789"/>
      <c r="AV208" s="789"/>
      <c r="AW208" s="293" t="s">
        <v>877</v>
      </c>
      <c r="AX208" s="299">
        <f t="shared" si="70"/>
        <v>0</v>
      </c>
      <c r="AY208" s="567"/>
      <c r="BA208" s="295"/>
      <c r="BB208" s="575"/>
    </row>
    <row r="209" spans="1:56" ht="15.75" customHeight="1">
      <c r="A209" s="730"/>
      <c r="B209" s="730"/>
      <c r="C209" s="730"/>
      <c r="D209" s="730"/>
      <c r="E209" s="730"/>
      <c r="F209" s="730"/>
      <c r="G209" s="730"/>
      <c r="H209" s="730"/>
      <c r="I209" s="730"/>
      <c r="J209" s="730"/>
      <c r="K209" s="730"/>
      <c r="L209" s="730"/>
      <c r="M209" s="730"/>
      <c r="N209" s="730"/>
      <c r="O209" s="730"/>
      <c r="P209" s="730"/>
      <c r="Q209" s="730"/>
      <c r="R209" s="730"/>
      <c r="S209" s="730"/>
      <c r="T209" s="730"/>
      <c r="U209" s="730"/>
      <c r="V209" s="730"/>
      <c r="W209" s="730"/>
      <c r="X209" s="730"/>
      <c r="Y209" s="730"/>
      <c r="Z209" s="730"/>
      <c r="AA209" s="22"/>
      <c r="AI209" s="579"/>
      <c r="AJ209" s="292"/>
      <c r="AK209" s="292"/>
      <c r="AL209" s="292"/>
      <c r="AM209" s="292"/>
      <c r="AN209" s="292"/>
      <c r="AO209" s="292"/>
      <c r="AP209" s="292"/>
      <c r="AQ209" s="292"/>
      <c r="AR209" s="810" t="s">
        <v>878</v>
      </c>
      <c r="AS209" s="789"/>
      <c r="AT209" s="789"/>
      <c r="AU209" s="789"/>
      <c r="AV209" s="789"/>
      <c r="AW209" s="443" t="s">
        <v>879</v>
      </c>
      <c r="AX209" s="299">
        <f t="shared" si="70"/>
        <v>0</v>
      </c>
      <c r="AY209" s="567"/>
      <c r="BA209" s="295"/>
      <c r="BB209" s="572"/>
      <c r="BC209" s="545"/>
      <c r="BD209" s="545"/>
    </row>
    <row r="210" spans="1:56" ht="15.75" customHeight="1" thickBot="1">
      <c r="AA210" s="22"/>
      <c r="AI210" s="579"/>
      <c r="AJ210" s="292"/>
      <c r="AK210" s="292"/>
      <c r="AL210" s="292"/>
      <c r="AM210" s="292"/>
      <c r="AN210" s="292"/>
      <c r="AO210" s="292"/>
      <c r="AQ210" s="292"/>
      <c r="AR210" s="810" t="s">
        <v>880</v>
      </c>
      <c r="AS210" s="789"/>
      <c r="AT210" s="789"/>
      <c r="AU210" s="789"/>
      <c r="AV210" s="789"/>
      <c r="AW210" s="483" t="s">
        <v>881</v>
      </c>
      <c r="AX210" s="299">
        <f t="shared" si="70"/>
        <v>0</v>
      </c>
      <c r="AY210" s="580"/>
      <c r="BA210" s="295"/>
      <c r="BB210" s="572"/>
      <c r="BC210" s="280"/>
      <c r="BD210" s="280"/>
    </row>
    <row r="211" spans="1:56" ht="15.75" customHeight="1" thickBot="1">
      <c r="A211" s="832" t="s">
        <v>882</v>
      </c>
      <c r="B211" s="717"/>
      <c r="C211" s="717"/>
      <c r="D211" s="717"/>
      <c r="E211" s="717"/>
      <c r="F211" s="717"/>
      <c r="G211" s="718"/>
      <c r="H211" s="581">
        <f>F213+S213</f>
        <v>0</v>
      </c>
      <c r="AA211" s="22"/>
      <c r="AI211" s="796" t="s">
        <v>312</v>
      </c>
      <c r="AJ211" s="789"/>
      <c r="AK211" s="789"/>
      <c r="AL211" s="789"/>
      <c r="AM211" s="789"/>
      <c r="AN211" s="756"/>
      <c r="AO211" s="293" t="s">
        <v>260</v>
      </c>
      <c r="AP211" s="294"/>
      <c r="AQ211" s="292"/>
      <c r="AR211" s="833" t="s">
        <v>883</v>
      </c>
      <c r="AS211" s="789"/>
      <c r="AT211" s="789"/>
      <c r="AU211" s="789"/>
      <c r="AV211" s="789"/>
      <c r="AW211" s="582" t="s">
        <v>884</v>
      </c>
      <c r="AX211" s="299">
        <f t="shared" si="70"/>
        <v>0</v>
      </c>
      <c r="AY211" s="580"/>
      <c r="BA211" s="295"/>
      <c r="BC211" s="545"/>
      <c r="BD211" s="545"/>
    </row>
    <row r="212" spans="1:56" ht="15.75" customHeight="1" thickBot="1">
      <c r="AA212" s="22"/>
      <c r="AI212" s="792" t="s">
        <v>885</v>
      </c>
      <c r="AJ212" s="789"/>
      <c r="AK212" s="789"/>
      <c r="AL212" s="789"/>
      <c r="AM212" s="756"/>
      <c r="AN212" s="583" t="s">
        <v>886</v>
      </c>
      <c r="AO212" s="299">
        <f t="shared" ref="AO212:AO213" si="76">COUNTIF($P$1:$Q$1,AN212)</f>
        <v>0</v>
      </c>
      <c r="AP212" s="584"/>
      <c r="AQ212" s="292"/>
      <c r="AR212" s="810" t="s">
        <v>887</v>
      </c>
      <c r="AS212" s="789"/>
      <c r="AT212" s="789"/>
      <c r="AU212" s="789"/>
      <c r="AV212" s="789"/>
      <c r="AW212" s="520" t="s">
        <v>888</v>
      </c>
      <c r="AX212" s="299">
        <f t="shared" si="70"/>
        <v>0</v>
      </c>
      <c r="AY212" s="580"/>
      <c r="BA212" s="295"/>
      <c r="BB212" s="572"/>
      <c r="BC212" s="550"/>
      <c r="BD212" s="550"/>
    </row>
    <row r="213" spans="1:56" ht="15.75" customHeight="1" thickBot="1">
      <c r="A213" s="790" t="s">
        <v>889</v>
      </c>
      <c r="B213" s="717"/>
      <c r="C213" s="717"/>
      <c r="D213" s="717"/>
      <c r="E213" s="718"/>
      <c r="F213" s="830">
        <f>SUM(G222,G235,G243,G247,G251)</f>
        <v>0</v>
      </c>
      <c r="G213" s="718"/>
      <c r="N213" s="790" t="s">
        <v>858</v>
      </c>
      <c r="O213" s="717"/>
      <c r="P213" s="717"/>
      <c r="Q213" s="717"/>
      <c r="R213" s="718"/>
      <c r="S213" s="830">
        <f>SUM(T222,T235,T243,T247,T251)</f>
        <v>0</v>
      </c>
      <c r="T213" s="718"/>
      <c r="AA213" s="22"/>
      <c r="AI213" s="792" t="s">
        <v>890</v>
      </c>
      <c r="AJ213" s="789"/>
      <c r="AK213" s="789"/>
      <c r="AL213" s="789"/>
      <c r="AM213" s="756"/>
      <c r="AN213" s="585" t="s">
        <v>891</v>
      </c>
      <c r="AO213" s="299">
        <f t="shared" si="76"/>
        <v>0</v>
      </c>
      <c r="AP213" s="584"/>
      <c r="AQ213" s="292"/>
      <c r="AR213" s="810" t="s">
        <v>892</v>
      </c>
      <c r="AS213" s="789"/>
      <c r="AT213" s="789"/>
      <c r="AU213" s="789"/>
      <c r="AV213" s="789"/>
      <c r="AW213" s="586" t="s">
        <v>893</v>
      </c>
      <c r="AX213" s="299">
        <f t="shared" si="70"/>
        <v>0</v>
      </c>
      <c r="AY213" s="580"/>
      <c r="BA213" s="295"/>
      <c r="BB213" s="575"/>
    </row>
    <row r="214" spans="1:56" ht="15.75" customHeight="1" thickBot="1">
      <c r="A214" s="587"/>
      <c r="B214" s="588"/>
      <c r="C214" s="588"/>
      <c r="D214" s="588"/>
      <c r="E214" s="314"/>
      <c r="F214" s="314"/>
      <c r="G214" s="314"/>
      <c r="Q214" s="314"/>
      <c r="AA214" s="22"/>
      <c r="AI214" s="796" t="s">
        <v>894</v>
      </c>
      <c r="AJ214" s="789"/>
      <c r="AK214" s="789"/>
      <c r="AL214" s="789"/>
      <c r="AM214" s="756"/>
      <c r="AN214" s="436"/>
      <c r="AO214" s="437">
        <f>SUM(AO212:AO213)</f>
        <v>0</v>
      </c>
      <c r="AP214" s="292"/>
      <c r="AR214" s="810" t="s">
        <v>895</v>
      </c>
      <c r="AS214" s="789"/>
      <c r="AT214" s="789"/>
      <c r="AU214" s="789"/>
      <c r="AV214" s="789"/>
      <c r="AW214" s="589" t="s">
        <v>896</v>
      </c>
      <c r="AX214" s="299">
        <f t="shared" si="70"/>
        <v>0</v>
      </c>
      <c r="AY214" s="580"/>
      <c r="BA214" s="295"/>
      <c r="BB214" s="572"/>
      <c r="BC214" s="545"/>
      <c r="BD214" s="545"/>
    </row>
    <row r="215" spans="1:56" ht="15.75" customHeight="1" thickBot="1">
      <c r="A215" s="828" t="s">
        <v>897</v>
      </c>
      <c r="B215" s="717"/>
      <c r="C215" s="717"/>
      <c r="D215" s="717"/>
      <c r="E215" s="718"/>
      <c r="G215" s="829"/>
      <c r="H215" s="724"/>
      <c r="I215" s="724"/>
      <c r="N215" s="828" t="s">
        <v>897</v>
      </c>
      <c r="O215" s="717"/>
      <c r="P215" s="717"/>
      <c r="Q215" s="717"/>
      <c r="R215" s="718"/>
      <c r="T215" s="829"/>
      <c r="U215" s="724"/>
      <c r="V215" s="724"/>
      <c r="AA215" s="22" t="b">
        <f t="shared" ref="AA215:AA216" si="77">IFERROR(#REF!&gt;0.5,FALSE)</f>
        <v>0</v>
      </c>
      <c r="AI215" s="579"/>
      <c r="AJ215" s="292"/>
      <c r="AK215" s="292"/>
      <c r="AL215" s="292"/>
      <c r="AM215" s="292"/>
      <c r="AN215" s="292"/>
      <c r="AO215" s="292"/>
      <c r="AP215" s="292"/>
      <c r="AR215" s="810" t="s">
        <v>898</v>
      </c>
      <c r="AS215" s="789"/>
      <c r="AT215" s="789"/>
      <c r="AU215" s="789"/>
      <c r="AV215" s="789"/>
      <c r="AW215" s="137" t="s">
        <v>899</v>
      </c>
      <c r="AX215" s="299">
        <f t="shared" si="70"/>
        <v>0</v>
      </c>
      <c r="AY215" s="580"/>
      <c r="BA215" s="295"/>
      <c r="BC215" s="280"/>
      <c r="BD215" s="280"/>
    </row>
    <row r="216" spans="1:56" ht="15.75" customHeight="1">
      <c r="A216" s="835" t="s">
        <v>900</v>
      </c>
      <c r="B216" s="715"/>
      <c r="C216" s="715"/>
      <c r="D216" s="715"/>
      <c r="E216" s="803"/>
      <c r="F216" s="145" t="s">
        <v>901</v>
      </c>
      <c r="G216" s="799">
        <f t="shared" ref="G216:G221" si="78">COUNTIF($P$1:$Q$1,F216)</f>
        <v>0</v>
      </c>
      <c r="H216" s="789"/>
      <c r="I216" s="756"/>
      <c r="N216" s="835" t="s">
        <v>900</v>
      </c>
      <c r="O216" s="715"/>
      <c r="P216" s="715"/>
      <c r="Q216" s="715"/>
      <c r="R216" s="803"/>
      <c r="S216" s="145" t="s">
        <v>901</v>
      </c>
      <c r="T216" s="799">
        <f t="shared" ref="T216:T221" si="79">COUNTIF($P$1:$Q$1,S216)</f>
        <v>0</v>
      </c>
      <c r="U216" s="789"/>
      <c r="V216" s="756"/>
      <c r="AA216" s="22" t="b">
        <f t="shared" si="77"/>
        <v>0</v>
      </c>
      <c r="AI216" s="579"/>
      <c r="AJ216" s="292"/>
      <c r="AK216" s="292"/>
      <c r="AL216" s="292"/>
      <c r="AM216" s="292"/>
      <c r="AN216" s="292"/>
      <c r="AO216" s="292"/>
      <c r="AP216" s="292"/>
      <c r="AR216" s="810" t="s">
        <v>902</v>
      </c>
      <c r="AS216" s="789"/>
      <c r="AT216" s="789"/>
      <c r="AU216" s="789"/>
      <c r="AV216" s="789"/>
      <c r="AW216" s="217" t="s">
        <v>903</v>
      </c>
      <c r="AX216" s="299">
        <f t="shared" si="70"/>
        <v>0</v>
      </c>
      <c r="AY216" s="580"/>
      <c r="BA216" s="295"/>
      <c r="BB216" s="572"/>
      <c r="BC216" s="545"/>
      <c r="BD216" s="545"/>
    </row>
    <row r="217" spans="1:56" ht="15.75" customHeight="1">
      <c r="A217" s="834" t="s">
        <v>904</v>
      </c>
      <c r="B217" s="789"/>
      <c r="C217" s="789"/>
      <c r="D217" s="789"/>
      <c r="E217" s="756"/>
      <c r="F217" s="145" t="s">
        <v>905</v>
      </c>
      <c r="G217" s="799">
        <f t="shared" si="78"/>
        <v>0</v>
      </c>
      <c r="H217" s="789"/>
      <c r="I217" s="756"/>
      <c r="N217" s="834" t="s">
        <v>904</v>
      </c>
      <c r="O217" s="789"/>
      <c r="P217" s="789"/>
      <c r="Q217" s="789"/>
      <c r="R217" s="756"/>
      <c r="S217" s="145" t="s">
        <v>905</v>
      </c>
      <c r="T217" s="799">
        <f t="shared" si="79"/>
        <v>0</v>
      </c>
      <c r="U217" s="789"/>
      <c r="V217" s="756"/>
      <c r="AA217" s="22"/>
      <c r="AI217" s="836" t="s">
        <v>906</v>
      </c>
      <c r="AJ217" s="744"/>
      <c r="AK217" s="744"/>
      <c r="AL217" s="744"/>
      <c r="AM217" s="744"/>
      <c r="AN217" s="806"/>
      <c r="AO217" s="293" t="s">
        <v>260</v>
      </c>
      <c r="AP217" s="294"/>
      <c r="AR217" s="810" t="s">
        <v>907</v>
      </c>
      <c r="AS217" s="789"/>
      <c r="AT217" s="789"/>
      <c r="AU217" s="789"/>
      <c r="AV217" s="789"/>
      <c r="AW217" s="590" t="s">
        <v>908</v>
      </c>
      <c r="AX217" s="299">
        <f t="shared" si="70"/>
        <v>0</v>
      </c>
      <c r="AY217" s="580"/>
      <c r="BA217" s="295"/>
      <c r="BB217" s="575"/>
      <c r="BC217" s="550"/>
      <c r="BD217" s="550"/>
    </row>
    <row r="218" spans="1:56" ht="15.75" customHeight="1">
      <c r="A218" s="834" t="s">
        <v>909</v>
      </c>
      <c r="B218" s="789"/>
      <c r="C218" s="789"/>
      <c r="D218" s="789"/>
      <c r="E218" s="756"/>
      <c r="F218" s="145" t="s">
        <v>910</v>
      </c>
      <c r="G218" s="799">
        <f t="shared" si="78"/>
        <v>0</v>
      </c>
      <c r="H218" s="789"/>
      <c r="I218" s="756"/>
      <c r="N218" s="834" t="s">
        <v>909</v>
      </c>
      <c r="O218" s="789"/>
      <c r="P218" s="789"/>
      <c r="Q218" s="789"/>
      <c r="R218" s="756"/>
      <c r="S218" s="145" t="s">
        <v>910</v>
      </c>
      <c r="T218" s="799">
        <f t="shared" si="79"/>
        <v>0</v>
      </c>
      <c r="U218" s="789"/>
      <c r="V218" s="756"/>
      <c r="AA218" s="22"/>
      <c r="AI218" s="792" t="s">
        <v>911</v>
      </c>
      <c r="AJ218" s="789"/>
      <c r="AK218" s="789"/>
      <c r="AL218" s="789"/>
      <c r="AM218" s="789"/>
      <c r="AN218" s="293" t="s">
        <v>912</v>
      </c>
      <c r="AO218" s="299">
        <f t="shared" ref="AO218:AO224" si="80">COUNTIF($P$1:$Q$1,AN218)</f>
        <v>0</v>
      </c>
      <c r="AP218" s="591"/>
      <c r="AR218" s="810" t="s">
        <v>913</v>
      </c>
      <c r="AS218" s="789"/>
      <c r="AT218" s="789"/>
      <c r="AU218" s="789"/>
      <c r="AV218" s="789"/>
      <c r="AW218" s="312" t="s">
        <v>914</v>
      </c>
      <c r="AX218" s="299">
        <f t="shared" si="70"/>
        <v>0</v>
      </c>
      <c r="AY218" s="580"/>
      <c r="AZ218" s="292"/>
      <c r="BA218" s="295"/>
      <c r="BB218" s="572"/>
    </row>
    <row r="219" spans="1:56" ht="15.75" customHeight="1">
      <c r="A219" s="834" t="s">
        <v>915</v>
      </c>
      <c r="B219" s="789"/>
      <c r="C219" s="789"/>
      <c r="D219" s="789"/>
      <c r="E219" s="756"/>
      <c r="F219" s="145" t="s">
        <v>916</v>
      </c>
      <c r="G219" s="799">
        <f t="shared" si="78"/>
        <v>0</v>
      </c>
      <c r="H219" s="789"/>
      <c r="I219" s="756"/>
      <c r="N219" s="834" t="s">
        <v>915</v>
      </c>
      <c r="O219" s="789"/>
      <c r="P219" s="789"/>
      <c r="Q219" s="789"/>
      <c r="R219" s="756"/>
      <c r="S219" s="145" t="s">
        <v>916</v>
      </c>
      <c r="T219" s="799">
        <f t="shared" si="79"/>
        <v>0</v>
      </c>
      <c r="U219" s="789"/>
      <c r="V219" s="756"/>
      <c r="AA219" s="22"/>
      <c r="AH219" s="295"/>
      <c r="AI219" s="792" t="s">
        <v>917</v>
      </c>
      <c r="AJ219" s="789"/>
      <c r="AK219" s="789"/>
      <c r="AL219" s="789"/>
      <c r="AM219" s="756"/>
      <c r="AN219" s="583" t="s">
        <v>918</v>
      </c>
      <c r="AO219" s="299">
        <f t="shared" si="80"/>
        <v>0</v>
      </c>
      <c r="AP219" s="592"/>
      <c r="AR219" s="810" t="s">
        <v>919</v>
      </c>
      <c r="AS219" s="789"/>
      <c r="AT219" s="789"/>
      <c r="AU219" s="789"/>
      <c r="AV219" s="789"/>
      <c r="AW219" s="593" t="s">
        <v>920</v>
      </c>
      <c r="AX219" s="299">
        <f t="shared" si="70"/>
        <v>0</v>
      </c>
      <c r="AY219" s="580"/>
      <c r="BA219" s="295"/>
      <c r="BB219" s="572"/>
    </row>
    <row r="220" spans="1:56" ht="15.75" customHeight="1">
      <c r="A220" s="834" t="s">
        <v>921</v>
      </c>
      <c r="B220" s="789"/>
      <c r="C220" s="789"/>
      <c r="D220" s="789"/>
      <c r="E220" s="756"/>
      <c r="F220" s="145" t="s">
        <v>922</v>
      </c>
      <c r="G220" s="799">
        <f t="shared" si="78"/>
        <v>0</v>
      </c>
      <c r="H220" s="789"/>
      <c r="I220" s="756"/>
      <c r="N220" s="834" t="s">
        <v>921</v>
      </c>
      <c r="O220" s="789"/>
      <c r="P220" s="789"/>
      <c r="Q220" s="789"/>
      <c r="R220" s="756"/>
      <c r="S220" s="145" t="s">
        <v>922</v>
      </c>
      <c r="T220" s="799">
        <f t="shared" si="79"/>
        <v>0</v>
      </c>
      <c r="U220" s="789"/>
      <c r="V220" s="756"/>
      <c r="AA220" s="22" t="b">
        <f>IFERROR(#REF!&gt;0.5,FALSE)</f>
        <v>0</v>
      </c>
      <c r="AH220" s="594"/>
      <c r="AI220" s="792" t="s">
        <v>923</v>
      </c>
      <c r="AJ220" s="789"/>
      <c r="AK220" s="789"/>
      <c r="AL220" s="789"/>
      <c r="AM220" s="756"/>
      <c r="AN220" s="595" t="s">
        <v>924</v>
      </c>
      <c r="AO220" s="299">
        <f t="shared" si="80"/>
        <v>0</v>
      </c>
      <c r="AP220" s="592"/>
      <c r="AR220" s="810" t="s">
        <v>925</v>
      </c>
      <c r="AS220" s="789"/>
      <c r="AT220" s="789"/>
      <c r="AU220" s="789"/>
      <c r="AV220" s="789"/>
      <c r="AW220" s="453" t="s">
        <v>926</v>
      </c>
      <c r="AX220" s="299">
        <f t="shared" si="70"/>
        <v>0</v>
      </c>
      <c r="AY220" s="580"/>
      <c r="BA220" s="295"/>
    </row>
    <row r="221" spans="1:56" ht="15.75" customHeight="1">
      <c r="A221" s="834" t="s">
        <v>927</v>
      </c>
      <c r="B221" s="789"/>
      <c r="C221" s="789"/>
      <c r="D221" s="789"/>
      <c r="E221" s="756"/>
      <c r="F221" s="145" t="s">
        <v>928</v>
      </c>
      <c r="G221" s="799">
        <f t="shared" si="78"/>
        <v>0</v>
      </c>
      <c r="H221" s="789"/>
      <c r="I221" s="756"/>
      <c r="N221" s="834" t="s">
        <v>927</v>
      </c>
      <c r="O221" s="789"/>
      <c r="P221" s="789"/>
      <c r="Q221" s="789"/>
      <c r="R221" s="756"/>
      <c r="S221" s="145" t="s">
        <v>928</v>
      </c>
      <c r="T221" s="799">
        <f t="shared" si="79"/>
        <v>0</v>
      </c>
      <c r="U221" s="789"/>
      <c r="V221" s="756"/>
      <c r="AA221" s="22"/>
      <c r="AH221" s="594"/>
      <c r="AI221" s="792" t="s">
        <v>929</v>
      </c>
      <c r="AJ221" s="789"/>
      <c r="AK221" s="789"/>
      <c r="AL221" s="789"/>
      <c r="AM221" s="756"/>
      <c r="AN221" s="596" t="s">
        <v>930</v>
      </c>
      <c r="AO221" s="299">
        <f t="shared" si="80"/>
        <v>0</v>
      </c>
      <c r="AP221" s="592"/>
      <c r="AR221" s="810" t="s">
        <v>931</v>
      </c>
      <c r="AS221" s="789"/>
      <c r="AT221" s="789"/>
      <c r="AU221" s="789"/>
      <c r="AV221" s="789"/>
      <c r="AW221" s="541" t="s">
        <v>932</v>
      </c>
      <c r="AX221" s="299">
        <f t="shared" si="70"/>
        <v>0</v>
      </c>
      <c r="AY221" s="580"/>
      <c r="BA221" s="295"/>
      <c r="BB221" s="572"/>
    </row>
    <row r="222" spans="1:56" ht="15.75" customHeight="1" thickBot="1">
      <c r="A222" s="837" t="s">
        <v>260</v>
      </c>
      <c r="B222" s="744"/>
      <c r="C222" s="744"/>
      <c r="D222" s="744"/>
      <c r="E222" s="744"/>
      <c r="F222" s="597"/>
      <c r="G222" s="808">
        <f>SUM(G216:I221)</f>
        <v>0</v>
      </c>
      <c r="H222" s="789"/>
      <c r="I222" s="756"/>
      <c r="N222" s="837" t="s">
        <v>260</v>
      </c>
      <c r="O222" s="744"/>
      <c r="P222" s="744"/>
      <c r="Q222" s="744"/>
      <c r="R222" s="744"/>
      <c r="S222" s="597"/>
      <c r="T222" s="808">
        <f>SUM(T216:V221)</f>
        <v>0</v>
      </c>
      <c r="U222" s="789"/>
      <c r="V222" s="756"/>
      <c r="AA222" s="22"/>
      <c r="AI222" s="792" t="s">
        <v>933</v>
      </c>
      <c r="AJ222" s="789"/>
      <c r="AK222" s="789"/>
      <c r="AL222" s="789"/>
      <c r="AM222" s="756"/>
      <c r="AN222" s="598" t="s">
        <v>934</v>
      </c>
      <c r="AO222" s="299">
        <f t="shared" si="80"/>
        <v>0</v>
      </c>
      <c r="AP222" s="592"/>
      <c r="AR222" s="810" t="s">
        <v>935</v>
      </c>
      <c r="AS222" s="789"/>
      <c r="AT222" s="789"/>
      <c r="AU222" s="789"/>
      <c r="AV222" s="789"/>
      <c r="AW222" s="541" t="s">
        <v>936</v>
      </c>
      <c r="AX222" s="299">
        <f t="shared" si="70"/>
        <v>0</v>
      </c>
      <c r="AY222" s="580"/>
      <c r="BA222" s="295"/>
      <c r="BB222" s="599"/>
    </row>
    <row r="223" spans="1:56" ht="15.75" customHeight="1" thickBot="1">
      <c r="A223" s="828" t="s">
        <v>937</v>
      </c>
      <c r="B223" s="717"/>
      <c r="C223" s="717"/>
      <c r="D223" s="717"/>
      <c r="E223" s="718"/>
      <c r="F223" s="6"/>
      <c r="G223" s="6"/>
      <c r="H223" s="6"/>
      <c r="I223" s="6"/>
      <c r="N223" s="828" t="s">
        <v>937</v>
      </c>
      <c r="O223" s="717"/>
      <c r="P223" s="717"/>
      <c r="Q223" s="717"/>
      <c r="R223" s="718"/>
      <c r="S223" s="6"/>
      <c r="T223" s="6"/>
      <c r="U223" s="6"/>
      <c r="V223" s="6"/>
      <c r="AA223" s="22"/>
      <c r="AI223" s="792" t="s">
        <v>938</v>
      </c>
      <c r="AJ223" s="789"/>
      <c r="AK223" s="789"/>
      <c r="AL223" s="789"/>
      <c r="AM223" s="756"/>
      <c r="AN223" s="600" t="s">
        <v>939</v>
      </c>
      <c r="AO223" s="299">
        <f t="shared" si="80"/>
        <v>0</v>
      </c>
      <c r="AP223" s="592"/>
      <c r="AR223" s="810" t="s">
        <v>940</v>
      </c>
      <c r="AS223" s="789"/>
      <c r="AT223" s="789"/>
      <c r="AU223" s="789"/>
      <c r="AV223" s="789"/>
      <c r="AW223" s="541" t="s">
        <v>941</v>
      </c>
      <c r="AX223" s="299">
        <f t="shared" si="70"/>
        <v>0</v>
      </c>
      <c r="AY223" s="580"/>
      <c r="BA223" s="295"/>
      <c r="BB223" s="572"/>
    </row>
    <row r="224" spans="1:56" ht="15.75" customHeight="1">
      <c r="A224" s="835" t="s">
        <v>900</v>
      </c>
      <c r="B224" s="715"/>
      <c r="C224" s="715"/>
      <c r="D224" s="715"/>
      <c r="E224" s="803"/>
      <c r="F224" s="145" t="s">
        <v>942</v>
      </c>
      <c r="G224" s="799">
        <f t="shared" ref="G224:G234" si="81">COUNTIF($P$1:$Q$1,F224)</f>
        <v>0</v>
      </c>
      <c r="H224" s="789"/>
      <c r="I224" s="756"/>
      <c r="N224" s="835" t="s">
        <v>900</v>
      </c>
      <c r="O224" s="715"/>
      <c r="P224" s="715"/>
      <c r="Q224" s="715"/>
      <c r="R224" s="803"/>
      <c r="S224" s="145" t="s">
        <v>942</v>
      </c>
      <c r="T224" s="799">
        <f t="shared" ref="T224:T234" si="82">COUNTIF($P$1:$Q$1,S224)</f>
        <v>0</v>
      </c>
      <c r="U224" s="789"/>
      <c r="V224" s="756"/>
      <c r="AA224" s="22"/>
      <c r="AI224" s="792" t="s">
        <v>943</v>
      </c>
      <c r="AJ224" s="789"/>
      <c r="AK224" s="789"/>
      <c r="AL224" s="789"/>
      <c r="AM224" s="756"/>
      <c r="AN224" s="373" t="s">
        <v>944</v>
      </c>
      <c r="AO224" s="299">
        <f t="shared" si="80"/>
        <v>0</v>
      </c>
      <c r="AP224" s="592"/>
      <c r="AQ224" s="292"/>
      <c r="AR224" s="810" t="s">
        <v>945</v>
      </c>
      <c r="AS224" s="789"/>
      <c r="AT224" s="789"/>
      <c r="AU224" s="789"/>
      <c r="AV224" s="789"/>
      <c r="AW224" s="541" t="s">
        <v>946</v>
      </c>
      <c r="AX224" s="299">
        <f t="shared" si="70"/>
        <v>0</v>
      </c>
      <c r="AY224" s="580"/>
      <c r="BA224" s="295"/>
      <c r="BB224" s="572"/>
    </row>
    <row r="225" spans="1:54" ht="15.75" customHeight="1">
      <c r="A225" s="834" t="s">
        <v>904</v>
      </c>
      <c r="B225" s="789"/>
      <c r="C225" s="789"/>
      <c r="D225" s="789"/>
      <c r="E225" s="756"/>
      <c r="F225" s="145" t="s">
        <v>947</v>
      </c>
      <c r="G225" s="799">
        <f t="shared" si="81"/>
        <v>0</v>
      </c>
      <c r="H225" s="789"/>
      <c r="I225" s="756"/>
      <c r="N225" s="834" t="s">
        <v>904</v>
      </c>
      <c r="O225" s="789"/>
      <c r="P225" s="789"/>
      <c r="Q225" s="789"/>
      <c r="R225" s="756"/>
      <c r="S225" s="145" t="s">
        <v>947</v>
      </c>
      <c r="T225" s="799">
        <f t="shared" si="82"/>
        <v>0</v>
      </c>
      <c r="U225" s="789"/>
      <c r="V225" s="756"/>
      <c r="AA225" s="22"/>
      <c r="AI225" s="796" t="s">
        <v>948</v>
      </c>
      <c r="AJ225" s="789"/>
      <c r="AK225" s="789"/>
      <c r="AL225" s="789"/>
      <c r="AM225" s="756"/>
      <c r="AN225" s="436"/>
      <c r="AO225" s="437">
        <f>SUM(AO218:AO224)</f>
        <v>0</v>
      </c>
      <c r="AP225" s="292"/>
      <c r="AQ225" s="601"/>
      <c r="AR225" s="810" t="s">
        <v>949</v>
      </c>
      <c r="AS225" s="789"/>
      <c r="AT225" s="789"/>
      <c r="AU225" s="789"/>
      <c r="AV225" s="789"/>
      <c r="AW225" s="602" t="s">
        <v>950</v>
      </c>
      <c r="AX225" s="299">
        <f t="shared" si="70"/>
        <v>0</v>
      </c>
      <c r="AY225" s="580"/>
      <c r="BA225" s="295"/>
    </row>
    <row r="226" spans="1:54" ht="15.75" customHeight="1">
      <c r="A226" s="834" t="s">
        <v>909</v>
      </c>
      <c r="B226" s="789"/>
      <c r="C226" s="789"/>
      <c r="D226" s="789"/>
      <c r="E226" s="756"/>
      <c r="F226" s="145" t="s">
        <v>951</v>
      </c>
      <c r="G226" s="799">
        <f t="shared" si="81"/>
        <v>0</v>
      </c>
      <c r="H226" s="789"/>
      <c r="I226" s="756"/>
      <c r="N226" s="834" t="s">
        <v>909</v>
      </c>
      <c r="O226" s="789"/>
      <c r="P226" s="789"/>
      <c r="Q226" s="789"/>
      <c r="R226" s="756"/>
      <c r="S226" s="145" t="s">
        <v>951</v>
      </c>
      <c r="T226" s="799">
        <f t="shared" si="82"/>
        <v>0</v>
      </c>
      <c r="U226" s="789"/>
      <c r="V226" s="756"/>
      <c r="AA226" s="22"/>
      <c r="AI226" s="579"/>
      <c r="AJ226" s="292"/>
      <c r="AK226" s="292"/>
      <c r="AL226" s="292"/>
      <c r="AM226" s="292"/>
      <c r="AN226" s="292"/>
      <c r="AO226" s="292"/>
      <c r="AP226" s="292"/>
      <c r="AR226" s="810" t="s">
        <v>952</v>
      </c>
      <c r="AS226" s="789"/>
      <c r="AT226" s="789"/>
      <c r="AU226" s="789"/>
      <c r="AV226" s="789"/>
      <c r="AW226" s="541" t="s">
        <v>953</v>
      </c>
      <c r="AX226" s="299">
        <f t="shared" si="70"/>
        <v>0</v>
      </c>
      <c r="AY226" s="580"/>
      <c r="BA226" s="295"/>
      <c r="BB226" s="572"/>
    </row>
    <row r="227" spans="1:54" ht="15.75" customHeight="1">
      <c r="A227" s="834" t="s">
        <v>954</v>
      </c>
      <c r="B227" s="789"/>
      <c r="C227" s="789"/>
      <c r="D227" s="789"/>
      <c r="E227" s="756"/>
      <c r="F227" s="145" t="s">
        <v>955</v>
      </c>
      <c r="G227" s="799">
        <f t="shared" si="81"/>
        <v>0</v>
      </c>
      <c r="H227" s="789"/>
      <c r="I227" s="756"/>
      <c r="N227" s="834" t="s">
        <v>954</v>
      </c>
      <c r="O227" s="789"/>
      <c r="P227" s="789"/>
      <c r="Q227" s="789"/>
      <c r="R227" s="756"/>
      <c r="S227" s="145" t="s">
        <v>955</v>
      </c>
      <c r="T227" s="799">
        <f t="shared" si="82"/>
        <v>0</v>
      </c>
      <c r="U227" s="789"/>
      <c r="V227" s="756"/>
      <c r="AA227" s="22"/>
      <c r="AI227" s="603"/>
      <c r="AR227" s="792" t="s">
        <v>956</v>
      </c>
      <c r="AS227" s="789"/>
      <c r="AT227" s="789"/>
      <c r="AU227" s="789"/>
      <c r="AV227" s="789"/>
      <c r="AW227" s="604" t="s">
        <v>956</v>
      </c>
      <c r="AX227" s="299">
        <f t="shared" si="70"/>
        <v>0</v>
      </c>
      <c r="AY227" s="580"/>
      <c r="BA227" s="295"/>
      <c r="BB227" s="605"/>
    </row>
    <row r="228" spans="1:54" ht="15.75" customHeight="1">
      <c r="A228" s="834" t="s">
        <v>915</v>
      </c>
      <c r="B228" s="789"/>
      <c r="C228" s="789"/>
      <c r="D228" s="789"/>
      <c r="E228" s="756"/>
      <c r="F228" s="145" t="s">
        <v>957</v>
      </c>
      <c r="G228" s="799">
        <f t="shared" si="81"/>
        <v>0</v>
      </c>
      <c r="H228" s="789"/>
      <c r="I228" s="756"/>
      <c r="N228" s="834" t="s">
        <v>915</v>
      </c>
      <c r="O228" s="789"/>
      <c r="P228" s="789"/>
      <c r="Q228" s="789"/>
      <c r="R228" s="756"/>
      <c r="S228" s="145" t="s">
        <v>957</v>
      </c>
      <c r="T228" s="799">
        <f t="shared" si="82"/>
        <v>0</v>
      </c>
      <c r="U228" s="789"/>
      <c r="V228" s="756"/>
      <c r="AA228" s="22"/>
      <c r="AI228" s="796" t="s">
        <v>330</v>
      </c>
      <c r="AJ228" s="789"/>
      <c r="AK228" s="789"/>
      <c r="AL228" s="789"/>
      <c r="AM228" s="789"/>
      <c r="AN228" s="756"/>
      <c r="AO228" s="293" t="s">
        <v>260</v>
      </c>
      <c r="AP228" s="294"/>
      <c r="AQ228" s="292"/>
      <c r="AR228" s="810" t="s">
        <v>958</v>
      </c>
      <c r="AS228" s="789"/>
      <c r="AT228" s="789"/>
      <c r="AU228" s="789"/>
      <c r="AV228" s="789"/>
      <c r="AW228" s="69" t="s">
        <v>959</v>
      </c>
      <c r="AX228" s="299">
        <f t="shared" si="70"/>
        <v>0</v>
      </c>
      <c r="AY228" s="580"/>
      <c r="BA228" s="295"/>
      <c r="BB228" s="572"/>
    </row>
    <row r="229" spans="1:54" ht="15.75" customHeight="1">
      <c r="A229" s="834" t="s">
        <v>960</v>
      </c>
      <c r="B229" s="789"/>
      <c r="C229" s="789"/>
      <c r="D229" s="789"/>
      <c r="E229" s="756"/>
      <c r="F229" s="145" t="s">
        <v>961</v>
      </c>
      <c r="G229" s="799">
        <f t="shared" si="81"/>
        <v>0</v>
      </c>
      <c r="H229" s="789"/>
      <c r="I229" s="756"/>
      <c r="N229" s="834" t="s">
        <v>960</v>
      </c>
      <c r="O229" s="789"/>
      <c r="P229" s="789"/>
      <c r="Q229" s="789"/>
      <c r="R229" s="756"/>
      <c r="S229" s="145" t="s">
        <v>961</v>
      </c>
      <c r="T229" s="799">
        <f t="shared" si="82"/>
        <v>0</v>
      </c>
      <c r="U229" s="789"/>
      <c r="V229" s="756"/>
      <c r="AA229" s="22"/>
      <c r="AI229" s="792" t="s">
        <v>962</v>
      </c>
      <c r="AJ229" s="789"/>
      <c r="AK229" s="789"/>
      <c r="AL229" s="789"/>
      <c r="AM229" s="756"/>
      <c r="AN229" s="606" t="s">
        <v>963</v>
      </c>
      <c r="AO229" s="299">
        <f t="shared" ref="AO229:AO244" si="83">COUNTIF($P$1:$Q$1,AN229)</f>
        <v>0</v>
      </c>
      <c r="AP229" s="591"/>
      <c r="AQ229" s="292"/>
      <c r="AR229" s="810" t="s">
        <v>964</v>
      </c>
      <c r="AS229" s="789"/>
      <c r="AT229" s="789"/>
      <c r="AU229" s="789"/>
      <c r="AV229" s="789"/>
      <c r="AW229" s="466" t="s">
        <v>965</v>
      </c>
      <c r="AX229" s="299">
        <f t="shared" si="70"/>
        <v>0</v>
      </c>
      <c r="AY229" s="580"/>
      <c r="BA229" s="295"/>
      <c r="BB229" s="572"/>
    </row>
    <row r="230" spans="1:54" ht="15.75" customHeight="1">
      <c r="A230" s="834" t="s">
        <v>966</v>
      </c>
      <c r="B230" s="789"/>
      <c r="C230" s="789"/>
      <c r="D230" s="789"/>
      <c r="E230" s="756"/>
      <c r="F230" s="145" t="s">
        <v>967</v>
      </c>
      <c r="G230" s="799">
        <f t="shared" si="81"/>
        <v>0</v>
      </c>
      <c r="H230" s="789"/>
      <c r="I230" s="756"/>
      <c r="N230" s="834" t="s">
        <v>966</v>
      </c>
      <c r="O230" s="789"/>
      <c r="P230" s="789"/>
      <c r="Q230" s="789"/>
      <c r="R230" s="756"/>
      <c r="S230" s="145" t="s">
        <v>967</v>
      </c>
      <c r="T230" s="799">
        <f t="shared" si="82"/>
        <v>0</v>
      </c>
      <c r="U230" s="789"/>
      <c r="V230" s="756"/>
      <c r="AA230" s="22"/>
      <c r="AI230" s="792" t="s">
        <v>968</v>
      </c>
      <c r="AJ230" s="789"/>
      <c r="AK230" s="789"/>
      <c r="AL230" s="789"/>
      <c r="AM230" s="756"/>
      <c r="AN230" s="606" t="s">
        <v>968</v>
      </c>
      <c r="AO230" s="299">
        <f t="shared" si="83"/>
        <v>0</v>
      </c>
      <c r="AP230" s="592"/>
      <c r="AQ230" s="292"/>
      <c r="AR230" s="810" t="s">
        <v>969</v>
      </c>
      <c r="AS230" s="789"/>
      <c r="AT230" s="789"/>
      <c r="AU230" s="789"/>
      <c r="AV230" s="789"/>
      <c r="AW230" s="590" t="s">
        <v>970</v>
      </c>
      <c r="AX230" s="299">
        <f t="shared" si="70"/>
        <v>0</v>
      </c>
      <c r="AY230" s="580"/>
      <c r="BA230" s="295"/>
    </row>
    <row r="231" spans="1:54" ht="15.75" customHeight="1">
      <c r="A231" s="834" t="s">
        <v>971</v>
      </c>
      <c r="B231" s="789"/>
      <c r="C231" s="789"/>
      <c r="D231" s="789"/>
      <c r="E231" s="756"/>
      <c r="F231" s="145" t="s">
        <v>972</v>
      </c>
      <c r="G231" s="799">
        <f t="shared" si="81"/>
        <v>0</v>
      </c>
      <c r="H231" s="789"/>
      <c r="I231" s="756"/>
      <c r="N231" s="834" t="s">
        <v>971</v>
      </c>
      <c r="O231" s="789"/>
      <c r="P231" s="789"/>
      <c r="Q231" s="789"/>
      <c r="R231" s="756"/>
      <c r="S231" s="145" t="s">
        <v>972</v>
      </c>
      <c r="T231" s="799">
        <f t="shared" si="82"/>
        <v>0</v>
      </c>
      <c r="U231" s="789"/>
      <c r="V231" s="756"/>
      <c r="AA231" s="22"/>
      <c r="AI231" s="792" t="s">
        <v>973</v>
      </c>
      <c r="AJ231" s="789"/>
      <c r="AK231" s="789"/>
      <c r="AL231" s="789"/>
      <c r="AM231" s="756"/>
      <c r="AN231" s="606" t="s">
        <v>974</v>
      </c>
      <c r="AO231" s="299">
        <f t="shared" si="83"/>
        <v>0</v>
      </c>
      <c r="AP231" s="592"/>
      <c r="AQ231" s="292"/>
      <c r="AR231" s="810" t="s">
        <v>975</v>
      </c>
      <c r="AS231" s="789"/>
      <c r="AT231" s="789"/>
      <c r="AU231" s="789"/>
      <c r="AV231" s="789"/>
      <c r="AW231" s="607" t="s">
        <v>976</v>
      </c>
      <c r="AX231" s="299">
        <f t="shared" si="70"/>
        <v>0</v>
      </c>
      <c r="AY231" s="580"/>
      <c r="BA231" s="295"/>
      <c r="BB231" s="572"/>
    </row>
    <row r="232" spans="1:54" ht="15.75" customHeight="1">
      <c r="A232" s="834" t="s">
        <v>977</v>
      </c>
      <c r="B232" s="789"/>
      <c r="C232" s="789"/>
      <c r="D232" s="789"/>
      <c r="E232" s="756"/>
      <c r="F232" s="145" t="s">
        <v>978</v>
      </c>
      <c r="G232" s="799">
        <f t="shared" si="81"/>
        <v>0</v>
      </c>
      <c r="H232" s="789"/>
      <c r="I232" s="756"/>
      <c r="N232" s="834" t="s">
        <v>977</v>
      </c>
      <c r="O232" s="789"/>
      <c r="P232" s="789"/>
      <c r="Q232" s="789"/>
      <c r="R232" s="756"/>
      <c r="S232" s="145" t="s">
        <v>978</v>
      </c>
      <c r="T232" s="799">
        <f t="shared" si="82"/>
        <v>0</v>
      </c>
      <c r="U232" s="789"/>
      <c r="V232" s="756"/>
      <c r="AA232" s="22"/>
      <c r="AI232" s="792" t="s">
        <v>979</v>
      </c>
      <c r="AJ232" s="789"/>
      <c r="AK232" s="789"/>
      <c r="AL232" s="789"/>
      <c r="AM232" s="756"/>
      <c r="AN232" s="606" t="s">
        <v>980</v>
      </c>
      <c r="AO232" s="299">
        <f t="shared" si="83"/>
        <v>0</v>
      </c>
      <c r="AP232" s="592"/>
      <c r="AQ232" s="292"/>
      <c r="AR232" s="810" t="s">
        <v>981</v>
      </c>
      <c r="AS232" s="789"/>
      <c r="AT232" s="789"/>
      <c r="AU232" s="789"/>
      <c r="AV232" s="789"/>
      <c r="AW232" s="443" t="s">
        <v>982</v>
      </c>
      <c r="AX232" s="299">
        <f t="shared" si="70"/>
        <v>0</v>
      </c>
      <c r="AY232" s="580"/>
      <c r="BA232" s="295"/>
      <c r="BB232" s="608"/>
    </row>
    <row r="233" spans="1:54" ht="15.75" customHeight="1">
      <c r="A233" s="834" t="s">
        <v>983</v>
      </c>
      <c r="B233" s="789"/>
      <c r="C233" s="789"/>
      <c r="D233" s="789"/>
      <c r="E233" s="756"/>
      <c r="F233" s="145" t="s">
        <v>984</v>
      </c>
      <c r="G233" s="799">
        <f t="shared" si="81"/>
        <v>0</v>
      </c>
      <c r="H233" s="789"/>
      <c r="I233" s="756"/>
      <c r="N233" s="834" t="s">
        <v>983</v>
      </c>
      <c r="O233" s="789"/>
      <c r="P233" s="789"/>
      <c r="Q233" s="789"/>
      <c r="R233" s="756"/>
      <c r="S233" s="145" t="s">
        <v>984</v>
      </c>
      <c r="T233" s="799">
        <f t="shared" si="82"/>
        <v>0</v>
      </c>
      <c r="U233" s="789"/>
      <c r="V233" s="756"/>
      <c r="AA233" s="22"/>
      <c r="AI233" s="792" t="s">
        <v>985</v>
      </c>
      <c r="AJ233" s="789"/>
      <c r="AK233" s="789"/>
      <c r="AL233" s="789"/>
      <c r="AM233" s="756"/>
      <c r="AN233" s="606" t="s">
        <v>986</v>
      </c>
      <c r="AO233" s="299">
        <f t="shared" si="83"/>
        <v>0</v>
      </c>
      <c r="AP233" s="592"/>
      <c r="AQ233" s="292"/>
      <c r="AR233" s="810" t="s">
        <v>987</v>
      </c>
      <c r="AS233" s="789"/>
      <c r="AT233" s="789"/>
      <c r="AU233" s="789"/>
      <c r="AV233" s="789"/>
      <c r="AW233" s="609" t="s">
        <v>988</v>
      </c>
      <c r="AX233" s="299">
        <f t="shared" si="70"/>
        <v>0</v>
      </c>
      <c r="AY233" s="580"/>
      <c r="BA233" s="295"/>
      <c r="BB233" s="572"/>
    </row>
    <row r="234" spans="1:54" ht="15.75" customHeight="1">
      <c r="A234" s="834" t="s">
        <v>989</v>
      </c>
      <c r="B234" s="789"/>
      <c r="C234" s="789"/>
      <c r="D234" s="789"/>
      <c r="E234" s="756"/>
      <c r="F234" s="145" t="s">
        <v>990</v>
      </c>
      <c r="G234" s="799">
        <f t="shared" si="81"/>
        <v>0</v>
      </c>
      <c r="H234" s="789"/>
      <c r="I234" s="756"/>
      <c r="N234" s="834" t="s">
        <v>989</v>
      </c>
      <c r="O234" s="789"/>
      <c r="P234" s="789"/>
      <c r="Q234" s="789"/>
      <c r="R234" s="756"/>
      <c r="S234" s="145" t="s">
        <v>990</v>
      </c>
      <c r="T234" s="799">
        <f t="shared" si="82"/>
        <v>0</v>
      </c>
      <c r="U234" s="789"/>
      <c r="V234" s="756"/>
      <c r="AA234" s="22"/>
      <c r="AI234" s="792" t="s">
        <v>991</v>
      </c>
      <c r="AJ234" s="789"/>
      <c r="AK234" s="789"/>
      <c r="AL234" s="789"/>
      <c r="AM234" s="756"/>
      <c r="AN234" s="606" t="s">
        <v>992</v>
      </c>
      <c r="AO234" s="299">
        <f t="shared" si="83"/>
        <v>0</v>
      </c>
      <c r="AP234" s="592"/>
      <c r="AQ234" s="292"/>
      <c r="AR234" s="810" t="s">
        <v>993</v>
      </c>
      <c r="AS234" s="789"/>
      <c r="AT234" s="789"/>
      <c r="AU234" s="789"/>
      <c r="AV234" s="789"/>
      <c r="AW234" s="600" t="s">
        <v>994</v>
      </c>
      <c r="AX234" s="299">
        <f t="shared" si="70"/>
        <v>0</v>
      </c>
      <c r="AY234" s="580"/>
      <c r="BA234" s="295"/>
      <c r="BB234" s="572"/>
    </row>
    <row r="235" spans="1:54" ht="15.75" customHeight="1" thickBot="1">
      <c r="A235" s="837" t="s">
        <v>260</v>
      </c>
      <c r="B235" s="744"/>
      <c r="C235" s="744"/>
      <c r="D235" s="744"/>
      <c r="E235" s="806"/>
      <c r="F235" s="597"/>
      <c r="G235" s="808">
        <f>SUM(G224:I234)</f>
        <v>0</v>
      </c>
      <c r="H235" s="789"/>
      <c r="I235" s="756"/>
      <c r="N235" s="837" t="s">
        <v>260</v>
      </c>
      <c r="O235" s="744"/>
      <c r="P235" s="744"/>
      <c r="Q235" s="744"/>
      <c r="R235" s="806"/>
      <c r="S235" s="597"/>
      <c r="T235" s="808">
        <f>SUM(T224:V234)</f>
        <v>0</v>
      </c>
      <c r="U235" s="789"/>
      <c r="V235" s="756"/>
      <c r="AA235" s="22"/>
      <c r="AI235" s="792" t="s">
        <v>995</v>
      </c>
      <c r="AJ235" s="789"/>
      <c r="AK235" s="789"/>
      <c r="AL235" s="789"/>
      <c r="AM235" s="756"/>
      <c r="AN235" s="606" t="s">
        <v>996</v>
      </c>
      <c r="AO235" s="299">
        <f t="shared" si="83"/>
        <v>0</v>
      </c>
      <c r="AP235" s="592"/>
      <c r="AQ235" s="292"/>
      <c r="AR235" s="810" t="s">
        <v>997</v>
      </c>
      <c r="AS235" s="789"/>
      <c r="AT235" s="789"/>
      <c r="AU235" s="789"/>
      <c r="AV235" s="789"/>
      <c r="AW235" s="443" t="s">
        <v>998</v>
      </c>
      <c r="AX235" s="299">
        <f t="shared" si="70"/>
        <v>0</v>
      </c>
      <c r="AY235" s="580"/>
      <c r="BA235" s="295"/>
    </row>
    <row r="236" spans="1:54" ht="15.75" customHeight="1" thickBot="1">
      <c r="A236" s="828" t="s">
        <v>117</v>
      </c>
      <c r="B236" s="717"/>
      <c r="C236" s="717"/>
      <c r="D236" s="717"/>
      <c r="E236" s="718"/>
      <c r="F236" s="6"/>
      <c r="G236" s="6"/>
      <c r="H236" s="6"/>
      <c r="I236" s="6"/>
      <c r="N236" s="828" t="s">
        <v>117</v>
      </c>
      <c r="O236" s="717"/>
      <c r="P236" s="717"/>
      <c r="Q236" s="717"/>
      <c r="R236" s="718"/>
      <c r="S236" s="6"/>
      <c r="T236" s="6"/>
      <c r="U236" s="6"/>
      <c r="V236" s="6"/>
      <c r="AA236" s="22"/>
      <c r="AI236" s="792" t="s">
        <v>999</v>
      </c>
      <c r="AJ236" s="789"/>
      <c r="AK236" s="789"/>
      <c r="AL236" s="789"/>
      <c r="AM236" s="756"/>
      <c r="AN236" s="606" t="s">
        <v>1000</v>
      </c>
      <c r="AO236" s="299">
        <f t="shared" si="83"/>
        <v>0</v>
      </c>
      <c r="AP236" s="592"/>
      <c r="AQ236" s="292"/>
      <c r="AR236" s="810" t="s">
        <v>1001</v>
      </c>
      <c r="AS236" s="789"/>
      <c r="AT236" s="789"/>
      <c r="AU236" s="789"/>
      <c r="AV236" s="789"/>
      <c r="AW236" s="610" t="s">
        <v>1002</v>
      </c>
      <c r="AX236" s="299">
        <f t="shared" si="70"/>
        <v>0</v>
      </c>
      <c r="AY236" s="580"/>
      <c r="BA236" s="295"/>
    </row>
    <row r="237" spans="1:54" ht="15.75" customHeight="1">
      <c r="A237" s="834" t="s">
        <v>900</v>
      </c>
      <c r="B237" s="789"/>
      <c r="C237" s="789"/>
      <c r="D237" s="789"/>
      <c r="E237" s="756"/>
      <c r="F237" s="145" t="s">
        <v>1003</v>
      </c>
      <c r="G237" s="799">
        <f t="shared" ref="G237:G242" si="84">COUNTIF($P$1:$Q$1,F237)</f>
        <v>0</v>
      </c>
      <c r="H237" s="789"/>
      <c r="I237" s="756"/>
      <c r="N237" s="834" t="s">
        <v>900</v>
      </c>
      <c r="O237" s="789"/>
      <c r="P237" s="789"/>
      <c r="Q237" s="789"/>
      <c r="R237" s="756"/>
      <c r="S237" s="145" t="s">
        <v>1003</v>
      </c>
      <c r="T237" s="799">
        <f t="shared" ref="T237:T242" si="85">COUNTIF($P$1:$Q$1,S237)</f>
        <v>0</v>
      </c>
      <c r="U237" s="789"/>
      <c r="V237" s="756"/>
      <c r="AI237" s="792" t="s">
        <v>1004</v>
      </c>
      <c r="AJ237" s="789"/>
      <c r="AK237" s="789"/>
      <c r="AL237" s="789"/>
      <c r="AM237" s="756"/>
      <c r="AN237" s="606" t="s">
        <v>1005</v>
      </c>
      <c r="AO237" s="299">
        <f t="shared" si="83"/>
        <v>0</v>
      </c>
      <c r="AP237" s="592"/>
      <c r="AR237" s="809" t="s">
        <v>1006</v>
      </c>
      <c r="AS237" s="789"/>
      <c r="AT237" s="789"/>
      <c r="AU237" s="789"/>
      <c r="AV237" s="756"/>
      <c r="AW237" s="436"/>
      <c r="AX237" s="437">
        <f>SUM(AX199:AX236)</f>
        <v>0</v>
      </c>
      <c r="BA237" s="295"/>
    </row>
    <row r="238" spans="1:54" ht="15.75" customHeight="1">
      <c r="A238" s="834" t="s">
        <v>904</v>
      </c>
      <c r="B238" s="789"/>
      <c r="C238" s="789"/>
      <c r="D238" s="789"/>
      <c r="E238" s="756"/>
      <c r="F238" s="145" t="s">
        <v>1007</v>
      </c>
      <c r="G238" s="799">
        <f t="shared" si="84"/>
        <v>0</v>
      </c>
      <c r="H238" s="789"/>
      <c r="I238" s="756"/>
      <c r="N238" s="834" t="s">
        <v>904</v>
      </c>
      <c r="O238" s="789"/>
      <c r="P238" s="789"/>
      <c r="Q238" s="789"/>
      <c r="R238" s="756"/>
      <c r="S238" s="145" t="s">
        <v>1007</v>
      </c>
      <c r="T238" s="799">
        <f t="shared" si="85"/>
        <v>0</v>
      </c>
      <c r="U238" s="789"/>
      <c r="V238" s="756"/>
      <c r="AI238" s="792" t="s">
        <v>1008</v>
      </c>
      <c r="AJ238" s="789"/>
      <c r="AK238" s="789"/>
      <c r="AL238" s="789"/>
      <c r="AM238" s="756"/>
      <c r="AN238" s="606" t="s">
        <v>1009</v>
      </c>
      <c r="AO238" s="299">
        <f t="shared" si="83"/>
        <v>0</v>
      </c>
      <c r="AP238" s="592"/>
      <c r="BA238" s="295"/>
    </row>
    <row r="239" spans="1:54" ht="15.75" customHeight="1">
      <c r="A239" s="834" t="s">
        <v>909</v>
      </c>
      <c r="B239" s="789"/>
      <c r="C239" s="789"/>
      <c r="D239" s="789"/>
      <c r="E239" s="756"/>
      <c r="F239" s="145" t="s">
        <v>1010</v>
      </c>
      <c r="G239" s="799">
        <f t="shared" si="84"/>
        <v>0</v>
      </c>
      <c r="H239" s="789"/>
      <c r="I239" s="756"/>
      <c r="N239" s="834" t="s">
        <v>909</v>
      </c>
      <c r="O239" s="789"/>
      <c r="P239" s="789"/>
      <c r="Q239" s="789"/>
      <c r="R239" s="756"/>
      <c r="S239" s="145" t="s">
        <v>1010</v>
      </c>
      <c r="T239" s="799">
        <f t="shared" si="85"/>
        <v>0</v>
      </c>
      <c r="U239" s="789"/>
      <c r="V239" s="756"/>
      <c r="AI239" s="792" t="s">
        <v>1011</v>
      </c>
      <c r="AJ239" s="789"/>
      <c r="AK239" s="789"/>
      <c r="AL239" s="789"/>
      <c r="AM239" s="756"/>
      <c r="AN239" s="606" t="s">
        <v>1012</v>
      </c>
      <c r="AO239" s="299">
        <f t="shared" si="83"/>
        <v>0</v>
      </c>
      <c r="AP239" s="592"/>
      <c r="AR239" s="795" t="s">
        <v>341</v>
      </c>
      <c r="AS239" s="789"/>
      <c r="AT239" s="789"/>
      <c r="AU239" s="789"/>
      <c r="AV239" s="789"/>
      <c r="AW239" s="756"/>
      <c r="AX239" s="293" t="s">
        <v>260</v>
      </c>
      <c r="AY239" s="294"/>
      <c r="BA239" s="295"/>
    </row>
    <row r="240" spans="1:54" ht="15.75" customHeight="1">
      <c r="A240" s="834" t="s">
        <v>915</v>
      </c>
      <c r="B240" s="789"/>
      <c r="C240" s="789"/>
      <c r="D240" s="789"/>
      <c r="E240" s="756"/>
      <c r="F240" s="145" t="s">
        <v>1013</v>
      </c>
      <c r="G240" s="799">
        <f t="shared" si="84"/>
        <v>0</v>
      </c>
      <c r="H240" s="789"/>
      <c r="I240" s="756"/>
      <c r="N240" s="834" t="s">
        <v>915</v>
      </c>
      <c r="O240" s="789"/>
      <c r="P240" s="789"/>
      <c r="Q240" s="789"/>
      <c r="R240" s="756"/>
      <c r="S240" s="145" t="s">
        <v>1013</v>
      </c>
      <c r="T240" s="799">
        <f t="shared" si="85"/>
        <v>0</v>
      </c>
      <c r="U240" s="789"/>
      <c r="V240" s="756"/>
      <c r="AI240" s="792" t="s">
        <v>1014</v>
      </c>
      <c r="AJ240" s="789"/>
      <c r="AK240" s="789"/>
      <c r="AL240" s="789"/>
      <c r="AM240" s="756"/>
      <c r="AN240" s="606" t="s">
        <v>1014</v>
      </c>
      <c r="AO240" s="299">
        <f t="shared" si="83"/>
        <v>0</v>
      </c>
      <c r="AP240" s="592"/>
      <c r="AR240" s="788" t="s">
        <v>1015</v>
      </c>
      <c r="AS240" s="789"/>
      <c r="AT240" s="789"/>
      <c r="AU240" s="789"/>
      <c r="AV240" s="756"/>
      <c r="AW240" s="611" t="s">
        <v>1016</v>
      </c>
      <c r="AX240" s="299">
        <f t="shared" ref="AX240:AX241" si="86">COUNTIF($P$1:$Q$1,AW240)</f>
        <v>0</v>
      </c>
      <c r="AY240" s="612"/>
      <c r="BA240" s="295"/>
    </row>
    <row r="241" spans="1:53" ht="15.75" customHeight="1">
      <c r="A241" s="834" t="s">
        <v>921</v>
      </c>
      <c r="B241" s="789"/>
      <c r="C241" s="789"/>
      <c r="D241" s="789"/>
      <c r="E241" s="756"/>
      <c r="F241" s="145" t="s">
        <v>1017</v>
      </c>
      <c r="G241" s="799">
        <f t="shared" si="84"/>
        <v>0</v>
      </c>
      <c r="H241" s="789"/>
      <c r="I241" s="756"/>
      <c r="N241" s="834" t="s">
        <v>921</v>
      </c>
      <c r="O241" s="789"/>
      <c r="P241" s="789"/>
      <c r="Q241" s="789"/>
      <c r="R241" s="756"/>
      <c r="S241" s="145" t="s">
        <v>1017</v>
      </c>
      <c r="T241" s="799">
        <f t="shared" si="85"/>
        <v>0</v>
      </c>
      <c r="U241" s="789"/>
      <c r="V241" s="756"/>
      <c r="AI241" s="792" t="s">
        <v>1018</v>
      </c>
      <c r="AJ241" s="789"/>
      <c r="AK241" s="789"/>
      <c r="AL241" s="789"/>
      <c r="AM241" s="756"/>
      <c r="AN241" s="606" t="s">
        <v>1019</v>
      </c>
      <c r="AO241" s="299">
        <f t="shared" si="83"/>
        <v>0</v>
      </c>
      <c r="AP241" s="592"/>
      <c r="AR241" s="810" t="s">
        <v>1020</v>
      </c>
      <c r="AS241" s="789"/>
      <c r="AT241" s="789"/>
      <c r="AU241" s="789"/>
      <c r="AV241" s="756"/>
      <c r="AW241" s="613" t="s">
        <v>1021</v>
      </c>
      <c r="AX241" s="299">
        <f t="shared" si="86"/>
        <v>0</v>
      </c>
      <c r="AY241" s="612"/>
      <c r="BA241" s="295"/>
    </row>
    <row r="242" spans="1:53" ht="15.75" customHeight="1" thickBot="1">
      <c r="A242" s="839" t="s">
        <v>927</v>
      </c>
      <c r="B242" s="744"/>
      <c r="C242" s="744"/>
      <c r="D242" s="744"/>
      <c r="E242" s="806"/>
      <c r="F242" s="145" t="s">
        <v>1022</v>
      </c>
      <c r="G242" s="799">
        <f t="shared" si="84"/>
        <v>0</v>
      </c>
      <c r="H242" s="789"/>
      <c r="I242" s="756"/>
      <c r="N242" s="839" t="s">
        <v>927</v>
      </c>
      <c r="O242" s="744"/>
      <c r="P242" s="744"/>
      <c r="Q242" s="744"/>
      <c r="R242" s="806"/>
      <c r="S242" s="145" t="s">
        <v>1022</v>
      </c>
      <c r="T242" s="799">
        <f t="shared" si="85"/>
        <v>0</v>
      </c>
      <c r="U242" s="789"/>
      <c r="V242" s="756"/>
      <c r="AI242" s="792" t="s">
        <v>1023</v>
      </c>
      <c r="AJ242" s="789"/>
      <c r="AK242" s="789"/>
      <c r="AL242" s="789"/>
      <c r="AM242" s="756"/>
      <c r="AN242" s="606" t="s">
        <v>1023</v>
      </c>
      <c r="AO242" s="299">
        <f t="shared" si="83"/>
        <v>0</v>
      </c>
      <c r="AP242" s="592"/>
      <c r="AR242" s="840" t="s">
        <v>1024</v>
      </c>
      <c r="AS242" s="789"/>
      <c r="AT242" s="789"/>
      <c r="AU242" s="789"/>
      <c r="AV242" s="756"/>
      <c r="AW242" s="436"/>
      <c r="AX242" s="437">
        <f>SUM(AX240:AX241)</f>
        <v>0</v>
      </c>
      <c r="BA242" s="295"/>
    </row>
    <row r="243" spans="1:53" ht="15.75" customHeight="1" thickBot="1">
      <c r="A243" s="838" t="s">
        <v>260</v>
      </c>
      <c r="B243" s="717"/>
      <c r="C243" s="717"/>
      <c r="D243" s="717"/>
      <c r="E243" s="717"/>
      <c r="F243" s="597"/>
      <c r="G243" s="808">
        <f>SUM(G237:I242)</f>
        <v>0</v>
      </c>
      <c r="H243" s="789"/>
      <c r="I243" s="756"/>
      <c r="N243" s="838" t="s">
        <v>260</v>
      </c>
      <c r="O243" s="717"/>
      <c r="P243" s="717"/>
      <c r="Q243" s="717"/>
      <c r="R243" s="717"/>
      <c r="S243" s="597"/>
      <c r="T243" s="808">
        <f>SUM(T237:V242)</f>
        <v>0</v>
      </c>
      <c r="U243" s="789"/>
      <c r="V243" s="756"/>
      <c r="AI243" s="792" t="s">
        <v>1025</v>
      </c>
      <c r="AJ243" s="789"/>
      <c r="AK243" s="789"/>
      <c r="AL243" s="789"/>
      <c r="AM243" s="756"/>
      <c r="AN243" s="606" t="s">
        <v>1026</v>
      </c>
      <c r="AO243" s="299">
        <f t="shared" si="83"/>
        <v>0</v>
      </c>
      <c r="AP243" s="592"/>
      <c r="AY243" s="292"/>
      <c r="BA243" s="295"/>
    </row>
    <row r="244" spans="1:53" ht="15.75" customHeight="1" thickBot="1">
      <c r="A244" s="828" t="s">
        <v>1027</v>
      </c>
      <c r="B244" s="717"/>
      <c r="C244" s="717"/>
      <c r="D244" s="717"/>
      <c r="E244" s="718"/>
      <c r="F244" s="6"/>
      <c r="G244" s="6"/>
      <c r="H244" s="6"/>
      <c r="I244" s="6"/>
      <c r="N244" s="828" t="s">
        <v>1027</v>
      </c>
      <c r="O244" s="717"/>
      <c r="P244" s="717"/>
      <c r="Q244" s="717"/>
      <c r="R244" s="718"/>
      <c r="S244" s="6"/>
      <c r="T244" s="6"/>
      <c r="U244" s="6"/>
      <c r="V244" s="6"/>
      <c r="AI244" s="792" t="s">
        <v>1028</v>
      </c>
      <c r="AJ244" s="789"/>
      <c r="AK244" s="789"/>
      <c r="AL244" s="789"/>
      <c r="AM244" s="756"/>
      <c r="AN244" s="606" t="s">
        <v>1029</v>
      </c>
      <c r="AO244" s="299">
        <f t="shared" si="83"/>
        <v>0</v>
      </c>
      <c r="AP244" s="592"/>
      <c r="AR244" s="795" t="s">
        <v>300</v>
      </c>
      <c r="AS244" s="789"/>
      <c r="AT244" s="789"/>
      <c r="AU244" s="789"/>
      <c r="AV244" s="789"/>
      <c r="AW244" s="756"/>
      <c r="AX244" s="293" t="s">
        <v>260</v>
      </c>
      <c r="AY244" s="294"/>
      <c r="BA244" s="295"/>
    </row>
    <row r="245" spans="1:53" ht="15.75" customHeight="1">
      <c r="A245" s="834" t="s">
        <v>900</v>
      </c>
      <c r="B245" s="789"/>
      <c r="C245" s="789"/>
      <c r="D245" s="789"/>
      <c r="E245" s="756"/>
      <c r="F245" s="145" t="s">
        <v>1030</v>
      </c>
      <c r="G245" s="799">
        <f t="shared" ref="G245:G246" si="87">COUNTIF($P$1:$Q$1,F245)</f>
        <v>0</v>
      </c>
      <c r="H245" s="789"/>
      <c r="I245" s="756"/>
      <c r="N245" s="834" t="s">
        <v>900</v>
      </c>
      <c r="O245" s="789"/>
      <c r="P245" s="789"/>
      <c r="Q245" s="789"/>
      <c r="R245" s="756"/>
      <c r="S245" s="145" t="s">
        <v>1030</v>
      </c>
      <c r="T245" s="799">
        <f t="shared" ref="T245:T246" si="88">COUNTIF($P$1:$Q$1,S245)</f>
        <v>0</v>
      </c>
      <c r="U245" s="789"/>
      <c r="V245" s="756"/>
      <c r="AI245" s="796" t="s">
        <v>1031</v>
      </c>
      <c r="AJ245" s="789"/>
      <c r="AK245" s="789"/>
      <c r="AL245" s="789"/>
      <c r="AM245" s="756"/>
      <c r="AN245" s="436"/>
      <c r="AO245" s="437">
        <f>SUM(AO229:AO244)</f>
        <v>0</v>
      </c>
      <c r="AR245" s="788" t="s">
        <v>1032</v>
      </c>
      <c r="AS245" s="789"/>
      <c r="AT245" s="789"/>
      <c r="AU245" s="789"/>
      <c r="AV245" s="756"/>
      <c r="AW245" s="614" t="s">
        <v>1033</v>
      </c>
      <c r="AX245" s="299">
        <f t="shared" ref="AX245:AX250" si="89">COUNTIF($P$1:$Q$1,AW245)</f>
        <v>0</v>
      </c>
      <c r="AY245" s="615"/>
      <c r="BA245" s="295"/>
    </row>
    <row r="246" spans="1:53" ht="15.75" customHeight="1">
      <c r="A246" s="834" t="s">
        <v>915</v>
      </c>
      <c r="B246" s="789"/>
      <c r="C246" s="789"/>
      <c r="D246" s="789"/>
      <c r="E246" s="756"/>
      <c r="F246" s="145" t="s">
        <v>1034</v>
      </c>
      <c r="G246" s="799">
        <f t="shared" si="87"/>
        <v>0</v>
      </c>
      <c r="H246" s="789"/>
      <c r="I246" s="756"/>
      <c r="N246" s="834" t="s">
        <v>915</v>
      </c>
      <c r="O246" s="789"/>
      <c r="P246" s="789"/>
      <c r="Q246" s="789"/>
      <c r="R246" s="756"/>
      <c r="S246" s="145" t="s">
        <v>1034</v>
      </c>
      <c r="T246" s="799">
        <f t="shared" si="88"/>
        <v>0</v>
      </c>
      <c r="U246" s="789"/>
      <c r="V246" s="756"/>
      <c r="AI246" s="603"/>
      <c r="AR246" s="788" t="s">
        <v>1035</v>
      </c>
      <c r="AS246" s="789"/>
      <c r="AT246" s="789"/>
      <c r="AU246" s="789"/>
      <c r="AV246" s="756"/>
      <c r="AW246" s="616" t="s">
        <v>1036</v>
      </c>
      <c r="AX246" s="299">
        <f t="shared" si="89"/>
        <v>0</v>
      </c>
      <c r="AY246" s="615"/>
      <c r="BA246" s="295"/>
    </row>
    <row r="247" spans="1:53" ht="15.75" customHeight="1" thickBot="1">
      <c r="A247" s="841" t="s">
        <v>260</v>
      </c>
      <c r="B247" s="842"/>
      <c r="C247" s="842"/>
      <c r="D247" s="842"/>
      <c r="E247" s="843"/>
      <c r="F247" s="597"/>
      <c r="G247" s="808">
        <f>SUM(G245:I246)</f>
        <v>0</v>
      </c>
      <c r="H247" s="789"/>
      <c r="I247" s="756"/>
      <c r="N247" s="841" t="s">
        <v>260</v>
      </c>
      <c r="O247" s="842"/>
      <c r="P247" s="842"/>
      <c r="Q247" s="842"/>
      <c r="R247" s="843"/>
      <c r="S247" s="597"/>
      <c r="T247" s="808">
        <f>SUM(T245:V246)</f>
        <v>0</v>
      </c>
      <c r="U247" s="789"/>
      <c r="V247" s="756"/>
      <c r="AI247" s="796"/>
      <c r="AJ247" s="789"/>
      <c r="AK247" s="789"/>
      <c r="AL247" s="789"/>
      <c r="AM247" s="789"/>
      <c r="AN247" s="756"/>
      <c r="AO247" s="293"/>
      <c r="AP247" s="294"/>
      <c r="AR247" s="788" t="s">
        <v>1037</v>
      </c>
      <c r="AS247" s="789"/>
      <c r="AT247" s="789"/>
      <c r="AU247" s="789"/>
      <c r="AV247" s="756"/>
      <c r="AW247" s="617" t="s">
        <v>1038</v>
      </c>
      <c r="AX247" s="299">
        <f t="shared" si="89"/>
        <v>0</v>
      </c>
      <c r="AY247" s="615"/>
      <c r="BA247" s="295"/>
    </row>
    <row r="248" spans="1:53" ht="15.75" customHeight="1" thickBot="1">
      <c r="A248" s="828" t="s">
        <v>1039</v>
      </c>
      <c r="B248" s="717"/>
      <c r="C248" s="717"/>
      <c r="D248" s="717"/>
      <c r="E248" s="718"/>
      <c r="F248" s="6"/>
      <c r="G248" s="6"/>
      <c r="H248" s="6"/>
      <c r="I248" s="6"/>
      <c r="N248" s="828" t="s">
        <v>1039</v>
      </c>
      <c r="O248" s="717"/>
      <c r="P248" s="717"/>
      <c r="Q248" s="717"/>
      <c r="R248" s="718"/>
      <c r="S248" s="6"/>
      <c r="T248" s="6"/>
      <c r="U248" s="6"/>
      <c r="V248" s="6"/>
      <c r="AI248" s="792"/>
      <c r="AJ248" s="789"/>
      <c r="AK248" s="789"/>
      <c r="AL248" s="789"/>
      <c r="AM248" s="789"/>
      <c r="AN248" s="432"/>
      <c r="AO248" s="299"/>
      <c r="AP248" s="618"/>
      <c r="AR248" s="788" t="s">
        <v>1040</v>
      </c>
      <c r="AS248" s="789"/>
      <c r="AT248" s="789"/>
      <c r="AU248" s="789"/>
      <c r="AV248" s="756"/>
      <c r="AW248" s="619" t="s">
        <v>1041</v>
      </c>
      <c r="AX248" s="299">
        <f t="shared" si="89"/>
        <v>0</v>
      </c>
      <c r="AY248" s="615"/>
      <c r="BA248" s="295"/>
    </row>
    <row r="249" spans="1:53" ht="15.75" customHeight="1">
      <c r="A249" s="834" t="s">
        <v>900</v>
      </c>
      <c r="B249" s="789"/>
      <c r="C249" s="789"/>
      <c r="D249" s="789"/>
      <c r="E249" s="756"/>
      <c r="F249" s="145" t="s">
        <v>1042</v>
      </c>
      <c r="G249" s="799">
        <f t="shared" ref="G249:G250" si="90">COUNTIF($P$1:$Q$1,F249)</f>
        <v>0</v>
      </c>
      <c r="H249" s="789"/>
      <c r="I249" s="756"/>
      <c r="N249" s="834" t="s">
        <v>900</v>
      </c>
      <c r="O249" s="789"/>
      <c r="P249" s="789"/>
      <c r="Q249" s="789"/>
      <c r="R249" s="756"/>
      <c r="S249" s="145" t="s">
        <v>1042</v>
      </c>
      <c r="T249" s="799">
        <f t="shared" ref="T249:T250" si="91">COUNTIF($P$1:$Q$1,S249)</f>
        <v>0</v>
      </c>
      <c r="U249" s="789"/>
      <c r="V249" s="756"/>
      <c r="AI249" s="796"/>
      <c r="AJ249" s="789"/>
      <c r="AK249" s="789"/>
      <c r="AL249" s="789"/>
      <c r="AM249" s="756"/>
      <c r="AN249" s="436"/>
      <c r="AO249" s="437"/>
      <c r="AR249" s="788" t="s">
        <v>1043</v>
      </c>
      <c r="AS249" s="789"/>
      <c r="AT249" s="789"/>
      <c r="AU249" s="789"/>
      <c r="AV249" s="756"/>
      <c r="AW249" s="482" t="s">
        <v>1044</v>
      </c>
      <c r="AX249" s="299">
        <f t="shared" si="89"/>
        <v>0</v>
      </c>
      <c r="AY249" s="615"/>
      <c r="BA249" s="295"/>
    </row>
    <row r="250" spans="1:53" ht="15.75" customHeight="1">
      <c r="A250" s="834" t="s">
        <v>915</v>
      </c>
      <c r="B250" s="789"/>
      <c r="C250" s="789"/>
      <c r="D250" s="789"/>
      <c r="E250" s="756"/>
      <c r="F250" s="145" t="s">
        <v>1045</v>
      </c>
      <c r="G250" s="799">
        <f t="shared" si="90"/>
        <v>0</v>
      </c>
      <c r="H250" s="789"/>
      <c r="I250" s="756"/>
      <c r="N250" s="834" t="s">
        <v>915</v>
      </c>
      <c r="O250" s="789"/>
      <c r="P250" s="789"/>
      <c r="Q250" s="789"/>
      <c r="R250" s="756"/>
      <c r="S250" s="145" t="s">
        <v>1045</v>
      </c>
      <c r="T250" s="799">
        <f t="shared" si="91"/>
        <v>0</v>
      </c>
      <c r="U250" s="789"/>
      <c r="V250" s="756"/>
      <c r="AI250" s="603"/>
      <c r="AR250" s="788" t="s">
        <v>1046</v>
      </c>
      <c r="AS250" s="789"/>
      <c r="AT250" s="789"/>
      <c r="AU250" s="789"/>
      <c r="AV250" s="756"/>
      <c r="AW250" s="620" t="s">
        <v>1047</v>
      </c>
      <c r="AX250" s="299">
        <f t="shared" si="89"/>
        <v>0</v>
      </c>
      <c r="AY250" s="615"/>
      <c r="BA250" s="295"/>
    </row>
    <row r="251" spans="1:53" ht="15.75" customHeight="1" thickBot="1">
      <c r="A251" s="841" t="s">
        <v>260</v>
      </c>
      <c r="B251" s="842"/>
      <c r="C251" s="842"/>
      <c r="D251" s="842"/>
      <c r="E251" s="843"/>
      <c r="F251" s="597"/>
      <c r="G251" s="808">
        <f>SUM(G249:I250)</f>
        <v>0</v>
      </c>
      <c r="H251" s="789"/>
      <c r="I251" s="756"/>
      <c r="N251" s="841" t="s">
        <v>260</v>
      </c>
      <c r="O251" s="842"/>
      <c r="P251" s="842"/>
      <c r="Q251" s="842"/>
      <c r="R251" s="843"/>
      <c r="S251" s="597"/>
      <c r="T251" s="808">
        <f>SUM(T249:V250)</f>
        <v>0</v>
      </c>
      <c r="U251" s="789"/>
      <c r="V251" s="756"/>
      <c r="AI251" s="603"/>
      <c r="AQ251" s="292"/>
      <c r="AR251" s="795" t="s">
        <v>1048</v>
      </c>
      <c r="AS251" s="789"/>
      <c r="AT251" s="789"/>
      <c r="AU251" s="789"/>
      <c r="AV251" s="756"/>
      <c r="AW251" s="436"/>
      <c r="AX251" s="437">
        <f>SUM(AX245:AX250)</f>
        <v>0</v>
      </c>
      <c r="BA251" s="295"/>
    </row>
    <row r="252" spans="1:53" ht="15.75" customHeight="1">
      <c r="M252" s="22"/>
      <c r="AI252" s="796" t="s">
        <v>754</v>
      </c>
      <c r="AJ252" s="789"/>
      <c r="AK252" s="789"/>
      <c r="AL252" s="789"/>
      <c r="AM252" s="789"/>
      <c r="AN252" s="756"/>
      <c r="AO252" s="293" t="s">
        <v>260</v>
      </c>
      <c r="AP252" s="294"/>
      <c r="BA252" s="295"/>
    </row>
    <row r="253" spans="1:53" ht="15.75" customHeight="1">
      <c r="M253" s="22"/>
      <c r="AI253" s="792" t="s">
        <v>1049</v>
      </c>
      <c r="AJ253" s="789"/>
      <c r="AK253" s="789"/>
      <c r="AL253" s="789"/>
      <c r="AM253" s="756"/>
      <c r="AN253" s="621" t="s">
        <v>1050</v>
      </c>
      <c r="AO253" s="299">
        <f t="shared" ref="AO253:AO257" si="92">COUNTIF($P$1:$Q$1,AN253)</f>
        <v>0</v>
      </c>
      <c r="AP253" s="622"/>
      <c r="AR253" s="795" t="s">
        <v>345</v>
      </c>
      <c r="AS253" s="789"/>
      <c r="AT253" s="789"/>
      <c r="AU253" s="789"/>
      <c r="AV253" s="789"/>
      <c r="AW253" s="756"/>
      <c r="AX253" s="293" t="s">
        <v>260</v>
      </c>
      <c r="AY253" s="294"/>
      <c r="BA253" s="295"/>
    </row>
    <row r="254" spans="1:53" ht="15.75" customHeight="1">
      <c r="M254" s="22"/>
      <c r="AI254" s="792" t="s">
        <v>1051</v>
      </c>
      <c r="AJ254" s="789"/>
      <c r="AK254" s="789"/>
      <c r="AL254" s="789"/>
      <c r="AM254" s="756"/>
      <c r="AN254" s="623" t="s">
        <v>1052</v>
      </c>
      <c r="AO254" s="299">
        <f t="shared" si="92"/>
        <v>0</v>
      </c>
      <c r="AP254" s="624"/>
      <c r="AR254" s="788" t="s">
        <v>1053</v>
      </c>
      <c r="AS254" s="789"/>
      <c r="AT254" s="789"/>
      <c r="AU254" s="789"/>
      <c r="AV254" s="756"/>
      <c r="AW254" s="625" t="s">
        <v>346</v>
      </c>
      <c r="AX254" s="299">
        <f>COUNTIF($P$1:$Q$1,AW254)</f>
        <v>0</v>
      </c>
      <c r="AY254" s="615"/>
      <c r="BA254" s="295"/>
    </row>
    <row r="255" spans="1:53" ht="15.75" customHeight="1">
      <c r="M255" s="22"/>
      <c r="AI255" s="792" t="s">
        <v>1054</v>
      </c>
      <c r="AJ255" s="789"/>
      <c r="AK255" s="789"/>
      <c r="AL255" s="789"/>
      <c r="AM255" s="756"/>
      <c r="AN255" s="563" t="s">
        <v>1055</v>
      </c>
      <c r="AO255" s="299">
        <f t="shared" si="92"/>
        <v>0</v>
      </c>
      <c r="AP255" s="624"/>
      <c r="AR255" s="795" t="s">
        <v>1056</v>
      </c>
      <c r="AS255" s="789"/>
      <c r="AT255" s="789"/>
      <c r="AU255" s="789"/>
      <c r="AV255" s="756"/>
      <c r="AW255" s="436"/>
      <c r="AX255" s="437">
        <f>SUM(AX254)</f>
        <v>0</v>
      </c>
      <c r="BA255" s="295"/>
    </row>
    <row r="256" spans="1:53" ht="15.75" customHeight="1">
      <c r="M256" s="22"/>
      <c r="AI256" s="792" t="s">
        <v>1057</v>
      </c>
      <c r="AJ256" s="789"/>
      <c r="AK256" s="789"/>
      <c r="AL256" s="789"/>
      <c r="AM256" s="756"/>
      <c r="AN256" s="626" t="s">
        <v>1058</v>
      </c>
      <c r="AO256" s="299">
        <f t="shared" si="92"/>
        <v>0</v>
      </c>
      <c r="AP256" s="624"/>
      <c r="AR256" s="292"/>
      <c r="AS256" s="292"/>
      <c r="AT256" s="292"/>
      <c r="AU256" s="292"/>
      <c r="AV256" s="292"/>
      <c r="AW256" s="292"/>
      <c r="AX256" s="292"/>
      <c r="AY256" s="292"/>
      <c r="BA256" s="295"/>
    </row>
    <row r="257" spans="13:53" ht="15.75" customHeight="1">
      <c r="M257" s="22"/>
      <c r="AI257" s="792" t="s">
        <v>1059</v>
      </c>
      <c r="AJ257" s="789"/>
      <c r="AK257" s="789"/>
      <c r="AL257" s="789"/>
      <c r="AM257" s="756"/>
      <c r="AN257" s="627" t="s">
        <v>1060</v>
      </c>
      <c r="AO257" s="299">
        <f t="shared" si="92"/>
        <v>0</v>
      </c>
      <c r="AP257" s="624"/>
      <c r="AR257" s="795" t="s">
        <v>358</v>
      </c>
      <c r="AS257" s="789"/>
      <c r="AT257" s="789"/>
      <c r="AU257" s="789"/>
      <c r="AV257" s="789"/>
      <c r="AW257" s="756"/>
      <c r="AX257" s="293" t="s">
        <v>260</v>
      </c>
      <c r="AY257" s="294"/>
      <c r="BA257" s="295"/>
    </row>
    <row r="258" spans="13:53" ht="15.75" customHeight="1">
      <c r="M258" s="22"/>
      <c r="AI258" s="796" t="s">
        <v>1061</v>
      </c>
      <c r="AJ258" s="789"/>
      <c r="AK258" s="789"/>
      <c r="AL258" s="789"/>
      <c r="AM258" s="756"/>
      <c r="AN258" s="436"/>
      <c r="AO258" s="437">
        <f>SUM(AO253:AO257)</f>
        <v>0</v>
      </c>
      <c r="AP258" s="292"/>
      <c r="AR258" s="788" t="s">
        <v>358</v>
      </c>
      <c r="AS258" s="789"/>
      <c r="AT258" s="789"/>
      <c r="AU258" s="789"/>
      <c r="AV258" s="756"/>
      <c r="AW258" s="628" t="s">
        <v>359</v>
      </c>
      <c r="AX258" s="299">
        <f>COUNTIF($P$1:$Q$1,AW258)</f>
        <v>0</v>
      </c>
      <c r="AY258" s="629"/>
      <c r="BA258" s="594"/>
    </row>
    <row r="259" spans="13:53" ht="15.75" customHeight="1">
      <c r="M259" s="22"/>
      <c r="AI259" s="603"/>
      <c r="AR259" s="795" t="s">
        <v>1062</v>
      </c>
      <c r="AS259" s="789"/>
      <c r="AT259" s="789"/>
      <c r="AU259" s="789"/>
      <c r="AV259" s="756"/>
      <c r="AW259" s="436"/>
      <c r="AX259" s="437">
        <f>SUM(AX258)</f>
        <v>0</v>
      </c>
      <c r="BA259" s="594"/>
    </row>
    <row r="260" spans="13:53" ht="15.75" customHeight="1">
      <c r="M260" s="22"/>
      <c r="AI260" s="836" t="s">
        <v>364</v>
      </c>
      <c r="AJ260" s="744"/>
      <c r="AK260" s="744"/>
      <c r="AL260" s="744"/>
      <c r="AM260" s="744"/>
      <c r="AN260" s="806"/>
      <c r="AO260" s="293" t="s">
        <v>260</v>
      </c>
      <c r="AP260" s="294"/>
      <c r="BA260" s="594"/>
    </row>
    <row r="261" spans="13:53" ht="15.75" customHeight="1">
      <c r="M261" s="22"/>
      <c r="AI261" s="792" t="s">
        <v>1063</v>
      </c>
      <c r="AJ261" s="789"/>
      <c r="AK261" s="789"/>
      <c r="AL261" s="789"/>
      <c r="AM261" s="789"/>
      <c r="AN261" s="630" t="s">
        <v>1064</v>
      </c>
      <c r="AO261" s="299">
        <f t="shared" ref="AO261:AO262" si="93">COUNTIF($P$1:$Q$1,AN261)</f>
        <v>0</v>
      </c>
      <c r="AP261" s="631"/>
      <c r="AR261" s="795" t="s">
        <v>678</v>
      </c>
      <c r="AS261" s="789"/>
      <c r="AT261" s="789"/>
      <c r="AU261" s="789"/>
      <c r="AV261" s="789"/>
      <c r="AW261" s="756"/>
      <c r="AX261" s="293" t="s">
        <v>260</v>
      </c>
      <c r="AY261" s="294"/>
      <c r="BA261" s="594"/>
    </row>
    <row r="262" spans="13:53" ht="15.75" customHeight="1">
      <c r="M262" s="22"/>
      <c r="AI262" s="792" t="s">
        <v>1065</v>
      </c>
      <c r="AJ262" s="789"/>
      <c r="AK262" s="789"/>
      <c r="AL262" s="789"/>
      <c r="AM262" s="756"/>
      <c r="AN262" s="632" t="s">
        <v>1066</v>
      </c>
      <c r="AO262" s="299">
        <f t="shared" si="93"/>
        <v>0</v>
      </c>
      <c r="AP262" s="631"/>
      <c r="AR262" s="788" t="s">
        <v>678</v>
      </c>
      <c r="AS262" s="789"/>
      <c r="AT262" s="789"/>
      <c r="AU262" s="789"/>
      <c r="AV262" s="756"/>
      <c r="AW262" s="633" t="s">
        <v>1067</v>
      </c>
      <c r="AX262" s="299">
        <f>COUNTIF($P$1:$Q$1,AW262)</f>
        <v>0</v>
      </c>
      <c r="AY262" s="634"/>
      <c r="BA262" s="594"/>
    </row>
    <row r="263" spans="13:53" ht="15.75" customHeight="1">
      <c r="M263" s="22"/>
      <c r="AA263" s="22"/>
      <c r="AI263" s="796" t="s">
        <v>1068</v>
      </c>
      <c r="AJ263" s="789"/>
      <c r="AK263" s="789"/>
      <c r="AL263" s="789"/>
      <c r="AM263" s="756"/>
      <c r="AN263" s="436"/>
      <c r="AO263" s="437">
        <f>SUM(AO261:AO262)</f>
        <v>0</v>
      </c>
      <c r="AP263" s="292"/>
      <c r="AR263" s="795" t="s">
        <v>1069</v>
      </c>
      <c r="AS263" s="789"/>
      <c r="AT263" s="789"/>
      <c r="AU263" s="789"/>
      <c r="AV263" s="756"/>
      <c r="AW263" s="635"/>
      <c r="AX263" s="437">
        <f>SUM(AX262)</f>
        <v>0</v>
      </c>
      <c r="BA263" s="594"/>
    </row>
    <row r="264" spans="13:53" ht="15.75" customHeight="1">
      <c r="M264" s="22"/>
      <c r="AA264" s="22"/>
      <c r="AI264" s="603"/>
      <c r="BA264" s="594"/>
    </row>
    <row r="265" spans="13:53" ht="15.75" customHeight="1">
      <c r="M265" s="22"/>
      <c r="AA265" s="22"/>
      <c r="AI265" s="836" t="s">
        <v>551</v>
      </c>
      <c r="AJ265" s="744"/>
      <c r="AK265" s="744"/>
      <c r="AL265" s="744"/>
      <c r="AM265" s="744"/>
      <c r="AN265" s="806"/>
      <c r="AO265" s="293" t="s">
        <v>260</v>
      </c>
      <c r="AP265" s="294"/>
      <c r="AR265" s="795" t="s">
        <v>391</v>
      </c>
      <c r="AS265" s="789"/>
      <c r="AT265" s="789"/>
      <c r="AU265" s="789"/>
      <c r="AV265" s="789"/>
      <c r="AW265" s="756"/>
      <c r="AX265" s="293" t="s">
        <v>260</v>
      </c>
      <c r="AY265" s="294"/>
      <c r="BA265" s="594"/>
    </row>
    <row r="266" spans="13:53" ht="15.75" customHeight="1">
      <c r="M266" s="22"/>
      <c r="AA266" s="22"/>
      <c r="AI266" s="792" t="s">
        <v>1070</v>
      </c>
      <c r="AJ266" s="789"/>
      <c r="AK266" s="789"/>
      <c r="AL266" s="789"/>
      <c r="AM266" s="756"/>
      <c r="AN266" s="621" t="s">
        <v>1071</v>
      </c>
      <c r="AO266" s="299">
        <f t="shared" ref="AO266:AO275" si="94">COUNTIF($P$1:$Q$1,AN266)</f>
        <v>0</v>
      </c>
      <c r="AP266" s="636"/>
      <c r="AR266" s="788" t="s">
        <v>1072</v>
      </c>
      <c r="AS266" s="789"/>
      <c r="AT266" s="789"/>
      <c r="AU266" s="789"/>
      <c r="AV266" s="756"/>
      <c r="AW266" s="637" t="s">
        <v>1073</v>
      </c>
      <c r="AX266" s="299">
        <f>COUNTIF($P$1:$Q$1,AW266)</f>
        <v>0</v>
      </c>
      <c r="AY266" s="638"/>
      <c r="BA266" s="594"/>
    </row>
    <row r="267" spans="13:53" ht="15.75" customHeight="1">
      <c r="M267" s="22"/>
      <c r="AA267" s="22"/>
      <c r="AI267" s="792" t="s">
        <v>1074</v>
      </c>
      <c r="AJ267" s="789"/>
      <c r="AK267" s="789"/>
      <c r="AL267" s="789"/>
      <c r="AM267" s="756"/>
      <c r="AN267" s="639" t="s">
        <v>1075</v>
      </c>
      <c r="AO267" s="299">
        <f t="shared" si="94"/>
        <v>0</v>
      </c>
      <c r="AP267" s="636"/>
      <c r="AR267" s="795" t="s">
        <v>1076</v>
      </c>
      <c r="AS267" s="789"/>
      <c r="AT267" s="789"/>
      <c r="AU267" s="789"/>
      <c r="AV267" s="756"/>
      <c r="AW267" s="436"/>
      <c r="AX267" s="437">
        <f>SUM(AX266)</f>
        <v>0</v>
      </c>
      <c r="BA267" s="594"/>
    </row>
    <row r="268" spans="13:53" ht="15.75" customHeight="1">
      <c r="M268" s="22"/>
      <c r="AA268" s="22"/>
      <c r="AI268" s="792" t="s">
        <v>1077</v>
      </c>
      <c r="AJ268" s="789"/>
      <c r="AK268" s="789"/>
      <c r="AL268" s="789"/>
      <c r="AM268" s="756"/>
      <c r="AN268" s="640" t="s">
        <v>1078</v>
      </c>
      <c r="AO268" s="299">
        <f t="shared" si="94"/>
        <v>0</v>
      </c>
      <c r="AP268" s="636"/>
      <c r="BA268" s="594"/>
    </row>
    <row r="269" spans="13:53" ht="15.75" customHeight="1">
      <c r="M269" s="22"/>
      <c r="AA269" s="22"/>
      <c r="AI269" s="792" t="s">
        <v>1079</v>
      </c>
      <c r="AJ269" s="789"/>
      <c r="AK269" s="789"/>
      <c r="AL269" s="789"/>
      <c r="AM269" s="756"/>
      <c r="AN269" s="641" t="s">
        <v>1080</v>
      </c>
      <c r="AO269" s="299">
        <f t="shared" si="94"/>
        <v>0</v>
      </c>
      <c r="AP269" s="636"/>
      <c r="AR269" s="844" t="s">
        <v>283</v>
      </c>
      <c r="AS269" s="744"/>
      <c r="AT269" s="744"/>
      <c r="AU269" s="744"/>
      <c r="AV269" s="744"/>
      <c r="AW269" s="806"/>
      <c r="AX269" s="293" t="s">
        <v>260</v>
      </c>
      <c r="AY269" s="294"/>
      <c r="BA269" s="594"/>
    </row>
    <row r="270" spans="13:53" ht="15.75" customHeight="1">
      <c r="M270" s="22"/>
      <c r="AA270" s="22"/>
      <c r="AI270" s="792" t="s">
        <v>1081</v>
      </c>
      <c r="AJ270" s="789"/>
      <c r="AK270" s="789"/>
      <c r="AL270" s="789"/>
      <c r="AM270" s="756"/>
      <c r="AN270" s="642" t="s">
        <v>1082</v>
      </c>
      <c r="AO270" s="299">
        <f t="shared" si="94"/>
        <v>0</v>
      </c>
      <c r="AP270" s="636"/>
      <c r="AR270" s="788" t="s">
        <v>1083</v>
      </c>
      <c r="AS270" s="789"/>
      <c r="AT270" s="789"/>
      <c r="AU270" s="789"/>
      <c r="AV270" s="756"/>
      <c r="AW270" s="643" t="s">
        <v>1084</v>
      </c>
      <c r="AX270" s="299">
        <f t="shared" ref="AX270:AX273" si="95">COUNTIF($P$1:$Q$1,AW270)</f>
        <v>0</v>
      </c>
      <c r="AY270" s="22"/>
      <c r="BA270" s="594"/>
    </row>
    <row r="271" spans="13:53" ht="15.75" customHeight="1">
      <c r="M271" s="22"/>
      <c r="AA271" s="22"/>
      <c r="AI271" s="792" t="s">
        <v>1085</v>
      </c>
      <c r="AJ271" s="789"/>
      <c r="AK271" s="789"/>
      <c r="AL271" s="789"/>
      <c r="AM271" s="756"/>
      <c r="AN271" s="644" t="s">
        <v>1086</v>
      </c>
      <c r="AO271" s="299">
        <f t="shared" si="94"/>
        <v>0</v>
      </c>
      <c r="AP271" s="636"/>
      <c r="AR271" s="788" t="s">
        <v>1087</v>
      </c>
      <c r="AS271" s="789"/>
      <c r="AT271" s="789"/>
      <c r="AU271" s="789"/>
      <c r="AV271" s="756"/>
      <c r="AW271" s="645" t="s">
        <v>1088</v>
      </c>
      <c r="AX271" s="299">
        <f t="shared" si="95"/>
        <v>0</v>
      </c>
      <c r="AY271" s="22"/>
      <c r="BA271" s="594"/>
    </row>
    <row r="272" spans="13:53" ht="15.75" customHeight="1">
      <c r="M272" s="22"/>
      <c r="AA272" s="22"/>
      <c r="AI272" s="792" t="s">
        <v>1089</v>
      </c>
      <c r="AJ272" s="789"/>
      <c r="AK272" s="789"/>
      <c r="AL272" s="789"/>
      <c r="AM272" s="756"/>
      <c r="AN272" s="646" t="s">
        <v>1090</v>
      </c>
      <c r="AO272" s="299">
        <f t="shared" si="94"/>
        <v>0</v>
      </c>
      <c r="AP272" s="636"/>
      <c r="AR272" s="788" t="s">
        <v>1091</v>
      </c>
      <c r="AS272" s="789"/>
      <c r="AT272" s="789"/>
      <c r="AU272" s="789"/>
      <c r="AV272" s="756"/>
      <c r="AW272" s="293" t="s">
        <v>1092</v>
      </c>
      <c r="AX272" s="299">
        <f t="shared" si="95"/>
        <v>0</v>
      </c>
      <c r="AY272" s="22"/>
      <c r="BA272" s="594"/>
    </row>
    <row r="273" spans="13:53" ht="15.75" customHeight="1">
      <c r="M273" s="22"/>
      <c r="AA273" s="22"/>
      <c r="AI273" s="792" t="s">
        <v>1093</v>
      </c>
      <c r="AJ273" s="789"/>
      <c r="AK273" s="789"/>
      <c r="AL273" s="789"/>
      <c r="AM273" s="756"/>
      <c r="AN273" s="647" t="s">
        <v>1094</v>
      </c>
      <c r="AO273" s="299">
        <f t="shared" si="94"/>
        <v>0</v>
      </c>
      <c r="AP273" s="636"/>
      <c r="AR273" s="788" t="s">
        <v>1095</v>
      </c>
      <c r="AS273" s="789"/>
      <c r="AT273" s="789"/>
      <c r="AU273" s="789"/>
      <c r="AV273" s="756"/>
      <c r="AW273" s="648" t="s">
        <v>1096</v>
      </c>
      <c r="AX273" s="299">
        <f t="shared" si="95"/>
        <v>0</v>
      </c>
      <c r="AY273" s="22"/>
      <c r="BA273" s="594"/>
    </row>
    <row r="274" spans="13:53" ht="15.75" customHeight="1">
      <c r="M274" s="22"/>
      <c r="AA274" s="22"/>
      <c r="AI274" s="792" t="s">
        <v>1097</v>
      </c>
      <c r="AJ274" s="789"/>
      <c r="AK274" s="789"/>
      <c r="AL274" s="789"/>
      <c r="AM274" s="756"/>
      <c r="AN274" s="649" t="s">
        <v>1098</v>
      </c>
      <c r="AO274" s="299">
        <f t="shared" si="94"/>
        <v>0</v>
      </c>
      <c r="AP274" s="636"/>
      <c r="AR274" s="847" t="s">
        <v>1099</v>
      </c>
      <c r="AS274" s="715"/>
      <c r="AT274" s="715"/>
      <c r="AU274" s="715"/>
      <c r="AV274" s="803"/>
      <c r="AW274" s="650"/>
      <c r="AX274" s="437">
        <f>SUM(AX270:AX273)</f>
        <v>0</v>
      </c>
      <c r="BA274" s="594"/>
    </row>
    <row r="275" spans="13:53" ht="15.75" customHeight="1">
      <c r="M275" s="22"/>
      <c r="AA275" s="22"/>
      <c r="AI275" s="792" t="s">
        <v>1100</v>
      </c>
      <c r="AJ275" s="789"/>
      <c r="AK275" s="789"/>
      <c r="AL275" s="789"/>
      <c r="AM275" s="756"/>
      <c r="AN275" s="651" t="s">
        <v>1101</v>
      </c>
      <c r="AO275" s="299">
        <f t="shared" si="94"/>
        <v>0</v>
      </c>
      <c r="AP275" s="636"/>
      <c r="BA275" s="594"/>
    </row>
    <row r="276" spans="13:53" ht="15.75" customHeight="1">
      <c r="M276" s="22"/>
      <c r="AA276" s="22"/>
      <c r="AI276" s="796" t="s">
        <v>1102</v>
      </c>
      <c r="AJ276" s="789"/>
      <c r="AK276" s="789"/>
      <c r="AL276" s="789"/>
      <c r="AM276" s="756"/>
      <c r="AN276" s="436"/>
      <c r="AO276" s="437">
        <f>SUM(AO266:AO275)</f>
        <v>0</v>
      </c>
      <c r="AP276" s="292"/>
      <c r="BA276" s="594"/>
    </row>
    <row r="277" spans="13:53" ht="15.75" customHeight="1">
      <c r="M277" s="22"/>
      <c r="AA277" s="22"/>
      <c r="AI277" s="603"/>
      <c r="BA277" s="594"/>
    </row>
    <row r="278" spans="13:53" ht="15.75" customHeight="1">
      <c r="M278" s="22"/>
      <c r="AA278" s="22"/>
      <c r="AI278" s="836" t="s">
        <v>323</v>
      </c>
      <c r="AJ278" s="744"/>
      <c r="AK278" s="744"/>
      <c r="AL278" s="744"/>
      <c r="AM278" s="744"/>
      <c r="AN278" s="806"/>
      <c r="AO278" s="293" t="s">
        <v>260</v>
      </c>
      <c r="AP278" s="294"/>
      <c r="BA278" s="594"/>
    </row>
    <row r="279" spans="13:53" ht="15.75" customHeight="1">
      <c r="M279" s="22"/>
      <c r="AA279" s="22"/>
      <c r="AI279" s="792" t="s">
        <v>1103</v>
      </c>
      <c r="AJ279" s="789"/>
      <c r="AK279" s="789"/>
      <c r="AL279" s="789"/>
      <c r="AM279" s="789"/>
      <c r="AN279" s="652" t="s">
        <v>1104</v>
      </c>
      <c r="AO279" s="299">
        <f>COUNTIF($P$1:$Q$1,AN279)</f>
        <v>0</v>
      </c>
      <c r="AP279" s="631"/>
      <c r="BA279" s="594"/>
    </row>
    <row r="280" spans="13:53" ht="15.75" customHeight="1">
      <c r="M280" s="22"/>
      <c r="AA280" s="22"/>
      <c r="AI280" s="792"/>
      <c r="AJ280" s="789"/>
      <c r="AK280" s="789"/>
      <c r="AL280" s="789"/>
      <c r="AM280" s="756"/>
      <c r="AN280" s="653"/>
      <c r="AO280" s="299"/>
      <c r="AP280" s="631"/>
      <c r="BA280" s="594"/>
    </row>
    <row r="281" spans="13:53" ht="15.75" customHeight="1">
      <c r="M281" s="22"/>
      <c r="AA281" s="22"/>
      <c r="AI281" s="796" t="s">
        <v>1105</v>
      </c>
      <c r="AJ281" s="789"/>
      <c r="AK281" s="789"/>
      <c r="AL281" s="789"/>
      <c r="AM281" s="756"/>
      <c r="AN281" s="436"/>
      <c r="AO281" s="437">
        <f>SUM(AO279:AO280)</f>
        <v>0</v>
      </c>
      <c r="AP281" s="292"/>
      <c r="BA281" s="594"/>
    </row>
    <row r="282" spans="13:53" ht="15.75" customHeight="1">
      <c r="M282" s="22"/>
      <c r="AA282" s="22"/>
      <c r="AI282" s="654"/>
      <c r="AJ282" s="655"/>
      <c r="AK282" s="655"/>
      <c r="AL282" s="655"/>
      <c r="AM282" s="655"/>
      <c r="AN282" s="656"/>
      <c r="AO282" s="657"/>
      <c r="BA282" s="594"/>
    </row>
    <row r="283" spans="13:53" ht="15.75" customHeight="1">
      <c r="M283" s="22"/>
      <c r="AA283" s="22"/>
      <c r="AI283" s="654"/>
      <c r="AJ283" s="655"/>
      <c r="AK283" s="655"/>
      <c r="AL283" s="655"/>
      <c r="AM283" s="655"/>
      <c r="AN283" s="656"/>
      <c r="AO283" s="657"/>
      <c r="BA283" s="594"/>
    </row>
    <row r="284" spans="13:53" ht="15.75" customHeight="1">
      <c r="M284" s="22"/>
      <c r="AA284" s="22"/>
      <c r="AI284" s="654"/>
      <c r="AJ284" s="655"/>
      <c r="AK284" s="655"/>
      <c r="AL284" s="655"/>
      <c r="AM284" s="655"/>
      <c r="AN284" s="656"/>
      <c r="AO284" s="657"/>
      <c r="BA284" s="594"/>
    </row>
    <row r="285" spans="13:53" ht="15.75" customHeight="1">
      <c r="M285" s="22"/>
      <c r="AA285" s="22"/>
      <c r="AI285" s="654"/>
      <c r="AJ285" s="655"/>
      <c r="AK285" s="655"/>
      <c r="AL285" s="655"/>
      <c r="AM285" s="655"/>
      <c r="AN285" s="656"/>
      <c r="AO285" s="657"/>
      <c r="BA285" s="594"/>
    </row>
    <row r="286" spans="13:53" ht="15.75" customHeight="1">
      <c r="M286" s="22"/>
      <c r="AA286" s="22"/>
      <c r="AI286" s="654"/>
      <c r="AJ286" s="655"/>
      <c r="AK286" s="655"/>
      <c r="AL286" s="655"/>
      <c r="AM286" s="655"/>
      <c r="AN286" s="656"/>
      <c r="AO286" s="657"/>
      <c r="BA286" s="594"/>
    </row>
    <row r="287" spans="13:53" ht="15.75" customHeight="1">
      <c r="M287" s="22"/>
      <c r="AA287" s="22"/>
      <c r="AI287" s="654"/>
      <c r="AJ287" s="655"/>
      <c r="AK287" s="655"/>
      <c r="AL287" s="655"/>
      <c r="AM287" s="655"/>
      <c r="AN287" s="656"/>
      <c r="AO287" s="657"/>
      <c r="BA287" s="594"/>
    </row>
    <row r="288" spans="13:53" ht="15.75" customHeight="1">
      <c r="M288" s="22"/>
      <c r="AA288" s="22"/>
      <c r="AI288" s="654"/>
      <c r="AJ288" s="655"/>
      <c r="AK288" s="655"/>
      <c r="AL288" s="655"/>
      <c r="AM288" s="655"/>
      <c r="AN288" s="656"/>
      <c r="AO288" s="657"/>
      <c r="BA288" s="594"/>
    </row>
    <row r="289" spans="13:53" ht="15.75" customHeight="1">
      <c r="M289" s="22"/>
      <c r="AA289" s="22"/>
      <c r="AI289" s="654"/>
      <c r="AJ289" s="655"/>
      <c r="AK289" s="655"/>
      <c r="AL289" s="655"/>
      <c r="AM289" s="655"/>
      <c r="AN289" s="656"/>
      <c r="AO289" s="657"/>
      <c r="BA289" s="594"/>
    </row>
    <row r="290" spans="13:53" ht="15.75" customHeight="1">
      <c r="M290" s="22"/>
      <c r="AA290" s="22"/>
      <c r="AI290" s="654"/>
      <c r="AJ290" s="655"/>
      <c r="AK290" s="655"/>
      <c r="AL290" s="655"/>
      <c r="AM290" s="655"/>
      <c r="AN290" s="656"/>
      <c r="AO290" s="657"/>
      <c r="BA290" s="594"/>
    </row>
    <row r="291" spans="13:53" ht="15.75" customHeight="1">
      <c r="M291" s="22"/>
      <c r="AA291" s="22"/>
      <c r="AI291" s="654"/>
      <c r="AJ291" s="655"/>
      <c r="AK291" s="655"/>
      <c r="AL291" s="655"/>
      <c r="AM291" s="655"/>
      <c r="AN291" s="656"/>
      <c r="AO291" s="657"/>
      <c r="BA291" s="594"/>
    </row>
    <row r="292" spans="13:53" ht="15.75" customHeight="1">
      <c r="M292" s="22"/>
      <c r="AA292" s="22"/>
      <c r="AI292" s="603"/>
      <c r="BA292" s="594"/>
    </row>
    <row r="293" spans="13:53" ht="15.75" customHeight="1">
      <c r="M293" s="22"/>
      <c r="AA293" s="22"/>
      <c r="AI293" s="658"/>
      <c r="AJ293" s="659"/>
      <c r="AK293" s="659"/>
      <c r="AL293" s="659"/>
      <c r="AM293" s="659"/>
      <c r="AN293" s="659"/>
      <c r="AO293" s="659"/>
      <c r="AP293" s="659"/>
      <c r="AQ293" s="659"/>
      <c r="AR293" s="659"/>
      <c r="AS293" s="659"/>
      <c r="AT293" s="659"/>
      <c r="AU293" s="659"/>
      <c r="AV293" s="659"/>
      <c r="AW293" s="659"/>
      <c r="AX293" s="659"/>
      <c r="AY293" s="659"/>
      <c r="AZ293" s="659"/>
      <c r="BA293" s="660"/>
    </row>
    <row r="294" spans="13:53" ht="15.75" customHeight="1">
      <c r="M294" s="22"/>
      <c r="AA294" s="22"/>
    </row>
    <row r="295" spans="13:53" ht="15.75" customHeight="1">
      <c r="M295" s="22"/>
      <c r="AA295" s="22"/>
    </row>
    <row r="296" spans="13:53" ht="15.75" customHeight="1">
      <c r="M296" s="22"/>
      <c r="AA296" s="22"/>
    </row>
    <row r="297" spans="13:53" ht="15.75" customHeight="1">
      <c r="M297" s="22"/>
      <c r="AA297" s="22"/>
    </row>
    <row r="298" spans="13:53" ht="15.75" customHeight="1">
      <c r="M298" s="22"/>
      <c r="AA298" s="22"/>
    </row>
    <row r="299" spans="13:53" ht="15.75" customHeight="1">
      <c r="M299" s="22"/>
      <c r="AA299" s="22"/>
      <c r="AZ299" s="572"/>
    </row>
    <row r="300" spans="13:53" ht="15.75" customHeight="1">
      <c r="M300" s="22"/>
      <c r="AA300" s="22"/>
      <c r="AI300" s="661"/>
      <c r="AJ300" s="661"/>
      <c r="AK300" s="661"/>
      <c r="AL300" s="661"/>
      <c r="AM300" s="661"/>
      <c r="AQ300" s="662"/>
    </row>
    <row r="301" spans="13:53" ht="15.75" customHeight="1">
      <c r="M301" s="22"/>
      <c r="AA301" s="22"/>
      <c r="AI301" s="845"/>
      <c r="AJ301" s="724"/>
      <c r="AK301" s="724"/>
      <c r="AL301" s="724"/>
      <c r="AM301" s="724"/>
      <c r="AN301" s="724"/>
      <c r="AO301" s="662"/>
      <c r="AP301" s="662"/>
      <c r="AQ301" s="449"/>
      <c r="BA301" s="572"/>
    </row>
    <row r="302" spans="13:53" ht="15.75" customHeight="1">
      <c r="M302" s="22"/>
      <c r="AA302" s="22"/>
      <c r="AI302" s="846"/>
      <c r="AJ302" s="724"/>
      <c r="AK302" s="724"/>
      <c r="AL302" s="724"/>
      <c r="AM302" s="724"/>
      <c r="AN302" s="575"/>
      <c r="AO302" s="449"/>
      <c r="AP302" s="449"/>
      <c r="AQ302" s="662"/>
      <c r="AZ302" s="572"/>
      <c r="BA302" s="662"/>
    </row>
    <row r="303" spans="13:53" ht="15.75" customHeight="1">
      <c r="M303" s="22"/>
      <c r="AA303" s="22"/>
      <c r="AI303" s="845"/>
      <c r="AJ303" s="724"/>
      <c r="AK303" s="724"/>
      <c r="AL303" s="724"/>
      <c r="AM303" s="724"/>
      <c r="AN303" s="724"/>
      <c r="AO303" s="662"/>
      <c r="AP303" s="662"/>
      <c r="AQ303" s="663"/>
      <c r="AZ303" s="662"/>
      <c r="BA303" s="572"/>
    </row>
    <row r="304" spans="13:53" ht="15.75" customHeight="1">
      <c r="M304" s="22"/>
      <c r="AA304" s="22"/>
      <c r="AI304" s="845"/>
      <c r="AJ304" s="724"/>
      <c r="AK304" s="724"/>
      <c r="AL304" s="724"/>
      <c r="AM304" s="724"/>
      <c r="AN304" s="724"/>
      <c r="AO304" s="663"/>
      <c r="AP304" s="663"/>
      <c r="AQ304" s="663"/>
      <c r="AZ304" s="572"/>
      <c r="BA304" s="572"/>
    </row>
    <row r="305" spans="13:53" ht="15.75" customHeight="1">
      <c r="M305" s="22"/>
      <c r="AA305" s="22"/>
      <c r="AI305" s="661"/>
      <c r="AJ305" s="661"/>
      <c r="AK305" s="661"/>
      <c r="AL305" s="661"/>
      <c r="AM305" s="661"/>
      <c r="AQ305" s="663"/>
      <c r="AZ305" s="572"/>
      <c r="BA305" s="572"/>
    </row>
    <row r="306" spans="13:53" ht="15.75" customHeight="1">
      <c r="M306" s="22"/>
      <c r="AA306" s="22"/>
      <c r="AI306" s="661"/>
      <c r="AJ306" s="661"/>
      <c r="AK306" s="661"/>
      <c r="AL306" s="661"/>
      <c r="AM306" s="661"/>
      <c r="AQ306" s="663"/>
      <c r="AZ306" s="572"/>
      <c r="BA306" s="572"/>
    </row>
    <row r="307" spans="13:53" ht="15.75" customHeight="1">
      <c r="M307" s="22"/>
      <c r="AA307" s="22"/>
      <c r="AI307" s="661"/>
      <c r="AJ307" s="661"/>
      <c r="AK307" s="661"/>
      <c r="AL307" s="661"/>
      <c r="AM307" s="661"/>
      <c r="AQ307" s="663"/>
      <c r="AZ307" s="572"/>
      <c r="BA307" s="572"/>
    </row>
    <row r="308" spans="13:53" ht="15.75" customHeight="1">
      <c r="M308" s="22"/>
      <c r="AA308" s="22"/>
      <c r="AI308" s="661"/>
      <c r="AJ308" s="661"/>
      <c r="AK308" s="661"/>
      <c r="AL308" s="661"/>
      <c r="AM308" s="661"/>
      <c r="AQ308" s="663"/>
      <c r="AZ308" s="572"/>
      <c r="BA308" s="572"/>
    </row>
    <row r="309" spans="13:53" ht="15.75" customHeight="1">
      <c r="M309" s="22"/>
      <c r="AA309" s="22"/>
      <c r="AI309" s="661"/>
      <c r="AJ309" s="661"/>
      <c r="AK309" s="661"/>
      <c r="AL309" s="661"/>
      <c r="AM309" s="661"/>
      <c r="AQ309" s="663"/>
      <c r="AZ309" s="572"/>
      <c r="BA309" s="572"/>
    </row>
    <row r="310" spans="13:53" ht="15.75" customHeight="1">
      <c r="M310" s="22"/>
      <c r="AA310" s="22"/>
      <c r="AI310" s="661"/>
      <c r="AJ310" s="661"/>
      <c r="AK310" s="661"/>
      <c r="AL310" s="661"/>
      <c r="AM310" s="661"/>
      <c r="AQ310" s="663"/>
      <c r="AZ310" s="572"/>
      <c r="BA310" s="572"/>
    </row>
    <row r="311" spans="13:53" ht="15.75" customHeight="1">
      <c r="M311" s="22"/>
      <c r="AA311" s="22"/>
      <c r="AI311" s="661"/>
      <c r="AJ311" s="661"/>
      <c r="AK311" s="661"/>
      <c r="AL311" s="661"/>
      <c r="AM311" s="661"/>
      <c r="AQ311" s="663"/>
      <c r="AZ311" s="572"/>
      <c r="BA311" s="572"/>
    </row>
    <row r="312" spans="13:53" ht="15.75" customHeight="1">
      <c r="M312" s="22"/>
      <c r="AA312" s="22"/>
      <c r="AI312" s="661"/>
      <c r="AJ312" s="661"/>
      <c r="AK312" s="661"/>
      <c r="AL312" s="661"/>
      <c r="AM312" s="661"/>
      <c r="AQ312" s="663"/>
      <c r="AZ312" s="572"/>
      <c r="BA312" s="572"/>
    </row>
    <row r="313" spans="13:53" ht="15.75" customHeight="1">
      <c r="M313" s="22"/>
      <c r="AA313" s="22"/>
      <c r="AI313" s="661"/>
      <c r="AJ313" s="661"/>
      <c r="AK313" s="661"/>
      <c r="AL313" s="661"/>
      <c r="AM313" s="661"/>
      <c r="AQ313" s="663"/>
      <c r="AZ313" s="572"/>
      <c r="BA313" s="572"/>
    </row>
    <row r="314" spans="13:53" ht="15.75" customHeight="1">
      <c r="M314" s="22"/>
      <c r="AA314" s="22"/>
      <c r="AI314" s="661"/>
      <c r="AJ314" s="661"/>
      <c r="AK314" s="661"/>
      <c r="AL314" s="661"/>
      <c r="AM314" s="661"/>
      <c r="AQ314" s="663"/>
      <c r="AZ314" s="572"/>
      <c r="BA314" s="572"/>
    </row>
    <row r="315" spans="13:53" ht="15.75" customHeight="1">
      <c r="M315" s="22"/>
      <c r="AA315" s="22"/>
      <c r="AI315" s="661"/>
      <c r="AJ315" s="661"/>
      <c r="AK315" s="661"/>
      <c r="AL315" s="661"/>
      <c r="AM315" s="661"/>
      <c r="AQ315" s="663"/>
      <c r="AZ315" s="572"/>
      <c r="BA315" s="572"/>
    </row>
    <row r="316" spans="13:53" ht="15.75" customHeight="1">
      <c r="M316" s="22"/>
      <c r="AA316" s="22"/>
      <c r="AI316" s="661"/>
      <c r="AJ316" s="661"/>
      <c r="AK316" s="661"/>
      <c r="AL316" s="661"/>
      <c r="AM316" s="661"/>
      <c r="AQ316" s="663"/>
      <c r="AZ316" s="572"/>
      <c r="BA316" s="572"/>
    </row>
    <row r="317" spans="13:53" ht="15.75" customHeight="1">
      <c r="M317" s="22"/>
      <c r="AA317" s="22"/>
      <c r="AI317" s="661"/>
      <c r="AJ317" s="661"/>
      <c r="AK317" s="661"/>
      <c r="AL317" s="661"/>
      <c r="AM317" s="661"/>
      <c r="AQ317" s="663"/>
      <c r="AZ317" s="572"/>
      <c r="BA317" s="572"/>
    </row>
    <row r="318" spans="13:53" ht="15.75" customHeight="1">
      <c r="M318" s="22"/>
      <c r="AA318" s="22"/>
      <c r="AI318" s="661"/>
      <c r="AJ318" s="661"/>
      <c r="AK318" s="661"/>
      <c r="AL318" s="661"/>
      <c r="AM318" s="661"/>
      <c r="AQ318" s="663"/>
      <c r="AZ318" s="572"/>
      <c r="BA318" s="572"/>
    </row>
    <row r="319" spans="13:53" ht="15.75" customHeight="1">
      <c r="M319" s="22"/>
      <c r="AA319" s="22"/>
      <c r="AI319" s="661"/>
      <c r="AJ319" s="661"/>
      <c r="AK319" s="661"/>
      <c r="AL319" s="661"/>
      <c r="AM319" s="661"/>
      <c r="AQ319" s="663"/>
      <c r="AZ319" s="572"/>
      <c r="BA319" s="572"/>
    </row>
    <row r="320" spans="13:53" ht="15.75" customHeight="1">
      <c r="M320" s="22"/>
      <c r="AI320" s="661"/>
      <c r="AJ320" s="661"/>
      <c r="AK320" s="661"/>
      <c r="AL320" s="661"/>
      <c r="AM320" s="661"/>
      <c r="AQ320" s="662"/>
      <c r="AZ320" s="572"/>
    </row>
    <row r="321" spans="13:53" ht="15.75" customHeight="1">
      <c r="M321" s="22"/>
      <c r="AI321" s="661"/>
      <c r="AJ321" s="661"/>
      <c r="AK321" s="661"/>
      <c r="AL321" s="661"/>
      <c r="AM321" s="661"/>
      <c r="AQ321" s="449"/>
      <c r="BA321" s="572"/>
    </row>
    <row r="322" spans="13:53" ht="15.75" customHeight="1">
      <c r="M322" s="22"/>
      <c r="AI322" s="846"/>
      <c r="AJ322" s="724"/>
      <c r="AK322" s="724"/>
      <c r="AL322" s="724"/>
      <c r="AM322" s="724"/>
      <c r="AN322" s="575"/>
      <c r="AO322" s="449"/>
      <c r="AP322" s="449"/>
      <c r="AQ322" s="449"/>
      <c r="AZ322" s="572"/>
      <c r="BA322" s="572"/>
    </row>
    <row r="323" spans="13:53" ht="15.75" customHeight="1">
      <c r="M323" s="22"/>
      <c r="AI323" s="662"/>
      <c r="AJ323" s="662"/>
      <c r="AK323" s="662"/>
      <c r="AL323" s="662"/>
      <c r="AM323" s="662"/>
      <c r="AN323" s="575"/>
      <c r="AO323" s="449"/>
      <c r="AP323" s="449"/>
      <c r="AQ323" s="449"/>
      <c r="AZ323" s="572"/>
      <c r="BA323" s="572"/>
    </row>
    <row r="324" spans="13:53" ht="15.75" customHeight="1">
      <c r="M324" s="22"/>
      <c r="AI324" s="662"/>
      <c r="AJ324" s="662"/>
      <c r="AK324" s="662"/>
      <c r="AL324" s="662"/>
      <c r="AM324" s="662"/>
      <c r="AN324" s="575"/>
      <c r="AO324" s="449"/>
      <c r="AP324" s="449"/>
      <c r="AQ324" s="662"/>
      <c r="AZ324" s="572"/>
      <c r="BA324" s="662"/>
    </row>
    <row r="325" spans="13:53" ht="15.75" customHeight="1">
      <c r="M325" s="22"/>
      <c r="AI325" s="662"/>
      <c r="AJ325" s="662"/>
      <c r="AK325" s="662"/>
      <c r="AL325" s="662"/>
      <c r="AM325" s="662"/>
      <c r="AN325" s="575"/>
      <c r="AO325" s="449"/>
      <c r="AP325" s="449"/>
      <c r="AQ325" s="663"/>
      <c r="AR325" s="663"/>
      <c r="AS325" s="663"/>
      <c r="AT325" s="663"/>
      <c r="AU325" s="663"/>
      <c r="AZ325" s="662"/>
      <c r="BA325" s="572"/>
    </row>
    <row r="326" spans="13:53" ht="15.75" customHeight="1">
      <c r="M326" s="22"/>
      <c r="AI326" s="845"/>
      <c r="AJ326" s="724"/>
      <c r="AK326" s="724"/>
      <c r="AL326" s="724"/>
      <c r="AM326" s="724"/>
      <c r="AN326" s="724"/>
      <c r="AO326" s="662"/>
      <c r="AP326" s="662"/>
      <c r="AW326" s="572"/>
      <c r="AX326" s="572"/>
      <c r="AY326" s="572"/>
      <c r="AZ326" s="572"/>
      <c r="BA326" s="572"/>
    </row>
    <row r="327" spans="13:53" ht="15.75" customHeight="1">
      <c r="M327" s="22"/>
      <c r="AI327" s="845"/>
      <c r="AJ327" s="724"/>
      <c r="AK327" s="724"/>
      <c r="AL327" s="724"/>
      <c r="AM327" s="724"/>
      <c r="AN327" s="724"/>
      <c r="AO327" s="663"/>
      <c r="AP327" s="663"/>
      <c r="AQ327" s="662"/>
      <c r="AW327" s="572"/>
      <c r="AX327" s="572"/>
      <c r="AY327" s="572"/>
      <c r="AZ327" s="572"/>
      <c r="BA327" s="572"/>
    </row>
    <row r="328" spans="13:53" ht="15.75" customHeight="1">
      <c r="M328" s="22"/>
      <c r="AQ328" s="662"/>
      <c r="AW328" s="572"/>
      <c r="AX328" s="572"/>
      <c r="AY328" s="572"/>
      <c r="AZ328" s="572"/>
    </row>
    <row r="329" spans="13:53" ht="15.75" customHeight="1">
      <c r="M329" s="22"/>
      <c r="AI329" s="845"/>
      <c r="AJ329" s="724"/>
      <c r="AK329" s="724"/>
      <c r="AL329" s="724"/>
      <c r="AM329" s="724"/>
      <c r="AN329" s="724"/>
      <c r="AO329" s="662"/>
      <c r="AP329" s="662"/>
      <c r="AQ329" s="662"/>
      <c r="AR329" s="662"/>
      <c r="AS329" s="662"/>
      <c r="AT329" s="662"/>
      <c r="AU329" s="662"/>
      <c r="AW329" s="662"/>
      <c r="AX329" s="662"/>
      <c r="AY329" s="662"/>
    </row>
    <row r="330" spans="13:53" ht="15.75" customHeight="1">
      <c r="M330" s="22"/>
      <c r="AI330" s="846"/>
      <c r="AJ330" s="724"/>
      <c r="AK330" s="724"/>
      <c r="AL330" s="724"/>
      <c r="AM330" s="724"/>
      <c r="AN330" s="575"/>
      <c r="AO330" s="449"/>
      <c r="AP330" s="449"/>
      <c r="AQ330" s="449"/>
      <c r="AR330" s="449"/>
      <c r="AS330" s="449"/>
      <c r="AT330" s="449"/>
      <c r="AU330" s="449"/>
      <c r="AW330" s="572"/>
      <c r="AX330" s="572"/>
      <c r="AY330" s="572"/>
      <c r="BA330" s="572"/>
    </row>
    <row r="331" spans="13:53" ht="15.75" customHeight="1">
      <c r="M331" s="22"/>
      <c r="AI331" s="662"/>
      <c r="AJ331" s="662"/>
      <c r="AK331" s="662"/>
      <c r="AL331" s="662"/>
      <c r="AM331" s="662"/>
      <c r="AN331" s="575"/>
      <c r="AO331" s="449"/>
      <c r="AP331" s="449"/>
      <c r="AQ331" s="449"/>
      <c r="AR331" s="449"/>
      <c r="AS331" s="449"/>
      <c r="AT331" s="449"/>
      <c r="AU331" s="449"/>
      <c r="AW331" s="572"/>
      <c r="AX331" s="572"/>
      <c r="AY331" s="572"/>
      <c r="AZ331" s="572"/>
      <c r="BA331" s="572"/>
    </row>
    <row r="332" spans="13:53" ht="15.75" customHeight="1">
      <c r="M332" s="22"/>
      <c r="AI332" s="662"/>
      <c r="AJ332" s="662"/>
      <c r="AK332" s="662"/>
      <c r="AL332" s="662"/>
      <c r="AM332" s="662"/>
      <c r="AN332" s="575"/>
      <c r="AO332" s="449"/>
      <c r="AP332" s="449"/>
      <c r="AQ332" s="449"/>
      <c r="AZ332" s="572"/>
      <c r="BA332" s="572"/>
    </row>
    <row r="333" spans="13:53" ht="15.75" customHeight="1">
      <c r="M333" s="22"/>
      <c r="AI333" s="662"/>
      <c r="AJ333" s="662"/>
      <c r="AK333" s="662"/>
      <c r="AL333" s="662"/>
      <c r="AM333" s="662"/>
      <c r="AN333" s="575"/>
      <c r="AO333" s="449"/>
      <c r="AP333" s="449"/>
      <c r="AQ333" s="449"/>
      <c r="AZ333" s="572"/>
      <c r="BA333" s="572"/>
    </row>
    <row r="334" spans="13:53" ht="15.75" customHeight="1">
      <c r="M334" s="22"/>
      <c r="AI334" s="662"/>
      <c r="AJ334" s="662"/>
      <c r="AK334" s="662"/>
      <c r="AL334" s="662"/>
      <c r="AM334" s="662"/>
      <c r="AN334" s="575"/>
      <c r="AO334" s="449"/>
      <c r="AP334" s="449"/>
      <c r="AQ334" s="449"/>
      <c r="AR334" s="663"/>
      <c r="AS334" s="663"/>
      <c r="AT334" s="663"/>
      <c r="AU334" s="663"/>
      <c r="AZ334" s="572"/>
      <c r="BA334" s="572"/>
    </row>
    <row r="335" spans="13:53" ht="15.75" customHeight="1">
      <c r="M335" s="22"/>
      <c r="AI335" s="662"/>
      <c r="AJ335" s="662"/>
      <c r="AK335" s="662"/>
      <c r="AL335" s="662"/>
      <c r="AM335" s="662"/>
      <c r="AN335" s="575"/>
      <c r="AO335" s="449"/>
      <c r="AP335" s="449"/>
      <c r="AR335" s="663"/>
      <c r="AS335" s="663"/>
      <c r="AT335" s="663"/>
      <c r="AU335" s="663"/>
      <c r="AZ335" s="572"/>
      <c r="BA335" s="572"/>
    </row>
    <row r="336" spans="13:53" ht="15.75" customHeight="1">
      <c r="M336" s="22"/>
      <c r="AI336" s="662"/>
      <c r="AJ336" s="662"/>
      <c r="AK336" s="662"/>
      <c r="AL336" s="662"/>
      <c r="AM336" s="662"/>
      <c r="AN336" s="575"/>
      <c r="AO336" s="449"/>
      <c r="AP336" s="449"/>
      <c r="AQ336" s="662"/>
      <c r="AR336" s="663"/>
      <c r="AS336" s="663"/>
      <c r="AT336" s="663"/>
      <c r="AU336" s="663"/>
      <c r="AZ336" s="572"/>
      <c r="BA336" s="572"/>
    </row>
    <row r="337" spans="13:52" ht="15.75" customHeight="1">
      <c r="M337" s="22"/>
      <c r="AQ337" s="662"/>
      <c r="AW337" s="572"/>
      <c r="AX337" s="572"/>
      <c r="AY337" s="572"/>
      <c r="AZ337" s="572"/>
    </row>
    <row r="338" spans="13:52" ht="15.75" customHeight="1">
      <c r="M338" s="22"/>
      <c r="AI338" s="845"/>
      <c r="AJ338" s="724"/>
      <c r="AK338" s="724"/>
      <c r="AL338" s="724"/>
      <c r="AM338" s="724"/>
      <c r="AN338" s="724"/>
      <c r="AO338" s="662"/>
      <c r="AP338" s="662"/>
      <c r="AQ338" s="449"/>
      <c r="AR338" s="662"/>
      <c r="AS338" s="662"/>
      <c r="AT338" s="662"/>
      <c r="AU338" s="662"/>
      <c r="AW338" s="662"/>
      <c r="AX338" s="662"/>
      <c r="AY338" s="662"/>
    </row>
    <row r="339" spans="13:52" ht="15.75" customHeight="1">
      <c r="M339" s="22"/>
      <c r="AI339" s="846"/>
      <c r="AJ339" s="724"/>
      <c r="AK339" s="724"/>
      <c r="AL339" s="724"/>
      <c r="AM339" s="724"/>
      <c r="AN339" s="575"/>
      <c r="AO339" s="449"/>
      <c r="AP339" s="449"/>
      <c r="AQ339" s="662"/>
      <c r="AR339" s="449"/>
      <c r="AS339" s="449"/>
      <c r="AT339" s="449"/>
      <c r="AU339" s="449"/>
      <c r="AW339" s="572"/>
      <c r="AX339" s="572"/>
      <c r="AY339" s="572"/>
    </row>
    <row r="340" spans="13:52" ht="15.75" customHeight="1">
      <c r="M340" s="22"/>
      <c r="AI340" s="845"/>
      <c r="AJ340" s="724"/>
      <c r="AK340" s="724"/>
      <c r="AL340" s="724"/>
      <c r="AM340" s="724"/>
      <c r="AN340" s="724"/>
      <c r="AO340" s="662"/>
      <c r="AP340" s="662"/>
      <c r="AQ340" s="663"/>
      <c r="AR340" s="662"/>
      <c r="AS340" s="662"/>
      <c r="AT340" s="662"/>
      <c r="AU340" s="662"/>
      <c r="AW340" s="572"/>
      <c r="AX340" s="572"/>
      <c r="AY340" s="572"/>
    </row>
    <row r="341" spans="13:52" ht="15.75" customHeight="1">
      <c r="M341" s="22"/>
      <c r="AI341" s="845"/>
      <c r="AJ341" s="724"/>
      <c r="AK341" s="724"/>
      <c r="AL341" s="724"/>
      <c r="AM341" s="724"/>
      <c r="AN341" s="724"/>
      <c r="AO341" s="663"/>
      <c r="AP341" s="663"/>
      <c r="AR341" s="662"/>
      <c r="AS341" s="662"/>
      <c r="AT341" s="662"/>
      <c r="AU341" s="662"/>
      <c r="AW341" s="572"/>
      <c r="AX341" s="572"/>
      <c r="AY341" s="572"/>
    </row>
    <row r="342" spans="13:52" ht="15.75" customHeight="1">
      <c r="M342" s="22"/>
      <c r="AI342" s="661"/>
      <c r="AJ342" s="661"/>
      <c r="AK342" s="661"/>
      <c r="AL342" s="661"/>
      <c r="AM342" s="661"/>
      <c r="AQ342" s="662"/>
      <c r="AR342" s="663"/>
      <c r="AS342" s="663"/>
      <c r="AT342" s="663"/>
      <c r="AU342" s="663"/>
    </row>
    <row r="343" spans="13:52" ht="15.75" customHeight="1">
      <c r="M343" s="22"/>
      <c r="AI343" s="845"/>
      <c r="AJ343" s="724"/>
      <c r="AK343" s="724"/>
      <c r="AL343" s="724"/>
      <c r="AM343" s="724"/>
      <c r="AN343" s="724"/>
      <c r="AO343" s="662"/>
      <c r="AP343" s="662"/>
      <c r="AQ343" s="449"/>
      <c r="AW343" s="572"/>
      <c r="AX343" s="572"/>
      <c r="AY343" s="572"/>
    </row>
    <row r="344" spans="13:52" ht="15.75" customHeight="1">
      <c r="M344" s="22"/>
      <c r="AI344" s="846"/>
      <c r="AJ344" s="724"/>
      <c r="AK344" s="724"/>
      <c r="AL344" s="724"/>
      <c r="AM344" s="724"/>
      <c r="AN344" s="575"/>
      <c r="AO344" s="449"/>
      <c r="AP344" s="449"/>
      <c r="AQ344" s="662"/>
      <c r="AR344" s="662"/>
      <c r="AS344" s="662"/>
      <c r="AT344" s="662"/>
      <c r="AU344" s="662"/>
      <c r="AW344" s="662"/>
      <c r="AX344" s="662"/>
      <c r="AY344" s="662"/>
    </row>
    <row r="345" spans="13:52" ht="15.75" customHeight="1">
      <c r="M345" s="22"/>
      <c r="AI345" s="845"/>
      <c r="AJ345" s="724"/>
      <c r="AK345" s="724"/>
      <c r="AL345" s="724"/>
      <c r="AM345" s="724"/>
      <c r="AN345" s="724"/>
      <c r="AO345" s="662"/>
      <c r="AP345" s="662"/>
      <c r="AQ345" s="663"/>
      <c r="AR345" s="449"/>
      <c r="AS345" s="449"/>
      <c r="AT345" s="449"/>
      <c r="AU345" s="449"/>
      <c r="AW345" s="572"/>
      <c r="AX345" s="572"/>
      <c r="AY345" s="572"/>
    </row>
    <row r="346" spans="13:52" ht="15.75" customHeight="1">
      <c r="M346" s="22"/>
      <c r="AI346" s="845"/>
      <c r="AJ346" s="724"/>
      <c r="AK346" s="724"/>
      <c r="AL346" s="724"/>
      <c r="AM346" s="724"/>
      <c r="AN346" s="724"/>
      <c r="AO346" s="663"/>
      <c r="AP346" s="663"/>
      <c r="AR346" s="662"/>
      <c r="AS346" s="662"/>
      <c r="AT346" s="662"/>
      <c r="AU346" s="662"/>
      <c r="AW346" s="572"/>
      <c r="AX346" s="572"/>
      <c r="AY346" s="572"/>
    </row>
    <row r="347" spans="13:52" ht="15.75" customHeight="1">
      <c r="M347" s="22"/>
      <c r="AK347" s="292"/>
      <c r="AQ347" s="662"/>
      <c r="AR347" s="663"/>
      <c r="AS347" s="663"/>
      <c r="AT347" s="663"/>
      <c r="AU347" s="663"/>
    </row>
    <row r="348" spans="13:52" ht="15.75" customHeight="1">
      <c r="M348" s="22"/>
      <c r="AI348" s="849"/>
      <c r="AJ348" s="724"/>
      <c r="AK348" s="724"/>
      <c r="AL348" s="724"/>
      <c r="AM348" s="724"/>
      <c r="AN348" s="724"/>
      <c r="AO348" s="662"/>
      <c r="AP348" s="662"/>
      <c r="AQ348" s="449"/>
    </row>
    <row r="349" spans="13:52" ht="15.75" customHeight="1">
      <c r="M349" s="22"/>
      <c r="AI349" s="848"/>
      <c r="AJ349" s="724"/>
      <c r="AK349" s="724"/>
      <c r="AL349" s="724"/>
      <c r="AM349" s="724"/>
      <c r="AN349" s="575"/>
      <c r="AO349" s="449"/>
      <c r="AP349" s="449"/>
      <c r="AQ349" s="662"/>
      <c r="AR349" s="662"/>
      <c r="AS349" s="662"/>
      <c r="AT349" s="662"/>
      <c r="AU349" s="662"/>
    </row>
    <row r="350" spans="13:52" ht="15.75" customHeight="1">
      <c r="M350" s="22"/>
      <c r="AI350" s="849"/>
      <c r="AJ350" s="724"/>
      <c r="AK350" s="724"/>
      <c r="AL350" s="724"/>
      <c r="AM350" s="724"/>
      <c r="AN350" s="724"/>
      <c r="AO350" s="662"/>
      <c r="AP350" s="662"/>
      <c r="AQ350" s="663"/>
      <c r="AR350" s="449"/>
      <c r="AS350" s="449"/>
      <c r="AT350" s="449"/>
      <c r="AU350" s="449"/>
    </row>
    <row r="351" spans="13:52" ht="15.75" customHeight="1">
      <c r="M351" s="22"/>
      <c r="AI351" s="849"/>
      <c r="AJ351" s="724"/>
      <c r="AK351" s="724"/>
      <c r="AL351" s="724"/>
      <c r="AM351" s="724"/>
      <c r="AN351" s="724"/>
      <c r="AO351" s="663"/>
      <c r="AP351" s="663"/>
      <c r="AR351" s="662"/>
      <c r="AS351" s="662"/>
      <c r="AT351" s="662"/>
      <c r="AU351" s="662"/>
    </row>
    <row r="352" spans="13:52" ht="15.75" customHeight="1">
      <c r="M352" s="22"/>
      <c r="AI352" s="661"/>
      <c r="AJ352" s="661"/>
      <c r="AK352" s="661"/>
      <c r="AL352" s="661"/>
      <c r="AM352" s="661"/>
      <c r="AQ352" s="662"/>
      <c r="AR352" s="663"/>
      <c r="AS352" s="663"/>
      <c r="AT352" s="663"/>
      <c r="AU352" s="663"/>
    </row>
    <row r="353" spans="13:47" ht="15.75" customHeight="1">
      <c r="M353" s="22"/>
      <c r="AI353" s="845"/>
      <c r="AJ353" s="724"/>
      <c r="AK353" s="724"/>
      <c r="AL353" s="724"/>
      <c r="AM353" s="724"/>
      <c r="AN353" s="724"/>
      <c r="AO353" s="662"/>
      <c r="AP353" s="662"/>
      <c r="AQ353" s="449"/>
    </row>
    <row r="354" spans="13:47" ht="15.75" customHeight="1">
      <c r="M354" s="22"/>
      <c r="AI354" s="846"/>
      <c r="AJ354" s="724"/>
      <c r="AK354" s="724"/>
      <c r="AL354" s="724"/>
      <c r="AM354" s="724"/>
      <c r="AN354" s="575"/>
      <c r="AO354" s="449"/>
      <c r="AP354" s="449"/>
      <c r="AQ354" s="662"/>
      <c r="AR354" s="662"/>
      <c r="AS354" s="662"/>
      <c r="AT354" s="662"/>
      <c r="AU354" s="662"/>
    </row>
    <row r="355" spans="13:47" ht="15.75" customHeight="1">
      <c r="M355" s="22"/>
      <c r="AI355" s="845"/>
      <c r="AJ355" s="724"/>
      <c r="AK355" s="724"/>
      <c r="AL355" s="724"/>
      <c r="AM355" s="724"/>
      <c r="AN355" s="724"/>
      <c r="AO355" s="662"/>
      <c r="AP355" s="662"/>
      <c r="AQ355" s="663"/>
      <c r="AR355" s="449"/>
      <c r="AS355" s="449"/>
      <c r="AT355" s="449"/>
      <c r="AU355" s="449"/>
    </row>
    <row r="356" spans="13:47" ht="15.75" customHeight="1">
      <c r="M356" s="22"/>
      <c r="AI356" s="845"/>
      <c r="AJ356" s="724"/>
      <c r="AK356" s="724"/>
      <c r="AL356" s="724"/>
      <c r="AM356" s="724"/>
      <c r="AN356" s="724"/>
      <c r="AO356" s="663"/>
      <c r="AP356" s="663"/>
      <c r="AR356" s="662"/>
      <c r="AS356" s="662"/>
      <c r="AT356" s="662"/>
      <c r="AU356" s="662"/>
    </row>
    <row r="357" spans="13:47" ht="15.75" customHeight="1">
      <c r="M357" s="22"/>
      <c r="AR357" s="663"/>
      <c r="AS357" s="663"/>
      <c r="AT357" s="663"/>
      <c r="AU357" s="663"/>
    </row>
    <row r="358" spans="13:47" ht="15.75" customHeight="1">
      <c r="M358" s="22"/>
      <c r="AI358" s="661"/>
      <c r="AJ358" s="661"/>
      <c r="AK358" s="661"/>
      <c r="AL358" s="661"/>
      <c r="AM358" s="661"/>
      <c r="AQ358" s="662"/>
    </row>
    <row r="359" spans="13:47" ht="15.75" customHeight="1">
      <c r="M359" s="22"/>
      <c r="AI359" s="845"/>
      <c r="AJ359" s="724"/>
      <c r="AK359" s="724"/>
      <c r="AL359" s="724"/>
      <c r="AM359" s="724"/>
      <c r="AN359" s="724"/>
      <c r="AO359" s="662"/>
      <c r="AP359" s="662"/>
      <c r="AR359" s="662"/>
      <c r="AS359" s="662"/>
      <c r="AT359" s="662"/>
      <c r="AU359" s="662"/>
    </row>
    <row r="360" spans="13:47" ht="15.75" customHeight="1">
      <c r="M360" s="22"/>
      <c r="AI360" s="846"/>
      <c r="AJ360" s="724"/>
      <c r="AK360" s="724"/>
      <c r="AL360" s="724"/>
      <c r="AM360" s="724"/>
      <c r="AN360" s="575"/>
      <c r="AO360" s="449"/>
      <c r="AP360" s="449"/>
      <c r="AR360" s="449"/>
      <c r="AS360" s="449"/>
      <c r="AT360" s="449"/>
      <c r="AU360" s="449"/>
    </row>
    <row r="361" spans="13:47" ht="15" customHeight="1">
      <c r="M361" s="22"/>
    </row>
  </sheetData>
  <mergeCells count="1006">
    <mergeCell ref="AI356:AN356"/>
    <mergeCell ref="AI359:AN359"/>
    <mergeCell ref="AI360:AM360"/>
    <mergeCell ref="AI349:AM349"/>
    <mergeCell ref="AI350:AN350"/>
    <mergeCell ref="AI351:AN351"/>
    <mergeCell ref="AI353:AN353"/>
    <mergeCell ref="AI354:AM354"/>
    <mergeCell ref="AI355:AN355"/>
    <mergeCell ref="AI341:AN341"/>
    <mergeCell ref="AI343:AN343"/>
    <mergeCell ref="AI344:AM344"/>
    <mergeCell ref="AI345:AN345"/>
    <mergeCell ref="AI346:AN346"/>
    <mergeCell ref="AI348:AN348"/>
    <mergeCell ref="AI327:AN327"/>
    <mergeCell ref="AI329:AN329"/>
    <mergeCell ref="AI330:AM330"/>
    <mergeCell ref="AI338:AN338"/>
    <mergeCell ref="AI339:AM339"/>
    <mergeCell ref="AI340:AN340"/>
    <mergeCell ref="AI301:AN301"/>
    <mergeCell ref="AI302:AM302"/>
    <mergeCell ref="AI303:AN303"/>
    <mergeCell ref="AI304:AN304"/>
    <mergeCell ref="AI322:AM322"/>
    <mergeCell ref="AI326:AN326"/>
    <mergeCell ref="AI275:AM275"/>
    <mergeCell ref="AI276:AM276"/>
    <mergeCell ref="AI278:AN278"/>
    <mergeCell ref="AI279:AM279"/>
    <mergeCell ref="AI280:AM280"/>
    <mergeCell ref="AI281:AM281"/>
    <mergeCell ref="AI272:AM272"/>
    <mergeCell ref="AR272:AV272"/>
    <mergeCell ref="AI273:AM273"/>
    <mergeCell ref="AR273:AV273"/>
    <mergeCell ref="AI274:AM274"/>
    <mergeCell ref="AR274:AV274"/>
    <mergeCell ref="AI268:AM268"/>
    <mergeCell ref="AI269:AM269"/>
    <mergeCell ref="AR269:AW269"/>
    <mergeCell ref="AI270:AM270"/>
    <mergeCell ref="AR270:AV270"/>
    <mergeCell ref="AI271:AM271"/>
    <mergeCell ref="AR271:AV271"/>
    <mergeCell ref="AI265:AN265"/>
    <mergeCell ref="AR265:AW265"/>
    <mergeCell ref="AI266:AM266"/>
    <mergeCell ref="AR266:AV266"/>
    <mergeCell ref="AI267:AM267"/>
    <mergeCell ref="AR267:AV267"/>
    <mergeCell ref="AI260:AN260"/>
    <mergeCell ref="AI261:AM261"/>
    <mergeCell ref="AR261:AW261"/>
    <mergeCell ref="AI262:AM262"/>
    <mergeCell ref="AR262:AV262"/>
    <mergeCell ref="AI263:AM263"/>
    <mergeCell ref="AR263:AV263"/>
    <mergeCell ref="AI256:AM256"/>
    <mergeCell ref="AI257:AM257"/>
    <mergeCell ref="AR257:AW257"/>
    <mergeCell ref="AI258:AM258"/>
    <mergeCell ref="AR258:AV258"/>
    <mergeCell ref="AR259:AV259"/>
    <mergeCell ref="AI253:AM253"/>
    <mergeCell ref="AR253:AW253"/>
    <mergeCell ref="AI254:AM254"/>
    <mergeCell ref="AR254:AV254"/>
    <mergeCell ref="AI255:AM255"/>
    <mergeCell ref="AR255:AV255"/>
    <mergeCell ref="A251:E251"/>
    <mergeCell ref="G251:I251"/>
    <mergeCell ref="N251:R251"/>
    <mergeCell ref="T251:V251"/>
    <mergeCell ref="AR251:AV251"/>
    <mergeCell ref="AI252:AN252"/>
    <mergeCell ref="AR249:AV249"/>
    <mergeCell ref="A250:E250"/>
    <mergeCell ref="G250:I250"/>
    <mergeCell ref="N250:R250"/>
    <mergeCell ref="T250:V250"/>
    <mergeCell ref="AR250:AV250"/>
    <mergeCell ref="AR247:AV247"/>
    <mergeCell ref="A248:E248"/>
    <mergeCell ref="N248:R248"/>
    <mergeCell ref="AI248:AM248"/>
    <mergeCell ref="AR248:AV248"/>
    <mergeCell ref="A249:E249"/>
    <mergeCell ref="G249:I249"/>
    <mergeCell ref="N249:R249"/>
    <mergeCell ref="T249:V249"/>
    <mergeCell ref="AI249:AM249"/>
    <mergeCell ref="A246:E246"/>
    <mergeCell ref="G246:I246"/>
    <mergeCell ref="N246:R246"/>
    <mergeCell ref="T246:V246"/>
    <mergeCell ref="AR246:AV246"/>
    <mergeCell ref="A247:E247"/>
    <mergeCell ref="G247:I247"/>
    <mergeCell ref="N247:R247"/>
    <mergeCell ref="T247:V247"/>
    <mergeCell ref="AI247:AN247"/>
    <mergeCell ref="AR244:AW244"/>
    <mergeCell ref="A245:E245"/>
    <mergeCell ref="G245:I245"/>
    <mergeCell ref="N245:R245"/>
    <mergeCell ref="T245:V245"/>
    <mergeCell ref="AI245:AM245"/>
    <mergeCell ref="AR245:AV245"/>
    <mergeCell ref="A243:E243"/>
    <mergeCell ref="G243:I243"/>
    <mergeCell ref="N243:R243"/>
    <mergeCell ref="T243:V243"/>
    <mergeCell ref="AI243:AM243"/>
    <mergeCell ref="A244:E244"/>
    <mergeCell ref="N244:R244"/>
    <mergeCell ref="AI244:AM244"/>
    <mergeCell ref="A242:E242"/>
    <mergeCell ref="G242:I242"/>
    <mergeCell ref="N242:R242"/>
    <mergeCell ref="T242:V242"/>
    <mergeCell ref="AI242:AM242"/>
    <mergeCell ref="AR242:AV242"/>
    <mergeCell ref="A241:E241"/>
    <mergeCell ref="G241:I241"/>
    <mergeCell ref="N241:R241"/>
    <mergeCell ref="T241:V241"/>
    <mergeCell ref="AI241:AM241"/>
    <mergeCell ref="AR241:AV241"/>
    <mergeCell ref="AR239:AW239"/>
    <mergeCell ref="A240:E240"/>
    <mergeCell ref="G240:I240"/>
    <mergeCell ref="N240:R240"/>
    <mergeCell ref="T240:V240"/>
    <mergeCell ref="AI240:AM240"/>
    <mergeCell ref="AR240:AV240"/>
    <mergeCell ref="A238:E238"/>
    <mergeCell ref="G238:I238"/>
    <mergeCell ref="N238:R238"/>
    <mergeCell ref="T238:V238"/>
    <mergeCell ref="AI238:AM238"/>
    <mergeCell ref="A239:E239"/>
    <mergeCell ref="G239:I239"/>
    <mergeCell ref="N239:R239"/>
    <mergeCell ref="T239:V239"/>
    <mergeCell ref="AI239:AM239"/>
    <mergeCell ref="A236:E236"/>
    <mergeCell ref="N236:R236"/>
    <mergeCell ref="AI236:AM236"/>
    <mergeCell ref="AR236:AV236"/>
    <mergeCell ref="A237:E237"/>
    <mergeCell ref="G237:I237"/>
    <mergeCell ref="N237:R237"/>
    <mergeCell ref="T237:V237"/>
    <mergeCell ref="AI237:AM237"/>
    <mergeCell ref="AR237:AV237"/>
    <mergeCell ref="A235:E235"/>
    <mergeCell ref="G235:I235"/>
    <mergeCell ref="N235:R235"/>
    <mergeCell ref="T235:V235"/>
    <mergeCell ref="AI235:AM235"/>
    <mergeCell ref="AR235:AV235"/>
    <mergeCell ref="A234:E234"/>
    <mergeCell ref="G234:I234"/>
    <mergeCell ref="N234:R234"/>
    <mergeCell ref="T234:V234"/>
    <mergeCell ref="AI234:AM234"/>
    <mergeCell ref="AR234:AV234"/>
    <mergeCell ref="A233:E233"/>
    <mergeCell ref="G233:I233"/>
    <mergeCell ref="N233:R233"/>
    <mergeCell ref="T233:V233"/>
    <mergeCell ref="AI233:AM233"/>
    <mergeCell ref="AR233:AV233"/>
    <mergeCell ref="A232:E232"/>
    <mergeCell ref="G232:I232"/>
    <mergeCell ref="N232:R232"/>
    <mergeCell ref="T232:V232"/>
    <mergeCell ref="AI232:AM232"/>
    <mergeCell ref="AR232:AV232"/>
    <mergeCell ref="A231:E231"/>
    <mergeCell ref="G231:I231"/>
    <mergeCell ref="N231:R231"/>
    <mergeCell ref="T231:V231"/>
    <mergeCell ref="AI231:AM231"/>
    <mergeCell ref="AR231:AV231"/>
    <mergeCell ref="A230:E230"/>
    <mergeCell ref="G230:I230"/>
    <mergeCell ref="N230:R230"/>
    <mergeCell ref="T230:V230"/>
    <mergeCell ref="AI230:AM230"/>
    <mergeCell ref="AR230:AV230"/>
    <mergeCell ref="A229:E229"/>
    <mergeCell ref="G229:I229"/>
    <mergeCell ref="N229:R229"/>
    <mergeCell ref="T229:V229"/>
    <mergeCell ref="AI229:AM229"/>
    <mergeCell ref="AR229:AV229"/>
    <mergeCell ref="A228:E228"/>
    <mergeCell ref="G228:I228"/>
    <mergeCell ref="N228:R228"/>
    <mergeCell ref="T228:V228"/>
    <mergeCell ref="AI228:AN228"/>
    <mergeCell ref="AR228:AV228"/>
    <mergeCell ref="A226:E226"/>
    <mergeCell ref="G226:I226"/>
    <mergeCell ref="N226:R226"/>
    <mergeCell ref="T226:V226"/>
    <mergeCell ref="AR226:AV226"/>
    <mergeCell ref="A227:E227"/>
    <mergeCell ref="G227:I227"/>
    <mergeCell ref="N227:R227"/>
    <mergeCell ref="T227:V227"/>
    <mergeCell ref="AR227:AV227"/>
    <mergeCell ref="A225:E225"/>
    <mergeCell ref="G225:I225"/>
    <mergeCell ref="N225:R225"/>
    <mergeCell ref="T225:V225"/>
    <mergeCell ref="AI225:AM225"/>
    <mergeCell ref="AR225:AV225"/>
    <mergeCell ref="A223:E223"/>
    <mergeCell ref="N223:R223"/>
    <mergeCell ref="AI223:AM223"/>
    <mergeCell ref="AR223:AV223"/>
    <mergeCell ref="A224:E224"/>
    <mergeCell ref="G224:I224"/>
    <mergeCell ref="N224:R224"/>
    <mergeCell ref="T224:V224"/>
    <mergeCell ref="AI224:AM224"/>
    <mergeCell ref="AR224:AV224"/>
    <mergeCell ref="A222:E222"/>
    <mergeCell ref="G222:I222"/>
    <mergeCell ref="N222:R222"/>
    <mergeCell ref="T222:V222"/>
    <mergeCell ref="AI222:AM222"/>
    <mergeCell ref="AR222:AV222"/>
    <mergeCell ref="A221:E221"/>
    <mergeCell ref="G221:I221"/>
    <mergeCell ref="N221:R221"/>
    <mergeCell ref="T221:V221"/>
    <mergeCell ref="AI221:AM221"/>
    <mergeCell ref="AR221:AV221"/>
    <mergeCell ref="A220:E220"/>
    <mergeCell ref="G220:I220"/>
    <mergeCell ref="N220:R220"/>
    <mergeCell ref="T220:V220"/>
    <mergeCell ref="AI220:AM220"/>
    <mergeCell ref="AR220:AV220"/>
    <mergeCell ref="A219:E219"/>
    <mergeCell ref="G219:I219"/>
    <mergeCell ref="N219:R219"/>
    <mergeCell ref="T219:V219"/>
    <mergeCell ref="AI219:AM219"/>
    <mergeCell ref="AR219:AV219"/>
    <mergeCell ref="AR217:AV217"/>
    <mergeCell ref="A218:E218"/>
    <mergeCell ref="G218:I218"/>
    <mergeCell ref="N218:R218"/>
    <mergeCell ref="T218:V218"/>
    <mergeCell ref="AI218:AM218"/>
    <mergeCell ref="AR218:AV218"/>
    <mergeCell ref="A216:E216"/>
    <mergeCell ref="G216:I216"/>
    <mergeCell ref="N216:R216"/>
    <mergeCell ref="T216:V216"/>
    <mergeCell ref="AR216:AV216"/>
    <mergeCell ref="A217:E217"/>
    <mergeCell ref="G217:I217"/>
    <mergeCell ref="N217:R217"/>
    <mergeCell ref="T217:V217"/>
    <mergeCell ref="AI217:AN217"/>
    <mergeCell ref="AI214:AM214"/>
    <mergeCell ref="AR214:AV214"/>
    <mergeCell ref="A215:E215"/>
    <mergeCell ref="G215:I215"/>
    <mergeCell ref="N215:R215"/>
    <mergeCell ref="T215:V215"/>
    <mergeCell ref="AR215:AV215"/>
    <mergeCell ref="AI212:AM212"/>
    <mergeCell ref="AR212:AV212"/>
    <mergeCell ref="A213:E213"/>
    <mergeCell ref="F213:G213"/>
    <mergeCell ref="N213:R213"/>
    <mergeCell ref="S213:T213"/>
    <mergeCell ref="AI213:AM213"/>
    <mergeCell ref="AR213:AV213"/>
    <mergeCell ref="A208:Z209"/>
    <mergeCell ref="AI208:AM208"/>
    <mergeCell ref="AR208:AV208"/>
    <mergeCell ref="AR209:AV209"/>
    <mergeCell ref="AR210:AV210"/>
    <mergeCell ref="A211:G211"/>
    <mergeCell ref="AI211:AN211"/>
    <mergeCell ref="AR211:AV211"/>
    <mergeCell ref="AI205:AM205"/>
    <mergeCell ref="AR205:AV205"/>
    <mergeCell ref="AI206:AM206"/>
    <mergeCell ref="AR206:AV206"/>
    <mergeCell ref="AI207:AM207"/>
    <mergeCell ref="AR207:AV207"/>
    <mergeCell ref="A204:E204"/>
    <mergeCell ref="G204:I204"/>
    <mergeCell ref="N204:R204"/>
    <mergeCell ref="T204:V204"/>
    <mergeCell ref="AI204:AM204"/>
    <mergeCell ref="AR204:AV204"/>
    <mergeCell ref="A203:E203"/>
    <mergeCell ref="G203:I203"/>
    <mergeCell ref="N203:R203"/>
    <mergeCell ref="T203:V203"/>
    <mergeCell ref="AI203:AM203"/>
    <mergeCell ref="AR203:AV203"/>
    <mergeCell ref="AI201:AM201"/>
    <mergeCell ref="AR201:AV201"/>
    <mergeCell ref="A202:E202"/>
    <mergeCell ref="G202:I202"/>
    <mergeCell ref="N202:R202"/>
    <mergeCell ref="T202:V202"/>
    <mergeCell ref="AI202:AM202"/>
    <mergeCell ref="AR202:AV202"/>
    <mergeCell ref="A201:C201"/>
    <mergeCell ref="D201:E201"/>
    <mergeCell ref="G201:I201"/>
    <mergeCell ref="N201:P201"/>
    <mergeCell ref="Q201:R201"/>
    <mergeCell ref="T201:V201"/>
    <mergeCell ref="AI199:AM199"/>
    <mergeCell ref="AR199:AV199"/>
    <mergeCell ref="A200:C200"/>
    <mergeCell ref="D200:E200"/>
    <mergeCell ref="G200:I200"/>
    <mergeCell ref="N200:P200"/>
    <mergeCell ref="Q200:R200"/>
    <mergeCell ref="T200:V200"/>
    <mergeCell ref="AI200:AM200"/>
    <mergeCell ref="AR200:AV200"/>
    <mergeCell ref="A199:C199"/>
    <mergeCell ref="D199:E199"/>
    <mergeCell ref="G199:I199"/>
    <mergeCell ref="N199:P199"/>
    <mergeCell ref="Q199:R199"/>
    <mergeCell ref="T199:V199"/>
    <mergeCell ref="AI196:AM196"/>
    <mergeCell ref="AR196:AV196"/>
    <mergeCell ref="AI197:AM197"/>
    <mergeCell ref="A198:E198"/>
    <mergeCell ref="G198:I198"/>
    <mergeCell ref="N198:R198"/>
    <mergeCell ref="T198:V198"/>
    <mergeCell ref="AI198:AM198"/>
    <mergeCell ref="AR198:AW198"/>
    <mergeCell ref="A195:E195"/>
    <mergeCell ref="G195:I195"/>
    <mergeCell ref="N195:R195"/>
    <mergeCell ref="T195:V195"/>
    <mergeCell ref="AI195:AM195"/>
    <mergeCell ref="AR195:AV195"/>
    <mergeCell ref="A194:E194"/>
    <mergeCell ref="G194:I194"/>
    <mergeCell ref="N194:R194"/>
    <mergeCell ref="T194:V194"/>
    <mergeCell ref="AI194:AM194"/>
    <mergeCell ref="AR194:AV194"/>
    <mergeCell ref="AI192:AM192"/>
    <mergeCell ref="AR192:AV192"/>
    <mergeCell ref="A193:C193"/>
    <mergeCell ref="D193:E193"/>
    <mergeCell ref="G193:I193"/>
    <mergeCell ref="N193:P193"/>
    <mergeCell ref="Q193:R193"/>
    <mergeCell ref="T193:V193"/>
    <mergeCell ref="AI193:AM193"/>
    <mergeCell ref="AR193:AV193"/>
    <mergeCell ref="A192:C192"/>
    <mergeCell ref="D192:E192"/>
    <mergeCell ref="G192:I192"/>
    <mergeCell ref="N192:P192"/>
    <mergeCell ref="Q192:R192"/>
    <mergeCell ref="T192:V192"/>
    <mergeCell ref="AI190:AM190"/>
    <mergeCell ref="AR190:AV190"/>
    <mergeCell ref="A191:C191"/>
    <mergeCell ref="D191:E191"/>
    <mergeCell ref="G191:I191"/>
    <mergeCell ref="N191:P191"/>
    <mergeCell ref="Q191:R191"/>
    <mergeCell ref="T191:V191"/>
    <mergeCell ref="AI191:AM191"/>
    <mergeCell ref="AR191:AV191"/>
    <mergeCell ref="A190:C190"/>
    <mergeCell ref="D190:E190"/>
    <mergeCell ref="G190:I190"/>
    <mergeCell ref="N190:P190"/>
    <mergeCell ref="Q190:R190"/>
    <mergeCell ref="T190:V190"/>
    <mergeCell ref="AI187:AM187"/>
    <mergeCell ref="AR187:AV187"/>
    <mergeCell ref="AI188:AM188"/>
    <mergeCell ref="AR188:AV188"/>
    <mergeCell ref="A189:E189"/>
    <mergeCell ref="G189:I189"/>
    <mergeCell ref="N189:R189"/>
    <mergeCell ref="T189:V189"/>
    <mergeCell ref="AI189:AM189"/>
    <mergeCell ref="AR189:AV189"/>
    <mergeCell ref="A186:E186"/>
    <mergeCell ref="G186:I186"/>
    <mergeCell ref="N186:R186"/>
    <mergeCell ref="T186:V186"/>
    <mergeCell ref="AI186:AM186"/>
    <mergeCell ref="AR186:AV186"/>
    <mergeCell ref="A185:E185"/>
    <mergeCell ref="G185:I185"/>
    <mergeCell ref="N185:R185"/>
    <mergeCell ref="T185:V185"/>
    <mergeCell ref="AI185:AM185"/>
    <mergeCell ref="AR185:AV185"/>
    <mergeCell ref="AI183:AM183"/>
    <mergeCell ref="AR183:AV183"/>
    <mergeCell ref="A184:C184"/>
    <mergeCell ref="D184:E184"/>
    <mergeCell ref="G184:I184"/>
    <mergeCell ref="N184:P184"/>
    <mergeCell ref="Q184:R184"/>
    <mergeCell ref="T184:V184"/>
    <mergeCell ref="AI184:AM184"/>
    <mergeCell ref="AR184:AV184"/>
    <mergeCell ref="A183:C183"/>
    <mergeCell ref="D183:E183"/>
    <mergeCell ref="G183:I183"/>
    <mergeCell ref="N183:P183"/>
    <mergeCell ref="Q183:R183"/>
    <mergeCell ref="T183:V183"/>
    <mergeCell ref="AR181:AV181"/>
    <mergeCell ref="A182:C182"/>
    <mergeCell ref="D182:E182"/>
    <mergeCell ref="G182:I182"/>
    <mergeCell ref="N182:P182"/>
    <mergeCell ref="Q182:R182"/>
    <mergeCell ref="T182:V182"/>
    <mergeCell ref="AI182:AM182"/>
    <mergeCell ref="AR182:AV182"/>
    <mergeCell ref="AR178:AV178"/>
    <mergeCell ref="AI179:AM179"/>
    <mergeCell ref="AR179:AV179"/>
    <mergeCell ref="AI180:AM180"/>
    <mergeCell ref="AR180:AV180"/>
    <mergeCell ref="A181:E181"/>
    <mergeCell ref="G181:I181"/>
    <mergeCell ref="N181:R181"/>
    <mergeCell ref="T181:V181"/>
    <mergeCell ref="AI181:AM181"/>
    <mergeCell ref="A177:E177"/>
    <mergeCell ref="G177:I177"/>
    <mergeCell ref="N177:R177"/>
    <mergeCell ref="T177:V177"/>
    <mergeCell ref="AR177:AV177"/>
    <mergeCell ref="A178:E178"/>
    <mergeCell ref="G178:I178"/>
    <mergeCell ref="N178:R178"/>
    <mergeCell ref="T178:V178"/>
    <mergeCell ref="AI178:AN178"/>
    <mergeCell ref="AI175:AM175"/>
    <mergeCell ref="AR175:AV175"/>
    <mergeCell ref="A176:C176"/>
    <mergeCell ref="D176:E176"/>
    <mergeCell ref="G176:I176"/>
    <mergeCell ref="N176:P176"/>
    <mergeCell ref="Q176:R176"/>
    <mergeCell ref="T176:V176"/>
    <mergeCell ref="AI176:AM176"/>
    <mergeCell ref="AR176:AV176"/>
    <mergeCell ref="A175:C175"/>
    <mergeCell ref="D175:E175"/>
    <mergeCell ref="G175:I175"/>
    <mergeCell ref="N175:P175"/>
    <mergeCell ref="Q175:R175"/>
    <mergeCell ref="T175:V175"/>
    <mergeCell ref="AI173:AM173"/>
    <mergeCell ref="AR173:AV173"/>
    <mergeCell ref="A174:C174"/>
    <mergeCell ref="D174:E174"/>
    <mergeCell ref="G174:I174"/>
    <mergeCell ref="N174:P174"/>
    <mergeCell ref="Q174:R174"/>
    <mergeCell ref="T174:V174"/>
    <mergeCell ref="AI174:AM174"/>
    <mergeCell ref="AR174:AV174"/>
    <mergeCell ref="A173:C173"/>
    <mergeCell ref="D173:E173"/>
    <mergeCell ref="G173:I173"/>
    <mergeCell ref="N173:P173"/>
    <mergeCell ref="Q173:R173"/>
    <mergeCell ref="T173:V173"/>
    <mergeCell ref="AI170:AM170"/>
    <mergeCell ref="AR170:AV170"/>
    <mergeCell ref="AI171:AM171"/>
    <mergeCell ref="AR171:AV171"/>
    <mergeCell ref="A172:E172"/>
    <mergeCell ref="G172:I172"/>
    <mergeCell ref="N172:R172"/>
    <mergeCell ref="T172:V172"/>
    <mergeCell ref="AI172:AM172"/>
    <mergeCell ref="AR172:AV172"/>
    <mergeCell ref="A169:E169"/>
    <mergeCell ref="G169:I169"/>
    <mergeCell ref="N169:R169"/>
    <mergeCell ref="T169:V169"/>
    <mergeCell ref="AI169:AM169"/>
    <mergeCell ref="AR169:AV169"/>
    <mergeCell ref="A168:C168"/>
    <mergeCell ref="G168:I168"/>
    <mergeCell ref="N168:P168"/>
    <mergeCell ref="T168:V168"/>
    <mergeCell ref="AI168:AM168"/>
    <mergeCell ref="AR168:AV168"/>
    <mergeCell ref="G166:I166"/>
    <mergeCell ref="T166:V166"/>
    <mergeCell ref="AI166:AM166"/>
    <mergeCell ref="AR166:AV166"/>
    <mergeCell ref="A167:C167"/>
    <mergeCell ref="G167:I167"/>
    <mergeCell ref="N167:P167"/>
    <mergeCell ref="T167:V167"/>
    <mergeCell ref="AI167:AM167"/>
    <mergeCell ref="AR167:AV167"/>
    <mergeCell ref="A165:C165"/>
    <mergeCell ref="G165:I165"/>
    <mergeCell ref="N165:P165"/>
    <mergeCell ref="T165:V165"/>
    <mergeCell ref="AI165:AM165"/>
    <mergeCell ref="AR165:AV165"/>
    <mergeCell ref="A164:C164"/>
    <mergeCell ref="G164:I164"/>
    <mergeCell ref="N164:P164"/>
    <mergeCell ref="T164:V164"/>
    <mergeCell ref="AI164:AM164"/>
    <mergeCell ref="AR164:AV164"/>
    <mergeCell ref="A163:C163"/>
    <mergeCell ref="G163:I163"/>
    <mergeCell ref="N163:P163"/>
    <mergeCell ref="T163:V163"/>
    <mergeCell ref="AI163:AM163"/>
    <mergeCell ref="AR163:AV163"/>
    <mergeCell ref="A162:C162"/>
    <mergeCell ref="G162:I162"/>
    <mergeCell ref="N162:P162"/>
    <mergeCell ref="T162:V162"/>
    <mergeCell ref="AI162:AM162"/>
    <mergeCell ref="AR162:AV162"/>
    <mergeCell ref="A161:C161"/>
    <mergeCell ref="G161:I161"/>
    <mergeCell ref="N161:P161"/>
    <mergeCell ref="T161:V161"/>
    <mergeCell ref="AI161:AM161"/>
    <mergeCell ref="AR161:AV161"/>
    <mergeCell ref="A160:C160"/>
    <mergeCell ref="G160:I160"/>
    <mergeCell ref="N160:P160"/>
    <mergeCell ref="T160:V160"/>
    <mergeCell ref="AI160:AM160"/>
    <mergeCell ref="AR160:AV160"/>
    <mergeCell ref="A159:C159"/>
    <mergeCell ref="G159:I159"/>
    <mergeCell ref="N159:P159"/>
    <mergeCell ref="T159:V159"/>
    <mergeCell ref="AI159:AM159"/>
    <mergeCell ref="AR159:AV159"/>
    <mergeCell ref="A158:C158"/>
    <mergeCell ref="G158:I158"/>
    <mergeCell ref="N158:P158"/>
    <mergeCell ref="T158:V158"/>
    <mergeCell ref="AI158:AM158"/>
    <mergeCell ref="AR158:AV158"/>
    <mergeCell ref="A157:C157"/>
    <mergeCell ref="G157:I157"/>
    <mergeCell ref="N157:P157"/>
    <mergeCell ref="T157:V157"/>
    <mergeCell ref="AI157:AM157"/>
    <mergeCell ref="AR157:AV157"/>
    <mergeCell ref="A156:C156"/>
    <mergeCell ref="G156:I156"/>
    <mergeCell ref="N156:P156"/>
    <mergeCell ref="T156:V156"/>
    <mergeCell ref="AI156:AM156"/>
    <mergeCell ref="AR156:AV156"/>
    <mergeCell ref="A155:C155"/>
    <mergeCell ref="G155:I155"/>
    <mergeCell ref="N155:P155"/>
    <mergeCell ref="T155:V155"/>
    <mergeCell ref="AI155:AM155"/>
    <mergeCell ref="AR155:AV155"/>
    <mergeCell ref="A154:C154"/>
    <mergeCell ref="G154:I154"/>
    <mergeCell ref="N154:P154"/>
    <mergeCell ref="T154:V154"/>
    <mergeCell ref="AI154:AM154"/>
    <mergeCell ref="AR154:AV154"/>
    <mergeCell ref="A153:C153"/>
    <mergeCell ref="G153:I153"/>
    <mergeCell ref="N153:P153"/>
    <mergeCell ref="T153:V153"/>
    <mergeCell ref="AI153:AM153"/>
    <mergeCell ref="AR153:AV153"/>
    <mergeCell ref="A152:C152"/>
    <mergeCell ref="G152:I152"/>
    <mergeCell ref="N152:P152"/>
    <mergeCell ref="T152:V152"/>
    <mergeCell ref="AI152:AM152"/>
    <mergeCell ref="AR152:AV152"/>
    <mergeCell ref="A150:I150"/>
    <mergeCell ref="N150:V150"/>
    <mergeCell ref="AI150:AM150"/>
    <mergeCell ref="AR150:AV150"/>
    <mergeCell ref="A151:C151"/>
    <mergeCell ref="G151:I151"/>
    <mergeCell ref="N151:P151"/>
    <mergeCell ref="T151:V151"/>
    <mergeCell ref="AI151:AM151"/>
    <mergeCell ref="AR151:AV151"/>
    <mergeCell ref="A149:E149"/>
    <mergeCell ref="G149:I149"/>
    <mergeCell ref="N149:R149"/>
    <mergeCell ref="T149:V149"/>
    <mergeCell ref="AI149:AM149"/>
    <mergeCell ref="AR149:AV149"/>
    <mergeCell ref="A148:C148"/>
    <mergeCell ref="G148:I148"/>
    <mergeCell ref="N148:P148"/>
    <mergeCell ref="T148:V148"/>
    <mergeCell ref="AI148:AM148"/>
    <mergeCell ref="AR148:AV148"/>
    <mergeCell ref="A146:I146"/>
    <mergeCell ref="N146:V146"/>
    <mergeCell ref="AI146:AM146"/>
    <mergeCell ref="AR146:AV146"/>
    <mergeCell ref="A147:C147"/>
    <mergeCell ref="G147:I147"/>
    <mergeCell ref="N147:P147"/>
    <mergeCell ref="T147:V147"/>
    <mergeCell ref="AI147:AM147"/>
    <mergeCell ref="AR147:AV147"/>
    <mergeCell ref="A145:E145"/>
    <mergeCell ref="G145:I145"/>
    <mergeCell ref="N145:R145"/>
    <mergeCell ref="T145:V145"/>
    <mergeCell ref="AI145:AM145"/>
    <mergeCell ref="AR145:AV145"/>
    <mergeCell ref="A144:C144"/>
    <mergeCell ref="G144:I144"/>
    <mergeCell ref="N144:P144"/>
    <mergeCell ref="T144:V144"/>
    <mergeCell ref="AI144:AM144"/>
    <mergeCell ref="AR144:AV144"/>
    <mergeCell ref="AR142:AW142"/>
    <mergeCell ref="A143:C143"/>
    <mergeCell ref="G143:I143"/>
    <mergeCell ref="N143:P143"/>
    <mergeCell ref="T143:V143"/>
    <mergeCell ref="AI143:AM143"/>
    <mergeCell ref="AR143:AV143"/>
    <mergeCell ref="A141:C141"/>
    <mergeCell ref="G141:I141"/>
    <mergeCell ref="N141:P141"/>
    <mergeCell ref="T141:V141"/>
    <mergeCell ref="AI141:AM141"/>
    <mergeCell ref="A142:C142"/>
    <mergeCell ref="G142:I142"/>
    <mergeCell ref="N142:P142"/>
    <mergeCell ref="T142:V142"/>
    <mergeCell ref="AI142:AM142"/>
    <mergeCell ref="A140:C140"/>
    <mergeCell ref="G140:I140"/>
    <mergeCell ref="N140:P140"/>
    <mergeCell ref="T140:V140"/>
    <mergeCell ref="AI140:AM140"/>
    <mergeCell ref="AR140:AV140"/>
    <mergeCell ref="AR138:AV138"/>
    <mergeCell ref="A139:C139"/>
    <mergeCell ref="G139:I139"/>
    <mergeCell ref="N139:P139"/>
    <mergeCell ref="T139:V139"/>
    <mergeCell ref="AI139:AM139"/>
    <mergeCell ref="AR139:AV139"/>
    <mergeCell ref="A137:C137"/>
    <mergeCell ref="G137:I137"/>
    <mergeCell ref="N137:P137"/>
    <mergeCell ref="T137:V137"/>
    <mergeCell ref="AI137:AM137"/>
    <mergeCell ref="A138:C138"/>
    <mergeCell ref="G138:I138"/>
    <mergeCell ref="N138:P138"/>
    <mergeCell ref="T138:V138"/>
    <mergeCell ref="AI138:AM138"/>
    <mergeCell ref="A136:C136"/>
    <mergeCell ref="G136:I136"/>
    <mergeCell ref="N136:P136"/>
    <mergeCell ref="T136:V136"/>
    <mergeCell ref="AI136:AM136"/>
    <mergeCell ref="AR136:AV136"/>
    <mergeCell ref="A135:C135"/>
    <mergeCell ref="G135:I135"/>
    <mergeCell ref="N135:P135"/>
    <mergeCell ref="T135:V135"/>
    <mergeCell ref="AI135:AM135"/>
    <mergeCell ref="AR135:AV135"/>
    <mergeCell ref="A134:C134"/>
    <mergeCell ref="G134:I134"/>
    <mergeCell ref="N134:P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2:C132"/>
    <mergeCell ref="G132:I132"/>
    <mergeCell ref="N132:P132"/>
    <mergeCell ref="T132:V132"/>
    <mergeCell ref="AI132:AM132"/>
    <mergeCell ref="AR132:AV132"/>
    <mergeCell ref="A131:C131"/>
    <mergeCell ref="G131:I131"/>
    <mergeCell ref="N131:P131"/>
    <mergeCell ref="T131:V131"/>
    <mergeCell ref="AI131:AM131"/>
    <mergeCell ref="AR131:AV131"/>
    <mergeCell ref="A130:C130"/>
    <mergeCell ref="G130:I130"/>
    <mergeCell ref="N130:P130"/>
    <mergeCell ref="T130:V130"/>
    <mergeCell ref="AI130:AM130"/>
    <mergeCell ref="AR130:AV130"/>
    <mergeCell ref="A129:C129"/>
    <mergeCell ref="G129:I129"/>
    <mergeCell ref="N129:P129"/>
    <mergeCell ref="T129:V129"/>
    <mergeCell ref="AI129:AM129"/>
    <mergeCell ref="AR129:AV129"/>
    <mergeCell ref="A128:C128"/>
    <mergeCell ref="G128:I128"/>
    <mergeCell ref="N128:P128"/>
    <mergeCell ref="T128:V128"/>
    <mergeCell ref="AI128:AM128"/>
    <mergeCell ref="AR128:AV128"/>
    <mergeCell ref="A126:I126"/>
    <mergeCell ref="N126:V126"/>
    <mergeCell ref="AI126:AM126"/>
    <mergeCell ref="AR126:AV126"/>
    <mergeCell ref="A127:C127"/>
    <mergeCell ref="G127:I127"/>
    <mergeCell ref="N127:P127"/>
    <mergeCell ref="T127:V127"/>
    <mergeCell ref="AI127:AM127"/>
    <mergeCell ref="AR127:AV127"/>
    <mergeCell ref="AR124:AV124"/>
    <mergeCell ref="A125:E125"/>
    <mergeCell ref="G125:I125"/>
    <mergeCell ref="N125:R125"/>
    <mergeCell ref="T125:V125"/>
    <mergeCell ref="AI125:AM125"/>
    <mergeCell ref="AR125:AV125"/>
    <mergeCell ref="A124:C124"/>
    <mergeCell ref="G124:I124"/>
    <mergeCell ref="N124:P124"/>
    <mergeCell ref="T124:V124"/>
    <mergeCell ref="AC124:AF124"/>
    <mergeCell ref="AI124:AM124"/>
    <mergeCell ref="A123:C123"/>
    <mergeCell ref="G123:I123"/>
    <mergeCell ref="N123:P123"/>
    <mergeCell ref="T123:V123"/>
    <mergeCell ref="AI123:AM123"/>
    <mergeCell ref="AR123:AV123"/>
    <mergeCell ref="A122:C122"/>
    <mergeCell ref="G122:I122"/>
    <mergeCell ref="N122:P122"/>
    <mergeCell ref="T122:V122"/>
    <mergeCell ref="AI122:AM122"/>
    <mergeCell ref="AR122:AV122"/>
    <mergeCell ref="A121:C121"/>
    <mergeCell ref="G121:I121"/>
    <mergeCell ref="N121:P121"/>
    <mergeCell ref="T121:V121"/>
    <mergeCell ref="AI121:AM121"/>
    <mergeCell ref="AR121:AV121"/>
    <mergeCell ref="A120:C120"/>
    <mergeCell ref="G120:I120"/>
    <mergeCell ref="N120:P120"/>
    <mergeCell ref="T120:V120"/>
    <mergeCell ref="AI120:AM120"/>
    <mergeCell ref="AR120:AV120"/>
    <mergeCell ref="A119:C119"/>
    <mergeCell ref="G119:I119"/>
    <mergeCell ref="N119:P119"/>
    <mergeCell ref="T119:V119"/>
    <mergeCell ref="AI119:AM119"/>
    <mergeCell ref="AR119:AV119"/>
    <mergeCell ref="A118:C118"/>
    <mergeCell ref="G118:I118"/>
    <mergeCell ref="N118:P118"/>
    <mergeCell ref="T118:V118"/>
    <mergeCell ref="AI118:AM118"/>
    <mergeCell ref="AR118:AV118"/>
    <mergeCell ref="A117:C117"/>
    <mergeCell ref="G117:I117"/>
    <mergeCell ref="N117:P117"/>
    <mergeCell ref="T117:V117"/>
    <mergeCell ref="AI117:AM117"/>
    <mergeCell ref="AR117:AV117"/>
    <mergeCell ref="A116:C116"/>
    <mergeCell ref="G116:I116"/>
    <mergeCell ref="N116:P116"/>
    <mergeCell ref="T116:V116"/>
    <mergeCell ref="AI116:AM116"/>
    <mergeCell ref="AR116:AV116"/>
    <mergeCell ref="A115:C115"/>
    <mergeCell ref="G115:I115"/>
    <mergeCell ref="N115:P115"/>
    <mergeCell ref="T115:V115"/>
    <mergeCell ref="AI115:AM115"/>
    <mergeCell ref="AR115:AV115"/>
    <mergeCell ref="A114:C114"/>
    <mergeCell ref="G114:I114"/>
    <mergeCell ref="N114:P114"/>
    <mergeCell ref="T114:V114"/>
    <mergeCell ref="AI114:AM114"/>
    <mergeCell ref="AR114:AV114"/>
    <mergeCell ref="A113:C113"/>
    <mergeCell ref="G113:I113"/>
    <mergeCell ref="N113:P113"/>
    <mergeCell ref="T113:V113"/>
    <mergeCell ref="AI113:AM113"/>
    <mergeCell ref="AR113:AV113"/>
    <mergeCell ref="A112:C112"/>
    <mergeCell ref="G112:I112"/>
    <mergeCell ref="N112:P112"/>
    <mergeCell ref="T112:V112"/>
    <mergeCell ref="AI112:AM112"/>
    <mergeCell ref="AR112:AV112"/>
    <mergeCell ref="A111:C111"/>
    <mergeCell ref="G111:I111"/>
    <mergeCell ref="N111:P111"/>
    <mergeCell ref="T111:V111"/>
    <mergeCell ref="AI111:AM111"/>
    <mergeCell ref="AR111:AV111"/>
    <mergeCell ref="A110:C110"/>
    <mergeCell ref="G110:I110"/>
    <mergeCell ref="N110:P110"/>
    <mergeCell ref="T110:V110"/>
    <mergeCell ref="AI110:AM110"/>
    <mergeCell ref="AR110:AV110"/>
    <mergeCell ref="A109:C109"/>
    <mergeCell ref="G109:I109"/>
    <mergeCell ref="N109:P109"/>
    <mergeCell ref="T109:V109"/>
    <mergeCell ref="AI109:AM109"/>
    <mergeCell ref="AR109:AV109"/>
    <mergeCell ref="A108:C108"/>
    <mergeCell ref="G108:I108"/>
    <mergeCell ref="N108:P108"/>
    <mergeCell ref="T108:V108"/>
    <mergeCell ref="AI108:AM108"/>
    <mergeCell ref="AR108:AV108"/>
    <mergeCell ref="A107:C107"/>
    <mergeCell ref="G107:I107"/>
    <mergeCell ref="N107:P107"/>
    <mergeCell ref="T107:V107"/>
    <mergeCell ref="AI107:AM107"/>
    <mergeCell ref="AR107:AV107"/>
    <mergeCell ref="A106:C106"/>
    <mergeCell ref="G106:I106"/>
    <mergeCell ref="N106:P106"/>
    <mergeCell ref="T106:V106"/>
    <mergeCell ref="AI106:AM106"/>
    <mergeCell ref="AR106:AV106"/>
    <mergeCell ref="A105:C105"/>
    <mergeCell ref="G105:I105"/>
    <mergeCell ref="N105:P105"/>
    <mergeCell ref="T105:V105"/>
    <mergeCell ref="AI105:AM105"/>
    <mergeCell ref="AR105:AV105"/>
    <mergeCell ref="A104:C104"/>
    <mergeCell ref="G104:I104"/>
    <mergeCell ref="N104:P104"/>
    <mergeCell ref="T104:V104"/>
    <mergeCell ref="AI104:AM104"/>
    <mergeCell ref="AR104:AV104"/>
    <mergeCell ref="AI102:AM102"/>
    <mergeCell ref="AR102:AV102"/>
    <mergeCell ref="A103:I103"/>
    <mergeCell ref="N103:V103"/>
    <mergeCell ref="AI103:AM103"/>
    <mergeCell ref="AR103:AV103"/>
    <mergeCell ref="AR100:AV100"/>
    <mergeCell ref="D101:H101"/>
    <mergeCell ref="I101:J101"/>
    <mergeCell ref="Q101:U101"/>
    <mergeCell ref="V101:W101"/>
    <mergeCell ref="AI101:AM101"/>
    <mergeCell ref="AR101:AV101"/>
    <mergeCell ref="D100:H100"/>
    <mergeCell ref="I100:J100"/>
    <mergeCell ref="Q100:U100"/>
    <mergeCell ref="V100:W100"/>
    <mergeCell ref="AC100:AF100"/>
    <mergeCell ref="AI100:AM100"/>
    <mergeCell ref="AI98:AN98"/>
    <mergeCell ref="AR98:AW98"/>
    <mergeCell ref="D99:H99"/>
    <mergeCell ref="I99:J99"/>
    <mergeCell ref="Q99:U99"/>
    <mergeCell ref="V99:W99"/>
    <mergeCell ref="AC99:AD99"/>
    <mergeCell ref="AI99:AM99"/>
    <mergeCell ref="AR99:AV99"/>
    <mergeCell ref="D97:H97"/>
    <mergeCell ref="I97:J97"/>
    <mergeCell ref="Q97:U97"/>
    <mergeCell ref="V97:W97"/>
    <mergeCell ref="AC97:AF98"/>
    <mergeCell ref="D98:H98"/>
    <mergeCell ref="I98:J98"/>
    <mergeCell ref="Q98:U98"/>
    <mergeCell ref="V98:W98"/>
    <mergeCell ref="A88:D88"/>
    <mergeCell ref="A89:D89"/>
    <mergeCell ref="A91:D91"/>
    <mergeCell ref="A92:D92"/>
    <mergeCell ref="A93:D93"/>
    <mergeCell ref="A96:Z96"/>
    <mergeCell ref="BP75:BR76"/>
    <mergeCell ref="BZ75:CA76"/>
    <mergeCell ref="A84:I84"/>
    <mergeCell ref="J84:M84"/>
    <mergeCell ref="A86:F86"/>
    <mergeCell ref="G86:I86"/>
    <mergeCell ref="BU58:CA68"/>
    <mergeCell ref="CW59:DB64"/>
    <mergeCell ref="CX65:CZ65"/>
    <mergeCell ref="AC66:AF66"/>
    <mergeCell ref="AT68:AU68"/>
    <mergeCell ref="CW69:CZ75"/>
    <mergeCell ref="CE70:CO75"/>
    <mergeCell ref="AH72:AJ76"/>
    <mergeCell ref="BU72:BX72"/>
    <mergeCell ref="DA73:DB75"/>
    <mergeCell ref="BC51:BD51"/>
    <mergeCell ref="AY52:AZ52"/>
    <mergeCell ref="CH53:CI53"/>
    <mergeCell ref="BU54:BW54"/>
    <mergeCell ref="AT55:AU55"/>
    <mergeCell ref="AT57:AU57"/>
    <mergeCell ref="AI40:AJ48"/>
    <mergeCell ref="BG40:BH40"/>
    <mergeCell ref="CH42:CI42"/>
    <mergeCell ref="CU42:CV42"/>
    <mergeCell ref="AS43:AV43"/>
    <mergeCell ref="AR47:AS47"/>
    <mergeCell ref="AT47:AU47"/>
    <mergeCell ref="CH47:CI47"/>
    <mergeCell ref="CM47:CN47"/>
    <mergeCell ref="BG48:BH48"/>
    <mergeCell ref="CM33:CN33"/>
    <mergeCell ref="I37:J37"/>
    <mergeCell ref="AP37:AQ37"/>
    <mergeCell ref="BO38:BP38"/>
    <mergeCell ref="BZ38:CA38"/>
    <mergeCell ref="AS39:AY39"/>
    <mergeCell ref="CH39:CI39"/>
    <mergeCell ref="B26:C26"/>
    <mergeCell ref="CM26:CN26"/>
    <mergeCell ref="C30:D30"/>
    <mergeCell ref="P30:W46"/>
    <mergeCell ref="CH30:CI30"/>
    <mergeCell ref="BZ31:CA31"/>
    <mergeCell ref="CE31:CF31"/>
    <mergeCell ref="G32:H32"/>
    <mergeCell ref="AI32:AJ39"/>
    <mergeCell ref="BV33:BW33"/>
    <mergeCell ref="N21:O24"/>
    <mergeCell ref="BE21:BI25"/>
    <mergeCell ref="CM21:CN21"/>
    <mergeCell ref="CE23:CI28"/>
    <mergeCell ref="G24:H24"/>
    <mergeCell ref="BO24:BP24"/>
    <mergeCell ref="A12:A15"/>
    <mergeCell ref="M12:N12"/>
    <mergeCell ref="Z13:AH18"/>
    <mergeCell ref="CM16:CN16"/>
    <mergeCell ref="C19:D19"/>
    <mergeCell ref="BV20:BW20"/>
    <mergeCell ref="A1:DC1"/>
    <mergeCell ref="BQ5:BS5"/>
    <mergeCell ref="A6:C8"/>
    <mergeCell ref="AB6:AJ9"/>
    <mergeCell ref="BZ6:CA10"/>
    <mergeCell ref="G9:H9"/>
    <mergeCell ref="I9:J9"/>
    <mergeCell ref="Q9:X18"/>
    <mergeCell ref="F10:G10"/>
    <mergeCell ref="CH10:CI10"/>
  </mergeCells>
  <phoneticPr fontId="0" type="noConversion"/>
  <conditionalFormatting sqref="A127:A143 A151:A165 G151:I165 N151:N165 A167:A168 G167:I168 N167:N168">
    <cfRule type="expression" dxfId="37" priority="3">
      <formula>IF(D127="DESC",1,0)</formula>
    </cfRule>
  </conditionalFormatting>
  <conditionalFormatting sqref="A147:A148">
    <cfRule type="expression" dxfId="36" priority="4">
      <formula>IF(D147="DESC",1,0)</formula>
    </cfRule>
  </conditionalFormatting>
  <conditionalFormatting sqref="A166">
    <cfRule type="expression" dxfId="35" priority="2">
      <formula>IF(D166="DESC",1,0)</formula>
    </cfRule>
  </conditionalFormatting>
  <conditionalFormatting sqref="A216:A221">
    <cfRule type="expression" dxfId="34" priority="5">
      <formula>IF(#REF!="DESC",1,0)</formula>
    </cfRule>
  </conditionalFormatting>
  <conditionalFormatting sqref="A224:A234">
    <cfRule type="expression" dxfId="33" priority="6">
      <formula>IF(#REF!="DESC",1,0)</formula>
    </cfRule>
  </conditionalFormatting>
  <conditionalFormatting sqref="A237:A242">
    <cfRule type="expression" dxfId="32" priority="7">
      <formula>IF(#REF!="DESC",1,0)</formula>
    </cfRule>
  </conditionalFormatting>
  <conditionalFormatting sqref="A245:A246">
    <cfRule type="expression" dxfId="31" priority="8">
      <formula>IF(#REF!="DESC",1,0)</formula>
    </cfRule>
  </conditionalFormatting>
  <conditionalFormatting sqref="A249:A250">
    <cfRule type="expression" dxfId="30" priority="9">
      <formula>IF(#REF!="DESC",1,0)</formula>
    </cfRule>
  </conditionalFormatting>
  <conditionalFormatting sqref="A144:C144">
    <cfRule type="expression" dxfId="29" priority="10">
      <formula>IF(D144="DESC",1,0)</formula>
    </cfRule>
  </conditionalFormatting>
  <conditionalFormatting sqref="A173:C176">
    <cfRule type="expression" dxfId="28" priority="11">
      <formula>IF(D173="DESC",1,0)</formula>
    </cfRule>
  </conditionalFormatting>
  <conditionalFormatting sqref="A182:C184">
    <cfRule type="expression" dxfId="27" priority="12">
      <formula>IF(D182="DESC",1,0)</formula>
    </cfRule>
  </conditionalFormatting>
  <conditionalFormatting sqref="A190:C193">
    <cfRule type="expression" dxfId="26" priority="13">
      <formula>IF(D190="DESC",1,0)</formula>
    </cfRule>
  </conditionalFormatting>
  <conditionalFormatting sqref="A199:C201">
    <cfRule type="expression" dxfId="25" priority="14">
      <formula>IF(D199="DESC",1,0)</formula>
    </cfRule>
  </conditionalFormatting>
  <conditionalFormatting sqref="A104:N124">
    <cfRule type="expression" dxfId="24" priority="15">
      <formula>IF(D104="DESC",1,0)</formula>
    </cfRule>
  </conditionalFormatting>
  <conditionalFormatting sqref="F113 S113:S128 S131:S134 S136:S143 S145:S165 S167:S201">
    <cfRule type="expression" dxfId="23" priority="16">
      <formula>IF(D113="DESC",1,0)</formula>
    </cfRule>
  </conditionalFormatting>
  <conditionalFormatting sqref="F117">
    <cfRule type="expression" dxfId="22" priority="17">
      <formula>IF(D117="DESC",1,0)</formula>
    </cfRule>
  </conditionalFormatting>
  <conditionalFormatting sqref="F137">
    <cfRule type="expression" dxfId="21" priority="18">
      <formula>IF(D137="DESC",1,0)</formula>
    </cfRule>
  </conditionalFormatting>
  <conditionalFormatting sqref="F144">
    <cfRule type="expression" dxfId="20" priority="19">
      <formula>IF(I144="DESC",1,0)</formula>
    </cfRule>
  </conditionalFormatting>
  <conditionalFormatting sqref="F173:F176">
    <cfRule type="expression" dxfId="19" priority="20">
      <formula>IF(D173="DESC",1,0)</formula>
    </cfRule>
  </conditionalFormatting>
  <conditionalFormatting sqref="F182:F184">
    <cfRule type="expression" dxfId="18" priority="21">
      <formula>IF(D182="DESC",1,0)</formula>
    </cfRule>
  </conditionalFormatting>
  <conditionalFormatting sqref="F190:F193">
    <cfRule type="expression" dxfId="17" priority="22">
      <formula>IF(D190="DESC",1,0)</formula>
    </cfRule>
  </conditionalFormatting>
  <conditionalFormatting sqref="F199:F201">
    <cfRule type="expression" dxfId="16" priority="23">
      <formula>IF(D199="DESC",1,0)</formula>
    </cfRule>
  </conditionalFormatting>
  <conditionalFormatting sqref="G127:I144">
    <cfRule type="expression" dxfId="15" priority="24">
      <formula>IF(J127="DESC",1,0)</formula>
    </cfRule>
  </conditionalFormatting>
  <conditionalFormatting sqref="G147:I148">
    <cfRule type="expression" dxfId="14" priority="25">
      <formula>IF(J147="DESC",1,0)</formula>
    </cfRule>
  </conditionalFormatting>
  <conditionalFormatting sqref="N127:N143">
    <cfRule type="expression" dxfId="13" priority="26">
      <formula>IF(Q127="DESC",1,0)</formula>
    </cfRule>
  </conditionalFormatting>
  <conditionalFormatting sqref="N147:N148">
    <cfRule type="expression" dxfId="12" priority="27">
      <formula>IF(Q147="DESC",1,0)</formula>
    </cfRule>
  </conditionalFormatting>
  <conditionalFormatting sqref="N166">
    <cfRule type="expression" dxfId="11" priority="1">
      <formula>IF(Q166="DESC",1,0)</formula>
    </cfRule>
  </conditionalFormatting>
  <conditionalFormatting sqref="N216:N221">
    <cfRule type="expression" dxfId="10" priority="28">
      <formula>IF(#REF!="DESC",1,0)</formula>
    </cfRule>
  </conditionalFormatting>
  <conditionalFormatting sqref="N224:N234">
    <cfRule type="expression" dxfId="9" priority="29">
      <formula>IF(#REF!="DESC",1,0)</formula>
    </cfRule>
  </conditionalFormatting>
  <conditionalFormatting sqref="N237:N242">
    <cfRule type="expression" dxfId="8" priority="30">
      <formula>IF(#REF!="DESC",1,0)</formula>
    </cfRule>
  </conditionalFormatting>
  <conditionalFormatting sqref="N245:N246">
    <cfRule type="expression" dxfId="7" priority="31">
      <formula>IF(#REF!="DESC",1,0)</formula>
    </cfRule>
  </conditionalFormatting>
  <conditionalFormatting sqref="N249:N250">
    <cfRule type="expression" dxfId="6" priority="32">
      <formula>IF(#REF!="DESC",1,0)</formula>
    </cfRule>
  </conditionalFormatting>
  <conditionalFormatting sqref="N144:P144">
    <cfRule type="expression" dxfId="5" priority="33">
      <formula>IF(Q144="DESC",1,0)</formula>
    </cfRule>
  </conditionalFormatting>
  <conditionalFormatting sqref="N173:P176">
    <cfRule type="expression" dxfId="4" priority="34">
      <formula>IF(Q173="DESC",1,0)</formula>
    </cfRule>
  </conditionalFormatting>
  <conditionalFormatting sqref="N182:P184">
    <cfRule type="expression" dxfId="3" priority="35">
      <formula>IF(Q182="DESC",1,0)</formula>
    </cfRule>
  </conditionalFormatting>
  <conditionalFormatting sqref="N190:P193">
    <cfRule type="expression" dxfId="2" priority="36">
      <formula>IF(Q190="DESC",1,0)</formula>
    </cfRule>
  </conditionalFormatting>
  <conditionalFormatting sqref="N199:P201">
    <cfRule type="expression" dxfId="1" priority="37">
      <formula>IF(Q199="DESC",1,0)</formula>
    </cfRule>
  </conditionalFormatting>
  <conditionalFormatting sqref="S144">
    <cfRule type="expression" dxfId="0" priority="38">
      <formula>IF(V144="DESC",1,0)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/>
  <dimension ref="A1:DD79"/>
  <sheetViews>
    <sheetView topLeftCell="A10" zoomScale="40" zoomScaleNormal="40" workbookViewId="0">
      <selection activeCell="AG21" sqref="AG21"/>
    </sheetView>
  </sheetViews>
  <sheetFormatPr baseColWidth="10" defaultColWidth="14.42578125" defaultRowHeight="15"/>
  <cols>
    <col min="1" max="11" width="10.7109375" style="2" customWidth="1"/>
    <col min="12" max="24" width="0.28515625" style="2" customWidth="1"/>
    <col min="25" max="28" width="1" style="2" customWidth="1"/>
    <col min="29" max="34" width="10.7109375" style="2" customWidth="1"/>
    <col min="35" max="49" width="1.42578125" style="2" customWidth="1"/>
    <col min="50" max="63" width="1" style="2" customWidth="1"/>
    <col min="64" max="70" width="10.7109375" style="2" customWidth="1"/>
    <col min="71" max="79" width="0.7109375" style="2" customWidth="1"/>
    <col min="80" max="95" width="0.28515625" style="2" customWidth="1"/>
    <col min="96" max="108" width="10.7109375" style="2" customWidth="1"/>
    <col min="109" max="16384" width="14.42578125" style="2"/>
  </cols>
  <sheetData>
    <row r="1" spans="1:108" ht="45.75" thickBot="1">
      <c r="A1" s="716" t="s">
        <v>118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  <c r="Y1" s="717"/>
      <c r="Z1" s="717"/>
      <c r="AA1" s="717"/>
      <c r="AB1" s="717"/>
      <c r="AC1" s="717"/>
      <c r="AD1" s="717"/>
      <c r="AE1" s="717"/>
      <c r="AF1" s="717"/>
      <c r="AG1" s="717"/>
      <c r="AH1" s="717"/>
      <c r="AI1" s="717"/>
      <c r="AJ1" s="717"/>
      <c r="AK1" s="717"/>
      <c r="AL1" s="717"/>
      <c r="AM1" s="717"/>
      <c r="AN1" s="717"/>
      <c r="AO1" s="717"/>
      <c r="AP1" s="717"/>
      <c r="AQ1" s="717"/>
      <c r="AR1" s="717"/>
      <c r="AS1" s="717"/>
      <c r="AT1" s="717"/>
      <c r="AU1" s="717"/>
      <c r="AV1" s="717"/>
      <c r="AW1" s="717"/>
      <c r="AX1" s="717"/>
      <c r="AY1" s="717"/>
      <c r="AZ1" s="717"/>
      <c r="BA1" s="717"/>
      <c r="BB1" s="717"/>
      <c r="BC1" s="717"/>
      <c r="BD1" s="717"/>
      <c r="BE1" s="717"/>
      <c r="BF1" s="717"/>
      <c r="BG1" s="717"/>
      <c r="BH1" s="717"/>
      <c r="BI1" s="717"/>
      <c r="BJ1" s="717"/>
      <c r="BK1" s="717"/>
      <c r="BL1" s="717"/>
      <c r="BM1" s="717"/>
      <c r="BN1" s="717"/>
      <c r="BO1" s="717"/>
      <c r="BP1" s="717"/>
      <c r="BQ1" s="717"/>
      <c r="BR1" s="717"/>
      <c r="BS1" s="717"/>
      <c r="BT1" s="717"/>
      <c r="BU1" s="717"/>
      <c r="BV1" s="717"/>
      <c r="BW1" s="717"/>
      <c r="BX1" s="717"/>
      <c r="BY1" s="717"/>
      <c r="BZ1" s="717"/>
      <c r="CA1" s="717"/>
      <c r="CB1" s="717"/>
      <c r="CC1" s="717"/>
      <c r="CD1" s="717"/>
      <c r="CE1" s="717"/>
      <c r="CF1" s="717"/>
      <c r="CG1" s="717"/>
      <c r="CH1" s="717"/>
      <c r="CI1" s="717"/>
      <c r="CJ1" s="717"/>
      <c r="CK1" s="717"/>
      <c r="CL1" s="717"/>
      <c r="CM1" s="717"/>
      <c r="CN1" s="717"/>
      <c r="CO1" s="717"/>
      <c r="CP1" s="717"/>
      <c r="CQ1" s="717"/>
      <c r="CR1" s="717"/>
      <c r="CS1" s="717"/>
      <c r="CT1" s="717"/>
      <c r="CU1" s="717"/>
      <c r="CV1" s="717"/>
      <c r="CW1" s="717"/>
      <c r="CX1" s="717"/>
      <c r="CY1" s="717"/>
      <c r="CZ1" s="717"/>
      <c r="DA1" s="717"/>
      <c r="DB1" s="717"/>
      <c r="DC1" s="718"/>
      <c r="DD1" s="1"/>
    </row>
    <row r="2" spans="1:108" ht="33.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119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5" t="s">
        <v>120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4" t="s">
        <v>121</v>
      </c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3"/>
      <c r="CX2" s="3"/>
      <c r="CY2" s="3"/>
      <c r="CZ2" s="3"/>
      <c r="DA2" s="3"/>
      <c r="DB2" s="3"/>
      <c r="DC2" s="3"/>
      <c r="DD2" s="6"/>
    </row>
    <row r="3" spans="1:108" ht="33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3"/>
      <c r="CX3" s="3"/>
      <c r="CY3" s="3"/>
      <c r="CZ3" s="3"/>
      <c r="DA3" s="3"/>
      <c r="DB3" s="3"/>
      <c r="DC3" s="3"/>
      <c r="DD3" s="6"/>
    </row>
    <row r="4" spans="1:108" ht="34.5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3"/>
      <c r="CX4" s="3"/>
      <c r="CY4" s="3"/>
      <c r="CZ4" s="3"/>
      <c r="DA4" s="3"/>
      <c r="DB4" s="3"/>
      <c r="DC4" s="3"/>
      <c r="DD4" s="6"/>
    </row>
    <row r="5" spans="1:108" ht="18.75" thickBo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670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43"/>
      <c r="AB5" s="43"/>
      <c r="AC5" s="43"/>
      <c r="AD5" s="43"/>
      <c r="AE5" s="676"/>
      <c r="AF5" s="128"/>
      <c r="AG5" s="128"/>
      <c r="AH5" s="29"/>
      <c r="AI5" s="122"/>
      <c r="AJ5" s="122"/>
      <c r="AK5" s="122"/>
      <c r="AL5" s="3"/>
      <c r="AM5" s="670"/>
      <c r="AN5" s="7"/>
      <c r="AO5" s="7"/>
      <c r="AP5" s="7"/>
      <c r="AQ5" s="7"/>
      <c r="AR5" s="7"/>
      <c r="AS5" s="7"/>
      <c r="AT5" s="7"/>
      <c r="AU5" s="7"/>
      <c r="AV5" s="7"/>
      <c r="AW5" s="7"/>
      <c r="AX5" s="670"/>
      <c r="AY5" s="670"/>
      <c r="AZ5" s="670"/>
      <c r="BA5" s="670"/>
      <c r="BB5" s="670"/>
      <c r="BC5" s="670"/>
      <c r="BD5" s="670"/>
      <c r="BE5" s="670"/>
      <c r="BF5" s="670"/>
      <c r="BG5" s="43"/>
      <c r="BH5" s="43"/>
      <c r="BI5" s="43"/>
      <c r="BJ5" s="8"/>
      <c r="BK5" s="8"/>
      <c r="BL5" s="43"/>
      <c r="BM5" s="43"/>
      <c r="BN5" s="43"/>
      <c r="BO5" s="43"/>
      <c r="BP5" s="43"/>
      <c r="BQ5" s="719"/>
      <c r="BR5" s="717"/>
      <c r="BS5" s="718"/>
      <c r="BT5" s="128"/>
      <c r="BU5" s="128"/>
      <c r="BV5" s="128"/>
      <c r="BW5" s="128"/>
      <c r="BX5" s="29"/>
      <c r="BY5" s="29"/>
      <c r="BZ5" s="122"/>
      <c r="CA5" s="122"/>
      <c r="CB5" s="122"/>
      <c r="CC5" s="3"/>
      <c r="CD5" s="670"/>
      <c r="CE5" s="670"/>
      <c r="CF5" s="670"/>
      <c r="CG5" s="670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676"/>
      <c r="CX5" s="128"/>
      <c r="CY5" s="29"/>
      <c r="CZ5" s="29"/>
      <c r="DA5" s="122"/>
      <c r="DB5" s="122"/>
      <c r="DC5" s="122"/>
      <c r="DD5" s="6"/>
    </row>
    <row r="6" spans="1:108" ht="21">
      <c r="A6" s="720" t="s">
        <v>123</v>
      </c>
      <c r="B6" s="721"/>
      <c r="C6" s="722"/>
      <c r="D6" s="13">
        <v>50</v>
      </c>
      <c r="E6" s="664"/>
      <c r="F6" s="15"/>
      <c r="G6" s="665"/>
      <c r="H6" s="15"/>
      <c r="I6" s="29"/>
      <c r="J6" s="712">
        <v>100</v>
      </c>
      <c r="K6" s="19"/>
      <c r="L6" s="665"/>
      <c r="M6" s="666"/>
      <c r="N6" s="3"/>
      <c r="O6" s="670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43"/>
      <c r="AB6" s="729"/>
      <c r="AC6" s="730"/>
      <c r="AD6" s="730"/>
      <c r="AE6" s="730"/>
      <c r="AF6" s="730"/>
      <c r="AG6" s="730"/>
      <c r="AH6" s="730"/>
      <c r="AI6" s="730"/>
      <c r="AJ6" s="730"/>
      <c r="AK6" s="122"/>
      <c r="AL6" s="3"/>
      <c r="AM6" s="670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95"/>
      <c r="BA6" s="696"/>
      <c r="BB6" s="25"/>
      <c r="BC6" s="26"/>
      <c r="BD6" s="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8"/>
      <c r="BR6" s="28"/>
      <c r="BS6" s="28"/>
      <c r="BT6" s="28"/>
      <c r="BU6" s="28"/>
      <c r="BV6" s="28"/>
      <c r="BW6" s="28"/>
      <c r="BX6" s="28"/>
      <c r="BY6" s="28"/>
      <c r="BZ6" s="731"/>
      <c r="CA6" s="722"/>
      <c r="CB6" s="122"/>
      <c r="CC6" s="3"/>
      <c r="CD6" s="670"/>
      <c r="CE6" s="3"/>
      <c r="CF6" s="29"/>
      <c r="CG6" s="6"/>
      <c r="CH6" s="6"/>
      <c r="CI6" s="680"/>
      <c r="CJ6" s="680"/>
      <c r="CK6" s="680"/>
      <c r="CL6" s="680"/>
      <c r="CM6" s="680"/>
      <c r="CN6" s="680"/>
      <c r="CO6" s="6"/>
      <c r="CP6" s="3"/>
      <c r="CQ6" s="6"/>
      <c r="CR6" s="6"/>
      <c r="CS6" s="664"/>
      <c r="CT6" s="706"/>
      <c r="CU6" s="706"/>
      <c r="CV6" s="706"/>
      <c r="CW6" s="706"/>
      <c r="CX6" s="706"/>
      <c r="CY6" s="706"/>
      <c r="CZ6" s="706"/>
      <c r="DA6" s="32"/>
      <c r="DB6" s="32"/>
      <c r="DC6" s="122"/>
      <c r="DD6" s="6"/>
    </row>
    <row r="7" spans="1:108" ht="18">
      <c r="A7" s="723"/>
      <c r="B7" s="724"/>
      <c r="C7" s="725"/>
      <c r="D7" s="33" t="s">
        <v>132</v>
      </c>
      <c r="E7" s="6"/>
      <c r="F7" s="6"/>
      <c r="G7" s="46"/>
      <c r="H7" s="35" t="s">
        <v>134</v>
      </c>
      <c r="I7" s="29"/>
      <c r="J7" s="293"/>
      <c r="K7" s="35" t="s">
        <v>136</v>
      </c>
      <c r="L7" s="117"/>
      <c r="M7" s="3"/>
      <c r="N7" s="3"/>
      <c r="O7" s="670"/>
      <c r="P7" s="21"/>
      <c r="Q7" s="21"/>
      <c r="R7" s="21"/>
      <c r="S7" s="21"/>
      <c r="T7" s="21"/>
      <c r="U7" s="27"/>
      <c r="V7" s="27"/>
      <c r="W7" s="21"/>
      <c r="X7" s="21"/>
      <c r="Y7" s="38"/>
      <c r="Z7" s="38"/>
      <c r="AA7" s="677"/>
      <c r="AB7" s="730"/>
      <c r="AC7" s="724"/>
      <c r="AD7" s="724"/>
      <c r="AE7" s="724"/>
      <c r="AF7" s="724"/>
      <c r="AG7" s="724"/>
      <c r="AH7" s="724"/>
      <c r="AI7" s="724"/>
      <c r="AJ7" s="730"/>
      <c r="AK7" s="122"/>
      <c r="AL7" s="3"/>
      <c r="AM7" s="670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97"/>
      <c r="BA7" s="698"/>
      <c r="BB7" s="25"/>
      <c r="BC7" s="26"/>
      <c r="BD7" s="6"/>
      <c r="BE7" s="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8"/>
      <c r="BR7" s="28"/>
      <c r="BS7" s="28"/>
      <c r="BT7" s="28"/>
      <c r="BU7" s="28"/>
      <c r="BV7" s="28"/>
      <c r="BW7" s="28"/>
      <c r="BX7" s="28"/>
      <c r="BY7" s="28"/>
      <c r="BZ7" s="723"/>
      <c r="CA7" s="725"/>
      <c r="CB7" s="122"/>
      <c r="CC7" s="3"/>
      <c r="CD7" s="670"/>
      <c r="CE7" s="706"/>
      <c r="CF7" s="42"/>
      <c r="CG7" s="43"/>
      <c r="CH7" s="43"/>
      <c r="CI7" s="44"/>
      <c r="CJ7" s="44"/>
      <c r="CK7" s="44"/>
      <c r="CL7" s="44"/>
      <c r="CM7" s="44"/>
      <c r="CN7" s="44"/>
      <c r="CO7" s="44"/>
      <c r="CP7" s="3"/>
      <c r="CQ7" s="3"/>
      <c r="CR7" s="3"/>
      <c r="CS7" s="6"/>
      <c r="CT7" s="6"/>
      <c r="CU7" s="6"/>
      <c r="CV7" s="6"/>
      <c r="CW7" s="6"/>
      <c r="CX7" s="6"/>
      <c r="CY7" s="6"/>
      <c r="CZ7" s="6"/>
      <c r="DA7" s="32"/>
      <c r="DB7" s="32"/>
      <c r="DC7" s="122"/>
      <c r="DD7" s="6"/>
    </row>
    <row r="8" spans="1:108" ht="21.75" thickBot="1">
      <c r="A8" s="726"/>
      <c r="B8" s="727"/>
      <c r="C8" s="728"/>
      <c r="D8" s="45">
        <v>3</v>
      </c>
      <c r="E8" s="6"/>
      <c r="F8" s="6"/>
      <c r="G8" s="46">
        <v>1</v>
      </c>
      <c r="H8" s="47"/>
      <c r="I8" s="48" t="s">
        <v>136</v>
      </c>
      <c r="J8" s="711"/>
      <c r="K8" s="3"/>
      <c r="L8" s="46"/>
      <c r="M8" s="3"/>
      <c r="N8" s="3"/>
      <c r="O8" s="670"/>
      <c r="P8" s="21"/>
      <c r="Q8" s="21"/>
      <c r="R8" s="21"/>
      <c r="S8" s="21"/>
      <c r="T8" s="21"/>
      <c r="U8" s="27"/>
      <c r="V8" s="27"/>
      <c r="W8" s="21"/>
      <c r="X8" s="21"/>
      <c r="Y8" s="38"/>
      <c r="Z8" s="38"/>
      <c r="AA8" s="677"/>
      <c r="AB8" s="730"/>
      <c r="AC8" s="724"/>
      <c r="AD8" s="724"/>
      <c r="AE8" s="724"/>
      <c r="AF8" s="724"/>
      <c r="AG8" s="724"/>
      <c r="AH8" s="724"/>
      <c r="AI8" s="724"/>
      <c r="AJ8" s="730"/>
      <c r="AK8" s="122"/>
      <c r="AL8" s="3"/>
      <c r="AM8" s="670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97"/>
      <c r="BA8" s="698"/>
      <c r="BB8" s="6"/>
      <c r="BC8" s="26"/>
      <c r="BD8" s="6"/>
      <c r="BE8" s="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43"/>
      <c r="BR8" s="43"/>
      <c r="BS8" s="43"/>
      <c r="BT8" s="50"/>
      <c r="BU8" s="50"/>
      <c r="BV8" s="43"/>
      <c r="BW8" s="43"/>
      <c r="BX8" s="29"/>
      <c r="BY8" s="29"/>
      <c r="BZ8" s="723"/>
      <c r="CA8" s="725"/>
      <c r="CB8" s="122"/>
      <c r="CC8" s="3"/>
      <c r="CD8" s="670"/>
      <c r="CE8" s="3"/>
      <c r="CF8" s="42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2"/>
      <c r="DB8" s="32"/>
      <c r="DC8" s="122"/>
      <c r="DD8" s="6"/>
    </row>
    <row r="9" spans="1:108" ht="23.25" thickBot="1">
      <c r="A9" s="51"/>
      <c r="B9" s="52"/>
      <c r="C9" s="52"/>
      <c r="D9" s="53" t="s">
        <v>139</v>
      </c>
      <c r="E9" s="6"/>
      <c r="F9" s="6"/>
      <c r="G9" s="732" t="s">
        <v>140</v>
      </c>
      <c r="H9" s="730"/>
      <c r="I9" s="733" t="s">
        <v>141</v>
      </c>
      <c r="J9" s="730"/>
      <c r="K9" s="6"/>
      <c r="L9" s="675"/>
      <c r="M9" s="6"/>
      <c r="N9" s="3"/>
      <c r="O9" s="670"/>
      <c r="P9" s="21"/>
      <c r="Q9" s="734" t="s">
        <v>128</v>
      </c>
      <c r="R9" s="721"/>
      <c r="S9" s="721"/>
      <c r="T9" s="721"/>
      <c r="U9" s="721"/>
      <c r="V9" s="721"/>
      <c r="W9" s="721"/>
      <c r="X9" s="722"/>
      <c r="Y9" s="38"/>
      <c r="Z9" s="38"/>
      <c r="AA9" s="677"/>
      <c r="AB9" s="730"/>
      <c r="AC9" s="730"/>
      <c r="AD9" s="730"/>
      <c r="AE9" s="730"/>
      <c r="AF9" s="730"/>
      <c r="AG9" s="730"/>
      <c r="AH9" s="730"/>
      <c r="AI9" s="730"/>
      <c r="AJ9" s="730"/>
      <c r="AK9" s="122"/>
      <c r="AL9" s="3"/>
      <c r="AM9" s="670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97"/>
      <c r="BA9" s="698"/>
      <c r="BB9" s="25"/>
      <c r="BC9" s="26"/>
      <c r="BD9" s="6"/>
      <c r="BE9" s="6"/>
      <c r="BF9" s="6"/>
      <c r="BG9" s="6"/>
      <c r="BH9" s="6"/>
      <c r="BI9" s="26"/>
      <c r="BJ9" s="26"/>
      <c r="BK9" s="26"/>
      <c r="BL9" s="26"/>
      <c r="BM9" s="26"/>
      <c r="BN9" s="26"/>
      <c r="BO9" s="26"/>
      <c r="BP9" s="26"/>
      <c r="BQ9" s="43"/>
      <c r="BR9" s="43"/>
      <c r="BS9" s="43"/>
      <c r="BT9" s="29"/>
      <c r="BU9" s="43"/>
      <c r="BV9" s="43"/>
      <c r="BW9" s="43"/>
      <c r="BX9" s="29"/>
      <c r="BY9" s="29"/>
      <c r="BZ9" s="723"/>
      <c r="CA9" s="725"/>
      <c r="CB9" s="122"/>
      <c r="CC9" s="3"/>
      <c r="CD9" s="670"/>
      <c r="CE9" s="706"/>
      <c r="CF9" s="42"/>
      <c r="CG9" s="6"/>
      <c r="CH9" s="6"/>
      <c r="CI9" s="6"/>
      <c r="CJ9" s="6"/>
      <c r="CK9" s="6"/>
      <c r="CL9" s="6"/>
      <c r="CM9" s="6"/>
      <c r="CN9" s="6"/>
      <c r="CO9" s="6"/>
      <c r="CP9" s="6"/>
      <c r="CQ9" s="3"/>
      <c r="CR9" s="3"/>
      <c r="CS9" s="3"/>
      <c r="CT9" s="3"/>
      <c r="CU9" s="3"/>
      <c r="CV9" s="6"/>
      <c r="CW9" s="6"/>
      <c r="CX9" s="3"/>
      <c r="CY9" s="3"/>
      <c r="CZ9" s="3"/>
      <c r="DA9" s="56"/>
      <c r="DB9" s="6"/>
      <c r="DC9" s="122"/>
      <c r="DD9" s="6"/>
    </row>
    <row r="10" spans="1:108" ht="21.75" thickBot="1">
      <c r="A10" s="57"/>
      <c r="B10" s="3"/>
      <c r="C10" s="3"/>
      <c r="D10" s="3"/>
      <c r="E10" s="6"/>
      <c r="F10" s="732" t="s">
        <v>141</v>
      </c>
      <c r="G10" s="730"/>
      <c r="H10" s="6"/>
      <c r="I10" s="6"/>
      <c r="J10" s="3"/>
      <c r="K10" s="52"/>
      <c r="L10" s="3"/>
      <c r="M10" s="3"/>
      <c r="N10" s="3"/>
      <c r="O10" s="670"/>
      <c r="P10" s="21"/>
      <c r="Q10" s="723"/>
      <c r="R10" s="724"/>
      <c r="S10" s="724"/>
      <c r="T10" s="724"/>
      <c r="U10" s="724"/>
      <c r="V10" s="724"/>
      <c r="W10" s="724"/>
      <c r="X10" s="725"/>
      <c r="Y10" s="38"/>
      <c r="Z10" s="38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28"/>
      <c r="AL10" s="3"/>
      <c r="AM10" s="670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97"/>
      <c r="BA10" s="698"/>
      <c r="BB10" s="26"/>
      <c r="BC10" s="26"/>
      <c r="BD10" s="6"/>
      <c r="BE10" s="6"/>
      <c r="BF10" s="6"/>
      <c r="BG10" s="443"/>
      <c r="BH10" s="443"/>
      <c r="BI10" s="26"/>
      <c r="BJ10" s="26"/>
      <c r="BK10" s="26"/>
      <c r="BL10" s="26"/>
      <c r="BM10" s="26"/>
      <c r="BN10" s="26"/>
      <c r="BO10" s="26"/>
      <c r="BP10" s="26"/>
      <c r="BQ10" s="43"/>
      <c r="BR10" s="43"/>
      <c r="BS10" s="43"/>
      <c r="BT10" s="43"/>
      <c r="BU10" s="43"/>
      <c r="BV10" s="29"/>
      <c r="BW10" s="29"/>
      <c r="BX10" s="29"/>
      <c r="BY10" s="29"/>
      <c r="BZ10" s="726"/>
      <c r="CA10" s="728"/>
      <c r="CB10" s="28"/>
      <c r="CC10" s="3"/>
      <c r="CD10" s="43"/>
      <c r="CE10" s="3"/>
      <c r="CF10" s="42"/>
      <c r="CG10" s="6"/>
      <c r="CH10" s="735"/>
      <c r="CI10" s="730"/>
      <c r="CJ10" s="6"/>
      <c r="CK10" s="6"/>
      <c r="CL10" s="6"/>
      <c r="CM10" s="664"/>
      <c r="CN10" s="706"/>
      <c r="CO10" s="6"/>
      <c r="CP10" s="6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2"/>
      <c r="DB10" s="483"/>
      <c r="DC10" s="44"/>
      <c r="DD10" s="6"/>
    </row>
    <row r="11" spans="1:108" ht="21" thickBot="1">
      <c r="A11" s="51"/>
      <c r="B11" s="3"/>
      <c r="C11" s="3"/>
      <c r="D11" s="62"/>
      <c r="E11" s="48" t="s">
        <v>146</v>
      </c>
      <c r="F11" s="17"/>
      <c r="G11" s="17"/>
      <c r="H11" s="48"/>
      <c r="I11" s="3"/>
      <c r="J11" s="3"/>
      <c r="K11" s="293"/>
      <c r="L11" s="293"/>
      <c r="M11" s="3"/>
      <c r="N11" s="3"/>
      <c r="O11" s="670"/>
      <c r="P11" s="21"/>
      <c r="Q11" s="723"/>
      <c r="R11" s="724"/>
      <c r="S11" s="724"/>
      <c r="T11" s="724"/>
      <c r="U11" s="724"/>
      <c r="V11" s="724"/>
      <c r="W11" s="724"/>
      <c r="X11" s="725"/>
      <c r="Y11" s="21"/>
      <c r="Z11" s="21"/>
      <c r="AA11" s="26"/>
      <c r="AB11" s="43"/>
      <c r="AC11" s="678"/>
      <c r="AD11" s="678"/>
      <c r="AE11" s="29"/>
      <c r="AF11" s="29"/>
      <c r="AG11" s="29"/>
      <c r="AH11" s="29"/>
      <c r="AI11" s="28"/>
      <c r="AJ11" s="122"/>
      <c r="AK11" s="28"/>
      <c r="AL11" s="3"/>
      <c r="AM11" s="670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97"/>
      <c r="BA11" s="698"/>
      <c r="BB11" s="25"/>
      <c r="BC11" s="26"/>
      <c r="BD11" s="6"/>
      <c r="BE11" s="6"/>
      <c r="BF11" s="6"/>
      <c r="BG11" s="443"/>
      <c r="BH11" s="443"/>
      <c r="BI11" s="68"/>
      <c r="BJ11" s="26"/>
      <c r="BK11" s="26"/>
      <c r="BL11" s="26"/>
      <c r="BM11" s="26"/>
      <c r="BN11" s="26"/>
      <c r="BO11" s="26"/>
      <c r="BP11" s="26"/>
      <c r="BQ11" s="43"/>
      <c r="BR11" s="43"/>
      <c r="BS11" s="43"/>
      <c r="BT11" s="43"/>
      <c r="BU11" s="43"/>
      <c r="BV11" s="29"/>
      <c r="BW11" s="29"/>
      <c r="BX11" s="29"/>
      <c r="BY11" s="29"/>
      <c r="BZ11" s="28"/>
      <c r="CA11" s="122"/>
      <c r="CB11" s="28"/>
      <c r="CC11" s="3"/>
      <c r="CD11" s="43"/>
      <c r="CE11" s="706"/>
      <c r="CF11" s="29"/>
      <c r="CG11" s="35"/>
      <c r="CH11" s="113"/>
      <c r="CI11" s="113"/>
      <c r="CJ11" s="6"/>
      <c r="CK11" s="6"/>
      <c r="CL11" s="6"/>
      <c r="CM11" s="6"/>
      <c r="CN11" s="6"/>
      <c r="CO11" s="6"/>
      <c r="CP11" s="6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2"/>
      <c r="DB11" s="293"/>
      <c r="DC11" s="44"/>
      <c r="DD11" s="6"/>
    </row>
    <row r="12" spans="1:108" ht="19.5" thickBot="1">
      <c r="A12" s="736" t="s">
        <v>150</v>
      </c>
      <c r="B12" s="3"/>
      <c r="C12" s="70"/>
      <c r="D12" s="71">
        <v>1</v>
      </c>
      <c r="E12" s="17"/>
      <c r="F12" s="72">
        <v>100</v>
      </c>
      <c r="G12" s="73">
        <v>100</v>
      </c>
      <c r="H12" s="17"/>
      <c r="I12" s="74">
        <v>6</v>
      </c>
      <c r="J12" s="75"/>
      <c r="K12" s="664"/>
      <c r="L12" s="664"/>
      <c r="M12" s="739"/>
      <c r="N12" s="730"/>
      <c r="O12" s="670"/>
      <c r="P12" s="21"/>
      <c r="Q12" s="723"/>
      <c r="R12" s="724"/>
      <c r="S12" s="724"/>
      <c r="T12" s="724"/>
      <c r="U12" s="724"/>
      <c r="V12" s="724"/>
      <c r="W12" s="724"/>
      <c r="X12" s="725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28"/>
      <c r="AL12" s="3"/>
      <c r="AM12" s="670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97"/>
      <c r="BA12" s="698"/>
      <c r="BB12" s="6"/>
      <c r="BC12" s="26"/>
      <c r="BD12" s="6"/>
      <c r="BE12" s="6"/>
      <c r="BF12" s="6"/>
      <c r="BG12" s="443"/>
      <c r="BH12" s="443"/>
      <c r="BI12" s="68"/>
      <c r="BJ12" s="26"/>
      <c r="BK12" s="26"/>
      <c r="BL12" s="26"/>
      <c r="BM12" s="26"/>
      <c r="BN12" s="26"/>
      <c r="BO12" s="26"/>
      <c r="BP12" s="26"/>
      <c r="BQ12" s="43"/>
      <c r="BR12" s="43"/>
      <c r="BS12" s="43"/>
      <c r="BT12" s="29"/>
      <c r="BU12" s="29"/>
      <c r="BV12" s="29"/>
      <c r="BW12" s="3"/>
      <c r="BX12" s="3"/>
      <c r="BY12" s="3"/>
      <c r="BZ12" s="28"/>
      <c r="CA12" s="76"/>
      <c r="CB12" s="28"/>
      <c r="CC12" s="3"/>
      <c r="CD12" s="43"/>
      <c r="CE12" s="44"/>
      <c r="CF12" s="77"/>
      <c r="CG12" s="117"/>
      <c r="CH12" s="665"/>
      <c r="CI12" s="665"/>
      <c r="CJ12" s="117"/>
      <c r="CK12" s="78"/>
      <c r="CL12" s="6"/>
      <c r="CM12" s="664"/>
      <c r="CN12" s="706"/>
      <c r="CO12" s="6"/>
      <c r="CP12" s="6"/>
      <c r="CQ12" s="3"/>
      <c r="CR12" s="3"/>
      <c r="CS12" s="3"/>
      <c r="CT12" s="3"/>
      <c r="CU12" s="3"/>
      <c r="CV12" s="3"/>
      <c r="CW12" s="3"/>
      <c r="CX12" s="3"/>
      <c r="CY12" s="6"/>
      <c r="CZ12" s="3"/>
      <c r="DA12" s="32"/>
      <c r="DB12" s="79"/>
      <c r="DC12" s="44"/>
      <c r="DD12" s="6"/>
    </row>
    <row r="13" spans="1:108" ht="18">
      <c r="A13" s="737"/>
      <c r="B13" s="3"/>
      <c r="C13" s="70"/>
      <c r="D13" s="71">
        <v>2</v>
      </c>
      <c r="E13" s="17"/>
      <c r="F13" s="80">
        <v>100</v>
      </c>
      <c r="G13" s="81">
        <v>100</v>
      </c>
      <c r="H13" s="17"/>
      <c r="I13" s="74">
        <v>5</v>
      </c>
      <c r="J13" s="75"/>
      <c r="M13" s="35"/>
      <c r="N13" s="46"/>
      <c r="O13" s="670"/>
      <c r="P13" s="21"/>
      <c r="Q13" s="723"/>
      <c r="R13" s="724"/>
      <c r="S13" s="724"/>
      <c r="T13" s="724"/>
      <c r="U13" s="724"/>
      <c r="V13" s="724"/>
      <c r="W13" s="724"/>
      <c r="X13" s="725"/>
      <c r="Y13" s="6"/>
      <c r="Z13" s="740" t="s">
        <v>153</v>
      </c>
      <c r="AA13" s="721"/>
      <c r="AB13" s="721"/>
      <c r="AC13" s="721"/>
      <c r="AD13" s="721"/>
      <c r="AE13" s="721"/>
      <c r="AF13" s="721"/>
      <c r="AG13" s="721"/>
      <c r="AH13" s="722"/>
      <c r="AI13" s="6"/>
      <c r="AJ13" s="6"/>
      <c r="AK13" s="28"/>
      <c r="AL13" s="3"/>
      <c r="AM13" s="670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97"/>
      <c r="BA13" s="698"/>
      <c r="BB13" s="25"/>
      <c r="BC13" s="26"/>
      <c r="BD13" s="6"/>
      <c r="BE13" s="6"/>
      <c r="BF13" s="6"/>
      <c r="BG13" s="671"/>
      <c r="BH13" s="25"/>
      <c r="BI13" s="26"/>
      <c r="BJ13" s="26"/>
      <c r="BK13" s="26"/>
      <c r="BL13" s="26"/>
      <c r="BM13" s="26"/>
      <c r="BN13" s="26"/>
      <c r="BO13" s="26"/>
      <c r="BP13" s="26"/>
      <c r="BQ13" s="43"/>
      <c r="BR13" s="43"/>
      <c r="BS13" s="43"/>
      <c r="BT13" s="6"/>
      <c r="BU13" s="6"/>
      <c r="BV13" s="6"/>
      <c r="BW13" s="6"/>
      <c r="BX13" s="6"/>
      <c r="BY13" s="6"/>
      <c r="BZ13" s="6"/>
      <c r="CA13" s="6"/>
      <c r="CB13" s="58"/>
      <c r="CC13" s="3"/>
      <c r="CD13" s="43"/>
      <c r="CE13" s="706"/>
      <c r="CF13" s="77"/>
      <c r="CG13" s="117"/>
      <c r="CH13" s="665"/>
      <c r="CI13" s="665"/>
      <c r="CJ13" s="117"/>
      <c r="CK13" s="78"/>
      <c r="CL13" s="6"/>
      <c r="CM13" s="6"/>
      <c r="CN13" s="6"/>
      <c r="CO13" s="6"/>
      <c r="CP13" s="6"/>
      <c r="CQ13" s="6"/>
      <c r="CR13" s="3"/>
      <c r="CS13" s="3"/>
      <c r="CT13" s="3"/>
      <c r="CU13" s="3"/>
      <c r="CV13" s="3"/>
      <c r="CW13" s="3"/>
      <c r="CX13" s="3"/>
      <c r="CY13" s="6"/>
      <c r="CZ13" s="3"/>
      <c r="DA13" s="32"/>
      <c r="DB13" s="483"/>
      <c r="DC13" s="44"/>
      <c r="DD13" s="6"/>
    </row>
    <row r="14" spans="1:108" ht="18">
      <c r="A14" s="737"/>
      <c r="B14" s="6"/>
      <c r="C14" s="70"/>
      <c r="D14" s="71">
        <v>3</v>
      </c>
      <c r="E14" s="17"/>
      <c r="F14" s="84">
        <v>100</v>
      </c>
      <c r="G14" s="85">
        <v>100</v>
      </c>
      <c r="H14" s="17"/>
      <c r="I14" s="74">
        <v>4</v>
      </c>
      <c r="J14" s="75"/>
      <c r="M14" s="46"/>
      <c r="N14" s="665"/>
      <c r="O14" s="670"/>
      <c r="P14" s="21"/>
      <c r="Q14" s="723"/>
      <c r="R14" s="724"/>
      <c r="S14" s="724"/>
      <c r="T14" s="724"/>
      <c r="U14" s="724"/>
      <c r="V14" s="724"/>
      <c r="W14" s="724"/>
      <c r="X14" s="725"/>
      <c r="Y14" s="6"/>
      <c r="Z14" s="723"/>
      <c r="AA14" s="724"/>
      <c r="AB14" s="724"/>
      <c r="AC14" s="724"/>
      <c r="AD14" s="724"/>
      <c r="AE14" s="724"/>
      <c r="AF14" s="724"/>
      <c r="AG14" s="724"/>
      <c r="AH14" s="725"/>
      <c r="AI14" s="6"/>
      <c r="AJ14" s="6"/>
      <c r="AK14" s="28"/>
      <c r="AL14" s="3"/>
      <c r="AM14" s="670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97"/>
      <c r="BA14" s="698"/>
      <c r="BB14" s="26"/>
      <c r="BC14" s="26"/>
      <c r="BD14" s="6"/>
      <c r="BE14" s="6"/>
      <c r="BF14" s="6"/>
      <c r="BG14" s="666"/>
      <c r="BH14" s="25"/>
      <c r="BI14" s="26"/>
      <c r="BJ14" s="26"/>
      <c r="BK14" s="26"/>
      <c r="BL14" s="26"/>
      <c r="BM14" s="26"/>
      <c r="BN14" s="26"/>
      <c r="BO14" s="26"/>
      <c r="BP14" s="26"/>
      <c r="BQ14" s="43"/>
      <c r="BR14" s="43"/>
      <c r="BS14" s="43"/>
      <c r="BT14" s="6"/>
      <c r="BU14" s="6"/>
      <c r="BV14" s="6"/>
      <c r="BW14" s="6"/>
      <c r="BX14" s="6"/>
      <c r="BY14" s="6"/>
      <c r="BZ14" s="6"/>
      <c r="CA14" s="6"/>
      <c r="CB14" s="58"/>
      <c r="CC14" s="3"/>
      <c r="CD14" s="43"/>
      <c r="CE14" s="44"/>
      <c r="CF14" s="42"/>
      <c r="CG14" s="3"/>
      <c r="CH14" s="113"/>
      <c r="CI14" s="113"/>
      <c r="CJ14" s="6"/>
      <c r="CK14" s="6"/>
      <c r="CL14" s="3"/>
      <c r="CM14" s="664"/>
      <c r="CN14" s="706"/>
      <c r="CO14" s="6"/>
      <c r="CP14" s="3"/>
      <c r="CQ14" s="3"/>
      <c r="CR14" s="3"/>
      <c r="CS14" s="3"/>
      <c r="CT14" s="3"/>
      <c r="CU14" s="3"/>
      <c r="CV14" s="3"/>
      <c r="CW14" s="3"/>
      <c r="CX14" s="3"/>
      <c r="CY14" s="6"/>
      <c r="CZ14" s="3"/>
      <c r="DA14" s="32"/>
      <c r="DB14" s="32"/>
      <c r="DC14" s="44"/>
      <c r="DD14" s="6"/>
    </row>
    <row r="15" spans="1:108" ht="19.5" thickBot="1">
      <c r="A15" s="738"/>
      <c r="B15" s="86"/>
      <c r="C15" s="86"/>
      <c r="D15" s="86"/>
      <c r="E15" s="87"/>
      <c r="F15" s="88"/>
      <c r="G15" s="88"/>
      <c r="H15" s="74"/>
      <c r="I15" s="52"/>
      <c r="J15" s="52"/>
      <c r="K15" s="52"/>
      <c r="L15" s="89"/>
      <c r="M15" s="46"/>
      <c r="N15" s="665"/>
      <c r="O15" s="670"/>
      <c r="P15" s="21"/>
      <c r="Q15" s="723"/>
      <c r="R15" s="724"/>
      <c r="S15" s="724"/>
      <c r="T15" s="724"/>
      <c r="U15" s="724"/>
      <c r="V15" s="724"/>
      <c r="W15" s="724"/>
      <c r="X15" s="725"/>
      <c r="Y15" s="6"/>
      <c r="Z15" s="723"/>
      <c r="AA15" s="724"/>
      <c r="AB15" s="724"/>
      <c r="AC15" s="724"/>
      <c r="AD15" s="724"/>
      <c r="AE15" s="724"/>
      <c r="AF15" s="724"/>
      <c r="AG15" s="724"/>
      <c r="AH15" s="725"/>
      <c r="AI15" s="6"/>
      <c r="AJ15" s="6"/>
      <c r="AK15" s="28"/>
      <c r="AL15" s="3"/>
      <c r="AM15" s="670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97"/>
      <c r="BA15" s="698"/>
      <c r="BB15" s="26"/>
      <c r="BC15" s="26"/>
      <c r="BD15" s="6"/>
      <c r="BE15" s="6"/>
      <c r="BF15" s="90"/>
      <c r="BG15" s="666"/>
      <c r="BH15" s="25"/>
      <c r="BI15" s="6"/>
      <c r="BJ15" s="26"/>
      <c r="BK15" s="26"/>
      <c r="BL15" s="26"/>
      <c r="BM15" s="26"/>
      <c r="BN15" s="26"/>
      <c r="BO15" s="26"/>
      <c r="BP15" s="26"/>
      <c r="BQ15" s="43"/>
      <c r="BR15" s="43"/>
      <c r="BS15" s="43"/>
      <c r="BT15" s="3"/>
      <c r="BU15" s="3"/>
      <c r="BV15" s="3"/>
      <c r="BW15" s="3"/>
      <c r="BX15" s="91"/>
      <c r="BY15" s="92"/>
      <c r="BZ15" s="91"/>
      <c r="CA15" s="92"/>
      <c r="CB15" s="58"/>
      <c r="CC15" s="3"/>
      <c r="CD15" s="43"/>
      <c r="CE15" s="706"/>
      <c r="CF15" s="42"/>
      <c r="CG15" s="29"/>
      <c r="CH15" s="6"/>
      <c r="CI15" s="6"/>
      <c r="CJ15" s="6"/>
      <c r="CK15" s="6"/>
      <c r="CL15" s="3"/>
      <c r="CM15" s="6"/>
      <c r="CN15" s="6"/>
      <c r="CO15" s="6"/>
      <c r="CP15" s="3"/>
      <c r="CQ15" s="3"/>
      <c r="CR15" s="3"/>
      <c r="CS15" s="3"/>
      <c r="CT15" s="3"/>
      <c r="CU15" s="664"/>
      <c r="CV15" s="706"/>
      <c r="CW15" s="3"/>
      <c r="CX15" s="3"/>
      <c r="CY15" s="6"/>
      <c r="CZ15" s="3"/>
      <c r="DA15" s="32"/>
      <c r="DB15" s="32"/>
      <c r="DC15" s="44"/>
      <c r="DD15" s="6"/>
    </row>
    <row r="16" spans="1:108" ht="21.75" thickBot="1">
      <c r="A16" s="93"/>
      <c r="B16" s="52"/>
      <c r="C16" s="52"/>
      <c r="D16" s="52"/>
      <c r="E16" s="94"/>
      <c r="F16" s="95"/>
      <c r="G16" s="96"/>
      <c r="H16" s="97"/>
      <c r="I16" s="3"/>
      <c r="J16" s="3"/>
      <c r="K16" s="98"/>
      <c r="L16" s="89"/>
      <c r="M16" s="46"/>
      <c r="N16" s="665"/>
      <c r="O16" s="670"/>
      <c r="P16" s="21"/>
      <c r="Q16" s="723"/>
      <c r="R16" s="724"/>
      <c r="S16" s="724"/>
      <c r="T16" s="724"/>
      <c r="U16" s="724"/>
      <c r="V16" s="724"/>
      <c r="W16" s="724"/>
      <c r="X16" s="725"/>
      <c r="Y16" s="6"/>
      <c r="Z16" s="723"/>
      <c r="AA16" s="724"/>
      <c r="AB16" s="724"/>
      <c r="AC16" s="724"/>
      <c r="AD16" s="724"/>
      <c r="AE16" s="724"/>
      <c r="AF16" s="724"/>
      <c r="AG16" s="724"/>
      <c r="AH16" s="725"/>
      <c r="AI16" s="6"/>
      <c r="AJ16" s="6"/>
      <c r="AK16" s="28"/>
      <c r="AL16" s="3"/>
      <c r="AM16" s="670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97"/>
      <c r="BA16" s="698"/>
      <c r="BB16" s="25"/>
      <c r="BC16" s="26"/>
      <c r="BD16" s="6"/>
      <c r="BE16" s="6"/>
      <c r="BF16" s="90"/>
      <c r="BG16" s="666"/>
      <c r="BH16" s="25"/>
      <c r="BI16" s="26"/>
      <c r="BJ16" s="26"/>
      <c r="BK16" s="26"/>
      <c r="BL16" s="26"/>
      <c r="BM16" s="98"/>
      <c r="BN16" s="99" t="s">
        <v>155</v>
      </c>
      <c r="BO16" s="100"/>
      <c r="BP16" s="100"/>
      <c r="BQ16" s="43"/>
      <c r="BR16" s="43"/>
      <c r="BS16" s="43"/>
      <c r="BT16" s="43"/>
      <c r="BU16" s="43"/>
      <c r="BV16" s="43"/>
      <c r="BW16" s="3"/>
      <c r="BX16" s="6"/>
      <c r="BY16" s="6"/>
      <c r="BZ16" s="6"/>
      <c r="CA16" s="6"/>
      <c r="CB16" s="58"/>
      <c r="CC16" s="3"/>
      <c r="CD16" s="43"/>
      <c r="CE16" s="44"/>
      <c r="CF16" s="44"/>
      <c r="CG16" s="68"/>
      <c r="CH16" s="43"/>
      <c r="CI16" s="29"/>
      <c r="CJ16" s="3"/>
      <c r="CK16" s="6"/>
      <c r="CL16" s="6"/>
      <c r="CM16" s="735"/>
      <c r="CN16" s="724"/>
      <c r="CO16" s="3"/>
      <c r="CP16" s="3"/>
      <c r="CQ16" s="3"/>
      <c r="CR16" s="3"/>
      <c r="CS16" s="3"/>
      <c r="CT16" s="3"/>
      <c r="CU16" s="664"/>
      <c r="CV16" s="706"/>
      <c r="CW16" s="3"/>
      <c r="CX16" s="3"/>
      <c r="CY16" s="6"/>
      <c r="CZ16" s="3"/>
      <c r="DA16" s="32"/>
      <c r="DB16" s="32"/>
      <c r="DC16" s="44"/>
      <c r="DD16" s="6"/>
    </row>
    <row r="17" spans="1:108" ht="27.75">
      <c r="A17" s="93"/>
      <c r="B17" s="52"/>
      <c r="C17" s="6"/>
      <c r="D17" s="6"/>
      <c r="E17" s="3"/>
      <c r="F17" s="102"/>
      <c r="G17" s="103"/>
      <c r="H17" s="104"/>
      <c r="I17" s="3"/>
      <c r="J17" s="3"/>
      <c r="K17" s="3"/>
      <c r="L17" s="89"/>
      <c r="M17" s="46"/>
      <c r="N17" s="665"/>
      <c r="O17" s="670"/>
      <c r="P17" s="21"/>
      <c r="Q17" s="723"/>
      <c r="R17" s="724"/>
      <c r="S17" s="724"/>
      <c r="T17" s="724"/>
      <c r="U17" s="724"/>
      <c r="V17" s="724"/>
      <c r="W17" s="724"/>
      <c r="X17" s="725"/>
      <c r="Y17" s="6"/>
      <c r="Z17" s="723"/>
      <c r="AA17" s="724"/>
      <c r="AB17" s="724"/>
      <c r="AC17" s="724"/>
      <c r="AD17" s="724"/>
      <c r="AE17" s="724"/>
      <c r="AF17" s="724"/>
      <c r="AG17" s="724"/>
      <c r="AH17" s="725"/>
      <c r="AI17" s="6"/>
      <c r="AJ17" s="6"/>
      <c r="AK17" s="28"/>
      <c r="AL17" s="3"/>
      <c r="AM17" s="670"/>
      <c r="AN17" s="6"/>
      <c r="AO17" s="6"/>
      <c r="AP17" s="6"/>
      <c r="AQ17" s="105" t="s">
        <v>156</v>
      </c>
      <c r="AR17" s="106"/>
      <c r="AS17" s="106"/>
      <c r="AT17" s="6"/>
      <c r="AU17" s="6"/>
      <c r="AV17" s="6"/>
      <c r="AW17" s="6"/>
      <c r="AX17" s="6"/>
      <c r="AY17" s="6"/>
      <c r="AZ17" s="697"/>
      <c r="BA17" s="698"/>
      <c r="BB17" s="26"/>
      <c r="BC17" s="26"/>
      <c r="BD17" s="26"/>
      <c r="BE17" s="6"/>
      <c r="BF17" s="90"/>
      <c r="BG17" s="666"/>
      <c r="BH17" s="107"/>
      <c r="BI17" s="29"/>
      <c r="BJ17" s="26"/>
      <c r="BK17" s="26"/>
      <c r="BL17" s="26"/>
      <c r="BM17" s="26"/>
      <c r="BN17" s="108" t="s">
        <v>158</v>
      </c>
      <c r="BO17" s="109"/>
      <c r="BP17" s="109"/>
      <c r="BQ17" s="110"/>
      <c r="BR17" s="111"/>
      <c r="BS17" s="43"/>
      <c r="BT17" s="112"/>
      <c r="BU17" s="43"/>
      <c r="BV17" s="43"/>
      <c r="BW17" s="43"/>
      <c r="BX17" s="43"/>
      <c r="BY17" s="3"/>
      <c r="BZ17" s="3"/>
      <c r="CA17" s="3"/>
      <c r="CB17" s="58"/>
      <c r="CC17" s="3"/>
      <c r="CD17" s="43"/>
      <c r="CE17" s="706"/>
      <c r="CF17" s="3"/>
      <c r="CG17" s="68"/>
      <c r="CH17" s="664"/>
      <c r="CI17" s="664"/>
      <c r="CJ17" s="3"/>
      <c r="CK17" s="6"/>
      <c r="CL17" s="6"/>
      <c r="CM17" s="113"/>
      <c r="CN17" s="11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6"/>
      <c r="CZ17" s="3"/>
      <c r="DA17" s="32"/>
      <c r="DB17" s="32"/>
      <c r="DC17" s="44"/>
      <c r="DD17" s="6"/>
    </row>
    <row r="18" spans="1:108" ht="19.5" thickBot="1">
      <c r="A18" s="93"/>
      <c r="B18" s="52"/>
      <c r="C18" s="6"/>
      <c r="D18" s="6"/>
      <c r="E18" s="6"/>
      <c r="F18" s="6"/>
      <c r="G18" s="103"/>
      <c r="H18" s="104"/>
      <c r="I18" s="3"/>
      <c r="J18" s="3"/>
      <c r="K18" s="26"/>
      <c r="L18" s="6"/>
      <c r="M18" s="6"/>
      <c r="N18" s="46"/>
      <c r="O18" s="670"/>
      <c r="P18" s="21"/>
      <c r="Q18" s="726"/>
      <c r="R18" s="727"/>
      <c r="S18" s="727"/>
      <c r="T18" s="727"/>
      <c r="U18" s="727"/>
      <c r="V18" s="727"/>
      <c r="W18" s="727"/>
      <c r="X18" s="728"/>
      <c r="Y18" s="6"/>
      <c r="Z18" s="726"/>
      <c r="AA18" s="727"/>
      <c r="AB18" s="727"/>
      <c r="AC18" s="727"/>
      <c r="AD18" s="727"/>
      <c r="AE18" s="727"/>
      <c r="AF18" s="727"/>
      <c r="AG18" s="727"/>
      <c r="AH18" s="728"/>
      <c r="AI18" s="6"/>
      <c r="AJ18" s="6"/>
      <c r="AK18" s="28"/>
      <c r="AL18" s="3"/>
      <c r="AM18" s="670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97"/>
      <c r="BA18" s="698"/>
      <c r="BB18" s="25"/>
      <c r="BC18" s="26"/>
      <c r="BD18" s="26"/>
      <c r="BE18" s="6"/>
      <c r="BF18" s="6"/>
      <c r="BG18" s="26"/>
      <c r="BH18" s="26"/>
      <c r="BI18" s="26"/>
      <c r="BJ18" s="6"/>
      <c r="BK18" s="6"/>
      <c r="BL18" s="6"/>
      <c r="BM18" s="71">
        <v>1</v>
      </c>
      <c r="BN18" s="114" t="s">
        <v>132</v>
      </c>
      <c r="BO18" s="115">
        <v>50</v>
      </c>
      <c r="BP18" s="115">
        <v>50</v>
      </c>
      <c r="BQ18" s="114" t="s">
        <v>132</v>
      </c>
      <c r="BR18" s="74">
        <v>8</v>
      </c>
      <c r="BS18" s="6"/>
      <c r="BT18" s="112"/>
      <c r="BU18" s="43"/>
      <c r="BV18" s="43"/>
      <c r="BW18" s="43"/>
      <c r="BX18" s="43"/>
      <c r="BY18" s="112"/>
      <c r="BZ18" s="116"/>
      <c r="CA18" s="43"/>
      <c r="CB18" s="28"/>
      <c r="CC18" s="3"/>
      <c r="CD18" s="43"/>
      <c r="CE18" s="42"/>
      <c r="CF18" s="3"/>
      <c r="CG18" s="68"/>
      <c r="CH18" s="664"/>
      <c r="CI18" s="664"/>
      <c r="CJ18" s="3"/>
      <c r="CK18" s="77"/>
      <c r="CL18" s="117"/>
      <c r="CM18" s="293"/>
      <c r="CN18" s="293"/>
      <c r="CO18" s="117"/>
      <c r="CP18" s="78"/>
      <c r="CQ18" s="29"/>
      <c r="CR18" s="3"/>
      <c r="CS18" s="3"/>
      <c r="CT18" s="3"/>
      <c r="CU18" s="3"/>
      <c r="CV18" s="3"/>
      <c r="CW18" s="3"/>
      <c r="CX18" s="3"/>
      <c r="CY18" s="6"/>
      <c r="CZ18" s="3"/>
      <c r="DA18" s="32"/>
      <c r="DB18" s="6"/>
      <c r="DC18" s="44"/>
      <c r="DD18" s="6"/>
    </row>
    <row r="19" spans="1:108" ht="19.5" thickBot="1">
      <c r="A19" s="93"/>
      <c r="B19" s="52"/>
      <c r="C19" s="741" t="s">
        <v>160</v>
      </c>
      <c r="D19" s="724"/>
      <c r="E19" s="6"/>
      <c r="F19" s="6"/>
      <c r="G19" s="119"/>
      <c r="H19" s="104"/>
      <c r="I19" s="3"/>
      <c r="J19" s="3"/>
      <c r="K19" s="3"/>
      <c r="L19" s="6"/>
      <c r="M19" s="6"/>
      <c r="N19" s="6"/>
      <c r="O19" s="670"/>
      <c r="P19" s="21"/>
      <c r="Q19" s="6"/>
      <c r="R19" s="6"/>
      <c r="S19" s="21"/>
      <c r="T19" s="21"/>
      <c r="U19" s="21"/>
      <c r="V19" s="21"/>
      <c r="W19" s="21"/>
      <c r="X19" s="21"/>
      <c r="Y19" s="6"/>
      <c r="Z19" s="6"/>
      <c r="AA19" s="680"/>
      <c r="AB19" s="680"/>
      <c r="AC19" s="6"/>
      <c r="AD19" s="3"/>
      <c r="AE19" s="3"/>
      <c r="AF19" s="3"/>
      <c r="AG19" s="3"/>
      <c r="AH19" s="3"/>
      <c r="AI19" s="6"/>
      <c r="AJ19" s="6"/>
      <c r="AK19" s="28"/>
      <c r="AL19" s="3"/>
      <c r="AM19" s="670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99"/>
      <c r="BA19" s="700"/>
      <c r="BB19" s="26"/>
      <c r="BC19" s="26"/>
      <c r="BD19" s="26"/>
      <c r="BE19" s="6"/>
      <c r="BF19" s="6"/>
      <c r="BG19" s="26"/>
      <c r="BH19" s="26"/>
      <c r="BI19" s="26"/>
      <c r="BJ19" s="26"/>
      <c r="BK19" s="6"/>
      <c r="BL19" s="6"/>
      <c r="BM19" s="71">
        <v>2</v>
      </c>
      <c r="BN19" s="114" t="s">
        <v>132</v>
      </c>
      <c r="BO19" s="85">
        <v>50</v>
      </c>
      <c r="BP19" s="85">
        <v>50</v>
      </c>
      <c r="BQ19" s="114" t="s">
        <v>132</v>
      </c>
      <c r="BR19" s="74">
        <v>7</v>
      </c>
      <c r="BS19" s="68"/>
      <c r="BT19" s="112"/>
      <c r="BU19" s="43"/>
      <c r="BX19" s="3"/>
      <c r="BY19" s="122"/>
      <c r="BZ19" s="32"/>
      <c r="CA19" s="43"/>
      <c r="CB19" s="28"/>
      <c r="CC19" s="3"/>
      <c r="CD19" s="43"/>
      <c r="CE19" s="6"/>
      <c r="CF19" s="3"/>
      <c r="CG19" s="68"/>
      <c r="CH19" s="672"/>
      <c r="CI19" s="672"/>
      <c r="CJ19" s="3"/>
      <c r="CK19" s="77"/>
      <c r="CL19" s="117"/>
      <c r="CM19" s="293"/>
      <c r="CN19" s="293"/>
      <c r="CO19" s="117"/>
      <c r="CP19" s="78"/>
      <c r="CQ19" s="29"/>
      <c r="CR19" s="3"/>
      <c r="CS19" s="3"/>
      <c r="CT19" s="3"/>
      <c r="CU19" s="3"/>
      <c r="CV19" s="3"/>
      <c r="CW19" s="3"/>
      <c r="CX19" s="3"/>
      <c r="CY19" s="6"/>
      <c r="CZ19" s="3"/>
      <c r="DA19" s="32"/>
      <c r="DB19" s="6"/>
      <c r="DC19" s="44"/>
      <c r="DD19" s="6"/>
    </row>
    <row r="20" spans="1:108" ht="19.5" thickBot="1">
      <c r="A20" s="93"/>
      <c r="B20" s="52"/>
      <c r="C20" s="52"/>
      <c r="D20" s="46"/>
      <c r="E20" s="6"/>
      <c r="F20" s="6"/>
      <c r="G20" s="124"/>
      <c r="H20" s="104"/>
      <c r="I20" s="3"/>
      <c r="J20" s="6"/>
      <c r="K20" s="29"/>
      <c r="L20" s="6"/>
      <c r="M20" s="6"/>
      <c r="N20" s="6"/>
      <c r="O20" s="670"/>
      <c r="P20" s="21"/>
      <c r="Q20" s="6"/>
      <c r="R20" s="6"/>
      <c r="S20" s="6"/>
      <c r="T20" s="38"/>
      <c r="U20" s="38"/>
      <c r="V20" s="38"/>
      <c r="W20" s="125"/>
      <c r="X20" s="64"/>
      <c r="Y20" s="6"/>
      <c r="Z20" s="6"/>
      <c r="AA20" s="680"/>
      <c r="AB20" s="680"/>
      <c r="AC20" s="6"/>
      <c r="AD20" s="6"/>
      <c r="AE20" s="680"/>
      <c r="AF20" s="680"/>
      <c r="AG20" s="6"/>
      <c r="AH20" s="3"/>
      <c r="AI20" s="6"/>
      <c r="AJ20" s="6"/>
      <c r="AK20" s="28"/>
      <c r="AL20" s="3"/>
      <c r="AM20" s="670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26"/>
      <c r="BA20" s="26"/>
      <c r="BB20" s="26"/>
      <c r="BC20" s="26"/>
      <c r="BD20" s="26"/>
      <c r="BE20" s="6"/>
      <c r="BF20" s="6"/>
      <c r="BG20" s="26"/>
      <c r="BH20" s="26"/>
      <c r="BI20" s="26"/>
      <c r="BJ20" s="26"/>
      <c r="BK20" s="29"/>
      <c r="BL20" s="6"/>
      <c r="BM20" s="71">
        <v>3</v>
      </c>
      <c r="BN20" s="114" t="s">
        <v>132</v>
      </c>
      <c r="BO20" s="72">
        <v>50</v>
      </c>
      <c r="BP20" s="126">
        <v>50</v>
      </c>
      <c r="BQ20" s="114" t="s">
        <v>132</v>
      </c>
      <c r="BR20" s="74">
        <v>6</v>
      </c>
      <c r="BS20" s="68"/>
      <c r="BT20" s="6"/>
      <c r="BU20" s="43"/>
      <c r="BV20" s="714"/>
      <c r="BW20" s="715"/>
      <c r="BX20" s="3"/>
      <c r="BY20" s="122"/>
      <c r="BZ20" s="32"/>
      <c r="CA20" s="43"/>
      <c r="CB20" s="28"/>
      <c r="CC20" s="3"/>
      <c r="CD20" s="43"/>
      <c r="CE20" s="6"/>
      <c r="CF20" s="3"/>
      <c r="CG20" s="68"/>
      <c r="CH20" s="672"/>
      <c r="CI20" s="672"/>
      <c r="CJ20" s="3"/>
      <c r="CK20" s="6"/>
      <c r="CL20" s="6"/>
      <c r="CM20" s="293"/>
      <c r="CN20" s="293"/>
      <c r="CO20" s="6"/>
      <c r="CP20" s="6"/>
      <c r="CQ20" s="128"/>
      <c r="CR20" s="3"/>
      <c r="CS20" s="3"/>
      <c r="CT20" s="3"/>
      <c r="CU20" s="3"/>
      <c r="CV20" s="3"/>
      <c r="CW20" s="3"/>
      <c r="CX20" s="3"/>
      <c r="CY20" s="6"/>
      <c r="CZ20" s="3"/>
      <c r="DA20" s="32"/>
      <c r="DB20" s="6"/>
      <c r="DC20" s="44"/>
      <c r="DD20" s="6"/>
    </row>
    <row r="21" spans="1:108" ht="15.75" customHeight="1">
      <c r="A21" s="93"/>
      <c r="B21" s="52"/>
      <c r="C21" s="52"/>
      <c r="D21" s="52"/>
      <c r="E21" s="6"/>
      <c r="F21" s="6"/>
      <c r="G21" s="129"/>
      <c r="H21" s="130"/>
      <c r="I21" s="3"/>
      <c r="J21" s="3"/>
      <c r="K21" s="29"/>
      <c r="L21" s="6"/>
      <c r="M21" s="6"/>
      <c r="N21" s="742" t="s">
        <v>164</v>
      </c>
      <c r="O21" s="722"/>
      <c r="P21" s="21"/>
      <c r="Q21" s="6"/>
      <c r="R21" s="6"/>
      <c r="S21" s="6"/>
      <c r="T21" s="125"/>
      <c r="U21" s="125"/>
      <c r="V21" s="125"/>
      <c r="W21" s="125"/>
      <c r="X21" s="125"/>
      <c r="Y21" s="6"/>
      <c r="Z21" s="6"/>
      <c r="AA21" s="680"/>
      <c r="AB21" s="680"/>
      <c r="AC21" s="6"/>
      <c r="AD21" s="6"/>
      <c r="AE21" s="680"/>
      <c r="AF21" s="680"/>
      <c r="AG21" s="6"/>
      <c r="AH21" s="3"/>
      <c r="AI21" s="6"/>
      <c r="AJ21" s="6"/>
      <c r="AK21" s="28"/>
      <c r="AL21" s="3"/>
      <c r="AM21" s="670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26"/>
      <c r="BA21" s="26"/>
      <c r="BB21" s="26"/>
      <c r="BC21" s="26"/>
      <c r="BD21" s="26"/>
      <c r="BE21" s="734" t="s">
        <v>165</v>
      </c>
      <c r="BF21" s="721"/>
      <c r="BG21" s="721"/>
      <c r="BH21" s="721"/>
      <c r="BI21" s="722"/>
      <c r="BJ21" s="6"/>
      <c r="BK21" s="6"/>
      <c r="BL21" s="6"/>
      <c r="BM21" s="71">
        <v>4</v>
      </c>
      <c r="BN21" s="114" t="s">
        <v>132</v>
      </c>
      <c r="BO21" s="84">
        <v>50</v>
      </c>
      <c r="BP21" s="131">
        <v>50</v>
      </c>
      <c r="BQ21" s="114" t="s">
        <v>132</v>
      </c>
      <c r="BR21" s="74">
        <v>5</v>
      </c>
      <c r="BS21" s="6"/>
      <c r="BT21" s="6"/>
      <c r="BU21" s="6"/>
      <c r="BV21" s="293"/>
      <c r="BW21" s="293"/>
      <c r="BX21" s="3"/>
      <c r="BY21" s="3"/>
      <c r="BZ21" s="3"/>
      <c r="CA21" s="3"/>
      <c r="CB21" s="28"/>
      <c r="CC21" s="3"/>
      <c r="CD21" s="43"/>
      <c r="CE21" s="42"/>
      <c r="CF21" s="3"/>
      <c r="CG21" s="68"/>
      <c r="CH21" s="672"/>
      <c r="CI21" s="672"/>
      <c r="CJ21" s="3"/>
      <c r="CK21" s="6"/>
      <c r="CL21" s="6"/>
      <c r="CM21" s="743"/>
      <c r="CN21" s="744"/>
      <c r="CO21" s="6"/>
      <c r="CP21" s="6"/>
      <c r="CQ21" s="6"/>
      <c r="CR21" s="3"/>
      <c r="CS21" s="3"/>
      <c r="CT21" s="3"/>
      <c r="CU21" s="3"/>
      <c r="CV21" s="3"/>
      <c r="CW21" s="3"/>
      <c r="CX21" s="3"/>
      <c r="CY21" s="6"/>
      <c r="CZ21" s="3"/>
      <c r="DA21" s="32"/>
      <c r="DB21" s="6"/>
      <c r="DC21" s="44"/>
      <c r="DD21" s="6"/>
    </row>
    <row r="22" spans="1:108" ht="15.75" customHeight="1" thickBot="1">
      <c r="A22" s="674"/>
      <c r="B22" s="670"/>
      <c r="C22" s="52"/>
      <c r="D22" s="52"/>
      <c r="E22" s="3"/>
      <c r="F22" s="102"/>
      <c r="G22" s="103"/>
      <c r="H22" s="104"/>
      <c r="I22" s="3"/>
      <c r="J22" s="3"/>
      <c r="K22" s="29"/>
      <c r="L22" s="6"/>
      <c r="M22" s="6"/>
      <c r="N22" s="723"/>
      <c r="O22" s="725"/>
      <c r="P22" s="21"/>
      <c r="Q22" s="6"/>
      <c r="R22" s="6"/>
      <c r="S22" s="6"/>
      <c r="T22" s="125"/>
      <c r="U22" s="125"/>
      <c r="V22" s="32"/>
      <c r="W22" s="32"/>
      <c r="X22" s="32"/>
      <c r="Y22" s="6"/>
      <c r="Z22" s="3"/>
      <c r="AA22" s="680"/>
      <c r="AB22" s="680"/>
      <c r="AC22" s="3"/>
      <c r="AD22" s="6"/>
      <c r="AE22" s="680"/>
      <c r="AF22" s="680"/>
      <c r="AG22" s="6"/>
      <c r="AH22" s="6"/>
      <c r="AI22" s="6"/>
      <c r="AJ22" s="6"/>
      <c r="AK22" s="28"/>
      <c r="AL22" s="3"/>
      <c r="AM22" s="670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32"/>
      <c r="BA22" s="26"/>
      <c r="BB22" s="26"/>
      <c r="BC22" s="26"/>
      <c r="BD22" s="26"/>
      <c r="BE22" s="723"/>
      <c r="BF22" s="724"/>
      <c r="BG22" s="724"/>
      <c r="BH22" s="724"/>
      <c r="BI22" s="725"/>
      <c r="BJ22" s="6"/>
      <c r="BK22" s="6"/>
      <c r="BL22" s="6"/>
      <c r="BM22" s="6"/>
      <c r="BN22" s="100"/>
      <c r="BO22" s="109"/>
      <c r="BP22" s="109"/>
      <c r="BQ22" s="100"/>
      <c r="BR22" s="6"/>
      <c r="BS22" s="6"/>
      <c r="BT22" s="6"/>
      <c r="BU22" s="6"/>
      <c r="BV22" s="293"/>
      <c r="BW22" s="293"/>
      <c r="BX22" s="6"/>
      <c r="BY22" s="3"/>
      <c r="BZ22" s="3"/>
      <c r="CA22" s="3"/>
      <c r="CB22" s="28"/>
      <c r="CC22" s="3"/>
      <c r="CD22" s="43"/>
      <c r="CE22" s="42"/>
      <c r="CF22" s="42"/>
      <c r="CG22" s="68"/>
      <c r="CH22" s="43"/>
      <c r="CI22" s="43"/>
      <c r="CJ22" s="3"/>
      <c r="CK22" s="6"/>
      <c r="CL22" s="6"/>
      <c r="CM22" s="6"/>
      <c r="CN22" s="6"/>
      <c r="CO22" s="6"/>
      <c r="CP22" s="3"/>
      <c r="CQ22" s="6"/>
      <c r="CR22" s="3"/>
      <c r="CS22" s="3"/>
      <c r="CT22" s="3"/>
      <c r="CU22" s="705"/>
      <c r="CV22" s="705"/>
      <c r="CW22" s="3"/>
      <c r="CX22" s="3"/>
      <c r="CY22" s="6"/>
      <c r="CZ22" s="6"/>
      <c r="DA22" s="32"/>
      <c r="DB22" s="6"/>
      <c r="DC22" s="44"/>
      <c r="DD22" s="6"/>
    </row>
    <row r="23" spans="1:108" ht="15.75" customHeight="1" thickBot="1">
      <c r="A23" s="674"/>
      <c r="B23" s="670"/>
      <c r="C23" s="3"/>
      <c r="D23" s="6"/>
      <c r="E23" s="3"/>
      <c r="F23" s="102"/>
      <c r="G23" s="103"/>
      <c r="H23" s="104"/>
      <c r="I23" s="3"/>
      <c r="J23" s="136"/>
      <c r="K23" s="3"/>
      <c r="L23" s="6"/>
      <c r="M23" s="6"/>
      <c r="N23" s="723"/>
      <c r="O23" s="725"/>
      <c r="P23" s="21"/>
      <c r="Q23" s="6"/>
      <c r="R23" s="6"/>
      <c r="S23" s="6"/>
      <c r="T23" s="6"/>
      <c r="U23" s="6"/>
      <c r="V23" s="38"/>
      <c r="W23" s="38"/>
      <c r="X23" s="38"/>
      <c r="Y23" s="6"/>
      <c r="Z23" s="3"/>
      <c r="AA23" s="680"/>
      <c r="AB23" s="680"/>
      <c r="AC23" s="6"/>
      <c r="AD23" s="6"/>
      <c r="AE23" s="680"/>
      <c r="AF23" s="680"/>
      <c r="AG23" s="6"/>
      <c r="AH23" s="6"/>
      <c r="AI23" s="6"/>
      <c r="AJ23" s="6"/>
      <c r="AK23" s="28"/>
      <c r="AL23" s="3"/>
      <c r="AM23" s="670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26"/>
      <c r="BA23" s="26"/>
      <c r="BB23" s="26"/>
      <c r="BC23" s="26"/>
      <c r="BD23" s="26"/>
      <c r="BE23" s="723"/>
      <c r="BF23" s="724"/>
      <c r="BG23" s="724"/>
      <c r="BH23" s="724"/>
      <c r="BI23" s="725"/>
      <c r="BJ23" s="6"/>
      <c r="BK23" s="6"/>
      <c r="BL23" s="6"/>
      <c r="BM23" s="6"/>
      <c r="BN23" s="6"/>
      <c r="BO23" s="100"/>
      <c r="BP23" s="100"/>
      <c r="BQ23" s="6"/>
      <c r="BR23" s="6"/>
      <c r="BS23" s="6"/>
      <c r="BT23" s="6"/>
      <c r="BU23" s="6"/>
      <c r="BV23" s="293"/>
      <c r="BW23" s="293"/>
      <c r="BX23" s="6"/>
      <c r="BY23" s="3"/>
      <c r="BZ23" s="3"/>
      <c r="CA23" s="3"/>
      <c r="CB23" s="28"/>
      <c r="CC23" s="3"/>
      <c r="CD23" s="29"/>
      <c r="CE23" s="720"/>
      <c r="CF23" s="721"/>
      <c r="CG23" s="721"/>
      <c r="CH23" s="721"/>
      <c r="CI23" s="722"/>
      <c r="CJ23" s="706"/>
      <c r="CK23" s="6"/>
      <c r="CL23" s="6"/>
      <c r="CM23" s="6"/>
      <c r="CN23" s="6"/>
      <c r="CO23" s="6"/>
      <c r="CP23" s="3"/>
      <c r="CQ23" s="6"/>
      <c r="CR23" s="3"/>
      <c r="CS23" s="3"/>
      <c r="CT23" s="3"/>
      <c r="CU23" s="705"/>
      <c r="CV23" s="705"/>
      <c r="CW23" s="3"/>
      <c r="CX23" s="3"/>
      <c r="CY23" s="6"/>
      <c r="CZ23" s="3"/>
      <c r="DA23" s="32"/>
      <c r="DB23" s="443"/>
      <c r="DC23" s="44"/>
      <c r="DD23" s="6"/>
    </row>
    <row r="24" spans="1:108" ht="15.75" customHeight="1" thickBot="1">
      <c r="A24" s="674"/>
      <c r="B24" s="670"/>
      <c r="C24" s="94"/>
      <c r="D24" s="94"/>
      <c r="E24" s="94"/>
      <c r="F24" s="94"/>
      <c r="G24" s="735"/>
      <c r="H24" s="730"/>
      <c r="I24" s="140"/>
      <c r="J24" s="3"/>
      <c r="K24" s="3"/>
      <c r="L24" s="6"/>
      <c r="M24" s="6"/>
      <c r="N24" s="726"/>
      <c r="O24" s="728"/>
      <c r="P24" s="21"/>
      <c r="Q24" s="6"/>
      <c r="R24" s="21"/>
      <c r="S24" s="141"/>
      <c r="T24" s="6"/>
      <c r="U24" s="38"/>
      <c r="V24" s="38"/>
      <c r="W24" s="38"/>
      <c r="X24" s="38"/>
      <c r="Y24" s="6"/>
      <c r="Z24" s="3"/>
      <c r="AA24" s="680"/>
      <c r="AB24" s="680"/>
      <c r="AC24" s="6"/>
      <c r="AD24" s="6"/>
      <c r="AE24" s="680"/>
      <c r="AF24" s="680"/>
      <c r="AG24" s="6"/>
      <c r="AH24" s="6"/>
      <c r="AI24" s="6"/>
      <c r="AJ24" s="6"/>
      <c r="AK24" s="28"/>
      <c r="AL24" s="3"/>
      <c r="AM24" s="670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26"/>
      <c r="BA24" s="26"/>
      <c r="BB24" s="26"/>
      <c r="BC24" s="26"/>
      <c r="BD24" s="26"/>
      <c r="BE24" s="723"/>
      <c r="BF24" s="724"/>
      <c r="BG24" s="724"/>
      <c r="BH24" s="724"/>
      <c r="BI24" s="725"/>
      <c r="BJ24" s="6"/>
      <c r="BK24" s="6"/>
      <c r="BL24" s="6"/>
      <c r="BM24" s="6"/>
      <c r="BN24" s="6"/>
      <c r="BO24" s="732" t="s">
        <v>139</v>
      </c>
      <c r="BP24" s="730"/>
      <c r="BQ24" s="6"/>
      <c r="BR24" s="6"/>
      <c r="BS24" s="6"/>
      <c r="BT24" s="3"/>
      <c r="BU24" s="6"/>
      <c r="BV24" s="293"/>
      <c r="BW24" s="293"/>
      <c r="BX24" s="3"/>
      <c r="BY24" s="3"/>
      <c r="BZ24" s="3"/>
      <c r="CA24" s="3"/>
      <c r="CB24" s="28"/>
      <c r="CC24" s="3"/>
      <c r="CD24" s="29"/>
      <c r="CE24" s="723"/>
      <c r="CF24" s="724"/>
      <c r="CG24" s="724"/>
      <c r="CH24" s="724"/>
      <c r="CI24" s="725"/>
      <c r="CJ24" s="706"/>
      <c r="CK24" s="6"/>
      <c r="CL24" s="6"/>
      <c r="CM24" s="6"/>
      <c r="CN24" s="6"/>
      <c r="CO24" s="6"/>
      <c r="CP24" s="3"/>
      <c r="CQ24" s="128"/>
      <c r="CR24" s="3"/>
      <c r="CS24" s="3"/>
      <c r="CT24" s="3"/>
      <c r="CU24" s="705"/>
      <c r="CV24" s="705"/>
      <c r="CW24" s="3"/>
      <c r="CX24" s="3"/>
      <c r="CY24" s="6"/>
      <c r="CZ24" s="3"/>
      <c r="DA24" s="32"/>
      <c r="DB24" s="293"/>
      <c r="DC24" s="44"/>
      <c r="DD24" s="6"/>
    </row>
    <row r="25" spans="1:108" ht="15.75" customHeight="1" thickBot="1">
      <c r="A25" s="670"/>
      <c r="B25" s="672"/>
      <c r="C25" s="6"/>
      <c r="D25" s="6"/>
      <c r="E25" s="3"/>
      <c r="F25" s="35"/>
      <c r="G25" s="52"/>
      <c r="H25" s="52"/>
      <c r="I25" s="667"/>
      <c r="J25" s="3"/>
      <c r="K25" s="3"/>
      <c r="L25" s="6"/>
      <c r="M25" s="6"/>
      <c r="N25" s="7"/>
      <c r="O25" s="7"/>
      <c r="P25" s="21"/>
      <c r="Q25" s="6"/>
      <c r="R25" s="21"/>
      <c r="S25" s="38"/>
      <c r="T25" s="38"/>
      <c r="U25" s="38"/>
      <c r="V25" s="38"/>
      <c r="W25" s="38"/>
      <c r="X25" s="38"/>
      <c r="Y25" s="6"/>
      <c r="AD25" s="6"/>
      <c r="AE25" s="681"/>
      <c r="AF25" s="681"/>
      <c r="AG25" s="6"/>
      <c r="AH25" s="6"/>
      <c r="AI25" s="6"/>
      <c r="AJ25" s="6"/>
      <c r="AK25" s="28"/>
      <c r="AL25" s="3"/>
      <c r="AM25" s="670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147"/>
      <c r="BA25" s="26"/>
      <c r="BB25" s="26"/>
      <c r="BC25" s="26"/>
      <c r="BD25" s="26"/>
      <c r="BE25" s="726"/>
      <c r="BF25" s="727"/>
      <c r="BG25" s="727"/>
      <c r="BH25" s="727"/>
      <c r="BI25" s="728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32"/>
      <c r="BU25" s="28"/>
      <c r="BV25" s="6"/>
      <c r="BW25" s="6"/>
      <c r="BX25" s="3"/>
      <c r="BY25" s="3"/>
      <c r="BZ25" s="3"/>
      <c r="CA25" s="681"/>
      <c r="CB25" s="28"/>
      <c r="CC25" s="3"/>
      <c r="CD25" s="29"/>
      <c r="CE25" s="723"/>
      <c r="CF25" s="724"/>
      <c r="CG25" s="724"/>
      <c r="CH25" s="724"/>
      <c r="CI25" s="725"/>
      <c r="CJ25" s="706"/>
      <c r="CK25" s="6"/>
      <c r="CL25" s="6"/>
      <c r="CM25" s="6"/>
      <c r="CN25" s="6"/>
      <c r="CO25" s="6"/>
      <c r="CP25" s="3"/>
      <c r="CQ25" s="128"/>
      <c r="CR25" s="3"/>
      <c r="CS25" s="3"/>
      <c r="CT25" s="3"/>
      <c r="CU25" s="705"/>
      <c r="CV25" s="705"/>
      <c r="CW25" s="3"/>
      <c r="CX25" s="3"/>
      <c r="CY25" s="6"/>
      <c r="CZ25" s="3"/>
      <c r="DA25" s="32"/>
      <c r="DB25" s="293"/>
      <c r="DC25" s="44"/>
      <c r="DD25" s="6"/>
    </row>
    <row r="26" spans="1:108" ht="15.75" customHeight="1" thickBot="1">
      <c r="A26" s="670"/>
      <c r="B26" s="735"/>
      <c r="C26" s="730"/>
      <c r="D26" s="6"/>
      <c r="E26" s="149"/>
      <c r="F26" s="46"/>
      <c r="G26" s="665"/>
      <c r="H26" s="665"/>
      <c r="I26" s="46"/>
      <c r="J26" s="150"/>
      <c r="K26" s="3"/>
      <c r="L26" s="6"/>
      <c r="M26" s="6"/>
      <c r="N26" s="3"/>
      <c r="O26" s="670"/>
      <c r="P26" s="21"/>
      <c r="Q26" s="6"/>
      <c r="R26" s="38"/>
      <c r="S26" s="38"/>
      <c r="T26" s="38"/>
      <c r="U26" s="38"/>
      <c r="V26" s="38"/>
      <c r="W26" s="38"/>
      <c r="X26" s="38"/>
      <c r="Y26" s="6"/>
      <c r="AA26" s="680"/>
      <c r="AB26" s="680"/>
      <c r="AD26" s="6"/>
      <c r="AE26" s="681"/>
      <c r="AF26" s="681"/>
      <c r="AG26" s="3"/>
      <c r="AH26" s="3"/>
      <c r="AI26" s="6"/>
      <c r="AJ26" s="6"/>
      <c r="AK26" s="28"/>
      <c r="AL26" s="3"/>
      <c r="AM26" s="670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151"/>
      <c r="BA26" s="26"/>
      <c r="BB26" s="26"/>
      <c r="BC26" s="26"/>
      <c r="BD26" s="26"/>
      <c r="BE26" s="3"/>
      <c r="BF26" s="3"/>
      <c r="BG26" s="3"/>
      <c r="BH26" s="3"/>
      <c r="BI26" s="6"/>
      <c r="BJ26" s="6"/>
      <c r="BK26" s="6"/>
      <c r="BL26" s="29"/>
      <c r="BM26" s="6"/>
      <c r="BN26" s="6"/>
      <c r="BO26" s="293"/>
      <c r="BP26" s="293"/>
      <c r="BQ26" s="3"/>
      <c r="BR26" s="6"/>
      <c r="BS26" s="6"/>
      <c r="BT26" s="3"/>
      <c r="BU26" s="32"/>
      <c r="BV26" s="705"/>
      <c r="BW26" s="705"/>
      <c r="BX26" s="3"/>
      <c r="BY26" s="3"/>
      <c r="BZ26" s="3"/>
      <c r="CA26" s="681"/>
      <c r="CB26" s="28"/>
      <c r="CC26" s="3"/>
      <c r="CD26" s="29"/>
      <c r="CE26" s="723"/>
      <c r="CF26" s="724"/>
      <c r="CG26" s="724"/>
      <c r="CH26" s="724"/>
      <c r="CI26" s="725"/>
      <c r="CJ26" s="706"/>
      <c r="CK26" s="6"/>
      <c r="CL26" s="6"/>
      <c r="CM26" s="745"/>
      <c r="CN26" s="744"/>
      <c r="CO26" s="6"/>
      <c r="CP26" s="6"/>
      <c r="CQ26" s="6"/>
      <c r="CR26" s="3"/>
      <c r="CS26" s="3"/>
      <c r="CT26" s="6"/>
      <c r="CU26" s="6"/>
      <c r="CV26" s="6"/>
      <c r="CW26" s="6"/>
      <c r="CX26" s="3"/>
      <c r="CY26" s="6"/>
      <c r="CZ26" s="3"/>
      <c r="DA26" s="32"/>
      <c r="DB26" s="293"/>
      <c r="DC26" s="44"/>
      <c r="DD26" s="6"/>
    </row>
    <row r="27" spans="1:108" ht="15.75" customHeight="1">
      <c r="A27" s="670"/>
      <c r="B27" s="665"/>
      <c r="C27" s="46"/>
      <c r="D27" s="150"/>
      <c r="E27" s="3"/>
      <c r="F27" s="3"/>
      <c r="G27" s="52"/>
      <c r="H27" s="52"/>
      <c r="I27" s="3"/>
      <c r="J27" s="3"/>
      <c r="K27" s="3"/>
      <c r="L27" s="6"/>
      <c r="M27" s="6"/>
      <c r="N27" s="3"/>
      <c r="O27" s="670"/>
      <c r="P27" s="21"/>
      <c r="Q27" s="21"/>
      <c r="R27" s="38"/>
      <c r="S27" s="38"/>
      <c r="T27" s="38"/>
      <c r="U27" s="38"/>
      <c r="V27" s="38"/>
      <c r="W27" s="38"/>
      <c r="X27" s="38"/>
      <c r="Y27" s="6"/>
      <c r="AB27" s="152"/>
      <c r="AD27" s="6"/>
      <c r="AE27" s="681"/>
      <c r="AF27" s="681"/>
      <c r="AG27" s="6"/>
      <c r="AH27" s="6"/>
      <c r="AI27" s="6"/>
      <c r="AJ27" s="6"/>
      <c r="AK27" s="28"/>
      <c r="AL27" s="3"/>
      <c r="AM27" s="670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95"/>
      <c r="BA27" s="696"/>
      <c r="BB27" s="26"/>
      <c r="BC27" s="26"/>
      <c r="BD27" s="26"/>
      <c r="BE27" s="3"/>
      <c r="BF27" s="3"/>
      <c r="BG27" s="3"/>
      <c r="BH27" s="3"/>
      <c r="BI27" s="3"/>
      <c r="BJ27" s="3"/>
      <c r="BK27" s="6"/>
      <c r="BL27" s="3"/>
      <c r="BM27" s="153"/>
      <c r="BN27" s="6"/>
      <c r="BO27" s="293"/>
      <c r="BP27" s="293"/>
      <c r="BQ27" s="3"/>
      <c r="BR27" s="6"/>
      <c r="BS27" s="6"/>
      <c r="BT27" s="3"/>
      <c r="BU27" s="29"/>
      <c r="BV27" s="705"/>
      <c r="BW27" s="705"/>
      <c r="BX27" s="3"/>
      <c r="BY27" s="3"/>
      <c r="BZ27" s="3"/>
      <c r="CA27" s="681"/>
      <c r="CB27" s="28"/>
      <c r="CC27" s="3"/>
      <c r="CD27" s="29"/>
      <c r="CE27" s="723"/>
      <c r="CF27" s="724"/>
      <c r="CG27" s="724"/>
      <c r="CH27" s="724"/>
      <c r="CI27" s="725"/>
      <c r="CJ27" s="706"/>
      <c r="CK27" s="6"/>
      <c r="CL27" s="35"/>
      <c r="CM27" s="701"/>
      <c r="CN27" s="701"/>
      <c r="CO27" s="101"/>
      <c r="CP27" s="6"/>
      <c r="CQ27" s="6"/>
      <c r="CR27" s="3"/>
      <c r="CS27" s="3"/>
      <c r="CT27" s="6"/>
      <c r="CU27" s="6"/>
      <c r="CV27" s="6"/>
      <c r="CW27" s="6"/>
      <c r="CX27" s="3"/>
      <c r="CY27" s="6"/>
      <c r="CZ27" s="3"/>
      <c r="DA27" s="32"/>
      <c r="DB27" s="3"/>
      <c r="DC27" s="44"/>
      <c r="DD27" s="6"/>
    </row>
    <row r="28" spans="1:108" ht="15.75" customHeight="1" thickBot="1">
      <c r="A28" s="670"/>
      <c r="B28" s="379"/>
      <c r="C28" s="35"/>
      <c r="D28" s="6"/>
      <c r="E28" s="149"/>
      <c r="F28" s="46"/>
      <c r="G28" s="665"/>
      <c r="H28" s="665"/>
      <c r="I28" s="46"/>
      <c r="J28" s="150"/>
      <c r="K28" s="3"/>
      <c r="L28" s="6"/>
      <c r="M28" s="6"/>
      <c r="N28" s="3"/>
      <c r="O28" s="670"/>
      <c r="P28" s="21"/>
      <c r="Q28" s="21"/>
      <c r="R28" s="21"/>
      <c r="S28" s="38"/>
      <c r="T28" s="38"/>
      <c r="U28" s="38"/>
      <c r="V28" s="38"/>
      <c r="W28" s="38"/>
      <c r="X28" s="29"/>
      <c r="Y28" s="6"/>
      <c r="Z28" s="3"/>
      <c r="AA28" s="672"/>
      <c r="AB28" s="679"/>
      <c r="AC28" s="6"/>
      <c r="AD28" s="6"/>
      <c r="AE28" s="681"/>
      <c r="AF28" s="681"/>
      <c r="AG28" s="6"/>
      <c r="AH28" s="3"/>
      <c r="AI28" s="6"/>
      <c r="AJ28" s="6"/>
      <c r="AK28" s="28"/>
      <c r="AL28" s="3"/>
      <c r="AM28" s="670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97"/>
      <c r="BA28" s="698"/>
      <c r="BB28" s="26"/>
      <c r="BC28" s="26"/>
      <c r="BD28" s="26"/>
      <c r="BE28" s="3"/>
      <c r="BF28" s="3"/>
      <c r="BG28" s="3"/>
      <c r="BH28" s="3"/>
      <c r="BI28" s="3"/>
      <c r="BJ28" s="3"/>
      <c r="BK28" s="6"/>
      <c r="BL28" s="6"/>
      <c r="BM28" s="153"/>
      <c r="BN28" s="6"/>
      <c r="BO28" s="6"/>
      <c r="BP28" s="6"/>
      <c r="BQ28" s="3"/>
      <c r="BR28" s="6"/>
      <c r="BS28" s="6"/>
      <c r="BT28" s="6"/>
      <c r="BU28" s="6"/>
      <c r="BV28" s="672"/>
      <c r="BW28" s="672"/>
      <c r="BX28" s="3"/>
      <c r="BY28" s="3"/>
      <c r="BZ28" s="3"/>
      <c r="CA28" s="3"/>
      <c r="CB28" s="28"/>
      <c r="CC28" s="3"/>
      <c r="CD28" s="29"/>
      <c r="CE28" s="726"/>
      <c r="CF28" s="727"/>
      <c r="CG28" s="727"/>
      <c r="CH28" s="727"/>
      <c r="CI28" s="728"/>
      <c r="CJ28" s="706"/>
      <c r="CK28" s="70"/>
      <c r="CL28" s="703"/>
      <c r="CM28" s="665"/>
      <c r="CN28" s="665"/>
      <c r="CO28" s="703"/>
      <c r="CP28" s="75"/>
      <c r="CQ28" s="3"/>
      <c r="CR28" s="3"/>
      <c r="CS28" s="3"/>
      <c r="CT28" s="6"/>
      <c r="CU28" s="6"/>
      <c r="CV28" s="6"/>
      <c r="CW28" s="6"/>
      <c r="CX28" s="3"/>
      <c r="CY28" s="6"/>
      <c r="CZ28" s="3"/>
      <c r="DA28" s="32"/>
      <c r="DB28" s="673"/>
      <c r="DC28" s="44"/>
      <c r="DD28" s="6"/>
    </row>
    <row r="29" spans="1:108" ht="15.75" customHeight="1" thickBot="1">
      <c r="A29" s="670"/>
      <c r="B29" s="25"/>
      <c r="C29" s="6"/>
      <c r="D29" s="6"/>
      <c r="E29" s="3"/>
      <c r="F29" s="3"/>
      <c r="G29" s="52"/>
      <c r="H29" s="52"/>
      <c r="I29" s="3"/>
      <c r="J29" s="3"/>
      <c r="K29" s="150"/>
      <c r="L29" s="6"/>
      <c r="M29" s="6"/>
      <c r="N29" s="25"/>
      <c r="O29" s="670"/>
      <c r="P29" s="21"/>
      <c r="Q29" s="21"/>
      <c r="R29" s="21"/>
      <c r="S29" s="38"/>
      <c r="T29" s="38"/>
      <c r="U29" s="38"/>
      <c r="V29" s="38"/>
      <c r="W29" s="38"/>
      <c r="X29" s="29"/>
      <c r="Y29" s="6"/>
      <c r="Z29" s="3"/>
      <c r="AA29" s="672"/>
      <c r="AB29" s="679"/>
      <c r="AC29" s="6"/>
      <c r="AD29" s="6"/>
      <c r="AE29" s="681"/>
      <c r="AF29" s="681"/>
      <c r="AG29" s="6"/>
      <c r="AH29" s="3"/>
      <c r="AI29" s="6"/>
      <c r="AJ29" s="6"/>
      <c r="AK29" s="28"/>
      <c r="AL29" s="3"/>
      <c r="AM29" s="670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97"/>
      <c r="BA29" s="698"/>
      <c r="BB29" s="26"/>
      <c r="BC29" s="26"/>
      <c r="BD29" s="6"/>
      <c r="BE29" s="3"/>
      <c r="BF29" s="3"/>
      <c r="BG29" s="3"/>
      <c r="BH29" s="3"/>
      <c r="BI29" s="3"/>
      <c r="BJ29" s="3"/>
      <c r="BK29" s="6"/>
      <c r="BL29" s="32"/>
      <c r="BM29" s="3"/>
      <c r="BN29" s="6"/>
      <c r="BO29" s="6"/>
      <c r="BP29" s="6"/>
      <c r="BQ29" s="6"/>
      <c r="BR29" s="6"/>
      <c r="BS29" s="6"/>
      <c r="BT29" s="6"/>
      <c r="BU29" s="6"/>
      <c r="BV29" s="672"/>
      <c r="BW29" s="672"/>
      <c r="BX29" s="3"/>
      <c r="BY29" s="3"/>
      <c r="BZ29" s="3"/>
      <c r="CA29" s="3"/>
      <c r="CB29" s="28"/>
      <c r="CC29" s="3"/>
      <c r="CD29" s="11"/>
      <c r="CE29" s="293"/>
      <c r="CF29" s="3"/>
      <c r="CG29" s="3"/>
      <c r="CH29" s="6"/>
      <c r="CI29" s="6"/>
      <c r="CJ29" s="3"/>
      <c r="CK29" s="77"/>
      <c r="CL29" s="703"/>
      <c r="CM29" s="665"/>
      <c r="CN29" s="665"/>
      <c r="CO29" s="703"/>
      <c r="CP29" s="78"/>
      <c r="CQ29" s="6"/>
      <c r="CR29" s="6"/>
      <c r="CS29" s="3"/>
      <c r="CT29" s="3"/>
      <c r="CU29" s="160"/>
      <c r="CV29" s="160"/>
      <c r="CW29" s="3"/>
      <c r="CX29" s="3"/>
      <c r="CY29" s="6"/>
      <c r="CZ29" s="56"/>
      <c r="DA29" s="48"/>
      <c r="DB29" s="161"/>
      <c r="DC29" s="44"/>
      <c r="DD29" s="6"/>
    </row>
    <row r="30" spans="1:108" ht="15.75" customHeight="1" thickBot="1">
      <c r="A30" s="670"/>
      <c r="B30" s="25"/>
      <c r="C30" s="746"/>
      <c r="D30" s="747"/>
      <c r="E30" s="149"/>
      <c r="F30" s="46"/>
      <c r="G30" s="665"/>
      <c r="H30" s="665"/>
      <c r="I30" s="46"/>
      <c r="J30" s="150"/>
      <c r="K30" s="3"/>
      <c r="L30" s="6"/>
      <c r="M30" s="6"/>
      <c r="N30" s="25"/>
      <c r="O30" s="670"/>
      <c r="P30" s="734" t="s">
        <v>128</v>
      </c>
      <c r="Q30" s="721"/>
      <c r="R30" s="721"/>
      <c r="S30" s="721"/>
      <c r="T30" s="721"/>
      <c r="U30" s="721"/>
      <c r="V30" s="721"/>
      <c r="W30" s="722"/>
      <c r="X30" s="3"/>
      <c r="Y30" s="3"/>
      <c r="Z30" s="3"/>
      <c r="AA30" s="672"/>
      <c r="AB30" s="679"/>
      <c r="AC30" s="6"/>
      <c r="AD30" s="6"/>
      <c r="AE30" s="6"/>
      <c r="AF30" s="6"/>
      <c r="AG30" s="6"/>
      <c r="AH30" s="3"/>
      <c r="AI30" s="6"/>
      <c r="AJ30" s="76"/>
      <c r="AK30" s="28"/>
      <c r="AL30" s="3"/>
      <c r="AM30" s="670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99"/>
      <c r="BA30" s="700"/>
      <c r="BB30" s="3"/>
      <c r="BC30" s="26"/>
      <c r="BD30" s="6"/>
      <c r="BE30" s="3"/>
      <c r="BF30" s="3"/>
      <c r="BG30" s="3"/>
      <c r="BH30" s="3"/>
      <c r="BI30" s="3"/>
      <c r="BJ30" s="3"/>
      <c r="BK30" s="6"/>
      <c r="BL30" s="162"/>
      <c r="BM30" s="163"/>
      <c r="BN30" s="6"/>
      <c r="BO30" s="6"/>
      <c r="BP30" s="6"/>
      <c r="BQ30" s="6"/>
      <c r="BR30" s="6"/>
      <c r="BS30" s="6"/>
      <c r="BT30" s="3"/>
      <c r="BU30" s="3"/>
      <c r="BX30" s="3"/>
      <c r="BY30" s="3"/>
      <c r="BZ30" s="3"/>
      <c r="CA30" s="3"/>
      <c r="CB30" s="122"/>
      <c r="CC30" s="3"/>
      <c r="CD30" s="11"/>
      <c r="CE30" s="293"/>
      <c r="CF30" s="3"/>
      <c r="CG30" s="6"/>
      <c r="CH30" s="735"/>
      <c r="CI30" s="730"/>
      <c r="CJ30" s="3"/>
      <c r="CK30" s="77"/>
      <c r="CL30" s="703"/>
      <c r="CM30" s="665"/>
      <c r="CN30" s="665"/>
      <c r="CO30" s="703"/>
      <c r="CP30" s="78"/>
      <c r="CQ30" s="6"/>
      <c r="CR30" s="6"/>
      <c r="CS30" s="3"/>
      <c r="CT30" s="3"/>
      <c r="CU30" s="160"/>
      <c r="CV30" s="160"/>
      <c r="CW30" s="6"/>
      <c r="CX30" s="6"/>
      <c r="CY30" s="6"/>
      <c r="CZ30" s="71">
        <v>1</v>
      </c>
      <c r="DA30" s="164" t="s">
        <v>132</v>
      </c>
      <c r="DB30" s="165">
        <v>50</v>
      </c>
      <c r="DC30" s="122"/>
      <c r="DD30" s="6"/>
    </row>
    <row r="31" spans="1:108" ht="15.75" customHeight="1" thickBot="1">
      <c r="A31" s="670"/>
      <c r="B31" s="25"/>
      <c r="C31" s="673"/>
      <c r="E31" s="3"/>
      <c r="F31" s="3"/>
      <c r="G31" s="52"/>
      <c r="H31" s="52"/>
      <c r="I31" s="3"/>
      <c r="J31" s="3"/>
      <c r="K31" s="150"/>
      <c r="L31" s="6"/>
      <c r="M31" s="6"/>
      <c r="N31" s="666"/>
      <c r="O31" s="670"/>
      <c r="P31" s="723"/>
      <c r="Q31" s="724"/>
      <c r="R31" s="724"/>
      <c r="S31" s="724"/>
      <c r="T31" s="724"/>
      <c r="U31" s="724"/>
      <c r="V31" s="724"/>
      <c r="W31" s="725"/>
      <c r="X31" s="29"/>
      <c r="Y31" s="6"/>
      <c r="Z31" s="3"/>
      <c r="AA31" s="672"/>
      <c r="AB31" s="679"/>
      <c r="AC31" s="6"/>
      <c r="AD31" s="6"/>
      <c r="AE31" s="443"/>
      <c r="AF31" s="293"/>
      <c r="AG31" s="6"/>
      <c r="AH31" s="3"/>
      <c r="AI31" s="28"/>
      <c r="AJ31" s="6"/>
      <c r="AK31" s="122"/>
      <c r="AL31" s="3"/>
      <c r="AM31" s="670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26"/>
      <c r="BA31" s="26"/>
      <c r="BB31" s="3"/>
      <c r="BC31" s="26"/>
      <c r="BD31" s="6"/>
      <c r="BE31" s="3"/>
      <c r="BF31" s="3"/>
      <c r="BG31" s="3"/>
      <c r="BH31" s="3"/>
      <c r="BI31" s="3"/>
      <c r="BJ31" s="3"/>
      <c r="BK31" s="6"/>
      <c r="BL31" s="3"/>
      <c r="BM31" s="153"/>
      <c r="BN31" s="6"/>
      <c r="BO31" s="293"/>
      <c r="BP31" s="293"/>
      <c r="BQ31" s="6"/>
      <c r="BR31" s="6"/>
      <c r="BS31" s="6"/>
      <c r="BT31" s="6"/>
      <c r="BU31" s="6"/>
      <c r="BV31" s="6"/>
      <c r="BW31" s="6"/>
      <c r="BX31" s="6"/>
      <c r="BY31" s="3"/>
      <c r="BZ31" s="748"/>
      <c r="CA31" s="724"/>
      <c r="CB31" s="28"/>
      <c r="CC31" s="3"/>
      <c r="CD31" s="11"/>
      <c r="CE31" s="749"/>
      <c r="CF31" s="730"/>
      <c r="CG31" s="35"/>
      <c r="CH31" s="707"/>
      <c r="CI31" s="707"/>
      <c r="CJ31" s="6"/>
      <c r="CK31" s="70"/>
      <c r="CL31" s="703"/>
      <c r="CM31" s="665"/>
      <c r="CN31" s="665"/>
      <c r="CO31" s="703"/>
      <c r="CP31" s="75"/>
      <c r="CQ31" s="6"/>
      <c r="CR31" s="6"/>
      <c r="CS31" s="3"/>
      <c r="CT31" s="3"/>
      <c r="CU31" s="160"/>
      <c r="CV31" s="160"/>
      <c r="CW31" s="3"/>
      <c r="CX31" s="6"/>
      <c r="CY31" s="6"/>
      <c r="CZ31" s="71">
        <v>2</v>
      </c>
      <c r="DA31" s="164" t="s">
        <v>132</v>
      </c>
      <c r="DB31" s="131">
        <v>50</v>
      </c>
      <c r="DC31" s="44"/>
      <c r="DD31" s="6"/>
    </row>
    <row r="32" spans="1:108" ht="15.75" customHeight="1">
      <c r="A32" s="670"/>
      <c r="B32" s="713">
        <v>100</v>
      </c>
      <c r="C32" s="17"/>
      <c r="D32" s="74">
        <v>1</v>
      </c>
      <c r="E32" s="3"/>
      <c r="F32" s="3"/>
      <c r="G32" s="735"/>
      <c r="H32" s="730"/>
      <c r="I32" s="3"/>
      <c r="J32" s="3"/>
      <c r="K32" s="3"/>
      <c r="L32" s="3"/>
      <c r="M32" s="6"/>
      <c r="N32" s="25"/>
      <c r="O32" s="670"/>
      <c r="P32" s="723"/>
      <c r="Q32" s="724"/>
      <c r="R32" s="724"/>
      <c r="S32" s="724"/>
      <c r="T32" s="724"/>
      <c r="U32" s="724"/>
      <c r="V32" s="724"/>
      <c r="W32" s="725"/>
      <c r="X32" s="29"/>
      <c r="Y32" s="70"/>
      <c r="Z32" s="3"/>
      <c r="AA32" s="682"/>
      <c r="AB32" s="682"/>
      <c r="AC32" s="6"/>
      <c r="AD32" s="6"/>
      <c r="AE32" s="293"/>
      <c r="AF32" s="293"/>
      <c r="AG32" s="6"/>
      <c r="AH32" s="6"/>
      <c r="AI32" s="720" t="s">
        <v>123</v>
      </c>
      <c r="AJ32" s="722"/>
      <c r="AK32" s="28"/>
      <c r="AL32" s="3"/>
      <c r="AM32" s="670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112"/>
      <c r="BA32" s="26"/>
      <c r="BB32" s="6"/>
      <c r="BC32" s="26"/>
      <c r="BD32" s="6"/>
      <c r="BE32" s="3"/>
      <c r="BF32" s="3"/>
      <c r="BG32" s="293"/>
      <c r="BH32" s="293"/>
      <c r="BI32" s="3"/>
      <c r="BJ32" s="6"/>
      <c r="BK32" s="3"/>
      <c r="BL32" s="6"/>
      <c r="BM32" s="153"/>
      <c r="BN32" s="6"/>
      <c r="BO32" s="293"/>
      <c r="BP32" s="293"/>
      <c r="BQ32" s="3"/>
      <c r="BR32" s="6"/>
      <c r="BS32" s="6"/>
      <c r="BT32" s="6"/>
      <c r="BY32" s="3"/>
      <c r="BZ32" s="3"/>
      <c r="CA32" s="672"/>
      <c r="CB32" s="28"/>
      <c r="CC32" s="3"/>
      <c r="CD32" s="11"/>
      <c r="CE32" s="3"/>
      <c r="CF32" s="70"/>
      <c r="CG32" s="703"/>
      <c r="CH32" s="665"/>
      <c r="CI32" s="665"/>
      <c r="CJ32" s="703"/>
      <c r="CK32" s="75"/>
      <c r="CL32" s="3"/>
      <c r="CM32" s="701"/>
      <c r="CN32" s="701"/>
      <c r="CO32" s="3"/>
      <c r="CP32" s="6"/>
      <c r="CQ32" s="3"/>
      <c r="CR32" s="6"/>
      <c r="CS32" s="3"/>
      <c r="CT32" s="6"/>
      <c r="CU32" s="6"/>
      <c r="CV32" s="6"/>
      <c r="CW32" s="3"/>
      <c r="CX32" s="3"/>
      <c r="CY32" s="6"/>
      <c r="CZ32" s="71">
        <v>3</v>
      </c>
      <c r="DA32" s="164" t="s">
        <v>132</v>
      </c>
      <c r="DB32" s="174">
        <v>50</v>
      </c>
      <c r="DC32" s="44"/>
      <c r="DD32" s="6"/>
    </row>
    <row r="33" spans="1:108" ht="15.75" customHeight="1">
      <c r="A33" s="670"/>
      <c r="B33" s="175">
        <v>100</v>
      </c>
      <c r="C33" s="17"/>
      <c r="D33" s="74">
        <v>1</v>
      </c>
      <c r="E33" s="176"/>
      <c r="F33" s="35"/>
      <c r="G33" s="668"/>
      <c r="H33" s="668"/>
      <c r="I33" s="3"/>
      <c r="J33" s="3"/>
      <c r="K33" s="150"/>
      <c r="L33" s="3"/>
      <c r="M33" s="6"/>
      <c r="N33" s="6"/>
      <c r="O33" s="670"/>
      <c r="P33" s="723"/>
      <c r="Q33" s="724"/>
      <c r="R33" s="724"/>
      <c r="S33" s="724"/>
      <c r="T33" s="724"/>
      <c r="U33" s="724"/>
      <c r="V33" s="724"/>
      <c r="W33" s="725"/>
      <c r="X33" s="3"/>
      <c r="Y33" s="6"/>
      <c r="Z33" s="6"/>
      <c r="AA33" s="683"/>
      <c r="AB33" s="683"/>
      <c r="AC33" s="6"/>
      <c r="AD33" s="6"/>
      <c r="AE33" s="293"/>
      <c r="AF33" s="293"/>
      <c r="AG33" s="6"/>
      <c r="AH33" s="6"/>
      <c r="AI33" s="723"/>
      <c r="AJ33" s="725"/>
      <c r="AK33" s="28"/>
      <c r="AL33" s="3"/>
      <c r="AM33" s="670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6"/>
      <c r="BA33" s="76"/>
      <c r="BB33" s="153"/>
      <c r="BC33" s="26"/>
      <c r="BD33" s="6"/>
      <c r="BE33" s="3"/>
      <c r="BF33" s="3"/>
      <c r="BG33" s="293"/>
      <c r="BH33" s="25"/>
      <c r="BI33" s="3"/>
      <c r="BJ33" s="6"/>
      <c r="BK33" s="3"/>
      <c r="BL33" s="6"/>
      <c r="BM33" s="29"/>
      <c r="BN33" s="6"/>
      <c r="BO33" s="293"/>
      <c r="BP33" s="293"/>
      <c r="BQ33" s="3"/>
      <c r="BR33" s="6"/>
      <c r="BS33" s="6"/>
      <c r="BT33" s="6"/>
      <c r="BU33" s="6"/>
      <c r="BV33" s="735"/>
      <c r="BW33" s="730"/>
      <c r="BX33" s="6"/>
      <c r="BY33" s="3"/>
      <c r="BZ33" s="3"/>
      <c r="CA33" s="672"/>
      <c r="CB33" s="28"/>
      <c r="CC33" s="3"/>
      <c r="CD33" s="11"/>
      <c r="CE33" s="705"/>
      <c r="CF33" s="77"/>
      <c r="CG33" s="703"/>
      <c r="CH33" s="665"/>
      <c r="CI33" s="665"/>
      <c r="CJ33" s="703"/>
      <c r="CK33" s="75"/>
      <c r="CL33" s="6"/>
      <c r="CM33" s="745"/>
      <c r="CN33" s="744"/>
      <c r="CO33" s="6"/>
      <c r="CP33" s="6"/>
      <c r="CQ33" s="3"/>
      <c r="CR33" s="6"/>
      <c r="CS33" s="3"/>
      <c r="CT33" s="6"/>
      <c r="CU33" s="6"/>
      <c r="CV33" s="6"/>
      <c r="CW33" s="3"/>
      <c r="CX33" s="3"/>
      <c r="CY33" s="6"/>
      <c r="CZ33" s="71">
        <v>4</v>
      </c>
      <c r="DA33" s="164" t="s">
        <v>132</v>
      </c>
      <c r="DB33" s="73">
        <v>50</v>
      </c>
      <c r="DC33" s="44"/>
      <c r="DD33" s="6"/>
    </row>
    <row r="34" spans="1:108" ht="15.75" customHeight="1">
      <c r="A34" s="670"/>
      <c r="C34" s="179"/>
      <c r="E34" s="149"/>
      <c r="F34" s="90"/>
      <c r="G34" s="665"/>
      <c r="H34" s="665"/>
      <c r="I34" s="90"/>
      <c r="J34" s="150"/>
      <c r="K34" s="3"/>
      <c r="L34" s="3"/>
      <c r="M34" s="6"/>
      <c r="N34" s="483"/>
      <c r="O34" s="670"/>
      <c r="P34" s="723"/>
      <c r="Q34" s="724"/>
      <c r="R34" s="724"/>
      <c r="S34" s="724"/>
      <c r="T34" s="724"/>
      <c r="U34" s="724"/>
      <c r="V34" s="724"/>
      <c r="W34" s="725"/>
      <c r="X34" s="29"/>
      <c r="Y34" s="136"/>
      <c r="Z34" s="35"/>
      <c r="AA34" s="113"/>
      <c r="AB34" s="113"/>
      <c r="AC34" s="6"/>
      <c r="AI34" s="723"/>
      <c r="AJ34" s="725"/>
      <c r="AK34" s="28"/>
      <c r="AL34" s="3"/>
      <c r="AM34" s="670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89"/>
      <c r="BA34" s="689"/>
      <c r="BB34" s="153"/>
      <c r="BC34" s="153"/>
      <c r="BD34" s="6"/>
      <c r="BE34" s="3"/>
      <c r="BF34" s="3"/>
      <c r="BG34" s="293"/>
      <c r="BH34" s="107"/>
      <c r="BI34" s="3"/>
      <c r="BJ34" s="6"/>
      <c r="BK34" s="3"/>
      <c r="BL34" s="32"/>
      <c r="BM34" s="3"/>
      <c r="BN34" s="6"/>
      <c r="BO34" s="6"/>
      <c r="BP34" s="6"/>
      <c r="BQ34" s="3"/>
      <c r="BR34" s="6"/>
      <c r="BS34" s="6"/>
      <c r="BT34" s="6"/>
      <c r="BU34" s="35"/>
      <c r="BV34" s="117"/>
      <c r="BW34" s="117"/>
      <c r="BX34" s="98"/>
      <c r="BY34" s="3"/>
      <c r="BZ34" s="3"/>
      <c r="CA34" s="6"/>
      <c r="CB34" s="28"/>
      <c r="CC34" s="3"/>
      <c r="CD34" s="11"/>
      <c r="CE34" s="705"/>
      <c r="CF34" s="77"/>
      <c r="CG34" s="703"/>
      <c r="CH34" s="665"/>
      <c r="CI34" s="665"/>
      <c r="CJ34" s="703"/>
      <c r="CK34" s="75"/>
      <c r="CL34" s="6"/>
      <c r="CM34" s="6"/>
      <c r="CN34" s="6"/>
      <c r="CO34" s="6"/>
      <c r="CP34" s="6"/>
      <c r="CQ34" s="6"/>
      <c r="CR34" s="6"/>
      <c r="CS34" s="3"/>
      <c r="CT34" s="3"/>
      <c r="CU34" s="6"/>
      <c r="CV34" s="6"/>
      <c r="CW34" s="3"/>
      <c r="CX34" s="3"/>
      <c r="CY34" s="6"/>
      <c r="CZ34" s="71">
        <v>5</v>
      </c>
      <c r="DA34" s="164" t="s">
        <v>132</v>
      </c>
      <c r="DB34" s="183">
        <v>50</v>
      </c>
      <c r="DC34" s="44"/>
      <c r="DD34" s="6"/>
    </row>
    <row r="35" spans="1:108" ht="15.75" customHeight="1">
      <c r="A35" s="670"/>
      <c r="B35" s="671"/>
      <c r="C35" s="29"/>
      <c r="D35" s="185"/>
      <c r="E35" s="3"/>
      <c r="F35" s="3"/>
      <c r="G35" s="668"/>
      <c r="H35" s="668"/>
      <c r="I35" s="3"/>
      <c r="J35" s="150"/>
      <c r="K35" s="3"/>
      <c r="L35" s="3"/>
      <c r="M35" s="6"/>
      <c r="N35" s="483"/>
      <c r="O35" s="670"/>
      <c r="P35" s="723"/>
      <c r="Q35" s="724"/>
      <c r="R35" s="724"/>
      <c r="S35" s="724"/>
      <c r="T35" s="724"/>
      <c r="U35" s="724"/>
      <c r="V35" s="724"/>
      <c r="W35" s="725"/>
      <c r="X35" s="29"/>
      <c r="Y35" s="29"/>
      <c r="Z35" s="117"/>
      <c r="AA35" s="665"/>
      <c r="AB35" s="665"/>
      <c r="AC35" s="117"/>
      <c r="AI35" s="723"/>
      <c r="AJ35" s="725"/>
      <c r="AK35" s="28"/>
      <c r="AL35" s="3"/>
      <c r="AM35" s="670"/>
      <c r="AN35" s="670"/>
      <c r="AO35" s="670"/>
      <c r="AP35" s="670"/>
      <c r="AQ35" s="670"/>
      <c r="AR35" s="670"/>
      <c r="AS35" s="670"/>
      <c r="AT35" s="670"/>
      <c r="AU35" s="670"/>
      <c r="AV35" s="670"/>
      <c r="AW35" s="670"/>
      <c r="AX35" s="670"/>
      <c r="AY35" s="670"/>
      <c r="AZ35" s="670"/>
      <c r="BA35" s="670"/>
      <c r="BB35" s="3"/>
      <c r="BC35" s="29"/>
      <c r="BD35" s="29"/>
      <c r="BE35" s="3"/>
      <c r="BF35" s="3"/>
      <c r="BG35" s="3"/>
      <c r="BH35" s="3"/>
      <c r="BI35" s="3"/>
      <c r="BJ35" s="6"/>
      <c r="BK35" s="3"/>
      <c r="BL35" s="3"/>
      <c r="BM35" s="3"/>
      <c r="BN35" s="6"/>
      <c r="BO35" s="379"/>
      <c r="BP35" s="379"/>
      <c r="BQ35" s="3"/>
      <c r="BR35" s="6"/>
      <c r="BS35" s="6"/>
      <c r="BT35" s="29"/>
      <c r="BU35" s="117"/>
      <c r="BV35" s="665"/>
      <c r="BW35" s="665"/>
      <c r="BX35" s="117"/>
      <c r="BY35" s="3"/>
      <c r="BZ35" s="6"/>
      <c r="CA35" s="705"/>
      <c r="CB35" s="122"/>
      <c r="CC35" s="3"/>
      <c r="CD35" s="11"/>
      <c r="CE35" s="705"/>
      <c r="CF35" s="3"/>
      <c r="CG35" s="3"/>
      <c r="CH35" s="701"/>
      <c r="CI35" s="701"/>
      <c r="CJ35" s="3"/>
      <c r="CK35" s="70"/>
      <c r="CL35" s="6"/>
      <c r="CM35" s="6"/>
      <c r="CN35" s="6"/>
      <c r="CO35" s="6"/>
      <c r="CP35" s="75"/>
      <c r="CQ35" s="6"/>
      <c r="CR35" s="6"/>
      <c r="CS35" s="3"/>
      <c r="CT35" s="6"/>
      <c r="CU35" s="188"/>
      <c r="CV35" s="189"/>
      <c r="CW35" s="3"/>
      <c r="CX35" s="3"/>
      <c r="CY35" s="6"/>
      <c r="CZ35" s="71">
        <v>6</v>
      </c>
      <c r="DA35" s="164" t="s">
        <v>132</v>
      </c>
      <c r="DB35" s="190">
        <v>50</v>
      </c>
      <c r="DC35" s="122"/>
      <c r="DD35" s="6"/>
    </row>
    <row r="36" spans="1:108" ht="15.75" customHeight="1">
      <c r="A36" s="670"/>
      <c r="B36" s="25"/>
      <c r="C36" s="6"/>
      <c r="D36" s="6"/>
      <c r="E36" s="149"/>
      <c r="F36" s="90"/>
      <c r="G36" s="665"/>
      <c r="H36" s="665"/>
      <c r="I36" s="90"/>
      <c r="J36" s="150"/>
      <c r="K36" s="191"/>
      <c r="L36" s="3"/>
      <c r="M36" s="6"/>
      <c r="N36" s="6"/>
      <c r="O36" s="670"/>
      <c r="P36" s="723"/>
      <c r="Q36" s="724"/>
      <c r="R36" s="724"/>
      <c r="S36" s="724"/>
      <c r="T36" s="724"/>
      <c r="U36" s="724"/>
      <c r="V36" s="724"/>
      <c r="W36" s="725"/>
      <c r="X36" s="29"/>
      <c r="Y36" s="6"/>
      <c r="Z36" s="6"/>
      <c r="AA36" s="113"/>
      <c r="AB36" s="113"/>
      <c r="AC36" s="3"/>
      <c r="AD36" s="3"/>
      <c r="AE36" s="100"/>
      <c r="AF36" s="100"/>
      <c r="AG36" s="3"/>
      <c r="AH36" s="6"/>
      <c r="AI36" s="723"/>
      <c r="AJ36" s="725"/>
      <c r="AK36" s="122"/>
      <c r="AL36" s="3"/>
      <c r="AM36" s="670"/>
      <c r="AN36" s="672"/>
      <c r="AO36" s="3"/>
      <c r="AP36" s="379"/>
      <c r="AQ36" s="3"/>
      <c r="AR36" s="685"/>
      <c r="AS36" s="665"/>
      <c r="AT36" s="685"/>
      <c r="AU36" s="665"/>
      <c r="AV36" s="685"/>
      <c r="AW36" s="665"/>
      <c r="AX36" s="685"/>
      <c r="AY36" s="665"/>
      <c r="AZ36" s="685"/>
      <c r="BA36" s="670"/>
      <c r="BB36" s="3"/>
      <c r="BC36" s="3"/>
      <c r="BD36" s="3"/>
      <c r="BE36" s="3"/>
      <c r="BF36" s="3"/>
      <c r="BG36" s="293"/>
      <c r="BH36" s="293"/>
      <c r="BI36" s="6"/>
      <c r="BJ36" s="6"/>
      <c r="BK36" s="3"/>
      <c r="BL36" s="3"/>
      <c r="BM36" s="3"/>
      <c r="BN36" s="6"/>
      <c r="BO36" s="379"/>
      <c r="BP36" s="379"/>
      <c r="BQ36" s="3"/>
      <c r="BR36" s="6"/>
      <c r="BS36" s="6"/>
      <c r="BT36" s="29"/>
      <c r="BU36" s="117"/>
      <c r="BV36" s="665"/>
      <c r="BW36" s="665"/>
      <c r="BX36" s="117"/>
      <c r="BY36" s="3"/>
      <c r="BZ36" s="3"/>
      <c r="CA36" s="705"/>
      <c r="CB36" s="28"/>
      <c r="CC36" s="3"/>
      <c r="CD36" s="11"/>
      <c r="CE36" s="705"/>
      <c r="CF36" s="3"/>
      <c r="CG36" s="3"/>
      <c r="CH36" s="293"/>
      <c r="CI36" s="293"/>
      <c r="CJ36" s="3"/>
      <c r="CK36" s="77"/>
      <c r="CL36" s="6"/>
      <c r="CM36" s="6"/>
      <c r="CN36" s="6"/>
      <c r="CO36" s="6"/>
      <c r="CP36" s="75"/>
      <c r="CQ36" s="6"/>
      <c r="CR36" s="6"/>
      <c r="CS36" s="3"/>
      <c r="CT36" s="193"/>
      <c r="CU36" s="17"/>
      <c r="CV36" s="17"/>
      <c r="CW36" s="194"/>
      <c r="CX36" s="3"/>
      <c r="CY36" s="6"/>
      <c r="CZ36" s="195"/>
      <c r="DA36" s="110"/>
      <c r="DB36" s="161"/>
      <c r="DC36" s="44"/>
      <c r="DD36" s="6"/>
    </row>
    <row r="37" spans="1:108" ht="15.75" customHeight="1" thickBot="1">
      <c r="A37" s="670"/>
      <c r="B37" s="25"/>
      <c r="C37" s="6"/>
      <c r="D37" s="6"/>
      <c r="E37" s="3"/>
      <c r="F37" s="3"/>
      <c r="G37" s="668"/>
      <c r="H37" s="668"/>
      <c r="I37" s="735"/>
      <c r="J37" s="730"/>
      <c r="K37" s="150"/>
      <c r="L37" s="3"/>
      <c r="M37" s="6"/>
      <c r="N37" s="25"/>
      <c r="O37" s="670"/>
      <c r="P37" s="723"/>
      <c r="Q37" s="724"/>
      <c r="R37" s="724"/>
      <c r="S37" s="724"/>
      <c r="T37" s="724"/>
      <c r="U37" s="724"/>
      <c r="V37" s="724"/>
      <c r="W37" s="725"/>
      <c r="X37" s="29"/>
      <c r="Y37" s="136"/>
      <c r="Z37" s="6"/>
      <c r="AA37" s="101"/>
      <c r="AB37" s="101"/>
      <c r="AC37" s="3"/>
      <c r="AD37" s="100"/>
      <c r="AE37" s="109"/>
      <c r="AF37" s="109"/>
      <c r="AG37" s="100"/>
      <c r="AH37" s="6"/>
      <c r="AI37" s="723"/>
      <c r="AJ37" s="725"/>
      <c r="AK37" s="28"/>
      <c r="AL37" s="3"/>
      <c r="AM37" s="670"/>
      <c r="AN37" s="26"/>
      <c r="AO37" s="3"/>
      <c r="AP37" s="748"/>
      <c r="AQ37" s="724"/>
      <c r="AR37" s="35"/>
      <c r="AS37" s="46"/>
      <c r="AT37" s="6"/>
      <c r="AU37" s="46"/>
      <c r="AV37" s="3"/>
      <c r="AW37" s="46"/>
      <c r="AX37" s="3"/>
      <c r="AY37" s="46"/>
      <c r="AZ37" s="26"/>
      <c r="BA37" s="670"/>
      <c r="BB37" s="26"/>
      <c r="BC37" s="6"/>
      <c r="BD37" s="6"/>
      <c r="BE37" s="3"/>
      <c r="BF37" s="3"/>
      <c r="BG37" s="293"/>
      <c r="BH37" s="293"/>
      <c r="BI37" s="3"/>
      <c r="BJ37" s="6"/>
      <c r="BK37" s="3"/>
      <c r="BL37" s="3"/>
      <c r="BM37" s="6"/>
      <c r="BN37" s="6"/>
      <c r="BO37" s="379"/>
      <c r="BP37" s="379"/>
      <c r="BQ37" s="3"/>
      <c r="BR37" s="6"/>
      <c r="BS37" s="6"/>
      <c r="BT37" s="29"/>
      <c r="BU37" s="117"/>
      <c r="BV37" s="665"/>
      <c r="BW37" s="665"/>
      <c r="BX37" s="117"/>
      <c r="BY37" s="3"/>
      <c r="BZ37" s="3"/>
      <c r="CA37" s="705"/>
      <c r="CB37" s="28"/>
      <c r="CC37" s="3"/>
      <c r="CD37" s="11"/>
      <c r="CE37" s="708"/>
      <c r="CF37" s="3"/>
      <c r="CG37" s="3"/>
      <c r="CH37" s="293"/>
      <c r="CI37" s="293"/>
      <c r="CJ37" s="3"/>
      <c r="CK37" s="77"/>
      <c r="CL37" s="6"/>
      <c r="CM37" s="6"/>
      <c r="CN37" s="6"/>
      <c r="CO37" s="6"/>
      <c r="CP37" s="75"/>
      <c r="CQ37" s="6"/>
      <c r="CR37" s="6"/>
      <c r="CS37" s="71"/>
      <c r="CT37" s="164" t="s">
        <v>132</v>
      </c>
      <c r="CU37" s="197">
        <v>50</v>
      </c>
      <c r="CV37" s="115">
        <v>50</v>
      </c>
      <c r="CW37" s="164" t="s">
        <v>132</v>
      </c>
      <c r="CX37" s="74"/>
      <c r="CY37" s="6"/>
      <c r="CZ37" s="6"/>
      <c r="DA37" s="6"/>
      <c r="DB37" s="110"/>
      <c r="DC37" s="44"/>
      <c r="DD37" s="6"/>
    </row>
    <row r="38" spans="1:108" ht="15.75" customHeight="1" thickBot="1">
      <c r="A38" s="670"/>
      <c r="B38" s="6"/>
      <c r="C38" s="6"/>
      <c r="D38" s="6"/>
      <c r="E38" s="6"/>
      <c r="F38" s="198"/>
      <c r="G38" s="379"/>
      <c r="H38" s="379"/>
      <c r="J38" s="3"/>
      <c r="K38" s="3"/>
      <c r="L38" s="3"/>
      <c r="M38" s="6"/>
      <c r="N38" s="25"/>
      <c r="O38" s="670"/>
      <c r="P38" s="723"/>
      <c r="Q38" s="724"/>
      <c r="R38" s="724"/>
      <c r="S38" s="724"/>
      <c r="T38" s="724"/>
      <c r="U38" s="724"/>
      <c r="V38" s="724"/>
      <c r="W38" s="725"/>
      <c r="X38" s="3"/>
      <c r="Y38" s="29"/>
      <c r="Z38" s="3"/>
      <c r="AA38" s="672"/>
      <c r="AB38" s="672"/>
      <c r="AC38" s="71">
        <v>1</v>
      </c>
      <c r="AD38" s="199"/>
      <c r="AE38" s="200">
        <v>100</v>
      </c>
      <c r="AF38" s="201">
        <v>50</v>
      </c>
      <c r="AG38" s="199" t="s">
        <v>132</v>
      </c>
      <c r="AH38" s="74">
        <v>4</v>
      </c>
      <c r="AI38" s="723"/>
      <c r="AJ38" s="725"/>
      <c r="AK38" s="28"/>
      <c r="AL38" s="3"/>
      <c r="AM38" s="670"/>
      <c r="AN38" s="3"/>
      <c r="AO38" s="3"/>
      <c r="AP38" s="3"/>
      <c r="AQ38" s="3"/>
      <c r="AR38" s="3"/>
      <c r="AS38" s="46"/>
      <c r="AT38" s="3"/>
      <c r="AU38" s="46"/>
      <c r="AV38" s="3"/>
      <c r="AW38" s="46"/>
      <c r="AX38" s="202"/>
      <c r="AY38" s="46"/>
      <c r="AZ38" s="26"/>
      <c r="BA38" s="670"/>
      <c r="BB38" s="26"/>
      <c r="BC38" s="6"/>
      <c r="BD38" s="6"/>
      <c r="BE38" s="3"/>
      <c r="BF38" s="3"/>
      <c r="BG38" s="293"/>
      <c r="BH38" s="293"/>
      <c r="BI38" s="3"/>
      <c r="BJ38" s="6"/>
      <c r="BK38" s="3"/>
      <c r="BL38" s="3"/>
      <c r="BM38" s="6"/>
      <c r="BN38" s="6"/>
      <c r="BO38" s="743"/>
      <c r="BP38" s="744"/>
      <c r="BQ38" s="3"/>
      <c r="BR38" s="6"/>
      <c r="BS38" s="6"/>
      <c r="BT38" s="29"/>
      <c r="BU38" s="6"/>
      <c r="BV38" s="117"/>
      <c r="BW38" s="117"/>
      <c r="BX38" s="6"/>
      <c r="BY38" s="3"/>
      <c r="BZ38" s="748"/>
      <c r="CA38" s="724"/>
      <c r="CB38" s="28"/>
      <c r="CC38" s="3"/>
      <c r="CD38" s="11"/>
      <c r="CE38" s="708"/>
      <c r="CF38" s="3"/>
      <c r="CG38" s="3"/>
      <c r="CH38" s="293"/>
      <c r="CI38" s="293"/>
      <c r="CJ38" s="3"/>
      <c r="CK38" s="6"/>
      <c r="CL38" s="6"/>
      <c r="CM38" s="117"/>
      <c r="CN38" s="117"/>
      <c r="CO38" s="6"/>
      <c r="CP38" s="6"/>
      <c r="CQ38" s="3"/>
      <c r="CR38" s="6"/>
      <c r="CS38" s="71"/>
      <c r="CT38" s="164" t="s">
        <v>132</v>
      </c>
      <c r="CU38" s="197">
        <v>50</v>
      </c>
      <c r="CV38" s="115">
        <v>50</v>
      </c>
      <c r="CW38" s="164" t="s">
        <v>132</v>
      </c>
      <c r="CX38" s="74"/>
      <c r="CY38" s="6"/>
      <c r="CZ38" s="3"/>
      <c r="DA38" s="3"/>
      <c r="DB38" s="3"/>
      <c r="DC38" s="44"/>
      <c r="DD38" s="6"/>
    </row>
    <row r="39" spans="1:108" ht="15.75" customHeight="1" thickBot="1">
      <c r="B39" s="670"/>
      <c r="C39" s="6"/>
      <c r="D39" s="6"/>
      <c r="E39" s="6"/>
      <c r="F39" s="179">
        <v>1</v>
      </c>
      <c r="G39" s="179">
        <v>2</v>
      </c>
      <c r="H39" s="46"/>
      <c r="I39" s="26"/>
      <c r="J39" s="26"/>
      <c r="K39" s="26"/>
      <c r="L39" s="26"/>
      <c r="M39" s="6"/>
      <c r="N39" s="6"/>
      <c r="O39" s="670"/>
      <c r="P39" s="723"/>
      <c r="Q39" s="724"/>
      <c r="R39" s="724"/>
      <c r="S39" s="724"/>
      <c r="T39" s="724"/>
      <c r="U39" s="724"/>
      <c r="V39" s="724"/>
      <c r="W39" s="725"/>
      <c r="X39" s="29"/>
      <c r="Y39" s="3"/>
      <c r="Z39" s="3"/>
      <c r="AA39" s="682"/>
      <c r="AB39" s="682"/>
      <c r="AC39" s="71">
        <v>2</v>
      </c>
      <c r="AD39" s="199" t="s">
        <v>132</v>
      </c>
      <c r="AE39" s="203">
        <v>50</v>
      </c>
      <c r="AF39" s="18">
        <v>50</v>
      </c>
      <c r="AG39" s="199" t="s">
        <v>132</v>
      </c>
      <c r="AH39" s="74">
        <v>3</v>
      </c>
      <c r="AI39" s="726"/>
      <c r="AJ39" s="728"/>
      <c r="AK39" s="28"/>
      <c r="AL39" s="3"/>
      <c r="AM39" s="670"/>
      <c r="AN39" s="293"/>
      <c r="AO39" s="3"/>
      <c r="AP39" s="3"/>
      <c r="AQ39" s="3"/>
      <c r="AR39" s="3"/>
      <c r="AS39" s="735"/>
      <c r="AT39" s="730"/>
      <c r="AU39" s="730"/>
      <c r="AV39" s="730"/>
      <c r="AW39" s="730"/>
      <c r="AX39" s="730"/>
      <c r="AY39" s="730"/>
      <c r="AZ39" s="26"/>
      <c r="BA39" s="670"/>
      <c r="BB39" s="26"/>
      <c r="BC39" s="6"/>
      <c r="BD39" s="6"/>
      <c r="BE39" s="3"/>
      <c r="BF39" s="3"/>
      <c r="BG39" s="293"/>
      <c r="BH39" s="293"/>
      <c r="BI39" s="3"/>
      <c r="BJ39" s="6"/>
      <c r="BK39" s="3"/>
      <c r="BL39" s="29"/>
      <c r="BM39" s="6"/>
      <c r="BN39" s="6"/>
      <c r="BO39" s="351"/>
      <c r="BP39" s="351"/>
      <c r="BR39" s="6"/>
      <c r="BS39" s="6"/>
      <c r="BT39" s="29"/>
      <c r="BU39" s="29"/>
      <c r="BV39" s="6"/>
      <c r="BW39" s="6"/>
      <c r="BX39" s="3"/>
      <c r="BY39" s="3"/>
      <c r="BZ39" s="3"/>
      <c r="CA39" s="3"/>
      <c r="CB39" s="28"/>
      <c r="CC39" s="3"/>
      <c r="CD39" s="11"/>
      <c r="CE39" s="708"/>
      <c r="CF39" s="3"/>
      <c r="CG39" s="3"/>
      <c r="CH39" s="743"/>
      <c r="CI39" s="744"/>
      <c r="CJ39" s="3"/>
      <c r="CK39" s="6"/>
      <c r="CL39" s="6"/>
      <c r="CM39" s="672"/>
      <c r="CN39" s="672"/>
      <c r="CO39" s="6"/>
      <c r="CP39" s="6"/>
      <c r="CQ39" s="6"/>
      <c r="CR39" s="6"/>
      <c r="CS39" s="71"/>
      <c r="CT39" s="164" t="s">
        <v>132</v>
      </c>
      <c r="CU39" s="165">
        <v>50</v>
      </c>
      <c r="CV39" s="206">
        <v>50</v>
      </c>
      <c r="CW39" s="164" t="s">
        <v>132</v>
      </c>
      <c r="CX39" s="74"/>
      <c r="CY39" s="6"/>
      <c r="CZ39" s="6"/>
      <c r="DA39" s="6"/>
      <c r="DB39" s="6"/>
      <c r="DC39" s="44"/>
      <c r="DD39" s="6"/>
    </row>
    <row r="40" spans="1:108" ht="15.75" customHeight="1">
      <c r="A40" s="670"/>
      <c r="B40" s="6"/>
      <c r="C40" s="6"/>
      <c r="D40" s="6"/>
      <c r="E40" s="6"/>
      <c r="F40" s="199" t="s">
        <v>132</v>
      </c>
      <c r="G40" s="199" t="s">
        <v>132</v>
      </c>
      <c r="H40" s="669"/>
      <c r="I40" s="669"/>
      <c r="J40" s="35"/>
      <c r="K40" s="98"/>
      <c r="L40" s="98"/>
      <c r="M40" s="6"/>
      <c r="N40" s="6"/>
      <c r="O40" s="670"/>
      <c r="P40" s="723"/>
      <c r="Q40" s="724"/>
      <c r="R40" s="724"/>
      <c r="S40" s="724"/>
      <c r="T40" s="724"/>
      <c r="U40" s="724"/>
      <c r="V40" s="724"/>
      <c r="W40" s="725"/>
      <c r="X40" s="29"/>
      <c r="Y40" s="3"/>
      <c r="Z40" s="136"/>
      <c r="AA40" s="25"/>
      <c r="AB40" s="208"/>
      <c r="AD40" s="100"/>
      <c r="AE40" s="109"/>
      <c r="AF40" s="109"/>
      <c r="AG40" s="100"/>
      <c r="AH40" s="6"/>
      <c r="AI40" s="720" t="s">
        <v>208</v>
      </c>
      <c r="AJ40" s="722"/>
      <c r="AK40" s="28"/>
      <c r="AL40" s="3"/>
      <c r="AM40" s="670"/>
      <c r="AN40" s="293"/>
      <c r="AO40" s="3"/>
      <c r="AP40" s="3"/>
      <c r="AQ40" s="3"/>
      <c r="AR40" s="26"/>
      <c r="AS40" s="26"/>
      <c r="AT40" s="6"/>
      <c r="AU40" s="6"/>
      <c r="AV40" s="6"/>
      <c r="AW40" s="26"/>
      <c r="AX40" s="26"/>
      <c r="AY40" s="209"/>
      <c r="AZ40" s="26"/>
      <c r="BA40" s="670"/>
      <c r="BB40" s="26"/>
      <c r="BC40" s="6"/>
      <c r="BD40" s="6"/>
      <c r="BE40" s="3"/>
      <c r="BF40" s="3"/>
      <c r="BG40" s="751"/>
      <c r="BH40" s="744"/>
      <c r="BI40" s="6"/>
      <c r="BJ40" s="6"/>
      <c r="BK40" s="3"/>
      <c r="BL40" s="6"/>
      <c r="BM40" s="6"/>
      <c r="BN40" s="6"/>
      <c r="BO40" s="351"/>
      <c r="BP40" s="351"/>
      <c r="BR40" s="6"/>
      <c r="BS40" s="6"/>
      <c r="BT40" s="29"/>
      <c r="BU40" s="29"/>
      <c r="BX40" s="3"/>
      <c r="BY40" s="29"/>
      <c r="BZ40" s="3"/>
      <c r="CA40" s="3"/>
      <c r="CB40" s="122"/>
      <c r="CC40" s="3"/>
      <c r="CD40" s="11"/>
      <c r="CE40" s="708"/>
      <c r="CF40" s="3"/>
      <c r="CG40" s="3"/>
      <c r="CH40" s="672"/>
      <c r="CI40" s="672"/>
      <c r="CJ40" s="3"/>
      <c r="CK40" s="6"/>
      <c r="CL40" s="6"/>
      <c r="CM40" s="672"/>
      <c r="CN40" s="672"/>
      <c r="CO40" s="3"/>
      <c r="CP40" s="6"/>
      <c r="CQ40" s="6"/>
      <c r="CR40" s="3"/>
      <c r="CS40" s="71"/>
      <c r="CT40" s="164" t="s">
        <v>132</v>
      </c>
      <c r="CU40" s="165">
        <v>50</v>
      </c>
      <c r="CV40" s="206">
        <v>50</v>
      </c>
      <c r="CW40" s="164" t="s">
        <v>132</v>
      </c>
      <c r="CX40" s="74"/>
      <c r="CY40" s="6"/>
      <c r="CZ40" s="6"/>
      <c r="DA40" s="6"/>
      <c r="DB40" s="6"/>
      <c r="DC40" s="122"/>
      <c r="DD40" s="6"/>
    </row>
    <row r="41" spans="1:108" ht="15.75" customHeight="1">
      <c r="A41" s="670"/>
      <c r="B41" s="6"/>
      <c r="C41" s="6"/>
      <c r="D41" s="293"/>
      <c r="E41" s="107"/>
      <c r="F41" s="210">
        <v>50</v>
      </c>
      <c r="G41" s="211">
        <v>50</v>
      </c>
      <c r="H41" s="665"/>
      <c r="I41" s="665"/>
      <c r="J41" s="25"/>
      <c r="K41" s="6"/>
      <c r="L41" s="6"/>
      <c r="M41" s="6"/>
      <c r="N41" s="6"/>
      <c r="O41" s="670"/>
      <c r="P41" s="723"/>
      <c r="Q41" s="724"/>
      <c r="R41" s="724"/>
      <c r="S41" s="724"/>
      <c r="T41" s="724"/>
      <c r="U41" s="724"/>
      <c r="V41" s="724"/>
      <c r="W41" s="725"/>
      <c r="X41" s="29"/>
      <c r="Y41" s="29"/>
      <c r="Z41" s="29"/>
      <c r="AA41" s="25"/>
      <c r="AB41" s="25"/>
      <c r="AC41" s="6"/>
      <c r="AD41" s="3"/>
      <c r="AE41" s="100"/>
      <c r="AF41" s="100"/>
      <c r="AG41" s="3"/>
      <c r="AH41" s="6"/>
      <c r="AI41" s="723"/>
      <c r="AJ41" s="725"/>
      <c r="AK41" s="122"/>
      <c r="AL41" s="3"/>
      <c r="AM41" s="670"/>
      <c r="AN41" s="293"/>
      <c r="AO41" s="6"/>
      <c r="AP41" s="3"/>
      <c r="AQ41" s="3"/>
      <c r="AR41" s="26"/>
      <c r="AS41" s="212"/>
      <c r="AT41" s="6"/>
      <c r="AU41" s="6"/>
      <c r="AV41" s="6"/>
      <c r="AW41" s="26"/>
      <c r="AX41" s="26"/>
      <c r="AY41" s="26"/>
      <c r="AZ41" s="26"/>
      <c r="BA41" s="670"/>
      <c r="BB41" s="26"/>
      <c r="BC41" s="6"/>
      <c r="BD41" s="6"/>
      <c r="BE41" s="3"/>
      <c r="BF41" s="3"/>
      <c r="BG41" s="6"/>
      <c r="BH41" s="6"/>
      <c r="BI41" s="6"/>
      <c r="BJ41" s="6"/>
      <c r="BK41" s="3"/>
      <c r="BL41" s="6"/>
      <c r="BM41" s="6"/>
      <c r="BN41" s="6"/>
      <c r="BO41" s="351"/>
      <c r="BP41" s="351"/>
      <c r="BR41" s="6"/>
      <c r="BS41" s="6"/>
      <c r="BT41" s="3"/>
      <c r="BU41" s="29"/>
      <c r="BX41" s="3"/>
      <c r="BY41" s="3"/>
      <c r="BZ41" s="3"/>
      <c r="CA41" s="681"/>
      <c r="CB41" s="28"/>
      <c r="CC41" s="3"/>
      <c r="CD41" s="11"/>
      <c r="CE41" s="708"/>
      <c r="CF41" s="3"/>
      <c r="CG41" s="3"/>
      <c r="CH41" s="672"/>
      <c r="CI41" s="672"/>
      <c r="CJ41" s="3"/>
      <c r="CK41" s="6"/>
      <c r="CL41" s="6"/>
      <c r="CM41" s="672"/>
      <c r="CN41" s="672"/>
      <c r="CO41" s="3"/>
      <c r="CP41" s="6"/>
      <c r="CQ41" s="6"/>
      <c r="CR41" s="3"/>
      <c r="CS41" s="3"/>
      <c r="CT41" s="193"/>
      <c r="CU41" s="17"/>
      <c r="CV41" s="17"/>
      <c r="CW41" s="194"/>
      <c r="CX41" s="198"/>
      <c r="CY41" s="6"/>
      <c r="CZ41" s="6"/>
      <c r="DA41" s="6"/>
      <c r="DC41" s="44"/>
      <c r="DD41" s="6"/>
    </row>
    <row r="42" spans="1:108" ht="15.75" customHeight="1">
      <c r="A42" s="670"/>
      <c r="B42" s="7"/>
      <c r="C42" s="7"/>
      <c r="D42" s="7"/>
      <c r="E42" s="7"/>
      <c r="F42" s="7"/>
      <c r="G42" s="7"/>
      <c r="H42" s="670"/>
      <c r="I42" s="670"/>
      <c r="J42" s="670"/>
      <c r="K42" s="7"/>
      <c r="L42" s="7"/>
      <c r="M42" s="7"/>
      <c r="N42" s="670"/>
      <c r="O42" s="670"/>
      <c r="P42" s="723"/>
      <c r="Q42" s="724"/>
      <c r="R42" s="724"/>
      <c r="S42" s="724"/>
      <c r="T42" s="724"/>
      <c r="U42" s="724"/>
      <c r="V42" s="724"/>
      <c r="W42" s="725"/>
      <c r="X42" s="29"/>
      <c r="Y42" s="29"/>
      <c r="Z42" s="3"/>
      <c r="AA42" s="25"/>
      <c r="AB42" s="293"/>
      <c r="AC42" s="3"/>
      <c r="AE42" s="6"/>
      <c r="AF42" s="6"/>
      <c r="AG42" s="6"/>
      <c r="AH42" s="6"/>
      <c r="AI42" s="723"/>
      <c r="AJ42" s="725"/>
      <c r="AK42" s="28"/>
      <c r="AL42" s="3"/>
      <c r="AM42" s="670"/>
      <c r="AN42" s="152"/>
      <c r="AO42" s="6"/>
      <c r="AP42" s="3"/>
      <c r="AQ42" s="3"/>
      <c r="AR42" s="3"/>
      <c r="AS42" s="3"/>
      <c r="AT42" s="6"/>
      <c r="AU42" s="6"/>
      <c r="AV42" s="212"/>
      <c r="AW42" s="26"/>
      <c r="AX42" s="26"/>
      <c r="AY42" s="26"/>
      <c r="AZ42" s="26"/>
      <c r="BA42" s="690"/>
      <c r="BB42" s="26"/>
      <c r="BC42" s="6"/>
      <c r="BD42" s="6"/>
      <c r="BE42" s="3"/>
      <c r="BF42" s="3"/>
      <c r="BG42" s="214"/>
      <c r="BH42" s="541"/>
      <c r="BI42" s="3"/>
      <c r="BJ42" s="6"/>
      <c r="BK42" s="3"/>
      <c r="BL42" s="6"/>
      <c r="BM42" s="6"/>
      <c r="BN42" s="6"/>
      <c r="BO42" s="351"/>
      <c r="BP42" s="351"/>
      <c r="BR42" s="6"/>
      <c r="BS42" s="6"/>
      <c r="BT42" s="3"/>
      <c r="BU42" s="3"/>
      <c r="BV42" s="680"/>
      <c r="BW42" s="680"/>
      <c r="BX42" s="3"/>
      <c r="BY42" s="3"/>
      <c r="BZ42" s="3"/>
      <c r="CA42" s="681"/>
      <c r="CB42" s="28"/>
      <c r="CC42" s="3"/>
      <c r="CD42" s="11"/>
      <c r="CE42" s="351"/>
      <c r="CF42" s="3"/>
      <c r="CG42" s="3"/>
      <c r="CH42" s="743"/>
      <c r="CI42" s="744"/>
      <c r="CJ42" s="3"/>
      <c r="CK42" s="6"/>
      <c r="CL42" s="6"/>
      <c r="CM42" s="672"/>
      <c r="CN42" s="672"/>
      <c r="CO42" s="3"/>
      <c r="CP42" s="6"/>
      <c r="CQ42" s="6"/>
      <c r="CR42" s="3"/>
      <c r="CS42" s="3"/>
      <c r="CT42" s="6"/>
      <c r="CU42" s="752" t="s">
        <v>139</v>
      </c>
      <c r="CV42" s="730"/>
      <c r="CW42" s="6"/>
      <c r="CX42" s="6"/>
      <c r="CY42" s="6"/>
      <c r="CZ42" s="6"/>
      <c r="DA42" s="6"/>
      <c r="DB42" s="443"/>
      <c r="DC42" s="44"/>
      <c r="DD42" s="6"/>
    </row>
    <row r="43" spans="1:108" ht="15.75" customHeight="1">
      <c r="A43" s="67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70"/>
      <c r="P43" s="723"/>
      <c r="Q43" s="724"/>
      <c r="R43" s="724"/>
      <c r="S43" s="724"/>
      <c r="T43" s="724"/>
      <c r="U43" s="724"/>
      <c r="V43" s="724"/>
      <c r="W43" s="725"/>
      <c r="X43" s="29"/>
      <c r="Y43" s="136"/>
      <c r="Z43" s="3"/>
      <c r="AA43" s="3"/>
      <c r="AB43" s="3"/>
      <c r="AE43" s="6"/>
      <c r="AF43" s="6"/>
      <c r="AG43" s="6"/>
      <c r="AH43" s="6"/>
      <c r="AI43" s="723"/>
      <c r="AJ43" s="725"/>
      <c r="AK43" s="28"/>
      <c r="AL43" s="3"/>
      <c r="AM43" s="670"/>
      <c r="AN43" s="26"/>
      <c r="AO43" s="3"/>
      <c r="AP43" s="3"/>
      <c r="AQ43" s="3"/>
      <c r="AR43" s="3"/>
      <c r="AS43" s="753"/>
      <c r="AT43" s="724"/>
      <c r="AU43" s="724"/>
      <c r="AV43" s="724"/>
      <c r="AW43" s="3"/>
      <c r="AX43" s="3"/>
      <c r="AY43" s="26"/>
      <c r="AZ43" s="26"/>
      <c r="BA43" s="691"/>
      <c r="BB43" s="26"/>
      <c r="BC43" s="6"/>
      <c r="BD43" s="6"/>
      <c r="BE43" s="3"/>
      <c r="BF43" s="3"/>
      <c r="BG43" s="293"/>
      <c r="BH43" s="293"/>
      <c r="BI43" s="3"/>
      <c r="BJ43" s="6"/>
      <c r="BK43" s="3"/>
      <c r="BL43" s="6"/>
      <c r="BM43" s="6"/>
      <c r="BN43" s="6"/>
      <c r="BO43" s="351"/>
      <c r="BP43" s="351"/>
      <c r="BR43" s="6"/>
      <c r="BS43" s="6"/>
      <c r="BT43" s="3"/>
      <c r="BU43" s="3"/>
      <c r="BV43" s="680"/>
      <c r="BW43" s="680"/>
      <c r="BX43" s="3"/>
      <c r="BY43" s="3"/>
      <c r="BZ43" s="3"/>
      <c r="CA43" s="681"/>
      <c r="CB43" s="28"/>
      <c r="CC43" s="3"/>
      <c r="CD43" s="11"/>
      <c r="CE43" s="351"/>
      <c r="CF43" s="3"/>
      <c r="CG43" s="3"/>
      <c r="CJ43" s="3"/>
      <c r="CK43" s="6"/>
      <c r="CL43" s="6"/>
      <c r="CM43" s="6"/>
      <c r="CN43" s="6"/>
      <c r="CO43" s="6"/>
      <c r="CP43" s="6"/>
      <c r="CQ43" s="3"/>
      <c r="CR43" s="3"/>
      <c r="CS43" s="3"/>
      <c r="CT43" s="6"/>
      <c r="CU43" s="6"/>
      <c r="CV43" s="6"/>
      <c r="CW43" s="6"/>
      <c r="CX43" s="6"/>
      <c r="CY43" s="6"/>
      <c r="CZ43" s="6"/>
      <c r="DA43" s="6"/>
      <c r="DB43" s="293"/>
      <c r="DC43" s="44"/>
      <c r="DD43" s="6"/>
    </row>
    <row r="44" spans="1:108" ht="15.75" customHeight="1">
      <c r="A44" s="670"/>
      <c r="B44" s="6"/>
      <c r="C44" s="26"/>
      <c r="D44" s="26"/>
      <c r="E44" s="26"/>
      <c r="F44" s="6"/>
      <c r="G44" s="26"/>
      <c r="H44" s="26"/>
      <c r="I44" s="26"/>
      <c r="J44" s="26"/>
      <c r="K44" s="26"/>
      <c r="L44" s="6"/>
      <c r="M44" s="6"/>
      <c r="N44" s="6"/>
      <c r="O44" s="670"/>
      <c r="P44" s="723"/>
      <c r="Q44" s="724"/>
      <c r="R44" s="724"/>
      <c r="S44" s="724"/>
      <c r="T44" s="724"/>
      <c r="U44" s="724"/>
      <c r="V44" s="724"/>
      <c r="W44" s="725"/>
      <c r="X44" s="3"/>
      <c r="Y44" s="29"/>
      <c r="Z44" s="3"/>
      <c r="AA44" s="680"/>
      <c r="AB44" s="680"/>
      <c r="AE44" s="6"/>
      <c r="AF44" s="6"/>
      <c r="AG44" s="6"/>
      <c r="AH44" s="6"/>
      <c r="AI44" s="723"/>
      <c r="AJ44" s="725"/>
      <c r="AK44" s="28"/>
      <c r="AL44" s="3"/>
      <c r="AM44" s="670"/>
      <c r="AN44" s="26"/>
      <c r="AO44" s="218"/>
      <c r="AP44" s="3"/>
      <c r="AQ44" s="3"/>
      <c r="AR44" s="3"/>
      <c r="AS44" s="6"/>
      <c r="AT44" s="360"/>
      <c r="AU44" s="360"/>
      <c r="AV44" s="26"/>
      <c r="AW44" s="3"/>
      <c r="AX44" s="3"/>
      <c r="AY44" s="26"/>
      <c r="AZ44" s="26"/>
      <c r="BA44" s="691"/>
      <c r="BB44" s="26"/>
      <c r="BC44" s="6"/>
      <c r="BD44" s="26"/>
      <c r="BE44" s="3"/>
      <c r="BF44" s="3"/>
      <c r="BG44" s="79"/>
      <c r="BH44" s="79"/>
      <c r="BI44" s="3"/>
      <c r="BJ44" s="6"/>
      <c r="BK44" s="3"/>
      <c r="BL44" s="6"/>
      <c r="BM44" s="6"/>
      <c r="BN44" s="6"/>
      <c r="BO44" s="351"/>
      <c r="BP44" s="351"/>
      <c r="BR44" s="6"/>
      <c r="BS44" s="6"/>
      <c r="BT44" s="3"/>
      <c r="BU44" s="3"/>
      <c r="BV44" s="3"/>
      <c r="BW44" s="3"/>
      <c r="BX44" s="3"/>
      <c r="BY44" s="3"/>
      <c r="BZ44" s="6"/>
      <c r="CA44" s="681"/>
      <c r="CB44" s="28"/>
      <c r="CC44" s="3"/>
      <c r="CD44" s="11"/>
      <c r="CE44" s="351"/>
      <c r="CF44" s="3"/>
      <c r="CG44" s="3"/>
      <c r="CH44" s="672"/>
      <c r="CI44" s="672"/>
      <c r="CJ44" s="3"/>
      <c r="CK44" s="6"/>
      <c r="CL44" s="6"/>
      <c r="CM44" s="6"/>
      <c r="CN44" s="6"/>
      <c r="CO44" s="6"/>
      <c r="CP44" s="6"/>
      <c r="CQ44" s="3"/>
      <c r="CR44" s="3"/>
      <c r="CS44" s="3"/>
      <c r="CT44" s="6"/>
      <c r="CU44" s="293"/>
      <c r="CV44" s="710"/>
      <c r="CW44" s="6"/>
      <c r="CX44" s="3"/>
      <c r="CY44" s="6"/>
      <c r="CZ44" s="6"/>
      <c r="DA44" s="6"/>
      <c r="DB44" s="293"/>
      <c r="DC44" s="44"/>
      <c r="DD44" s="6"/>
    </row>
    <row r="45" spans="1:108" ht="15.75" customHeight="1">
      <c r="A45" s="670"/>
      <c r="B45" s="6"/>
      <c r="C45" s="26"/>
      <c r="D45" s="26"/>
      <c r="E45" s="26"/>
      <c r="F45" s="6"/>
      <c r="G45" s="26"/>
      <c r="H45" s="26"/>
      <c r="I45" s="26"/>
      <c r="J45" s="26"/>
      <c r="K45" s="26"/>
      <c r="L45" s="6"/>
      <c r="M45" s="6"/>
      <c r="N45" s="6"/>
      <c r="O45" s="670"/>
      <c r="P45" s="723"/>
      <c r="Q45" s="724"/>
      <c r="R45" s="724"/>
      <c r="S45" s="724"/>
      <c r="T45" s="724"/>
      <c r="U45" s="724"/>
      <c r="V45" s="724"/>
      <c r="W45" s="725"/>
      <c r="X45" s="29"/>
      <c r="Y45" s="3"/>
      <c r="Z45" s="29"/>
      <c r="AA45" s="680"/>
      <c r="AB45" s="680"/>
      <c r="AE45" s="6"/>
      <c r="AF45" s="6"/>
      <c r="AG45" s="6"/>
      <c r="AH45" s="6"/>
      <c r="AI45" s="723"/>
      <c r="AJ45" s="725"/>
      <c r="AK45" s="28"/>
      <c r="AL45" s="3"/>
      <c r="AM45" s="670"/>
      <c r="AN45" s="26"/>
      <c r="AO45" s="221"/>
      <c r="AP45" s="3"/>
      <c r="AQ45" s="3"/>
      <c r="AR45" s="212"/>
      <c r="AS45" s="6"/>
      <c r="AT45" s="379"/>
      <c r="AU45" s="360"/>
      <c r="AV45" s="3"/>
      <c r="AW45" s="3"/>
      <c r="AX45" s="3"/>
      <c r="AY45" s="26"/>
      <c r="AZ45" s="26"/>
      <c r="BA45" s="691"/>
      <c r="BB45" s="26"/>
      <c r="BC45" s="6"/>
      <c r="BD45" s="26"/>
      <c r="BE45" s="3"/>
      <c r="BF45" s="3"/>
      <c r="BG45" s="79"/>
      <c r="BH45" s="79"/>
      <c r="BI45" s="3"/>
      <c r="BJ45" s="6"/>
      <c r="BK45" s="3"/>
      <c r="BL45" s="6"/>
      <c r="BM45" s="6"/>
      <c r="BN45" s="6"/>
      <c r="BO45" s="3"/>
      <c r="BP45" s="3"/>
      <c r="BQ45" s="3"/>
      <c r="BR45" s="6"/>
      <c r="BS45" s="6"/>
      <c r="BT45" s="3"/>
      <c r="BU45" s="3"/>
      <c r="BV45" s="3"/>
      <c r="BW45" s="3"/>
      <c r="BX45" s="3"/>
      <c r="BY45" s="3"/>
      <c r="BZ45" s="6"/>
      <c r="CA45" s="681"/>
      <c r="CB45" s="28"/>
      <c r="CC45" s="3"/>
      <c r="CD45" s="11"/>
      <c r="CE45" s="351"/>
      <c r="CF45" s="6"/>
      <c r="CG45" s="6"/>
      <c r="CH45" s="672"/>
      <c r="CI45" s="672"/>
      <c r="CJ45" s="6"/>
      <c r="CK45" s="6"/>
      <c r="CL45" s="6"/>
      <c r="CM45" s="6"/>
      <c r="CN45" s="6"/>
      <c r="CO45" s="6"/>
      <c r="CP45" s="6"/>
      <c r="CQ45" s="3"/>
      <c r="CR45" s="3"/>
      <c r="CS45" s="3"/>
      <c r="CT45" s="6"/>
      <c r="CU45" s="293"/>
      <c r="CV45" s="671"/>
      <c r="CW45" s="6"/>
      <c r="CX45" s="6"/>
      <c r="CY45" s="6"/>
      <c r="CZ45" s="3"/>
      <c r="DA45" s="6"/>
      <c r="DB45" s="312"/>
      <c r="DC45" s="44"/>
      <c r="DD45" s="6"/>
    </row>
    <row r="46" spans="1:108" ht="15.75" customHeight="1" thickBot="1">
      <c r="A46" s="670"/>
      <c r="B46" s="6"/>
      <c r="C46" s="26"/>
      <c r="D46" s="26"/>
      <c r="E46" s="26"/>
      <c r="F46" s="6"/>
      <c r="G46" s="26"/>
      <c r="H46" s="26"/>
      <c r="I46" s="26"/>
      <c r="J46" s="26"/>
      <c r="K46" s="26"/>
      <c r="L46" s="6"/>
      <c r="M46" s="6"/>
      <c r="N46" s="6"/>
      <c r="O46" s="670"/>
      <c r="P46" s="726"/>
      <c r="Q46" s="727"/>
      <c r="R46" s="727"/>
      <c r="S46" s="727"/>
      <c r="T46" s="727"/>
      <c r="U46" s="727"/>
      <c r="V46" s="727"/>
      <c r="W46" s="728"/>
      <c r="X46" s="29"/>
      <c r="Y46" s="3"/>
      <c r="Z46" s="136"/>
      <c r="AA46" s="680"/>
      <c r="AB46" s="680"/>
      <c r="AE46" s="6"/>
      <c r="AF46" s="6"/>
      <c r="AG46" s="6"/>
      <c r="AH46" s="6"/>
      <c r="AI46" s="723"/>
      <c r="AJ46" s="725"/>
      <c r="AK46" s="28"/>
      <c r="AL46" s="3"/>
      <c r="AM46" s="670"/>
      <c r="AN46" s="681"/>
      <c r="AO46" s="3"/>
      <c r="AP46" s="3"/>
      <c r="AQ46" s="3"/>
      <c r="AR46" s="212"/>
      <c r="AS46" s="6"/>
      <c r="AV46" s="6"/>
      <c r="AW46" s="3"/>
      <c r="AX46" s="3"/>
      <c r="AY46" s="26"/>
      <c r="AZ46" s="26"/>
      <c r="BA46" s="691"/>
      <c r="BB46" s="26"/>
      <c r="BC46" s="6"/>
      <c r="BD46" s="6"/>
      <c r="BE46" s="3"/>
      <c r="BF46" s="3"/>
      <c r="BG46" s="6"/>
      <c r="BH46" s="6"/>
      <c r="BI46" s="6"/>
      <c r="BJ46" s="6"/>
      <c r="BK46" s="3"/>
      <c r="BL46" s="6"/>
      <c r="BM46" s="6"/>
      <c r="BN46" s="3"/>
      <c r="BO46" s="351"/>
      <c r="BP46" s="351"/>
      <c r="BQ46" s="3"/>
      <c r="BR46" s="6"/>
      <c r="BS46" s="6"/>
      <c r="BT46" s="3"/>
      <c r="BU46" s="3"/>
      <c r="BV46" s="3"/>
      <c r="BW46" s="3"/>
      <c r="BX46" s="3"/>
      <c r="BY46" s="3"/>
      <c r="BZ46" s="6"/>
      <c r="CA46" s="681"/>
      <c r="CB46" s="29"/>
      <c r="CC46" s="3"/>
      <c r="CD46" s="11"/>
      <c r="CE46" s="351"/>
      <c r="CF46" s="6"/>
      <c r="CG46" s="6"/>
      <c r="CH46" s="672"/>
      <c r="CI46" s="672"/>
      <c r="CJ46" s="6"/>
      <c r="CK46" s="6"/>
      <c r="CL46" s="6"/>
      <c r="CM46" s="6"/>
      <c r="CN46" s="6"/>
      <c r="CO46" s="6"/>
      <c r="CP46" s="6"/>
      <c r="CQ46" s="3"/>
      <c r="CR46" s="3"/>
      <c r="CS46" s="3"/>
      <c r="CT46" s="6"/>
      <c r="CU46" s="293"/>
      <c r="CV46" s="710"/>
      <c r="CW46" s="3"/>
      <c r="CX46" s="3"/>
      <c r="CY46" s="6"/>
      <c r="CZ46" s="6"/>
      <c r="DA46" s="6"/>
      <c r="DB46" s="443"/>
      <c r="DC46" s="29"/>
      <c r="DD46" s="6"/>
    </row>
    <row r="47" spans="1:108" ht="15.75" customHeight="1">
      <c r="A47" s="670"/>
      <c r="B47" s="6"/>
      <c r="C47" s="26"/>
      <c r="D47" s="26"/>
      <c r="E47" s="26"/>
      <c r="F47" s="6"/>
      <c r="G47" s="26"/>
      <c r="H47" s="26"/>
      <c r="I47" s="26"/>
      <c r="J47" s="26"/>
      <c r="K47" s="26"/>
      <c r="L47" s="6"/>
      <c r="M47" s="6"/>
      <c r="N47" s="6"/>
      <c r="O47" s="670"/>
      <c r="P47" s="225"/>
      <c r="Q47" s="38"/>
      <c r="R47" s="38"/>
      <c r="S47" s="38"/>
      <c r="T47" s="38"/>
      <c r="U47" s="38"/>
      <c r="V47" s="38"/>
      <c r="W47" s="38"/>
      <c r="X47" s="29"/>
      <c r="Y47" s="29"/>
      <c r="Z47" s="29"/>
      <c r="AA47" s="684"/>
      <c r="AB47" s="684"/>
      <c r="AD47" s="6"/>
      <c r="AE47" s="6"/>
      <c r="AF47" s="6"/>
      <c r="AG47" s="6"/>
      <c r="AH47" s="6"/>
      <c r="AI47" s="723"/>
      <c r="AJ47" s="725"/>
      <c r="AK47" s="29"/>
      <c r="AL47" s="3"/>
      <c r="AM47" s="670"/>
      <c r="AN47" s="681"/>
      <c r="AO47" s="3"/>
      <c r="AP47" s="3"/>
      <c r="AQ47" s="3"/>
      <c r="AR47" s="748"/>
      <c r="AS47" s="754"/>
      <c r="AT47" s="755"/>
      <c r="AU47" s="756"/>
      <c r="AV47" s="6"/>
      <c r="AW47" s="3"/>
      <c r="AX47" s="3"/>
      <c r="AY47" s="26"/>
      <c r="AZ47" s="26"/>
      <c r="BA47" s="692"/>
      <c r="BB47" s="26"/>
      <c r="BC47" s="26"/>
      <c r="BD47" s="26"/>
      <c r="BE47" s="3"/>
      <c r="BF47" s="3"/>
      <c r="BG47" s="6"/>
      <c r="BH47" s="6"/>
      <c r="BI47" s="6"/>
      <c r="BJ47" s="6"/>
      <c r="BK47" s="3"/>
      <c r="BL47" s="6"/>
      <c r="BM47" s="6"/>
      <c r="BN47" s="3"/>
      <c r="BO47" s="6"/>
      <c r="BP47" s="6"/>
      <c r="BQ47" s="3"/>
      <c r="BR47" s="6"/>
      <c r="BS47" s="6"/>
      <c r="BT47" s="6"/>
      <c r="BU47" s="6"/>
      <c r="BV47" s="46"/>
      <c r="BW47" s="6"/>
      <c r="BX47" s="6"/>
      <c r="BY47" s="6"/>
      <c r="BZ47" s="6"/>
      <c r="CA47" s="3"/>
      <c r="CB47" s="28"/>
      <c r="CC47" s="3"/>
      <c r="CD47" s="11"/>
      <c r="CE47" s="351"/>
      <c r="CF47" s="6"/>
      <c r="CG47" s="6"/>
      <c r="CH47" s="743"/>
      <c r="CI47" s="744"/>
      <c r="CJ47" s="6"/>
      <c r="CK47" s="6"/>
      <c r="CL47" s="6"/>
      <c r="CM47" s="757"/>
      <c r="CN47" s="715"/>
      <c r="CO47" s="6"/>
      <c r="CP47" s="6"/>
      <c r="CQ47" s="3"/>
      <c r="CR47" s="3"/>
      <c r="CS47" s="3"/>
      <c r="CT47" s="6"/>
      <c r="CU47" s="214"/>
      <c r="CV47" s="227"/>
      <c r="CW47" s="3"/>
      <c r="CX47" s="3"/>
      <c r="CY47" s="6"/>
      <c r="CZ47" s="6"/>
      <c r="DA47" s="6"/>
      <c r="DB47" s="443"/>
      <c r="DC47" s="44"/>
      <c r="DD47" s="6"/>
    </row>
    <row r="48" spans="1:108" ht="15.75" customHeight="1" thickBot="1">
      <c r="A48" s="670"/>
      <c r="B48" s="6"/>
      <c r="C48" s="26"/>
      <c r="D48" s="26"/>
      <c r="E48" s="26"/>
      <c r="F48" s="26"/>
      <c r="G48" s="26"/>
      <c r="H48" s="26"/>
      <c r="I48" s="26"/>
      <c r="J48" s="26"/>
      <c r="K48" s="26"/>
      <c r="L48" s="6"/>
      <c r="M48" s="6"/>
      <c r="N48" s="6"/>
      <c r="O48" s="670"/>
      <c r="P48" s="225"/>
      <c r="Q48" s="38"/>
      <c r="R48" s="38"/>
      <c r="S48" s="38"/>
      <c r="T48" s="38"/>
      <c r="U48" s="38"/>
      <c r="V48" s="6"/>
      <c r="W48" s="6"/>
      <c r="X48" s="6"/>
      <c r="Y48" s="6"/>
      <c r="Z48" s="29"/>
      <c r="AA48" s="6"/>
      <c r="AB48" s="6"/>
      <c r="AC48" s="3"/>
      <c r="AD48" s="6"/>
      <c r="AE48" s="6"/>
      <c r="AF48" s="6"/>
      <c r="AG48" s="6"/>
      <c r="AH48" s="6"/>
      <c r="AI48" s="726"/>
      <c r="AJ48" s="728"/>
      <c r="AK48" s="28"/>
      <c r="AL48" s="3"/>
      <c r="AM48" s="670"/>
      <c r="AN48" s="681"/>
      <c r="AO48" s="3"/>
      <c r="AP48" s="3"/>
      <c r="AQ48" s="3"/>
      <c r="AR48" s="3"/>
      <c r="AS48" s="3"/>
      <c r="AT48" s="293"/>
      <c r="AU48" s="293"/>
      <c r="AV48" s="6"/>
      <c r="AW48" s="3"/>
      <c r="AX48" s="3"/>
      <c r="AY48" s="3"/>
      <c r="AZ48" s="3"/>
      <c r="BA48" s="670"/>
      <c r="BB48" s="26"/>
      <c r="BC48" s="26"/>
      <c r="BD48" s="26"/>
      <c r="BE48" s="3"/>
      <c r="BF48" s="6"/>
      <c r="BG48" s="735"/>
      <c r="BH48" s="730"/>
      <c r="BI48" s="6"/>
      <c r="BJ48" s="3"/>
      <c r="BK48" s="3"/>
      <c r="BL48" s="29"/>
      <c r="BM48" s="6"/>
      <c r="BN48" s="3"/>
      <c r="BO48" s="351"/>
      <c r="BP48" s="351"/>
      <c r="BQ48" s="3"/>
      <c r="BR48" s="6"/>
      <c r="BS48" s="6"/>
      <c r="BT48" s="6"/>
      <c r="BU48" s="6"/>
      <c r="BV48" s="46"/>
      <c r="BW48" s="6"/>
      <c r="BX48" s="6"/>
      <c r="BY48" s="6"/>
      <c r="BZ48" s="3"/>
      <c r="CA48" s="3"/>
      <c r="CB48" s="28"/>
      <c r="CC48" s="3"/>
      <c r="CD48" s="11"/>
      <c r="CE48" s="6"/>
      <c r="CL48" s="6"/>
      <c r="CM48" s="293"/>
      <c r="CN48" s="293"/>
      <c r="CO48" s="6"/>
      <c r="CP48" s="6"/>
      <c r="CQ48" s="3"/>
      <c r="CR48" s="3"/>
      <c r="CS48" s="3"/>
      <c r="CT48" s="3"/>
      <c r="CU48" s="710"/>
      <c r="CV48" s="541"/>
      <c r="CW48" s="3"/>
      <c r="CX48" s="3"/>
      <c r="CY48" s="6"/>
      <c r="CZ48" s="6"/>
      <c r="DA48" s="6"/>
      <c r="DC48" s="44"/>
      <c r="DD48" s="6"/>
    </row>
    <row r="49" spans="1:108" ht="15.75" customHeight="1">
      <c r="A49" s="670"/>
      <c r="B49" s="6"/>
      <c r="C49" s="26"/>
      <c r="D49" s="26"/>
      <c r="E49" s="26"/>
      <c r="F49" s="26"/>
      <c r="G49" s="26"/>
      <c r="H49" s="26"/>
      <c r="I49" s="26"/>
      <c r="J49" s="26"/>
      <c r="K49" s="26"/>
      <c r="L49" s="6"/>
      <c r="M49" s="6"/>
      <c r="N49" s="6"/>
      <c r="O49" s="670"/>
      <c r="P49" s="225"/>
      <c r="Q49" s="38"/>
      <c r="R49" s="38"/>
      <c r="S49" s="38"/>
      <c r="T49" s="38"/>
      <c r="U49" s="38"/>
      <c r="V49" s="6"/>
      <c r="W49" s="6"/>
      <c r="X49" s="6"/>
      <c r="Y49" s="6"/>
      <c r="Z49" s="6"/>
      <c r="AA49" s="293"/>
      <c r="AB49" s="136"/>
      <c r="AC49" s="3"/>
      <c r="AD49" s="3"/>
      <c r="AE49" s="229"/>
      <c r="AF49" s="230"/>
      <c r="AG49" s="230"/>
      <c r="AH49" s="230"/>
      <c r="AI49" s="231"/>
      <c r="AJ49" s="232"/>
      <c r="AK49" s="28"/>
      <c r="AL49" s="3"/>
      <c r="AM49" s="670"/>
      <c r="AN49" s="681"/>
      <c r="AO49" s="3"/>
      <c r="AP49" s="3"/>
      <c r="AQ49" s="3"/>
      <c r="AR49" s="3"/>
      <c r="AS49" s="3"/>
      <c r="AT49" s="293"/>
      <c r="AU49" s="293"/>
      <c r="AV49" s="3"/>
      <c r="AW49" s="3"/>
      <c r="AX49" s="3"/>
      <c r="AY49" s="26"/>
      <c r="AZ49" s="26"/>
      <c r="BA49" s="670"/>
      <c r="BB49" s="26"/>
      <c r="BC49" s="26"/>
      <c r="BD49" s="26"/>
      <c r="BE49" s="233"/>
      <c r="BF49" s="35"/>
      <c r="BG49" s="701"/>
      <c r="BH49" s="701"/>
      <c r="BI49" s="702"/>
      <c r="BJ49" s="3"/>
      <c r="BK49" s="3"/>
      <c r="BL49" s="6"/>
      <c r="BM49" s="6"/>
      <c r="BN49" s="3"/>
      <c r="BO49" s="351"/>
      <c r="BP49" s="351"/>
      <c r="BQ49" s="3"/>
      <c r="BR49" s="6"/>
      <c r="BS49" s="6"/>
      <c r="BT49" s="35"/>
      <c r="BU49" s="702"/>
      <c r="BV49" s="665"/>
      <c r="BW49" s="702"/>
      <c r="BX49" s="6"/>
      <c r="BY49" s="6"/>
      <c r="BZ49" s="3"/>
      <c r="CA49" s="3"/>
      <c r="CB49" s="28"/>
      <c r="CC49" s="3"/>
      <c r="CD49" s="11"/>
      <c r="CF49" s="3"/>
      <c r="CG49" s="35"/>
      <c r="CH49" s="162"/>
      <c r="CI49" s="162"/>
      <c r="CJ49" s="3"/>
      <c r="CK49" s="6"/>
      <c r="CL49" s="6"/>
      <c r="CM49" s="293"/>
      <c r="CN49" s="293"/>
      <c r="CO49" s="6"/>
      <c r="CP49" s="6"/>
      <c r="CQ49" s="3"/>
      <c r="CR49" s="3"/>
      <c r="CS49" s="3"/>
      <c r="CT49" s="3"/>
      <c r="CU49" s="3"/>
      <c r="CV49" s="3"/>
      <c r="CW49" s="3"/>
      <c r="CX49" s="3"/>
      <c r="CY49" s="6"/>
      <c r="CZ49" s="6"/>
      <c r="DA49" s="6"/>
      <c r="DC49" s="44"/>
      <c r="DD49" s="6"/>
    </row>
    <row r="50" spans="1:108" ht="15.75" customHeight="1" thickBot="1">
      <c r="A50" s="670"/>
      <c r="B50" s="6"/>
      <c r="C50" s="26"/>
      <c r="D50" s="26"/>
      <c r="E50" s="26"/>
      <c r="F50" s="26"/>
      <c r="G50" s="26"/>
      <c r="H50" s="26"/>
      <c r="I50" s="26"/>
      <c r="J50" s="26"/>
      <c r="K50" s="26"/>
      <c r="L50" s="6"/>
      <c r="M50" s="6"/>
      <c r="N50" s="6"/>
      <c r="O50" s="670"/>
      <c r="P50" s="38"/>
      <c r="Q50" s="38"/>
      <c r="R50" s="38"/>
      <c r="S50" s="38"/>
      <c r="T50" s="38"/>
      <c r="U50" s="38"/>
      <c r="V50" s="6"/>
      <c r="W50" s="6"/>
      <c r="X50" s="6"/>
      <c r="Y50" s="6"/>
      <c r="Z50" s="293"/>
      <c r="AA50" s="29"/>
      <c r="AB50" s="293"/>
      <c r="AC50" s="3"/>
      <c r="AD50" s="3"/>
      <c r="AE50" s="235"/>
      <c r="AF50" s="38"/>
      <c r="AG50" s="38"/>
      <c r="AH50" s="38"/>
      <c r="AI50" s="66"/>
      <c r="AJ50" s="236"/>
      <c r="AK50" s="28"/>
      <c r="AL50" s="3"/>
      <c r="AM50" s="670"/>
      <c r="AN50" s="681"/>
      <c r="AO50" s="3"/>
      <c r="AP50" s="3"/>
      <c r="AQ50" s="3"/>
      <c r="AR50" s="3"/>
      <c r="AS50" s="3"/>
      <c r="AT50" s="293"/>
      <c r="AU50" s="293"/>
      <c r="AV50" s="3"/>
      <c r="AW50" s="3"/>
      <c r="AX50" s="26"/>
      <c r="AY50" s="26"/>
      <c r="AZ50" s="26"/>
      <c r="BA50" s="670"/>
      <c r="BB50" s="26"/>
      <c r="BC50" s="26"/>
      <c r="BD50" s="26"/>
      <c r="BE50" s="70"/>
      <c r="BF50" s="703"/>
      <c r="BG50" s="665"/>
      <c r="BH50" s="665"/>
      <c r="BI50" s="703"/>
      <c r="BJ50" s="78"/>
      <c r="BK50" s="237"/>
      <c r="BL50" s="29"/>
      <c r="BM50" s="32"/>
      <c r="BN50" s="3"/>
      <c r="BO50" s="351"/>
      <c r="BP50" s="351"/>
      <c r="BQ50" s="3"/>
      <c r="BR50" s="6"/>
      <c r="BS50" s="70"/>
      <c r="BT50" s="46"/>
      <c r="BU50" s="665"/>
      <c r="BV50" s="702"/>
      <c r="BW50" s="665"/>
      <c r="BX50" s="46"/>
      <c r="BY50" s="75"/>
      <c r="BZ50" s="3"/>
      <c r="CA50" s="3"/>
      <c r="CB50" s="28"/>
      <c r="CC50" s="3"/>
      <c r="CD50" s="11"/>
      <c r="CF50" s="70"/>
      <c r="CG50" s="46"/>
      <c r="CH50" s="665"/>
      <c r="CI50" s="665"/>
      <c r="CJ50" s="46"/>
      <c r="CK50" s="75"/>
      <c r="CL50" s="6"/>
      <c r="CM50" s="293"/>
      <c r="CN50" s="293"/>
      <c r="CO50" s="3"/>
      <c r="CP50" s="6"/>
      <c r="CQ50" s="3"/>
      <c r="CR50" s="3"/>
      <c r="CS50" s="6"/>
      <c r="CT50" s="6"/>
      <c r="CU50" s="6"/>
      <c r="CV50" s="6"/>
      <c r="CW50" s="6"/>
      <c r="CX50" s="6"/>
      <c r="CY50" s="6"/>
      <c r="CZ50" s="6"/>
      <c r="DA50" s="6"/>
      <c r="DB50" s="293"/>
      <c r="DC50" s="44"/>
      <c r="DD50" s="6"/>
    </row>
    <row r="51" spans="1:108" ht="15.75" customHeight="1" thickBot="1">
      <c r="A51" s="670"/>
      <c r="B51" s="6"/>
      <c r="C51" s="26"/>
      <c r="D51" s="26"/>
      <c r="E51" s="26"/>
      <c r="F51" s="26"/>
      <c r="G51" s="26"/>
      <c r="H51" s="26"/>
      <c r="I51" s="26"/>
      <c r="J51" s="26"/>
      <c r="K51" s="26"/>
      <c r="L51" s="6"/>
      <c r="M51" s="6"/>
      <c r="N51" s="6"/>
      <c r="O51" s="670"/>
      <c r="P51" s="38"/>
      <c r="Q51" s="38"/>
      <c r="R51" s="38"/>
      <c r="S51" s="38"/>
      <c r="T51" s="38"/>
      <c r="U51" s="38"/>
      <c r="V51" s="6"/>
      <c r="W51" s="6"/>
      <c r="X51" s="6"/>
      <c r="Y51" s="6"/>
      <c r="Z51" s="293"/>
      <c r="AA51" s="29"/>
      <c r="AB51" s="293"/>
      <c r="AC51" s="3"/>
      <c r="AD51" s="3"/>
      <c r="AE51" s="235"/>
      <c r="AF51" s="38"/>
      <c r="AG51" s="38"/>
      <c r="AH51" s="38"/>
      <c r="AI51" s="66"/>
      <c r="AJ51" s="236"/>
      <c r="AK51" s="28"/>
      <c r="AL51" s="3"/>
      <c r="AM51" s="670"/>
      <c r="AN51" s="681"/>
      <c r="AO51" s="3"/>
      <c r="AP51" s="3"/>
      <c r="AQ51" s="3"/>
      <c r="AR51" s="3"/>
      <c r="AS51" s="3"/>
      <c r="AT51" s="293"/>
      <c r="AU51" s="293"/>
      <c r="AV51" s="3"/>
      <c r="AW51" s="26"/>
      <c r="AX51" s="26"/>
      <c r="AY51" s="6"/>
      <c r="AZ51" s="293"/>
      <c r="BA51" s="670"/>
      <c r="BB51" s="26"/>
      <c r="BC51" s="758"/>
      <c r="BD51" s="718"/>
      <c r="BE51" s="77"/>
      <c r="BF51" s="703"/>
      <c r="BG51" s="665"/>
      <c r="BH51" s="665"/>
      <c r="BI51" s="703"/>
      <c r="BJ51" s="78"/>
      <c r="BK51" s="237"/>
      <c r="BL51" s="29"/>
      <c r="BM51" s="29"/>
      <c r="BN51" s="29"/>
      <c r="BO51" s="29"/>
      <c r="BP51" s="29"/>
      <c r="BQ51" s="29"/>
      <c r="BR51" s="6"/>
      <c r="BS51" s="6"/>
      <c r="BT51" s="6"/>
      <c r="BU51" s="702"/>
      <c r="BV51" s="665"/>
      <c r="BW51" s="702"/>
      <c r="BX51" s="6"/>
      <c r="BY51" s="6"/>
      <c r="BZ51" s="3"/>
      <c r="CA51" s="3"/>
      <c r="CB51" s="122"/>
      <c r="CC51" s="3"/>
      <c r="CD51" s="11"/>
      <c r="CF51" s="77"/>
      <c r="CG51" s="46"/>
      <c r="CH51" s="665"/>
      <c r="CI51" s="665"/>
      <c r="CJ51" s="46"/>
      <c r="CK51" s="75"/>
      <c r="CL51" s="6"/>
      <c r="CO51" s="3"/>
      <c r="CP51" s="6"/>
      <c r="CQ51" s="3"/>
      <c r="CR51" s="3"/>
      <c r="CS51" s="6"/>
      <c r="CT51" s="6"/>
      <c r="CU51" s="107"/>
      <c r="CV51" s="293"/>
      <c r="CW51" s="6"/>
      <c r="CX51" s="6"/>
      <c r="CY51" s="6"/>
      <c r="CZ51" s="6"/>
      <c r="DA51" s="6"/>
      <c r="DB51" s="293"/>
      <c r="DC51" s="122"/>
      <c r="DD51" s="6"/>
    </row>
    <row r="52" spans="1:108" ht="15.75" customHeight="1">
      <c r="A52" s="670"/>
      <c r="B52" s="6"/>
      <c r="C52" s="26"/>
      <c r="D52" s="26"/>
      <c r="E52" s="26"/>
      <c r="F52" s="26"/>
      <c r="G52" s="26"/>
      <c r="H52" s="26"/>
      <c r="I52" s="26"/>
      <c r="J52" s="26"/>
      <c r="K52" s="26"/>
      <c r="L52" s="6"/>
      <c r="M52" s="6"/>
      <c r="N52" s="6"/>
      <c r="O52" s="670"/>
      <c r="P52" s="38"/>
      <c r="Q52" s="38"/>
      <c r="R52" s="38"/>
      <c r="S52" s="38"/>
      <c r="T52" s="38"/>
      <c r="U52" s="38"/>
      <c r="V52" s="6"/>
      <c r="W52" s="6"/>
      <c r="X52" s="6"/>
      <c r="Y52" s="6"/>
      <c r="Z52" s="136"/>
      <c r="AA52" s="293"/>
      <c r="AB52" s="136"/>
      <c r="AC52" s="29"/>
      <c r="AD52" s="29"/>
      <c r="AE52" s="235"/>
      <c r="AF52" s="38"/>
      <c r="AG52" s="38"/>
      <c r="AH52" s="38"/>
      <c r="AI52" s="66"/>
      <c r="AJ52" s="236"/>
      <c r="AK52" s="122"/>
      <c r="AL52" s="3"/>
      <c r="AM52" s="670"/>
      <c r="AN52" s="3"/>
      <c r="AO52" s="3"/>
      <c r="AP52" s="3"/>
      <c r="AQ52" s="3"/>
      <c r="AR52" s="3"/>
      <c r="AS52" s="212"/>
      <c r="AT52" s="351"/>
      <c r="AU52" s="351"/>
      <c r="AV52" s="3"/>
      <c r="AW52" s="26"/>
      <c r="AX52" s="3"/>
      <c r="AY52" s="753"/>
      <c r="AZ52" s="724"/>
      <c r="BA52" s="670"/>
      <c r="BB52" s="670"/>
      <c r="BC52" s="670"/>
      <c r="BD52" s="670"/>
      <c r="BE52" s="77"/>
      <c r="BF52" s="703"/>
      <c r="BG52" s="665"/>
      <c r="BH52" s="665"/>
      <c r="BI52" s="703"/>
      <c r="BJ52" s="78"/>
      <c r="BK52" s="237"/>
      <c r="BL52" s="29"/>
      <c r="BM52" s="29"/>
      <c r="BN52" s="3"/>
      <c r="BO52" s="6"/>
      <c r="BP52" s="6"/>
      <c r="BQ52" s="3"/>
      <c r="BR52" s="6"/>
      <c r="BS52" s="6"/>
      <c r="BT52" s="6"/>
      <c r="BU52" s="6"/>
      <c r="BV52" s="46"/>
      <c r="BW52" s="6"/>
      <c r="BX52" s="6"/>
      <c r="BY52" s="6"/>
      <c r="BZ52" s="122"/>
      <c r="CA52" s="29"/>
      <c r="CB52" s="122"/>
      <c r="CC52" s="3"/>
      <c r="CD52" s="11"/>
      <c r="CF52" s="3"/>
      <c r="CG52" s="3"/>
      <c r="CH52" s="162"/>
      <c r="CI52" s="162"/>
      <c r="CJ52" s="3"/>
      <c r="CK52" s="6"/>
      <c r="CL52" s="6"/>
      <c r="CO52" s="6"/>
      <c r="CP52" s="6"/>
      <c r="CQ52" s="3"/>
      <c r="CR52" s="3"/>
      <c r="CS52" s="6"/>
      <c r="CT52" s="6"/>
      <c r="CU52" s="293"/>
      <c r="CV52" s="25"/>
      <c r="CW52" s="6"/>
      <c r="CX52" s="6"/>
      <c r="CY52" s="6"/>
      <c r="CZ52" s="6"/>
      <c r="DA52" s="6"/>
      <c r="DB52" s="293"/>
      <c r="DC52" s="122"/>
      <c r="DD52" s="6"/>
    </row>
    <row r="53" spans="1:108" ht="15.75" customHeight="1">
      <c r="A53" s="670"/>
      <c r="B53" s="6"/>
      <c r="C53" s="26"/>
      <c r="D53" s="26"/>
      <c r="E53" s="26"/>
      <c r="F53" s="26"/>
      <c r="G53" s="26"/>
      <c r="H53" s="26"/>
      <c r="I53" s="26"/>
      <c r="J53" s="26"/>
      <c r="K53" s="26"/>
      <c r="L53" s="6"/>
      <c r="M53" s="6"/>
      <c r="N53" s="6"/>
      <c r="O53" s="670"/>
      <c r="P53" s="6"/>
      <c r="Q53" s="38"/>
      <c r="R53" s="38"/>
      <c r="S53" s="38"/>
      <c r="T53" s="38"/>
      <c r="U53" s="38"/>
      <c r="V53" s="6"/>
      <c r="W53" s="6"/>
      <c r="X53" s="6"/>
      <c r="Y53" s="6"/>
      <c r="Z53" s="3"/>
      <c r="AA53" s="6"/>
      <c r="AB53" s="6"/>
      <c r="AC53" s="3"/>
      <c r="AD53" s="3"/>
      <c r="AE53" s="235"/>
      <c r="AF53" s="3"/>
      <c r="AG53" s="38"/>
      <c r="AH53" s="38"/>
      <c r="AI53" s="66"/>
      <c r="AJ53" s="236"/>
      <c r="AK53" s="122"/>
      <c r="AL53" s="3"/>
      <c r="AM53" s="670"/>
      <c r="AN53" s="3"/>
      <c r="AO53" s="3"/>
      <c r="AP53" s="3"/>
      <c r="AQ53" s="3"/>
      <c r="AR53" s="6"/>
      <c r="AS53" s="3"/>
      <c r="AT53" s="351"/>
      <c r="AU53" s="351"/>
      <c r="AV53" s="6"/>
      <c r="AW53" s="3"/>
      <c r="AX53" s="3"/>
      <c r="AY53" s="3"/>
      <c r="AZ53" s="3"/>
      <c r="BA53" s="670"/>
      <c r="BB53" s="26"/>
      <c r="BC53" s="26"/>
      <c r="BD53" s="239"/>
      <c r="BE53" s="70"/>
      <c r="BF53" s="703"/>
      <c r="BG53" s="665"/>
      <c r="BH53" s="665"/>
      <c r="BI53" s="703"/>
      <c r="BJ53" s="78"/>
      <c r="BK53" s="237"/>
      <c r="BL53" s="29"/>
      <c r="BM53" s="29"/>
      <c r="BN53" s="29"/>
      <c r="BO53" s="6"/>
      <c r="BP53" s="6"/>
      <c r="BQ53" s="3"/>
      <c r="BR53" s="6"/>
      <c r="BS53" s="6"/>
      <c r="BT53" s="6"/>
      <c r="BU53" s="6"/>
      <c r="BV53" s="46"/>
      <c r="BW53" s="6"/>
      <c r="BX53" s="6"/>
      <c r="BY53" s="6"/>
      <c r="BZ53" s="122"/>
      <c r="CA53" s="29"/>
      <c r="CB53" s="122"/>
      <c r="CC53" s="3"/>
      <c r="CD53" s="11"/>
      <c r="CE53" s="351"/>
      <c r="CF53" s="3"/>
      <c r="CG53" s="6"/>
      <c r="CH53" s="735"/>
      <c r="CI53" s="730"/>
      <c r="CJ53" s="3"/>
      <c r="CK53" s="6"/>
      <c r="CL53" s="6"/>
      <c r="CO53" s="3"/>
      <c r="CP53" s="6"/>
      <c r="CQ53" s="3"/>
      <c r="CR53" s="3"/>
      <c r="CS53" s="6"/>
      <c r="CT53" s="6"/>
      <c r="CU53" s="293"/>
      <c r="CV53" s="107"/>
      <c r="CW53" s="6"/>
      <c r="CX53" s="6"/>
      <c r="CY53" s="6"/>
      <c r="CZ53" s="6"/>
      <c r="DA53" s="6"/>
      <c r="DB53" s="293"/>
      <c r="DC53" s="122"/>
      <c r="DD53" s="6"/>
    </row>
    <row r="54" spans="1:108" ht="15.75" customHeight="1">
      <c r="A54" s="670"/>
      <c r="B54" s="6"/>
      <c r="C54" s="26"/>
      <c r="D54" s="6"/>
      <c r="E54" s="6"/>
      <c r="F54" s="6"/>
      <c r="G54" s="6"/>
      <c r="H54" s="6"/>
      <c r="I54" s="6"/>
      <c r="J54" s="26"/>
      <c r="K54" s="26"/>
      <c r="L54" s="6"/>
      <c r="M54" s="6"/>
      <c r="N54" s="29"/>
      <c r="O54" s="670"/>
      <c r="P54" s="38"/>
      <c r="Q54" s="38"/>
      <c r="R54" s="38"/>
      <c r="S54" s="38"/>
      <c r="T54" s="38"/>
      <c r="U54" s="38"/>
      <c r="V54" s="6"/>
      <c r="W54" s="6"/>
      <c r="X54" s="6"/>
      <c r="Y54" s="6"/>
      <c r="Z54" s="29"/>
      <c r="AA54" s="6"/>
      <c r="AB54" s="6"/>
      <c r="AC54" s="3"/>
      <c r="AD54" s="3"/>
      <c r="AE54" s="235"/>
      <c r="AF54" s="38"/>
      <c r="AG54" s="240" t="s">
        <v>150</v>
      </c>
      <c r="AH54" s="38"/>
      <c r="AI54" s="66"/>
      <c r="AJ54" s="236"/>
      <c r="AK54" s="122"/>
      <c r="AL54" s="3"/>
      <c r="AM54" s="670"/>
      <c r="AN54" s="3"/>
      <c r="AO54" s="3"/>
      <c r="AP54" s="3"/>
      <c r="AQ54" s="3"/>
      <c r="AR54" s="3"/>
      <c r="AS54" s="3"/>
      <c r="AT54" s="693"/>
      <c r="AU54" s="693"/>
      <c r="AV54" s="3"/>
      <c r="AW54" s="3"/>
      <c r="AX54" s="26"/>
      <c r="AY54" s="3"/>
      <c r="AZ54" s="3"/>
      <c r="BA54" s="670"/>
      <c r="BB54" s="26"/>
      <c r="BC54" s="26"/>
      <c r="BD54" s="704"/>
      <c r="BE54" s="29"/>
      <c r="BF54" s="29"/>
      <c r="BG54" s="701"/>
      <c r="BH54" s="701"/>
      <c r="BI54" s="29"/>
      <c r="BJ54" s="29"/>
      <c r="BK54" s="3"/>
      <c r="BL54" s="29"/>
      <c r="BM54" s="29"/>
      <c r="BN54" s="29"/>
      <c r="BO54" s="6"/>
      <c r="BP54" s="6"/>
      <c r="BQ54" s="3"/>
      <c r="BR54" s="6"/>
      <c r="BS54" s="6"/>
      <c r="BT54" s="29"/>
      <c r="BU54" s="735"/>
      <c r="BV54" s="730"/>
      <c r="BW54" s="730"/>
      <c r="BX54" s="29"/>
      <c r="BY54" s="29"/>
      <c r="BZ54" s="122"/>
      <c r="CA54" s="29"/>
      <c r="CB54" s="122"/>
      <c r="CC54" s="3"/>
      <c r="CD54" s="11"/>
      <c r="CE54" s="351"/>
      <c r="CF54" s="3"/>
      <c r="CG54" s="6"/>
      <c r="CH54" s="6"/>
      <c r="CI54" s="6"/>
      <c r="CJ54" s="3"/>
      <c r="CK54" s="6"/>
      <c r="CL54" s="6"/>
      <c r="CM54" s="6"/>
      <c r="CN54" s="6"/>
      <c r="CO54" s="6"/>
      <c r="CP54" s="6"/>
      <c r="CQ54" s="3"/>
      <c r="CR54" s="3"/>
      <c r="CS54" s="6"/>
      <c r="CT54" s="6"/>
      <c r="CU54" s="6"/>
      <c r="CV54" s="3"/>
      <c r="CW54" s="3"/>
      <c r="CX54" s="6"/>
      <c r="CY54" s="6"/>
      <c r="CZ54" s="3"/>
      <c r="DA54" s="3"/>
      <c r="DB54" s="293"/>
      <c r="DC54" s="122"/>
      <c r="DD54" s="6"/>
    </row>
    <row r="55" spans="1:108" ht="15.75" customHeight="1">
      <c r="A55" s="670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6"/>
      <c r="M55" s="6"/>
      <c r="N55" s="29"/>
      <c r="O55" s="29"/>
      <c r="P55" s="7"/>
      <c r="Q55" s="38"/>
      <c r="R55" s="38"/>
      <c r="S55" s="38"/>
      <c r="T55" s="38"/>
      <c r="U55" s="38"/>
      <c r="V55" s="6"/>
      <c r="W55" s="6"/>
      <c r="X55" s="6"/>
      <c r="Y55" s="6"/>
      <c r="Z55" s="6"/>
      <c r="AA55" s="6"/>
      <c r="AB55" s="6"/>
      <c r="AC55" s="3"/>
      <c r="AD55" s="3"/>
      <c r="AE55" s="235"/>
      <c r="AF55" s="38"/>
      <c r="AG55" s="38"/>
      <c r="AH55" s="38"/>
      <c r="AI55" s="66"/>
      <c r="AJ55" s="236"/>
      <c r="AK55" s="122"/>
      <c r="AL55" s="3"/>
      <c r="AM55" s="670"/>
      <c r="AN55" s="3"/>
      <c r="AO55" s="3"/>
      <c r="AP55" s="3"/>
      <c r="AQ55" s="3"/>
      <c r="AR55" s="3"/>
      <c r="AS55" s="3"/>
      <c r="AT55" s="751"/>
      <c r="AU55" s="744"/>
      <c r="AV55" s="3"/>
      <c r="AW55" s="3"/>
      <c r="AX55" s="26"/>
      <c r="AY55" s="243"/>
      <c r="AZ55" s="244"/>
      <c r="BA55" s="670"/>
      <c r="BB55" s="212"/>
      <c r="BC55" s="212"/>
      <c r="BD55" s="704"/>
      <c r="BE55" s="3"/>
      <c r="BF55" s="3"/>
      <c r="BG55" s="29"/>
      <c r="BH55" s="29"/>
      <c r="BI55" s="29"/>
      <c r="BJ55" s="3"/>
      <c r="BK55" s="3"/>
      <c r="BL55" s="3"/>
      <c r="BM55" s="6"/>
      <c r="BN55" s="29"/>
      <c r="BO55" s="6"/>
      <c r="BP55" s="6"/>
      <c r="BQ55" s="6"/>
      <c r="BR55" s="6"/>
      <c r="BS55" s="6"/>
      <c r="BT55" s="29"/>
      <c r="BU55" s="29"/>
      <c r="BV55" s="29"/>
      <c r="BW55" s="29"/>
      <c r="BX55" s="29"/>
      <c r="BY55" s="29"/>
      <c r="BZ55" s="122"/>
      <c r="CA55" s="122"/>
      <c r="CB55" s="122"/>
      <c r="CC55" s="3"/>
      <c r="CD55" s="11"/>
      <c r="CE55" s="681"/>
      <c r="CF55" s="3"/>
      <c r="CG55" s="3"/>
      <c r="CH55" s="664"/>
      <c r="CI55" s="664"/>
      <c r="CJ55" s="3"/>
      <c r="CK55" s="6"/>
      <c r="CL55" s="6"/>
      <c r="CM55" s="6"/>
      <c r="CN55" s="6"/>
      <c r="CO55" s="6"/>
      <c r="CP55" s="6"/>
      <c r="CQ55" s="3"/>
      <c r="CR55" s="3"/>
      <c r="CS55" s="6"/>
      <c r="CT55" s="6"/>
      <c r="CU55" s="6"/>
      <c r="CV55" s="6"/>
      <c r="CW55" s="6"/>
      <c r="CX55" s="6"/>
      <c r="CY55" s="6"/>
      <c r="DC55" s="122"/>
      <c r="DD55" s="6"/>
    </row>
    <row r="56" spans="1:108" ht="15.75" customHeight="1">
      <c r="A56" s="670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6"/>
      <c r="M56" s="6"/>
      <c r="N56" s="29"/>
      <c r="O56" s="29"/>
      <c r="P56" s="7"/>
      <c r="Q56" s="38"/>
      <c r="R56" s="38"/>
      <c r="S56" s="38"/>
      <c r="T56" s="38"/>
      <c r="U56" s="38"/>
      <c r="V56" s="6"/>
      <c r="W56" s="6"/>
      <c r="X56" s="6"/>
      <c r="Y56" s="6"/>
      <c r="Z56" s="6"/>
      <c r="AA56" s="6"/>
      <c r="AB56" s="6"/>
      <c r="AC56" s="3"/>
      <c r="AD56" s="3"/>
      <c r="AE56" s="235"/>
      <c r="AF56" s="38"/>
      <c r="AG56" s="38"/>
      <c r="AH56" s="38"/>
      <c r="AI56" s="66"/>
      <c r="AJ56" s="236"/>
      <c r="AK56" s="122"/>
      <c r="AL56" s="3"/>
      <c r="AM56" s="670"/>
      <c r="AN56" s="150"/>
      <c r="AO56" s="150"/>
      <c r="AP56" s="150"/>
      <c r="AQ56" s="3"/>
      <c r="AR56" s="3"/>
      <c r="AS56" s="26"/>
      <c r="AT56" s="22"/>
      <c r="AU56" s="22"/>
      <c r="AV56" s="3"/>
      <c r="AW56" s="3"/>
      <c r="AX56" s="26"/>
      <c r="AY56" s="26"/>
      <c r="AZ56" s="167"/>
      <c r="BA56" s="670"/>
      <c r="BB56" s="212"/>
      <c r="BC56" s="212"/>
      <c r="BD56" s="242"/>
      <c r="BE56" s="3"/>
      <c r="BF56" s="3"/>
      <c r="BG56" s="3"/>
      <c r="BH56" s="3"/>
      <c r="BI56" s="6"/>
      <c r="BJ56" s="6"/>
      <c r="BK56" s="3"/>
      <c r="BL56" s="3"/>
      <c r="BM56" s="6"/>
      <c r="BN56" s="29"/>
      <c r="BO56" s="6"/>
      <c r="BP56" s="6"/>
      <c r="BQ56" s="6"/>
      <c r="BR56" s="6"/>
      <c r="BS56" s="6"/>
      <c r="BT56" s="29"/>
      <c r="BU56" s="29"/>
      <c r="BV56" s="29"/>
      <c r="BW56" s="29"/>
      <c r="BX56" s="29"/>
      <c r="BY56" s="29"/>
      <c r="BZ56" s="122"/>
      <c r="CA56" s="122"/>
      <c r="CB56" s="122"/>
      <c r="CC56" s="3"/>
      <c r="CD56" s="11"/>
      <c r="CE56" s="681"/>
      <c r="CF56" s="3"/>
      <c r="CG56" s="3"/>
      <c r="CH56" s="664"/>
      <c r="CI56" s="664"/>
      <c r="CJ56" s="3"/>
      <c r="CK56" s="6"/>
      <c r="CL56" s="6"/>
      <c r="CM56" s="6"/>
      <c r="CN56" s="6"/>
      <c r="CO56" s="6"/>
      <c r="CP56" s="6"/>
      <c r="CQ56" s="3"/>
      <c r="CR56" s="3"/>
      <c r="CS56" s="6"/>
      <c r="CT56" s="6"/>
      <c r="CU56" s="6"/>
      <c r="CV56" s="6"/>
      <c r="CW56" s="6"/>
      <c r="CX56" s="6"/>
      <c r="CY56" s="6"/>
      <c r="CZ56" s="6"/>
      <c r="DA56" s="3"/>
      <c r="DB56" s="3"/>
      <c r="DC56" s="122"/>
      <c r="DD56" s="6"/>
    </row>
    <row r="57" spans="1:108" ht="15.75" customHeight="1" thickBot="1">
      <c r="A57" s="670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6"/>
      <c r="M57" s="6"/>
      <c r="N57" s="29"/>
      <c r="O57" s="29"/>
      <c r="P57" s="7"/>
      <c r="Q57" s="38"/>
      <c r="R57" s="38"/>
      <c r="S57" s="38"/>
      <c r="T57" s="38"/>
      <c r="U57" s="38"/>
      <c r="V57" s="6"/>
      <c r="W57" s="6"/>
      <c r="X57" s="6"/>
      <c r="Y57" s="6"/>
      <c r="Z57" s="6"/>
      <c r="AA57" s="6"/>
      <c r="AB57" s="6"/>
      <c r="AC57" s="3"/>
      <c r="AD57" s="3"/>
      <c r="AE57" s="235"/>
      <c r="AF57" s="38"/>
      <c r="AG57" s="38"/>
      <c r="AH57" s="38"/>
      <c r="AI57" s="66"/>
      <c r="AJ57" s="236"/>
      <c r="AK57" s="122"/>
      <c r="AL57" s="3"/>
      <c r="AM57" s="670"/>
      <c r="AN57" s="150"/>
      <c r="AO57" s="150"/>
      <c r="AP57" s="150"/>
      <c r="AQ57" s="150"/>
      <c r="AR57" s="3"/>
      <c r="AS57" s="26"/>
      <c r="AT57" s="750"/>
      <c r="AU57" s="715"/>
      <c r="AV57" s="26"/>
      <c r="AW57" s="3"/>
      <c r="AX57" s="26"/>
      <c r="AY57" s="26"/>
      <c r="AZ57" s="26"/>
      <c r="BA57" s="670"/>
      <c r="BB57" s="26"/>
      <c r="BC57" s="26"/>
      <c r="BD57" s="242"/>
      <c r="BE57" s="3"/>
      <c r="BF57" s="3"/>
      <c r="BG57" s="3"/>
      <c r="BH57" s="3"/>
      <c r="BI57" s="6"/>
      <c r="BJ57" s="6"/>
      <c r="BK57" s="3"/>
      <c r="BL57" s="3"/>
      <c r="BM57" s="6"/>
      <c r="BN57" s="29"/>
      <c r="BO57" s="6"/>
      <c r="BP57" s="6"/>
      <c r="BQ57" s="6"/>
      <c r="BR57" s="6"/>
      <c r="BS57" s="6"/>
      <c r="BT57" s="29"/>
      <c r="BU57" s="29"/>
      <c r="BV57" s="29"/>
      <c r="BW57" s="29"/>
      <c r="BX57" s="29"/>
      <c r="BY57" s="29"/>
      <c r="BZ57" s="122"/>
      <c r="CA57" s="76"/>
      <c r="CB57" s="122"/>
      <c r="CC57" s="3"/>
      <c r="CD57" s="11"/>
      <c r="CE57" s="681"/>
      <c r="CF57" s="3"/>
      <c r="CG57" s="3"/>
      <c r="CH57" s="3"/>
      <c r="CI57" s="3"/>
      <c r="CJ57" s="3"/>
      <c r="CK57" s="6"/>
      <c r="CL57" s="6"/>
      <c r="CM57" s="160"/>
      <c r="CN57" s="160"/>
      <c r="CO57" s="6"/>
      <c r="CP57" s="6"/>
      <c r="CQ57" s="3"/>
      <c r="CR57" s="3"/>
      <c r="CS57" s="6"/>
      <c r="CT57" s="3"/>
      <c r="CU57" s="3"/>
      <c r="CV57" s="3"/>
      <c r="CW57" s="3"/>
      <c r="CX57" s="3"/>
      <c r="CY57" s="3"/>
      <c r="CZ57" s="3"/>
      <c r="DA57" s="3"/>
      <c r="DB57" s="3"/>
      <c r="DC57" s="122"/>
      <c r="DD57" s="6"/>
    </row>
    <row r="58" spans="1:108" ht="15.75" customHeight="1" thickBot="1">
      <c r="A58" s="670"/>
      <c r="B58" s="26"/>
      <c r="C58" s="26"/>
      <c r="D58" s="26"/>
      <c r="E58" s="26"/>
      <c r="F58" s="162" t="s">
        <v>236</v>
      </c>
      <c r="G58" s="245"/>
      <c r="H58" s="245"/>
      <c r="I58" s="245"/>
      <c r="J58" s="245"/>
      <c r="K58" s="245"/>
      <c r="L58" s="6"/>
      <c r="M58" s="6"/>
      <c r="N58" s="29"/>
      <c r="O58" s="29"/>
      <c r="P58" s="7"/>
      <c r="Q58" s="38"/>
      <c r="R58" s="38"/>
      <c r="S58" s="38"/>
      <c r="T58" s="38"/>
      <c r="U58" s="38"/>
      <c r="V58" s="6"/>
      <c r="W58" s="6"/>
      <c r="X58" s="6"/>
      <c r="Y58" s="6"/>
      <c r="Z58" s="6"/>
      <c r="AA58" s="6"/>
      <c r="AB58" s="6"/>
      <c r="AC58" s="29"/>
      <c r="AD58" s="29"/>
      <c r="AE58" s="235"/>
      <c r="AF58" s="38"/>
      <c r="AG58" s="38"/>
      <c r="AH58" s="38"/>
      <c r="AI58" s="66"/>
      <c r="AJ58" s="236"/>
      <c r="AK58" s="122"/>
      <c r="AL58" s="3"/>
      <c r="AM58" s="670"/>
      <c r="AN58" s="681"/>
      <c r="AO58" s="150"/>
      <c r="AP58" s="150"/>
      <c r="AQ58" s="150"/>
      <c r="AR58" s="212"/>
      <c r="AS58" s="3"/>
      <c r="AT58" s="379"/>
      <c r="AU58" s="379"/>
      <c r="AV58" s="3"/>
      <c r="AW58" s="3"/>
      <c r="AX58" s="3"/>
      <c r="AY58" s="246"/>
      <c r="AZ58" s="246"/>
      <c r="BA58" s="670"/>
      <c r="BB58" s="246"/>
      <c r="BC58" s="246"/>
      <c r="BD58" s="242"/>
      <c r="BE58" s="3"/>
      <c r="BF58" s="6"/>
      <c r="BG58" s="6"/>
      <c r="BH58" s="6"/>
      <c r="BI58" s="6"/>
      <c r="BJ58" s="6"/>
      <c r="BK58" s="3"/>
      <c r="BL58" s="3"/>
      <c r="BM58" s="6"/>
      <c r="BN58" s="29"/>
      <c r="BO58" s="3"/>
      <c r="BP58" s="6"/>
      <c r="BQ58" s="6"/>
      <c r="BR58" s="6"/>
      <c r="BS58" s="6"/>
      <c r="BT58" s="29"/>
      <c r="BU58" s="720"/>
      <c r="BV58" s="721"/>
      <c r="BW58" s="721"/>
      <c r="BX58" s="721"/>
      <c r="BY58" s="721"/>
      <c r="BZ58" s="721"/>
      <c r="CA58" s="722"/>
      <c r="CB58" s="122"/>
      <c r="CC58" s="3"/>
      <c r="CD58" s="11"/>
      <c r="CE58" s="681"/>
      <c r="CF58" s="3"/>
      <c r="CG58" s="3"/>
      <c r="CH58" s="709"/>
      <c r="CI58" s="709"/>
      <c r="CJ58" s="3"/>
      <c r="CK58" s="6"/>
      <c r="CL58" s="6"/>
      <c r="CM58" s="160"/>
      <c r="CN58" s="160"/>
      <c r="CO58" s="6"/>
      <c r="CP58" s="6"/>
      <c r="CQ58" s="3"/>
      <c r="CR58" s="3"/>
      <c r="CS58" s="6"/>
      <c r="CT58" s="6"/>
      <c r="CU58" s="6"/>
      <c r="CV58" s="6"/>
      <c r="CW58" s="6"/>
      <c r="CX58" s="6"/>
      <c r="CY58" s="6"/>
      <c r="CZ58" s="6"/>
      <c r="DA58" s="6"/>
      <c r="DB58" s="248"/>
      <c r="DC58" s="122"/>
      <c r="DD58" s="6"/>
    </row>
    <row r="59" spans="1:108" ht="15.75" customHeight="1">
      <c r="A59" s="670"/>
      <c r="B59" s="26"/>
      <c r="C59" s="26"/>
      <c r="D59" s="26"/>
      <c r="E59" s="26"/>
      <c r="F59" s="245"/>
      <c r="G59" s="245"/>
      <c r="H59" s="245"/>
      <c r="I59" s="245"/>
      <c r="J59" s="245"/>
      <c r="K59" s="245"/>
      <c r="L59" s="245"/>
      <c r="M59" s="26"/>
      <c r="N59" s="29"/>
      <c r="O59" s="264"/>
      <c r="P59" s="7"/>
      <c r="Q59" s="38"/>
      <c r="R59" s="38"/>
      <c r="S59" s="38"/>
      <c r="T59" s="38"/>
      <c r="U59" s="38"/>
      <c r="V59" s="6"/>
      <c r="W59" s="6"/>
      <c r="X59" s="6"/>
      <c r="Y59" s="6"/>
      <c r="Z59" s="6"/>
      <c r="AA59" s="6"/>
      <c r="AB59" s="6"/>
      <c r="AC59" s="3"/>
      <c r="AD59" s="3"/>
      <c r="AE59" s="235"/>
      <c r="AF59" s="38"/>
      <c r="AG59" s="38"/>
      <c r="AH59" s="250"/>
      <c r="AI59" s="66"/>
      <c r="AJ59" s="236"/>
      <c r="AK59" s="122"/>
      <c r="AL59" s="3"/>
      <c r="AM59" s="670"/>
      <c r="AN59" s="150"/>
      <c r="AO59" s="150"/>
      <c r="AP59" s="150"/>
      <c r="AQ59" s="150"/>
      <c r="AR59" s="3"/>
      <c r="AS59" s="3"/>
      <c r="AT59" s="379"/>
      <c r="AU59" s="379"/>
      <c r="AV59" s="3"/>
      <c r="AW59" s="3"/>
      <c r="AX59" s="3"/>
      <c r="AY59" s="246"/>
      <c r="AZ59" s="293"/>
      <c r="BA59" s="670"/>
      <c r="BB59" s="246"/>
      <c r="BC59" s="246"/>
      <c r="BD59" s="242"/>
      <c r="BE59" s="29"/>
      <c r="BF59" s="6"/>
      <c r="BG59" s="6"/>
      <c r="BH59" s="6"/>
      <c r="BI59" s="29"/>
      <c r="BJ59" s="29"/>
      <c r="BK59" s="29"/>
      <c r="BL59" s="29"/>
      <c r="BM59" s="3"/>
      <c r="BN59" s="3"/>
      <c r="BO59" s="3"/>
      <c r="BP59" s="6"/>
      <c r="BQ59" s="6"/>
      <c r="BR59" s="6"/>
      <c r="BS59" s="6"/>
      <c r="BT59" s="29"/>
      <c r="BU59" s="723"/>
      <c r="BV59" s="724"/>
      <c r="BW59" s="724"/>
      <c r="BX59" s="724"/>
      <c r="BY59" s="724"/>
      <c r="BZ59" s="724"/>
      <c r="CA59" s="725"/>
      <c r="CB59" s="122"/>
      <c r="CC59" s="3"/>
      <c r="CD59" s="11"/>
      <c r="CF59" s="3"/>
      <c r="CG59" s="3"/>
      <c r="CH59" s="709"/>
      <c r="CI59" s="709"/>
      <c r="CJ59" s="3"/>
      <c r="CK59" s="6"/>
      <c r="CL59" s="3"/>
      <c r="CO59" s="6"/>
      <c r="CP59" s="6"/>
      <c r="CQ59" s="3"/>
      <c r="CR59" s="3"/>
      <c r="CS59" s="6"/>
      <c r="CT59" s="6"/>
      <c r="CU59" s="6"/>
      <c r="CV59" s="6"/>
      <c r="CW59" s="720"/>
      <c r="CX59" s="721"/>
      <c r="CY59" s="721"/>
      <c r="CZ59" s="721"/>
      <c r="DA59" s="721"/>
      <c r="DB59" s="722"/>
      <c r="DC59" s="122"/>
      <c r="DD59" s="6"/>
    </row>
    <row r="60" spans="1:108" ht="15.75" customHeight="1">
      <c r="A60" s="670"/>
      <c r="B60" s="26"/>
      <c r="C60" s="26"/>
      <c r="D60" s="26"/>
      <c r="E60" s="26"/>
      <c r="F60" s="245"/>
      <c r="G60" s="245"/>
      <c r="H60" s="245"/>
      <c r="I60" s="245"/>
      <c r="J60" s="245"/>
      <c r="K60" s="245"/>
      <c r="L60" s="245"/>
      <c r="M60" s="26"/>
      <c r="N60" s="29"/>
      <c r="O60" s="29"/>
      <c r="P60" s="7"/>
      <c r="Q60" s="38"/>
      <c r="R60" s="38"/>
      <c r="S60" s="38"/>
      <c r="T60" s="38"/>
      <c r="U60" s="38"/>
      <c r="V60" s="6"/>
      <c r="W60" s="6"/>
      <c r="X60" s="6"/>
      <c r="Y60" s="6"/>
      <c r="Z60" s="6"/>
      <c r="AA60" s="6"/>
      <c r="AB60" s="6"/>
      <c r="AC60" s="3"/>
      <c r="AD60" s="3"/>
      <c r="AE60" s="235"/>
      <c r="AF60" s="38"/>
      <c r="AG60" s="38"/>
      <c r="AH60" s="250"/>
      <c r="AI60" s="66"/>
      <c r="AJ60" s="236"/>
      <c r="AK60" s="122"/>
      <c r="AL60" s="3"/>
      <c r="AM60" s="670"/>
      <c r="AN60" s="681"/>
      <c r="AO60" s="150"/>
      <c r="AP60" s="150"/>
      <c r="AQ60" s="150"/>
      <c r="AR60" s="3"/>
      <c r="AS60" s="212"/>
      <c r="AT60" s="379"/>
      <c r="AU60" s="379"/>
      <c r="AV60" s="212"/>
      <c r="AW60" s="212"/>
      <c r="AX60" s="212"/>
      <c r="AY60" s="246"/>
      <c r="AZ60" s="293"/>
      <c r="BA60" s="670"/>
      <c r="BB60" s="246"/>
      <c r="BC60" s="246"/>
      <c r="BD60" s="242"/>
      <c r="BE60" s="29"/>
      <c r="BF60" s="6"/>
      <c r="BG60" s="6"/>
      <c r="BH60" s="6"/>
      <c r="BI60" s="29"/>
      <c r="BJ60" s="29"/>
      <c r="BK60" s="29"/>
      <c r="BL60" s="29"/>
      <c r="BM60" s="29"/>
      <c r="BN60" s="29"/>
      <c r="BO60" s="29"/>
      <c r="BP60" s="6"/>
      <c r="BQ60" s="6"/>
      <c r="BR60" s="6"/>
      <c r="BS60" s="6"/>
      <c r="BT60" s="29"/>
      <c r="BU60" s="723"/>
      <c r="BV60" s="724"/>
      <c r="BW60" s="724"/>
      <c r="BX60" s="724"/>
      <c r="BY60" s="724"/>
      <c r="BZ60" s="724"/>
      <c r="CA60" s="725"/>
      <c r="CB60" s="122"/>
      <c r="CC60" s="3"/>
      <c r="CD60" s="11"/>
      <c r="CF60" s="3"/>
      <c r="CG60" s="3"/>
      <c r="CH60" s="709"/>
      <c r="CI60" s="709"/>
      <c r="CJ60" s="3"/>
      <c r="CK60" s="6"/>
      <c r="CL60" s="3"/>
      <c r="CM60" s="6"/>
      <c r="CN60" s="6"/>
      <c r="CO60" s="6"/>
      <c r="CP60" s="6"/>
      <c r="CQ60" s="3"/>
      <c r="CR60" s="3"/>
      <c r="CS60" s="6"/>
      <c r="CT60" s="6"/>
      <c r="CU60" s="6"/>
      <c r="CV60" s="6"/>
      <c r="CW60" s="723"/>
      <c r="CX60" s="724"/>
      <c r="CY60" s="724"/>
      <c r="CZ60" s="724"/>
      <c r="DA60" s="724"/>
      <c r="DB60" s="725"/>
      <c r="DC60" s="122"/>
      <c r="DD60" s="6"/>
    </row>
    <row r="61" spans="1:108" ht="15.75" customHeight="1" thickBot="1">
      <c r="A61" s="670"/>
      <c r="B61" s="26"/>
      <c r="C61" s="26"/>
      <c r="D61" s="26"/>
      <c r="E61" s="26"/>
      <c r="F61" s="245"/>
      <c r="G61" s="245"/>
      <c r="H61" s="245"/>
      <c r="I61" s="245"/>
      <c r="J61" s="245"/>
      <c r="K61" s="245"/>
      <c r="L61" s="245"/>
      <c r="M61" s="26"/>
      <c r="N61" s="29"/>
      <c r="O61" s="29"/>
      <c r="P61" s="7"/>
      <c r="Q61" s="38"/>
      <c r="R61" s="38"/>
      <c r="S61" s="38"/>
      <c r="T61" s="38"/>
      <c r="U61" s="38"/>
      <c r="V61" s="6"/>
      <c r="W61" s="6"/>
      <c r="X61" s="6"/>
      <c r="Y61" s="6"/>
      <c r="Z61" s="6"/>
      <c r="AA61" s="6"/>
      <c r="AB61" s="6"/>
      <c r="AC61" s="3"/>
      <c r="AD61" s="3"/>
      <c r="AE61" s="251"/>
      <c r="AF61" s="91"/>
      <c r="AG61" s="91"/>
      <c r="AH61" s="252"/>
      <c r="AI61" s="253"/>
      <c r="AJ61" s="254"/>
      <c r="AK61" s="122"/>
      <c r="AL61" s="3"/>
      <c r="AM61" s="670"/>
      <c r="AN61" s="150"/>
      <c r="AO61" s="150"/>
      <c r="AP61" s="150"/>
      <c r="AQ61" s="150"/>
      <c r="AR61" s="3"/>
      <c r="AS61" s="6"/>
      <c r="AT61" s="6"/>
      <c r="AU61" s="6"/>
      <c r="AV61" s="6"/>
      <c r="AW61" s="6"/>
      <c r="AX61" s="212"/>
      <c r="AY61" s="212"/>
      <c r="AZ61" s="293"/>
      <c r="BA61" s="670"/>
      <c r="BB61" s="26"/>
      <c r="BC61" s="212"/>
      <c r="BD61" s="255"/>
      <c r="BE61" s="212"/>
      <c r="BF61" s="6"/>
      <c r="BG61" s="29"/>
      <c r="BH61" s="29"/>
      <c r="BI61" s="29"/>
      <c r="BJ61" s="29"/>
      <c r="BK61" s="29"/>
      <c r="BL61" s="29"/>
      <c r="BM61" s="29"/>
      <c r="BN61" s="29"/>
      <c r="BO61" s="29"/>
      <c r="BP61" s="6"/>
      <c r="BQ61" s="6"/>
      <c r="BR61" s="6"/>
      <c r="BS61" s="6"/>
      <c r="BT61" s="29"/>
      <c r="BU61" s="723"/>
      <c r="BV61" s="724"/>
      <c r="BW61" s="724"/>
      <c r="BX61" s="724"/>
      <c r="BY61" s="724"/>
      <c r="BZ61" s="724"/>
      <c r="CA61" s="725"/>
      <c r="CB61" s="122"/>
      <c r="CC61" s="3"/>
      <c r="CD61" s="11"/>
      <c r="CE61" s="3"/>
      <c r="CF61" s="3"/>
      <c r="CG61" s="3"/>
      <c r="CH61" s="3"/>
      <c r="CI61" s="3"/>
      <c r="CJ61" s="3"/>
      <c r="CK61" s="6"/>
      <c r="CL61" s="3"/>
      <c r="CM61" s="3"/>
      <c r="CN61" s="6"/>
      <c r="CO61" s="6"/>
      <c r="CP61" s="6"/>
      <c r="CQ61" s="3"/>
      <c r="CR61" s="3"/>
      <c r="CS61" s="6"/>
      <c r="CT61" s="6"/>
      <c r="CU61" s="6"/>
      <c r="CV61" s="42"/>
      <c r="CW61" s="723"/>
      <c r="CX61" s="724"/>
      <c r="CY61" s="724"/>
      <c r="CZ61" s="724"/>
      <c r="DA61" s="724"/>
      <c r="DB61" s="725"/>
      <c r="DC61" s="122"/>
      <c r="DD61" s="6"/>
    </row>
    <row r="62" spans="1:108" ht="15.75" customHeight="1">
      <c r="A62" s="670"/>
      <c r="B62" s="26"/>
      <c r="C62" s="26"/>
      <c r="D62" s="26"/>
      <c r="E62" s="26"/>
      <c r="F62" s="245"/>
      <c r="G62" s="245"/>
      <c r="H62" s="245"/>
      <c r="I62" s="245"/>
      <c r="J62" s="245"/>
      <c r="K62" s="245"/>
      <c r="L62" s="245"/>
      <c r="M62" s="26"/>
      <c r="N62" s="29"/>
      <c r="O62" s="29"/>
      <c r="P62" s="7"/>
      <c r="Q62" s="38"/>
      <c r="R62" s="38"/>
      <c r="S62" s="38"/>
      <c r="T62" s="38"/>
      <c r="U62" s="38"/>
      <c r="V62" s="6"/>
      <c r="W62" s="6"/>
      <c r="X62" s="6"/>
      <c r="Y62" s="6"/>
      <c r="Z62" s="6"/>
      <c r="AA62" s="6"/>
      <c r="AB62" s="6"/>
      <c r="AC62" s="3"/>
      <c r="AD62" s="680"/>
      <c r="AE62" s="680"/>
      <c r="AF62" s="293"/>
      <c r="AG62" s="32"/>
      <c r="AH62" s="250"/>
      <c r="AI62" s="250"/>
      <c r="AJ62" s="250"/>
      <c r="AK62" s="122"/>
      <c r="AL62" s="3"/>
      <c r="AM62" s="670"/>
      <c r="AN62" s="681"/>
      <c r="AO62" s="150"/>
      <c r="AP62" s="150"/>
      <c r="AQ62" s="150"/>
      <c r="AR62" s="3"/>
      <c r="AS62" s="6"/>
      <c r="AT62" s="6"/>
      <c r="AU62" s="6"/>
      <c r="AV62" s="6"/>
      <c r="AW62" s="6"/>
      <c r="AX62" s="26"/>
      <c r="AY62" s="3"/>
      <c r="AZ62" s="256"/>
      <c r="BA62" s="670"/>
      <c r="BB62" s="256"/>
      <c r="BC62" s="256"/>
      <c r="BD62" s="255"/>
      <c r="BE62" s="212"/>
      <c r="BF62" s="6"/>
      <c r="BG62" s="29"/>
      <c r="BH62" s="29"/>
      <c r="BI62" s="29"/>
      <c r="BJ62" s="29"/>
      <c r="BK62" s="29"/>
      <c r="BL62" s="29"/>
      <c r="BM62" s="29"/>
      <c r="BN62" s="29"/>
      <c r="BO62" s="29"/>
      <c r="BP62" s="6"/>
      <c r="BQ62" s="6"/>
      <c r="BR62" s="6"/>
      <c r="BS62" s="6"/>
      <c r="BT62" s="29"/>
      <c r="BU62" s="723"/>
      <c r="BV62" s="724"/>
      <c r="BW62" s="724"/>
      <c r="BX62" s="724"/>
      <c r="BY62" s="724"/>
      <c r="BZ62" s="724"/>
      <c r="CA62" s="725"/>
      <c r="CB62" s="29"/>
      <c r="CC62" s="3"/>
      <c r="CD62" s="11"/>
      <c r="CE62" s="3"/>
      <c r="CF62" s="3"/>
      <c r="CG62" s="3"/>
      <c r="CH62" s="3"/>
      <c r="CI62" s="3"/>
      <c r="CJ62" s="3"/>
      <c r="CK62" s="6"/>
      <c r="CL62" s="6"/>
      <c r="CM62" s="6"/>
      <c r="CN62" s="6"/>
      <c r="CO62" s="6"/>
      <c r="CP62" s="6"/>
      <c r="CQ62" s="3"/>
      <c r="CR62" s="3"/>
      <c r="CS62" s="6"/>
      <c r="CT62" s="6"/>
      <c r="CU62" s="6"/>
      <c r="CV62" s="29"/>
      <c r="CW62" s="723"/>
      <c r="CX62" s="724"/>
      <c r="CY62" s="724"/>
      <c r="CZ62" s="724"/>
      <c r="DA62" s="724"/>
      <c r="DB62" s="725"/>
      <c r="DC62" s="122"/>
      <c r="DD62" s="6"/>
    </row>
    <row r="63" spans="1:108" ht="15.75" customHeight="1">
      <c r="A63" s="670"/>
      <c r="B63" s="26"/>
      <c r="C63" s="26"/>
      <c r="D63" s="26"/>
      <c r="E63" s="26"/>
      <c r="F63" s="245"/>
      <c r="G63" s="245"/>
      <c r="H63" s="245"/>
      <c r="I63" s="245"/>
      <c r="J63" s="245"/>
      <c r="K63" s="245"/>
      <c r="L63" s="245"/>
      <c r="M63" s="26"/>
      <c r="N63" s="29"/>
      <c r="O63" s="29"/>
      <c r="P63" s="7"/>
      <c r="Q63" s="38"/>
      <c r="R63" s="38"/>
      <c r="S63" s="38"/>
      <c r="T63" s="38"/>
      <c r="U63" s="38"/>
      <c r="V63" s="6"/>
      <c r="W63" s="6"/>
      <c r="X63" s="6"/>
      <c r="Y63" s="6"/>
      <c r="Z63" s="6"/>
      <c r="AA63" s="6"/>
      <c r="AB63" s="6"/>
      <c r="AC63" s="3"/>
      <c r="AD63" s="3"/>
      <c r="AE63" s="32"/>
      <c r="AF63" s="32"/>
      <c r="AG63" s="32"/>
      <c r="AH63" s="250"/>
      <c r="AI63" s="250"/>
      <c r="AJ63" s="250"/>
      <c r="AK63" s="29"/>
      <c r="AL63" s="3"/>
      <c r="AM63" s="670"/>
      <c r="AN63" s="150"/>
      <c r="AO63" s="150"/>
      <c r="AP63" s="150"/>
      <c r="AQ63" s="150"/>
      <c r="AR63" s="3"/>
      <c r="AS63" s="6"/>
      <c r="AT63" s="694"/>
      <c r="AU63" s="694"/>
      <c r="AV63" s="6"/>
      <c r="AW63" s="6"/>
      <c r="AX63" s="3"/>
      <c r="AY63" s="3"/>
      <c r="AZ63" s="256"/>
      <c r="BA63" s="670"/>
      <c r="BB63" s="256"/>
      <c r="BC63" s="256"/>
      <c r="BD63" s="38"/>
      <c r="BE63" s="258"/>
      <c r="BF63" s="259"/>
      <c r="BG63" s="259"/>
      <c r="BH63" s="11"/>
      <c r="BI63" s="11"/>
      <c r="BJ63" s="11"/>
      <c r="BK63" s="11"/>
      <c r="BL63" s="29"/>
      <c r="BM63" s="29"/>
      <c r="BN63" s="29"/>
      <c r="BO63" s="29"/>
      <c r="BP63" s="6"/>
      <c r="BQ63" s="6"/>
      <c r="BR63" s="6"/>
      <c r="BS63" s="6"/>
      <c r="BT63" s="29"/>
      <c r="BU63" s="723"/>
      <c r="BV63" s="724"/>
      <c r="BW63" s="724"/>
      <c r="BX63" s="724"/>
      <c r="BY63" s="724"/>
      <c r="BZ63" s="724"/>
      <c r="CA63" s="725"/>
      <c r="CB63" s="29"/>
      <c r="CC63" s="3"/>
      <c r="CD63" s="11"/>
      <c r="CE63" s="3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3"/>
      <c r="CR63" s="3"/>
      <c r="CS63" s="6"/>
      <c r="CT63" s="6"/>
      <c r="CU63" s="6"/>
      <c r="CV63" s="29"/>
      <c r="CW63" s="723"/>
      <c r="CX63" s="724"/>
      <c r="CY63" s="724"/>
      <c r="CZ63" s="724"/>
      <c r="DA63" s="724"/>
      <c r="DB63" s="725"/>
      <c r="DC63" s="122"/>
      <c r="DD63" s="6"/>
    </row>
    <row r="64" spans="1:108" ht="15.75" customHeight="1" thickBot="1">
      <c r="A64" s="7"/>
      <c r="B64" s="26"/>
      <c r="C64" s="26"/>
      <c r="D64" s="26"/>
      <c r="E64" s="26"/>
      <c r="F64" s="245"/>
      <c r="G64" s="245"/>
      <c r="H64" s="245"/>
      <c r="I64" s="245"/>
      <c r="J64" s="245"/>
      <c r="K64" s="245"/>
      <c r="L64" s="245"/>
      <c r="M64" s="26"/>
      <c r="N64" s="38"/>
      <c r="O64" s="38"/>
      <c r="P64" s="7"/>
      <c r="Q64" s="38"/>
      <c r="R64" s="38"/>
      <c r="S64" s="38"/>
      <c r="T64" s="38"/>
      <c r="U64" s="38"/>
      <c r="V64" s="38"/>
      <c r="W64" s="38"/>
      <c r="X64" s="29"/>
      <c r="Y64" s="3"/>
      <c r="Z64" s="3"/>
      <c r="AA64" s="3"/>
      <c r="AB64" s="3"/>
      <c r="AC64" s="3"/>
      <c r="AD64" s="3"/>
      <c r="AE64" s="32"/>
      <c r="AF64" s="32"/>
      <c r="AG64" s="32"/>
      <c r="AH64" s="250"/>
      <c r="AI64" s="250"/>
      <c r="AJ64" s="250"/>
      <c r="AK64" s="29"/>
      <c r="AL64" s="3"/>
      <c r="AM64" s="670"/>
      <c r="AN64" s="681"/>
      <c r="AO64" s="150"/>
      <c r="AP64" s="150"/>
      <c r="AQ64" s="6"/>
      <c r="AR64" s="6"/>
      <c r="AS64" s="6"/>
      <c r="AT64" s="694"/>
      <c r="AU64" s="694"/>
      <c r="AV64" s="6"/>
      <c r="AW64" s="3"/>
      <c r="AX64" s="3"/>
      <c r="AY64" s="212"/>
      <c r="AZ64" s="212"/>
      <c r="BA64" s="670"/>
      <c r="BB64" s="212"/>
      <c r="BC64" s="212"/>
      <c r="BD64" s="38"/>
      <c r="BE64" s="38"/>
      <c r="BF64" s="38"/>
      <c r="BG64" s="38"/>
      <c r="BH64" s="38"/>
      <c r="BI64" s="38"/>
      <c r="BJ64" s="38"/>
      <c r="BK64" s="38"/>
      <c r="BL64" s="29"/>
      <c r="BM64" s="29"/>
      <c r="BN64" s="29"/>
      <c r="BO64" s="29"/>
      <c r="BP64" s="29"/>
      <c r="BQ64" s="29"/>
      <c r="BR64" s="29"/>
      <c r="BS64" s="29"/>
      <c r="BT64" s="29"/>
      <c r="BU64" s="723"/>
      <c r="BV64" s="724"/>
      <c r="BW64" s="724"/>
      <c r="BX64" s="724"/>
      <c r="BY64" s="724"/>
      <c r="BZ64" s="724"/>
      <c r="CA64" s="725"/>
      <c r="CB64" s="112"/>
      <c r="CC64" s="3"/>
      <c r="CD64" s="11"/>
      <c r="CE64" s="6"/>
      <c r="CF64" s="6"/>
      <c r="CG64" s="6"/>
      <c r="CH64" s="3"/>
      <c r="CI64" s="3"/>
      <c r="CJ64" s="3"/>
      <c r="CK64" s="6"/>
      <c r="CL64" s="6"/>
      <c r="CM64" s="6"/>
      <c r="CN64" s="6"/>
      <c r="CO64" s="6"/>
      <c r="CP64" s="6"/>
      <c r="CQ64" s="3"/>
      <c r="CR64" s="3"/>
      <c r="CS64" s="6"/>
      <c r="CT64" s="6"/>
      <c r="CU64" s="6"/>
      <c r="CV64" s="29"/>
      <c r="CW64" s="726"/>
      <c r="CX64" s="727"/>
      <c r="CY64" s="727"/>
      <c r="CZ64" s="727"/>
      <c r="DA64" s="727"/>
      <c r="DB64" s="728"/>
      <c r="DC64" s="122"/>
      <c r="DD64" s="6"/>
    </row>
    <row r="65" spans="1:108" ht="15.75" customHeight="1">
      <c r="A65" s="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38"/>
      <c r="O65" s="38"/>
      <c r="P65" s="7"/>
      <c r="Q65" s="38"/>
      <c r="R65" s="38"/>
      <c r="S65" s="38"/>
      <c r="T65" s="38"/>
      <c r="U65" s="38"/>
      <c r="V65" s="38"/>
      <c r="W65" s="38"/>
      <c r="X65" s="29"/>
      <c r="Y65" s="29"/>
      <c r="Z65" s="3"/>
      <c r="AA65" s="3"/>
      <c r="AB65" s="3"/>
      <c r="AC65" s="3"/>
      <c r="AD65" s="3"/>
      <c r="AE65" s="6"/>
      <c r="AF65" s="6"/>
      <c r="AG65" s="32"/>
      <c r="AH65" s="250"/>
      <c r="AI65" s="250"/>
      <c r="AJ65" s="250"/>
      <c r="AK65" s="112"/>
      <c r="AL65" s="3"/>
      <c r="AM65" s="670"/>
      <c r="AN65" s="150"/>
      <c r="AO65" s="150"/>
      <c r="AP65" s="150"/>
      <c r="AQ65" s="6"/>
      <c r="AR65" s="6"/>
      <c r="AS65" s="6"/>
      <c r="AT65" s="694"/>
      <c r="AU65" s="694"/>
      <c r="AV65" s="6"/>
      <c r="AW65" s="3"/>
      <c r="AX65" s="3"/>
      <c r="AY65" s="212"/>
      <c r="AZ65" s="26"/>
      <c r="BA65" s="670"/>
      <c r="BB65" s="26"/>
      <c r="BC65" s="26"/>
      <c r="BD65" s="26"/>
      <c r="BE65" s="38"/>
      <c r="BF65" s="38"/>
      <c r="BG65" s="38"/>
      <c r="BH65" s="38"/>
      <c r="BI65" s="261" t="s">
        <v>238</v>
      </c>
      <c r="BJ65" s="261"/>
      <c r="BK65" s="38"/>
      <c r="BL65" s="29"/>
      <c r="BM65" s="29"/>
      <c r="BN65" s="29"/>
      <c r="BO65" s="29"/>
      <c r="BP65" s="29"/>
      <c r="BQ65" s="29"/>
      <c r="BR65" s="29"/>
      <c r="BS65" s="29"/>
      <c r="BT65" s="29"/>
      <c r="BU65" s="723"/>
      <c r="BV65" s="724"/>
      <c r="BW65" s="724"/>
      <c r="BX65" s="724"/>
      <c r="BY65" s="724"/>
      <c r="BZ65" s="724"/>
      <c r="CA65" s="725"/>
      <c r="CB65" s="112"/>
      <c r="CC65" s="3"/>
      <c r="CD65" s="11"/>
      <c r="CE65" s="6"/>
      <c r="CF65" s="6"/>
      <c r="CG65" s="6"/>
      <c r="CH65" s="3"/>
      <c r="CI65" s="3"/>
      <c r="CJ65" s="3"/>
      <c r="CK65" s="6"/>
      <c r="CL65" s="6"/>
      <c r="CM65" s="6"/>
      <c r="CN65" s="6"/>
      <c r="CO65" s="6"/>
      <c r="CP65" s="6"/>
      <c r="CQ65" s="3"/>
      <c r="CR65" s="3"/>
      <c r="CS65" s="6"/>
      <c r="CT65" s="6"/>
      <c r="CU65" s="6"/>
      <c r="CV65" s="29"/>
      <c r="CW65" s="29"/>
      <c r="CX65" s="763"/>
      <c r="CY65" s="721"/>
      <c r="CZ65" s="721"/>
      <c r="DA65" s="122"/>
      <c r="DB65" s="122"/>
      <c r="DC65" s="122"/>
      <c r="DD65" s="6"/>
    </row>
    <row r="66" spans="1:108" ht="15.75" customHeight="1">
      <c r="A66" s="7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38"/>
      <c r="O66" s="38"/>
      <c r="P66" s="7"/>
      <c r="Q66" s="38"/>
      <c r="R66" s="38"/>
      <c r="S66" s="38"/>
      <c r="T66" s="38"/>
      <c r="U66" s="38"/>
      <c r="V66" s="38"/>
      <c r="W66" s="38"/>
      <c r="X66" s="29"/>
      <c r="Y66" s="29"/>
      <c r="Z66" s="29"/>
      <c r="AA66" s="3"/>
      <c r="AB66" s="3"/>
      <c r="AC66" s="735"/>
      <c r="AD66" s="730"/>
      <c r="AE66" s="730"/>
      <c r="AF66" s="730"/>
      <c r="AG66" s="32"/>
      <c r="AH66" s="250"/>
      <c r="AI66" s="66"/>
      <c r="AJ66" s="66"/>
      <c r="AK66" s="112"/>
      <c r="AL66" s="3"/>
      <c r="AM66" s="670"/>
      <c r="AN66" s="150"/>
      <c r="AO66" s="150"/>
      <c r="AP66" s="150"/>
      <c r="AQ66" s="3"/>
      <c r="AR66" s="3"/>
      <c r="AS66" s="6"/>
      <c r="AT66" s="6"/>
      <c r="AU66" s="6"/>
      <c r="AV66" s="6"/>
      <c r="AW66" s="3"/>
      <c r="AX66" s="3"/>
      <c r="AY66" s="212"/>
      <c r="AZ66" s="26"/>
      <c r="BA66" s="670"/>
      <c r="BB66" s="26"/>
      <c r="BC66" s="212"/>
      <c r="BD66" s="212"/>
      <c r="BE66" s="212"/>
      <c r="BF66" s="212"/>
      <c r="BG66" s="38"/>
      <c r="BH66" s="38"/>
      <c r="BI66" s="38"/>
      <c r="BJ66" s="38"/>
      <c r="BK66" s="38"/>
      <c r="BL66" s="29"/>
      <c r="BM66" s="29"/>
      <c r="BN66" s="29"/>
      <c r="BO66" s="29"/>
      <c r="BP66" s="29"/>
      <c r="BQ66" s="29"/>
      <c r="BR66" s="29"/>
      <c r="BS66" s="29"/>
      <c r="BT66" s="29"/>
      <c r="BU66" s="723"/>
      <c r="BV66" s="724"/>
      <c r="BW66" s="724"/>
      <c r="BX66" s="724"/>
      <c r="BY66" s="724"/>
      <c r="BZ66" s="724"/>
      <c r="CA66" s="725"/>
      <c r="CB66" s="112"/>
      <c r="CC66" s="3"/>
      <c r="CD66" s="11"/>
      <c r="CE66" s="29"/>
      <c r="CF66" s="29"/>
      <c r="CG66" s="29"/>
      <c r="CH66" s="3"/>
      <c r="CI66" s="3"/>
      <c r="CJ66" s="3"/>
      <c r="CK66" s="6"/>
      <c r="CL66" s="6"/>
      <c r="CM66" s="6"/>
      <c r="CN66" s="6"/>
      <c r="CO66" s="6"/>
      <c r="CP66" s="6"/>
      <c r="CQ66" s="38"/>
      <c r="CR66" s="6"/>
      <c r="CS66" s="6"/>
      <c r="CT66" s="6"/>
      <c r="CU66" s="6"/>
      <c r="CV66" s="29"/>
      <c r="CW66" s="29"/>
      <c r="CX66" s="46"/>
      <c r="CY66" s="263"/>
      <c r="CZ66" s="263"/>
      <c r="DA66" s="122"/>
      <c r="DB66" s="122"/>
      <c r="DC66" s="122"/>
      <c r="DD66" s="6"/>
    </row>
    <row r="67" spans="1:108" ht="15.75" customHeight="1">
      <c r="A67" s="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38"/>
      <c r="O67" s="38"/>
      <c r="P67" s="7"/>
      <c r="Q67" s="38"/>
      <c r="R67" s="38"/>
      <c r="S67" s="38"/>
      <c r="T67" s="38"/>
      <c r="U67" s="38"/>
      <c r="V67" s="38"/>
      <c r="W67" s="38"/>
      <c r="X67" s="29"/>
      <c r="Y67" s="136"/>
      <c r="Z67" s="136"/>
      <c r="AA67" s="3"/>
      <c r="AB67" s="3"/>
      <c r="AC67" s="46"/>
      <c r="AD67" s="46"/>
      <c r="AE67" s="46"/>
      <c r="AF67" s="46"/>
      <c r="AG67" s="32"/>
      <c r="AH67" s="101"/>
      <c r="AI67" s="101"/>
      <c r="AJ67" s="66"/>
      <c r="AK67" s="112"/>
      <c r="AL67" s="3"/>
      <c r="AM67" s="670"/>
      <c r="AN67" s="150"/>
      <c r="AO67" s="150"/>
      <c r="AP67" s="150"/>
      <c r="AQ67" s="3"/>
      <c r="AR67" s="3"/>
      <c r="AS67" s="6"/>
      <c r="AT67" s="6"/>
      <c r="AU67" s="6"/>
      <c r="AV67" s="6"/>
      <c r="AW67" s="3"/>
      <c r="AX67" s="3"/>
      <c r="AY67" s="212"/>
      <c r="AZ67" s="26"/>
      <c r="BA67" s="670"/>
      <c r="BB67" s="167"/>
      <c r="BC67" s="212"/>
      <c r="BD67" s="212"/>
      <c r="BE67" s="212"/>
      <c r="BF67" s="212"/>
      <c r="BG67" s="38"/>
      <c r="BH67" s="38"/>
      <c r="BI67" s="38"/>
      <c r="BJ67" s="38"/>
      <c r="BK67" s="38"/>
      <c r="BL67" s="29"/>
      <c r="BM67" s="29"/>
      <c r="BN67" s="29"/>
      <c r="BO67" s="29"/>
      <c r="BP67" s="29"/>
      <c r="BQ67" s="29"/>
      <c r="BR67" s="29"/>
      <c r="BS67" s="29"/>
      <c r="BT67" s="29"/>
      <c r="BU67" s="723"/>
      <c r="BV67" s="724"/>
      <c r="BW67" s="724"/>
      <c r="BX67" s="724"/>
      <c r="BY67" s="724"/>
      <c r="BZ67" s="724"/>
      <c r="CA67" s="725"/>
      <c r="CB67" s="29"/>
      <c r="CC67" s="3"/>
      <c r="CD67" s="11"/>
      <c r="CE67" s="264"/>
      <c r="CF67" s="29"/>
      <c r="CG67" s="3"/>
      <c r="CH67" s="29"/>
      <c r="CI67" s="6"/>
      <c r="CJ67" s="6"/>
      <c r="CK67" s="6"/>
      <c r="CL67" s="6"/>
      <c r="CM67" s="6"/>
      <c r="CN67" s="6"/>
      <c r="CO67" s="29"/>
      <c r="CP67" s="265"/>
      <c r="CQ67" s="38"/>
      <c r="CR67" s="6"/>
      <c r="CS67" s="6"/>
      <c r="CT67" s="6"/>
      <c r="CU67" s="6"/>
      <c r="CV67" s="29"/>
      <c r="CW67" s="35"/>
      <c r="CX67" s="117"/>
      <c r="CY67" s="117"/>
      <c r="CZ67" s="117"/>
      <c r="DA67" s="122"/>
      <c r="DB67" s="122"/>
      <c r="DC67" s="122"/>
      <c r="DD67" s="6"/>
    </row>
    <row r="68" spans="1:108" ht="15.75" customHeight="1" thickBot="1">
      <c r="A68" s="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38"/>
      <c r="O68" s="38"/>
      <c r="P68" s="7"/>
      <c r="Q68" s="38"/>
      <c r="R68" s="38"/>
      <c r="S68" s="38"/>
      <c r="T68" s="38"/>
      <c r="U68" s="38"/>
      <c r="V68" s="38"/>
      <c r="W68" s="38"/>
      <c r="X68" s="3"/>
      <c r="Y68" s="29"/>
      <c r="Z68" s="29"/>
      <c r="AA68" s="3"/>
      <c r="AB68" s="35"/>
      <c r="AC68" s="46"/>
      <c r="AD68" s="46"/>
      <c r="AE68" s="46"/>
      <c r="AF68" s="46"/>
      <c r="AG68" s="32"/>
      <c r="AH68" s="38"/>
      <c r="AI68" s="38"/>
      <c r="AJ68" s="38"/>
      <c r="AK68" s="29"/>
      <c r="AL68" s="3"/>
      <c r="AM68" s="670"/>
      <c r="AN68" s="3"/>
      <c r="AO68" s="3"/>
      <c r="AP68" s="3"/>
      <c r="AQ68" s="3"/>
      <c r="AR68" s="3"/>
      <c r="AS68" s="212"/>
      <c r="AT68" s="714"/>
      <c r="AU68" s="715"/>
      <c r="AV68" s="212"/>
      <c r="AW68" s="3"/>
      <c r="AX68" s="3"/>
      <c r="AY68" s="212"/>
      <c r="AZ68" s="26"/>
      <c r="BA68" s="670"/>
      <c r="BB68" s="212"/>
      <c r="BC68" s="212"/>
      <c r="BD68" s="212"/>
      <c r="BE68" s="212"/>
      <c r="BF68" s="212"/>
      <c r="BG68" s="38"/>
      <c r="BH68" s="38"/>
      <c r="BI68" s="38"/>
      <c r="BJ68" s="38"/>
      <c r="BK68" s="38"/>
      <c r="BL68" s="29"/>
      <c r="BM68" s="29"/>
      <c r="BN68" s="29"/>
      <c r="BO68" s="29"/>
      <c r="BP68" s="29"/>
      <c r="BQ68" s="29"/>
      <c r="BR68" s="29"/>
      <c r="BS68" s="29"/>
      <c r="BT68" s="29"/>
      <c r="BU68" s="726"/>
      <c r="BV68" s="727"/>
      <c r="BW68" s="727"/>
      <c r="BX68" s="727"/>
      <c r="BY68" s="727"/>
      <c r="BZ68" s="727"/>
      <c r="CA68" s="728"/>
      <c r="CB68" s="29"/>
      <c r="CC68" s="3"/>
      <c r="CD68" s="11"/>
      <c r="CE68" s="29"/>
      <c r="CF68" s="29"/>
      <c r="CG68" s="3"/>
      <c r="CH68" s="29"/>
      <c r="CI68" s="6"/>
      <c r="CJ68" s="6"/>
      <c r="CK68" s="29"/>
      <c r="CL68" s="29"/>
      <c r="CM68" s="29"/>
      <c r="CN68" s="29"/>
      <c r="CO68" s="233"/>
      <c r="CP68" s="265"/>
      <c r="CQ68" s="38"/>
      <c r="CR68" s="6"/>
      <c r="CS68" s="6"/>
      <c r="CT68" s="6"/>
      <c r="CU68" s="6"/>
      <c r="CV68" s="29"/>
      <c r="CW68" s="117"/>
      <c r="CX68" s="665"/>
      <c r="CY68" s="665"/>
      <c r="CZ68" s="665"/>
      <c r="DA68" s="29"/>
      <c r="DB68" s="29"/>
      <c r="DC68" s="29"/>
      <c r="DD68" s="6"/>
    </row>
    <row r="69" spans="1:108" ht="15.75" customHeight="1" thickBot="1">
      <c r="A69" s="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38"/>
      <c r="O69" s="38"/>
      <c r="P69" s="7"/>
      <c r="Q69" s="38"/>
      <c r="R69" s="38"/>
      <c r="S69" s="38"/>
      <c r="T69" s="38"/>
      <c r="U69" s="38"/>
      <c r="V69" s="38"/>
      <c r="W69" s="38"/>
      <c r="X69" s="29"/>
      <c r="Y69" s="3"/>
      <c r="Z69" s="3"/>
      <c r="AA69" s="3"/>
      <c r="AB69" s="685"/>
      <c r="AC69" s="665"/>
      <c r="AD69" s="665"/>
      <c r="AE69" s="665"/>
      <c r="AF69" s="665"/>
      <c r="AG69" s="685"/>
      <c r="AH69" s="6"/>
      <c r="AI69" s="38"/>
      <c r="AJ69" s="38"/>
      <c r="AK69" s="29"/>
      <c r="AL69" s="3"/>
      <c r="AM69" s="670"/>
      <c r="AN69" s="681"/>
      <c r="AO69" s="3"/>
      <c r="AP69" s="3"/>
      <c r="AQ69" s="3"/>
      <c r="AR69" s="3"/>
      <c r="AS69" s="3"/>
      <c r="AT69" s="672"/>
      <c r="AU69" s="672"/>
      <c r="AV69" s="3"/>
      <c r="AW69" s="3"/>
      <c r="AX69" s="3"/>
      <c r="AY69" s="212"/>
      <c r="AZ69" s="26"/>
      <c r="BA69" s="670"/>
      <c r="BB69" s="212"/>
      <c r="BC69" s="212"/>
      <c r="BD69" s="212"/>
      <c r="BE69" s="212"/>
      <c r="BF69" s="212"/>
      <c r="BG69" s="38"/>
      <c r="BH69" s="38"/>
      <c r="BI69" s="38"/>
      <c r="BJ69" s="38"/>
      <c r="BK69" s="38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64"/>
      <c r="BW69" s="264"/>
      <c r="BX69" s="29"/>
      <c r="BY69" s="32"/>
      <c r="BZ69" s="29"/>
      <c r="CA69" s="29"/>
      <c r="CB69" s="29"/>
      <c r="CC69" s="3"/>
      <c r="CD69" s="11"/>
      <c r="CE69" s="29"/>
      <c r="CF69" s="29"/>
      <c r="CG69" s="3"/>
      <c r="CH69" s="29"/>
      <c r="CI69" s="6"/>
      <c r="CJ69" s="29"/>
      <c r="CK69" s="6"/>
      <c r="CL69" s="44"/>
      <c r="CM69" s="29"/>
      <c r="CN69" s="6"/>
      <c r="CO69" s="6"/>
      <c r="CP69" s="6"/>
      <c r="CQ69" s="6"/>
      <c r="CR69" s="6"/>
      <c r="CS69" s="6"/>
      <c r="CT69" s="6"/>
      <c r="CU69" s="3"/>
      <c r="CV69" s="293"/>
      <c r="CW69" s="759"/>
      <c r="CX69" s="721"/>
      <c r="CY69" s="721"/>
      <c r="CZ69" s="722"/>
      <c r="DA69" s="29"/>
      <c r="DB69" s="29"/>
      <c r="DC69" s="29"/>
      <c r="DD69" s="6"/>
    </row>
    <row r="70" spans="1:108" ht="15.75" customHeight="1">
      <c r="A70" s="7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8"/>
      <c r="O70" s="38"/>
      <c r="P70" s="7"/>
      <c r="Q70" s="38"/>
      <c r="R70" s="38"/>
      <c r="S70" s="38"/>
      <c r="T70" s="38"/>
      <c r="U70" s="38"/>
      <c r="V70" s="38"/>
      <c r="W70" s="38"/>
      <c r="X70" s="38"/>
      <c r="Y70" s="38"/>
      <c r="Z70" s="29"/>
      <c r="AA70" s="29"/>
      <c r="AB70" s="6"/>
      <c r="AC70" s="686"/>
      <c r="AD70" s="687"/>
      <c r="AE70" s="687"/>
      <c r="AF70" s="687"/>
      <c r="AG70" s="688"/>
      <c r="AH70" s="250"/>
      <c r="AI70" s="38"/>
      <c r="AJ70" s="38"/>
      <c r="AK70" s="29"/>
      <c r="AL70" s="3"/>
      <c r="AM70" s="670"/>
      <c r="AN70" s="681"/>
      <c r="AO70" s="3"/>
      <c r="AP70" s="6"/>
      <c r="AQ70" s="6"/>
      <c r="AR70" s="3"/>
      <c r="AS70" s="3"/>
      <c r="AT70" s="672"/>
      <c r="AU70" s="672"/>
      <c r="AV70" s="3"/>
      <c r="AW70" s="3"/>
      <c r="AX70" s="3"/>
      <c r="AY70" s="3"/>
      <c r="AZ70" s="3"/>
      <c r="BA70" s="670"/>
      <c r="BB70" s="26"/>
      <c r="BC70" s="26"/>
      <c r="BD70" s="26"/>
      <c r="BE70" s="38"/>
      <c r="BF70" s="27"/>
      <c r="BG70" s="38"/>
      <c r="BH70" s="3"/>
      <c r="BI70" s="3"/>
      <c r="BJ70" s="3"/>
      <c r="BK70" s="3"/>
      <c r="BL70" s="3"/>
      <c r="BM70" s="3"/>
      <c r="BN70" s="3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32"/>
      <c r="BZ70" s="29"/>
      <c r="CA70" s="29"/>
      <c r="CB70" s="29"/>
      <c r="CC70" s="3"/>
      <c r="CD70" s="11"/>
      <c r="CE70" s="760"/>
      <c r="CF70" s="721"/>
      <c r="CG70" s="721"/>
      <c r="CH70" s="721"/>
      <c r="CI70" s="721"/>
      <c r="CJ70" s="721"/>
      <c r="CK70" s="721"/>
      <c r="CL70" s="721"/>
      <c r="CM70" s="721"/>
      <c r="CN70" s="721"/>
      <c r="CO70" s="722"/>
      <c r="CP70" s="269"/>
      <c r="CQ70" s="3"/>
      <c r="CR70" s="3"/>
      <c r="CS70" s="3"/>
      <c r="CT70" s="6"/>
      <c r="CU70" s="3"/>
      <c r="CV70" s="293"/>
      <c r="CW70" s="723"/>
      <c r="CX70" s="724"/>
      <c r="CY70" s="724"/>
      <c r="CZ70" s="725"/>
      <c r="DA70" s="3"/>
      <c r="DB70" s="3"/>
      <c r="DC70" s="112"/>
      <c r="DD70" s="6"/>
    </row>
    <row r="71" spans="1:108" ht="15.75" customHeight="1" thickBot="1">
      <c r="A71" s="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8"/>
      <c r="O71" s="27"/>
      <c r="P71" s="38"/>
      <c r="Q71" s="11"/>
      <c r="R71" s="11"/>
      <c r="S71" s="11"/>
      <c r="T71" s="11"/>
      <c r="U71" s="11"/>
      <c r="V71" s="11"/>
      <c r="W71" s="11"/>
      <c r="X71" s="11"/>
      <c r="Y71" s="38"/>
      <c r="Z71" s="29"/>
      <c r="AA71" s="29"/>
      <c r="AB71" s="6"/>
      <c r="AC71" s="271"/>
      <c r="AD71" s="29"/>
      <c r="AE71" s="29"/>
      <c r="AF71" s="29"/>
      <c r="AG71" s="272"/>
      <c r="AH71" s="250"/>
      <c r="AI71" s="3"/>
      <c r="AJ71" s="3"/>
      <c r="AK71" s="29"/>
      <c r="AL71" s="3"/>
      <c r="AM71" s="670"/>
      <c r="AN71" s="681"/>
      <c r="AO71" s="3"/>
      <c r="AP71" s="3"/>
      <c r="AQ71" s="3"/>
      <c r="AR71" s="3"/>
      <c r="AS71" s="3"/>
      <c r="AT71" s="6"/>
      <c r="AU71" s="6"/>
      <c r="AV71" s="26"/>
      <c r="AW71" s="26"/>
      <c r="AX71" s="26"/>
      <c r="AY71" s="26"/>
      <c r="AZ71" s="26"/>
      <c r="BA71" s="670"/>
      <c r="BB71" s="26"/>
      <c r="BC71" s="26"/>
      <c r="BD71" s="26"/>
      <c r="BE71" s="38"/>
      <c r="BF71" s="38"/>
      <c r="BG71" s="38"/>
      <c r="BH71" s="38"/>
      <c r="BI71" s="38"/>
      <c r="BJ71" s="38"/>
      <c r="BK71" s="38"/>
      <c r="BL71" s="29"/>
      <c r="BM71" s="29"/>
      <c r="BN71" s="29"/>
      <c r="BO71" s="29"/>
      <c r="BP71" s="29"/>
      <c r="BQ71" s="29"/>
      <c r="BR71" s="29"/>
      <c r="BS71" s="29"/>
      <c r="BT71" s="29"/>
      <c r="BU71" s="379"/>
      <c r="BV71" s="379"/>
      <c r="BW71" s="379"/>
      <c r="BX71" s="379"/>
      <c r="BY71" s="32"/>
      <c r="BZ71" s="29"/>
      <c r="CA71" s="29"/>
      <c r="CB71" s="29"/>
      <c r="CC71" s="3"/>
      <c r="CD71" s="11"/>
      <c r="CE71" s="723"/>
      <c r="CF71" s="724"/>
      <c r="CG71" s="724"/>
      <c r="CH71" s="724"/>
      <c r="CI71" s="724"/>
      <c r="CJ71" s="724"/>
      <c r="CK71" s="724"/>
      <c r="CL71" s="724"/>
      <c r="CM71" s="724"/>
      <c r="CN71" s="724"/>
      <c r="CO71" s="725"/>
      <c r="CP71" s="269"/>
      <c r="CQ71" s="3"/>
      <c r="CR71" s="3"/>
      <c r="CS71" s="3"/>
      <c r="CT71" s="6"/>
      <c r="CU71" s="3"/>
      <c r="CV71" s="293"/>
      <c r="CW71" s="723"/>
      <c r="CX71" s="724"/>
      <c r="CY71" s="724"/>
      <c r="CZ71" s="725"/>
      <c r="DA71" s="3"/>
      <c r="DB71" s="3"/>
      <c r="DC71" s="112"/>
      <c r="DD71" s="6"/>
    </row>
    <row r="72" spans="1:108" ht="15.75" customHeight="1" thickBot="1">
      <c r="A72" s="7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11"/>
      <c r="Y72" s="38"/>
      <c r="Z72" s="29"/>
      <c r="AA72" s="29"/>
      <c r="AB72" s="6"/>
      <c r="AC72" s="271"/>
      <c r="AD72" s="29"/>
      <c r="AE72" s="29"/>
      <c r="AF72" s="29"/>
      <c r="AG72" s="272"/>
      <c r="AH72" s="720" t="s">
        <v>242</v>
      </c>
      <c r="AI72" s="721"/>
      <c r="AJ72" s="721"/>
      <c r="AK72" s="29"/>
      <c r="AL72" s="3"/>
      <c r="AM72" s="670"/>
      <c r="AN72" s="681"/>
      <c r="AO72" s="3"/>
      <c r="AP72" s="3"/>
      <c r="AQ72" s="3"/>
      <c r="AR72" s="3"/>
      <c r="AS72" s="3"/>
      <c r="AT72" s="681"/>
      <c r="AU72" s="681"/>
      <c r="AV72" s="26"/>
      <c r="AW72" s="26"/>
      <c r="AX72" s="26"/>
      <c r="AY72" s="26"/>
      <c r="AZ72" s="26"/>
      <c r="BA72" s="670"/>
      <c r="BB72" s="26"/>
      <c r="BC72" s="26"/>
      <c r="BD72" s="26"/>
      <c r="BE72" s="38"/>
      <c r="BF72" s="38"/>
      <c r="BG72" s="38"/>
      <c r="BH72" s="38"/>
      <c r="BI72" s="38"/>
      <c r="BJ72" s="38"/>
      <c r="BK72" s="38"/>
      <c r="BL72" s="29"/>
      <c r="BM72" s="29"/>
      <c r="BN72" s="29"/>
      <c r="BO72" s="29"/>
      <c r="BP72" s="29"/>
      <c r="BQ72" s="29"/>
      <c r="BR72" s="29"/>
      <c r="BS72" s="29"/>
      <c r="BT72" s="29"/>
      <c r="BU72" s="761"/>
      <c r="BV72" s="744"/>
      <c r="BW72" s="744"/>
      <c r="BX72" s="744"/>
      <c r="BY72" s="29"/>
      <c r="BZ72" s="29"/>
      <c r="CA72" s="29"/>
      <c r="CB72" s="29"/>
      <c r="CC72" s="3"/>
      <c r="CD72" s="11"/>
      <c r="CE72" s="723"/>
      <c r="CF72" s="724"/>
      <c r="CG72" s="724"/>
      <c r="CH72" s="724"/>
      <c r="CI72" s="724"/>
      <c r="CJ72" s="724"/>
      <c r="CK72" s="724"/>
      <c r="CL72" s="724"/>
      <c r="CM72" s="724"/>
      <c r="CN72" s="724"/>
      <c r="CO72" s="725"/>
      <c r="CP72" s="269"/>
      <c r="CQ72" s="3"/>
      <c r="CR72" s="3"/>
      <c r="CS72" s="3"/>
      <c r="CT72" s="6"/>
      <c r="CU72" s="3"/>
      <c r="CV72" s="3"/>
      <c r="CW72" s="723"/>
      <c r="CX72" s="724"/>
      <c r="CY72" s="724"/>
      <c r="CZ72" s="725"/>
      <c r="DA72" s="3"/>
      <c r="DB72" s="3"/>
      <c r="DC72" s="112"/>
      <c r="DD72" s="6"/>
    </row>
    <row r="73" spans="1:108" ht="15.75" customHeight="1">
      <c r="A73" s="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11"/>
      <c r="Y73" s="38"/>
      <c r="Z73" s="38"/>
      <c r="AA73" s="29"/>
      <c r="AB73" s="6"/>
      <c r="AC73" s="235"/>
      <c r="AD73" s="38"/>
      <c r="AE73" s="38"/>
      <c r="AF73" s="38"/>
      <c r="AG73" s="270"/>
      <c r="AH73" s="723"/>
      <c r="AI73" s="724"/>
      <c r="AJ73" s="724"/>
      <c r="AK73" s="29"/>
      <c r="AL73" s="3"/>
      <c r="AM73" s="670"/>
      <c r="AN73" s="3"/>
      <c r="AO73" s="3"/>
      <c r="AP73" s="3"/>
      <c r="AQ73" s="3"/>
      <c r="AR73" s="3"/>
      <c r="AS73" s="26"/>
      <c r="AT73" s="681"/>
      <c r="AU73" s="681"/>
      <c r="AV73" s="26"/>
      <c r="AW73" s="26"/>
      <c r="AX73" s="26"/>
      <c r="AY73" s="26"/>
      <c r="AZ73" s="26"/>
      <c r="BA73" s="670"/>
      <c r="BB73" s="26"/>
      <c r="BC73" s="26"/>
      <c r="BD73" s="26"/>
      <c r="BE73" s="38"/>
      <c r="BF73" s="38"/>
      <c r="BG73" s="38"/>
      <c r="BH73" s="38"/>
      <c r="BI73" s="38"/>
      <c r="BJ73" s="38"/>
      <c r="BK73" s="38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3"/>
      <c r="CD73" s="11"/>
      <c r="CE73" s="723"/>
      <c r="CF73" s="724"/>
      <c r="CG73" s="724"/>
      <c r="CH73" s="724"/>
      <c r="CI73" s="724"/>
      <c r="CJ73" s="724"/>
      <c r="CK73" s="724"/>
      <c r="CL73" s="724"/>
      <c r="CM73" s="724"/>
      <c r="CN73" s="724"/>
      <c r="CO73" s="725"/>
      <c r="CP73" s="269"/>
      <c r="CQ73" s="3"/>
      <c r="CR73" s="3"/>
      <c r="CS73" s="3"/>
      <c r="CT73" s="6"/>
      <c r="CU73" s="3"/>
      <c r="CV73" s="3"/>
      <c r="CW73" s="723"/>
      <c r="CX73" s="724"/>
      <c r="CY73" s="724"/>
      <c r="CZ73" s="725"/>
      <c r="DA73" s="720"/>
      <c r="DB73" s="722"/>
      <c r="DC73" s="29"/>
      <c r="DD73" s="6"/>
    </row>
    <row r="74" spans="1:108" ht="15.75" customHeight="1" thickBot="1">
      <c r="A74" s="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11"/>
      <c r="Y74" s="38"/>
      <c r="Z74" s="38"/>
      <c r="AA74" s="29"/>
      <c r="AB74" s="6"/>
      <c r="AC74" s="235"/>
      <c r="AD74" s="38"/>
      <c r="AE74" s="38"/>
      <c r="AF74" s="38"/>
      <c r="AG74" s="270"/>
      <c r="AH74" s="723"/>
      <c r="AI74" s="724"/>
      <c r="AJ74" s="724"/>
      <c r="AK74" s="29"/>
      <c r="AL74" s="3"/>
      <c r="AM74" s="670"/>
      <c r="AN74" s="3"/>
      <c r="AO74" s="3"/>
      <c r="AP74" s="3"/>
      <c r="AQ74" s="3"/>
      <c r="AR74" s="26"/>
      <c r="AS74" s="26"/>
      <c r="AT74" s="26"/>
      <c r="AU74" s="26"/>
      <c r="AV74" s="26"/>
      <c r="AW74" s="26"/>
      <c r="AX74" s="26"/>
      <c r="AY74" s="26"/>
      <c r="AZ74" s="26"/>
      <c r="BA74" s="670"/>
      <c r="BB74" s="26"/>
      <c r="BC74" s="26"/>
      <c r="BD74" s="26"/>
      <c r="BE74" s="38"/>
      <c r="BF74" s="38"/>
      <c r="BG74" s="38"/>
      <c r="BH74" s="38"/>
      <c r="BI74" s="38"/>
      <c r="BJ74" s="38"/>
      <c r="BK74" s="38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3"/>
      <c r="CD74" s="11"/>
      <c r="CE74" s="723"/>
      <c r="CF74" s="724"/>
      <c r="CG74" s="724"/>
      <c r="CH74" s="724"/>
      <c r="CI74" s="724"/>
      <c r="CJ74" s="724"/>
      <c r="CK74" s="724"/>
      <c r="CL74" s="724"/>
      <c r="CM74" s="724"/>
      <c r="CN74" s="724"/>
      <c r="CO74" s="725"/>
      <c r="CP74" s="269"/>
      <c r="CQ74" s="3"/>
      <c r="CR74" s="3"/>
      <c r="CS74" s="3"/>
      <c r="CT74" s="6"/>
      <c r="CU74" s="3"/>
      <c r="CV74" s="3"/>
      <c r="CW74" s="723"/>
      <c r="CX74" s="724"/>
      <c r="CY74" s="724"/>
      <c r="CZ74" s="725"/>
      <c r="DA74" s="723"/>
      <c r="DB74" s="725"/>
      <c r="DC74" s="29"/>
      <c r="DD74" s="6"/>
    </row>
    <row r="75" spans="1:108" ht="15.75" customHeight="1" thickBot="1">
      <c r="A75" s="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11"/>
      <c r="Y75" s="38"/>
      <c r="Z75" s="38"/>
      <c r="AA75" s="38"/>
      <c r="AB75" s="6"/>
      <c r="AC75" s="235"/>
      <c r="AD75" s="38"/>
      <c r="AE75" s="38"/>
      <c r="AF75" s="38"/>
      <c r="AG75" s="270"/>
      <c r="AH75" s="723"/>
      <c r="AI75" s="724"/>
      <c r="AJ75" s="724"/>
      <c r="AK75" s="29"/>
      <c r="AL75" s="3"/>
      <c r="AM75" s="670"/>
      <c r="AN75" s="3"/>
      <c r="AO75" s="3"/>
      <c r="AP75" s="3"/>
      <c r="AQ75" s="3"/>
      <c r="AR75" s="3"/>
      <c r="AS75" s="3"/>
      <c r="AT75" s="3"/>
      <c r="AU75" s="3"/>
      <c r="AV75" s="3"/>
      <c r="AW75" s="26"/>
      <c r="AX75" s="26"/>
      <c r="AY75" s="26"/>
      <c r="AZ75" s="26"/>
      <c r="BA75" s="670"/>
      <c r="BB75" s="26"/>
      <c r="BC75" s="26"/>
      <c r="BD75" s="26"/>
      <c r="BE75" s="38"/>
      <c r="BF75" s="38"/>
      <c r="BG75" s="38"/>
      <c r="BH75" s="38"/>
      <c r="BI75" s="38"/>
      <c r="BJ75" s="38"/>
      <c r="BK75" s="38"/>
      <c r="BL75" s="29"/>
      <c r="BM75" s="29"/>
      <c r="BN75" s="29"/>
      <c r="BO75" s="29"/>
      <c r="BP75" s="762"/>
      <c r="BQ75" s="721"/>
      <c r="BR75" s="722"/>
      <c r="BS75" s="29"/>
      <c r="BT75" s="29"/>
      <c r="BU75" s="29"/>
      <c r="BV75" s="29"/>
      <c r="BW75" s="29"/>
      <c r="BX75" s="6"/>
      <c r="BY75" s="6"/>
      <c r="BZ75" s="759"/>
      <c r="CA75" s="722"/>
      <c r="CB75" s="29"/>
      <c r="CC75" s="3"/>
      <c r="CD75" s="11"/>
      <c r="CE75" s="726"/>
      <c r="CF75" s="727"/>
      <c r="CG75" s="727"/>
      <c r="CH75" s="727"/>
      <c r="CI75" s="727"/>
      <c r="CJ75" s="727"/>
      <c r="CK75" s="727"/>
      <c r="CL75" s="727"/>
      <c r="CM75" s="727"/>
      <c r="CN75" s="727"/>
      <c r="CO75" s="728"/>
      <c r="CP75" s="271"/>
      <c r="CQ75" s="29"/>
      <c r="CR75" s="29"/>
      <c r="CS75" s="29"/>
      <c r="CT75" s="29"/>
      <c r="CU75" s="3"/>
      <c r="CV75" s="3"/>
      <c r="CW75" s="726"/>
      <c r="CX75" s="727"/>
      <c r="CY75" s="727"/>
      <c r="CZ75" s="728"/>
      <c r="DA75" s="726"/>
      <c r="DB75" s="728"/>
      <c r="DC75" s="29"/>
      <c r="DD75" s="6"/>
    </row>
    <row r="76" spans="1:108" ht="15.75" customHeight="1" thickBot="1">
      <c r="A76" s="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11"/>
      <c r="Y76" s="38"/>
      <c r="Z76" s="38"/>
      <c r="AA76" s="38"/>
      <c r="AB76" s="6"/>
      <c r="AC76" s="235"/>
      <c r="AD76" s="38"/>
      <c r="AE76" s="38"/>
      <c r="AF76" s="38"/>
      <c r="AG76" s="272"/>
      <c r="AH76" s="723"/>
      <c r="AI76" s="724"/>
      <c r="AJ76" s="724"/>
      <c r="AK76" s="29"/>
      <c r="AL76" s="3"/>
      <c r="AM76" s="670"/>
      <c r="AN76" s="681"/>
      <c r="AO76" s="681"/>
      <c r="AP76" s="681"/>
      <c r="AQ76" s="681"/>
      <c r="AR76" s="293"/>
      <c r="AS76" s="293"/>
      <c r="AT76" s="6"/>
      <c r="AU76" s="3"/>
      <c r="AV76" s="26"/>
      <c r="AW76" s="26"/>
      <c r="AX76" s="26"/>
      <c r="AY76" s="26"/>
      <c r="AZ76" s="26"/>
      <c r="BA76" s="670"/>
      <c r="BB76" s="26"/>
      <c r="BC76" s="26"/>
      <c r="BD76" s="26"/>
      <c r="BE76" s="38"/>
      <c r="BF76" s="38"/>
      <c r="BG76" s="38"/>
      <c r="BH76" s="38"/>
      <c r="BI76" s="38"/>
      <c r="BJ76" s="38"/>
      <c r="BK76" s="38"/>
      <c r="BL76" s="29"/>
      <c r="BM76" s="29"/>
      <c r="BN76" s="29"/>
      <c r="BO76" s="29"/>
      <c r="BP76" s="726"/>
      <c r="BQ76" s="727"/>
      <c r="BR76" s="728"/>
      <c r="BS76" s="29"/>
      <c r="BT76" s="29"/>
      <c r="BU76" s="29"/>
      <c r="BV76" s="29"/>
      <c r="BW76" s="29"/>
      <c r="BX76" s="6"/>
      <c r="BY76" s="6"/>
      <c r="BZ76" s="726"/>
      <c r="CA76" s="728"/>
      <c r="CB76" s="29"/>
      <c r="CC76" s="3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29"/>
      <c r="CV76" s="29"/>
      <c r="CW76" s="29"/>
      <c r="CX76" s="29"/>
      <c r="CY76" s="29"/>
      <c r="CZ76" s="29"/>
      <c r="DA76" s="29"/>
      <c r="DB76" s="29"/>
      <c r="DC76" s="29"/>
      <c r="DD76" s="6"/>
    </row>
    <row r="77" spans="1:108" ht="15.75" customHeight="1">
      <c r="A77" s="7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29"/>
      <c r="AL77" s="3"/>
      <c r="AM77" s="670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6"/>
    </row>
    <row r="78" spans="1:10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</row>
    <row r="79" spans="1:108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</row>
  </sheetData>
  <mergeCells count="67">
    <mergeCell ref="AC66:AF66"/>
    <mergeCell ref="AT68:AU68"/>
    <mergeCell ref="CW69:CZ75"/>
    <mergeCell ref="CE70:CO75"/>
    <mergeCell ref="AH72:AJ76"/>
    <mergeCell ref="BU72:BX72"/>
    <mergeCell ref="BP75:BR76"/>
    <mergeCell ref="BZ75:CA76"/>
    <mergeCell ref="BU58:CA68"/>
    <mergeCell ref="CW59:DB64"/>
    <mergeCell ref="CX65:CZ65"/>
    <mergeCell ref="DA73:DB75"/>
    <mergeCell ref="CU42:CV42"/>
    <mergeCell ref="AS43:AV43"/>
    <mergeCell ref="AR47:AS47"/>
    <mergeCell ref="AT47:AU47"/>
    <mergeCell ref="CH47:CI47"/>
    <mergeCell ref="CM47:CN47"/>
    <mergeCell ref="BZ38:CA38"/>
    <mergeCell ref="AT57:AU57"/>
    <mergeCell ref="AI40:AJ48"/>
    <mergeCell ref="BG40:BH40"/>
    <mergeCell ref="CH42:CI42"/>
    <mergeCell ref="BG48:BH48"/>
    <mergeCell ref="BC51:BD51"/>
    <mergeCell ref="AY52:AZ52"/>
    <mergeCell ref="CH53:CI53"/>
    <mergeCell ref="BU54:BW54"/>
    <mergeCell ref="AT55:AU55"/>
    <mergeCell ref="AS39:AY39"/>
    <mergeCell ref="CH39:CI39"/>
    <mergeCell ref="B26:C26"/>
    <mergeCell ref="CM26:CN26"/>
    <mergeCell ref="C30:D30"/>
    <mergeCell ref="P30:W46"/>
    <mergeCell ref="CH30:CI30"/>
    <mergeCell ref="BZ31:CA31"/>
    <mergeCell ref="CE31:CF31"/>
    <mergeCell ref="G32:H32"/>
    <mergeCell ref="AI32:AJ39"/>
    <mergeCell ref="BV33:BW33"/>
    <mergeCell ref="CM33:CN33"/>
    <mergeCell ref="I37:J37"/>
    <mergeCell ref="AP37:AQ37"/>
    <mergeCell ref="BO38:BP38"/>
    <mergeCell ref="N21:O24"/>
    <mergeCell ref="BE21:BI25"/>
    <mergeCell ref="CM21:CN21"/>
    <mergeCell ref="CE23:CI28"/>
    <mergeCell ref="G24:H24"/>
    <mergeCell ref="BO24:BP24"/>
    <mergeCell ref="BV20:BW20"/>
    <mergeCell ref="A1:DC1"/>
    <mergeCell ref="BQ5:BS5"/>
    <mergeCell ref="A6:C8"/>
    <mergeCell ref="AB6:AJ9"/>
    <mergeCell ref="BZ6:CA10"/>
    <mergeCell ref="G9:H9"/>
    <mergeCell ref="I9:J9"/>
    <mergeCell ref="Q9:X18"/>
    <mergeCell ref="F10:G10"/>
    <mergeCell ref="CH10:CI10"/>
    <mergeCell ref="A12:A15"/>
    <mergeCell ref="M12:N12"/>
    <mergeCell ref="Z13:AH18"/>
    <mergeCell ref="CM16:CN16"/>
    <mergeCell ref="C19:D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2"/>
  <dimension ref="A1:DD79"/>
  <sheetViews>
    <sheetView zoomScale="40" zoomScaleNormal="40" workbookViewId="0">
      <selection activeCell="D6" sqref="D6"/>
    </sheetView>
  </sheetViews>
  <sheetFormatPr baseColWidth="10" defaultColWidth="14.42578125" defaultRowHeight="15"/>
  <cols>
    <col min="1" max="11" width="10.7109375" style="2" customWidth="1"/>
    <col min="12" max="24" width="0.28515625" style="2" customWidth="1"/>
    <col min="25" max="28" width="1" style="2" customWidth="1"/>
    <col min="29" max="34" width="10.7109375" style="2" customWidth="1"/>
    <col min="35" max="49" width="1.42578125" style="2" customWidth="1"/>
    <col min="50" max="63" width="1" style="2" customWidth="1"/>
    <col min="64" max="70" width="10.7109375" style="2" customWidth="1"/>
    <col min="71" max="79" width="0.7109375" style="2" customWidth="1"/>
    <col min="80" max="95" width="0.28515625" style="2" customWidth="1"/>
    <col min="96" max="108" width="10.7109375" style="2" customWidth="1"/>
    <col min="109" max="16384" width="14.42578125" style="2"/>
  </cols>
  <sheetData>
    <row r="1" spans="1:108" ht="45.75" thickBot="1">
      <c r="A1" s="716" t="s">
        <v>118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  <c r="R1" s="717"/>
      <c r="S1" s="717"/>
      <c r="T1" s="717"/>
      <c r="U1" s="717"/>
      <c r="V1" s="717"/>
      <c r="W1" s="717"/>
      <c r="X1" s="717"/>
      <c r="Y1" s="717"/>
      <c r="Z1" s="717"/>
      <c r="AA1" s="717"/>
      <c r="AB1" s="717"/>
      <c r="AC1" s="717"/>
      <c r="AD1" s="717"/>
      <c r="AE1" s="717"/>
      <c r="AF1" s="717"/>
      <c r="AG1" s="717"/>
      <c r="AH1" s="717"/>
      <c r="AI1" s="717"/>
      <c r="AJ1" s="717"/>
      <c r="AK1" s="717"/>
      <c r="AL1" s="717"/>
      <c r="AM1" s="717"/>
      <c r="AN1" s="717"/>
      <c r="AO1" s="717"/>
      <c r="AP1" s="717"/>
      <c r="AQ1" s="717"/>
      <c r="AR1" s="717"/>
      <c r="AS1" s="717"/>
      <c r="AT1" s="717"/>
      <c r="AU1" s="717"/>
      <c r="AV1" s="717"/>
      <c r="AW1" s="717"/>
      <c r="AX1" s="717"/>
      <c r="AY1" s="717"/>
      <c r="AZ1" s="717"/>
      <c r="BA1" s="717"/>
      <c r="BB1" s="717"/>
      <c r="BC1" s="717"/>
      <c r="BD1" s="717"/>
      <c r="BE1" s="717"/>
      <c r="BF1" s="717"/>
      <c r="BG1" s="717"/>
      <c r="BH1" s="717"/>
      <c r="BI1" s="717"/>
      <c r="BJ1" s="717"/>
      <c r="BK1" s="717"/>
      <c r="BL1" s="717"/>
      <c r="BM1" s="717"/>
      <c r="BN1" s="717"/>
      <c r="BO1" s="717"/>
      <c r="BP1" s="717"/>
      <c r="BQ1" s="717"/>
      <c r="BR1" s="717"/>
      <c r="BS1" s="717"/>
      <c r="BT1" s="717"/>
      <c r="BU1" s="717"/>
      <c r="BV1" s="717"/>
      <c r="BW1" s="717"/>
      <c r="BX1" s="717"/>
      <c r="BY1" s="717"/>
      <c r="BZ1" s="717"/>
      <c r="CA1" s="717"/>
      <c r="CB1" s="717"/>
      <c r="CC1" s="717"/>
      <c r="CD1" s="717"/>
      <c r="CE1" s="717"/>
      <c r="CF1" s="717"/>
      <c r="CG1" s="717"/>
      <c r="CH1" s="717"/>
      <c r="CI1" s="717"/>
      <c r="CJ1" s="717"/>
      <c r="CK1" s="717"/>
      <c r="CL1" s="717"/>
      <c r="CM1" s="717"/>
      <c r="CN1" s="717"/>
      <c r="CO1" s="717"/>
      <c r="CP1" s="717"/>
      <c r="CQ1" s="717"/>
      <c r="CR1" s="717"/>
      <c r="CS1" s="717"/>
      <c r="CT1" s="717"/>
      <c r="CU1" s="717"/>
      <c r="CV1" s="717"/>
      <c r="CW1" s="717"/>
      <c r="CX1" s="717"/>
      <c r="CY1" s="717"/>
      <c r="CZ1" s="717"/>
      <c r="DA1" s="717"/>
      <c r="DB1" s="717"/>
      <c r="DC1" s="718"/>
      <c r="DD1" s="1"/>
    </row>
    <row r="2" spans="1:108" ht="33.7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119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5" t="s">
        <v>120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4" t="s">
        <v>121</v>
      </c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3"/>
      <c r="CX2" s="3"/>
      <c r="CY2" s="3"/>
      <c r="CZ2" s="3"/>
      <c r="DA2" s="3"/>
      <c r="DB2" s="3"/>
      <c r="DC2" s="3"/>
      <c r="DD2" s="6"/>
    </row>
    <row r="3" spans="1:108" ht="33.7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3"/>
      <c r="CX3" s="3"/>
      <c r="CY3" s="3"/>
      <c r="CZ3" s="3"/>
      <c r="DA3" s="3"/>
      <c r="DB3" s="3"/>
      <c r="DC3" s="3"/>
      <c r="DD3" s="6"/>
    </row>
    <row r="4" spans="1:108" ht="34.5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3"/>
      <c r="CX4" s="3"/>
      <c r="CY4" s="3"/>
      <c r="CZ4" s="3"/>
      <c r="DA4" s="3"/>
      <c r="DB4" s="3"/>
      <c r="DC4" s="3"/>
      <c r="DD4" s="6"/>
    </row>
    <row r="5" spans="1:108" ht="18.75" thickBo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670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43"/>
      <c r="AB5" s="43"/>
      <c r="AC5" s="43"/>
      <c r="AD5" s="43"/>
      <c r="AE5" s="676"/>
      <c r="AF5" s="128"/>
      <c r="AG5" s="128"/>
      <c r="AH5" s="29"/>
      <c r="AI5" s="122"/>
      <c r="AJ5" s="122"/>
      <c r="AK5" s="122"/>
      <c r="AL5" s="3"/>
      <c r="AM5" s="670"/>
      <c r="AN5" s="7"/>
      <c r="AO5" s="7"/>
      <c r="AP5" s="7"/>
      <c r="AQ5" s="7"/>
      <c r="AR5" s="7"/>
      <c r="AS5" s="7"/>
      <c r="AT5" s="7"/>
      <c r="AU5" s="7"/>
      <c r="AV5" s="7"/>
      <c r="AW5" s="7"/>
      <c r="AX5" s="670"/>
      <c r="AY5" s="670"/>
      <c r="AZ5" s="670"/>
      <c r="BA5" s="670"/>
      <c r="BB5" s="670"/>
      <c r="BC5" s="670"/>
      <c r="BD5" s="670"/>
      <c r="BE5" s="670"/>
      <c r="BF5" s="670"/>
      <c r="BG5" s="43"/>
      <c r="BH5" s="43"/>
      <c r="BI5" s="43"/>
      <c r="BJ5" s="8"/>
      <c r="BK5" s="8"/>
      <c r="BL5" s="43"/>
      <c r="BM5" s="43"/>
      <c r="BN5" s="43"/>
      <c r="BO5" s="43"/>
      <c r="BP5" s="43"/>
      <c r="BQ5" s="719"/>
      <c r="BR5" s="717"/>
      <c r="BS5" s="718"/>
      <c r="BT5" s="128"/>
      <c r="BU5" s="128"/>
      <c r="BV5" s="128"/>
      <c r="BW5" s="128"/>
      <c r="BX5" s="29"/>
      <c r="BY5" s="29"/>
      <c r="BZ5" s="122"/>
      <c r="CA5" s="122"/>
      <c r="CB5" s="122"/>
      <c r="CC5" s="3"/>
      <c r="CD5" s="670"/>
      <c r="CE5" s="670"/>
      <c r="CF5" s="670"/>
      <c r="CG5" s="670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676"/>
      <c r="CX5" s="128"/>
      <c r="CY5" s="29"/>
      <c r="CZ5" s="29"/>
      <c r="DA5" s="122"/>
      <c r="DB5" s="122"/>
      <c r="DC5" s="122"/>
      <c r="DD5" s="6"/>
    </row>
    <row r="6" spans="1:108" ht="21">
      <c r="A6" s="720" t="s">
        <v>123</v>
      </c>
      <c r="B6" s="721"/>
      <c r="C6" s="722"/>
      <c r="D6" s="13">
        <v>400</v>
      </c>
      <c r="E6" s="664"/>
      <c r="F6" s="15"/>
      <c r="G6" s="665"/>
      <c r="H6" s="15"/>
      <c r="I6" s="29"/>
      <c r="J6" s="712">
        <v>1000</v>
      </c>
      <c r="K6" s="19"/>
      <c r="L6" s="665"/>
      <c r="M6" s="666"/>
      <c r="N6" s="3"/>
      <c r="O6" s="670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43"/>
      <c r="AB6" s="729"/>
      <c r="AC6" s="730"/>
      <c r="AD6" s="730"/>
      <c r="AE6" s="730"/>
      <c r="AF6" s="730"/>
      <c r="AG6" s="730"/>
      <c r="AH6" s="730"/>
      <c r="AI6" s="730"/>
      <c r="AJ6" s="730"/>
      <c r="AK6" s="122"/>
      <c r="AL6" s="3"/>
      <c r="AM6" s="670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95"/>
      <c r="BA6" s="696"/>
      <c r="BB6" s="25"/>
      <c r="BC6" s="26"/>
      <c r="BD6" s="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8"/>
      <c r="BR6" s="28"/>
      <c r="BS6" s="28"/>
      <c r="BT6" s="28"/>
      <c r="BU6" s="28"/>
      <c r="BV6" s="28"/>
      <c r="BW6" s="28"/>
      <c r="BX6" s="28"/>
      <c r="BY6" s="28"/>
      <c r="BZ6" s="731"/>
      <c r="CA6" s="722"/>
      <c r="CB6" s="122"/>
      <c r="CC6" s="3"/>
      <c r="CD6" s="670"/>
      <c r="CE6" s="3"/>
      <c r="CF6" s="29"/>
      <c r="CG6" s="6"/>
      <c r="CH6" s="6"/>
      <c r="CI6" s="680"/>
      <c r="CJ6" s="680"/>
      <c r="CK6" s="680"/>
      <c r="CL6" s="680"/>
      <c r="CM6" s="680"/>
      <c r="CN6" s="680"/>
      <c r="CO6" s="6"/>
      <c r="CP6" s="3"/>
      <c r="CQ6" s="6"/>
      <c r="CR6" s="6"/>
      <c r="CS6" s="664"/>
      <c r="CT6" s="706"/>
      <c r="CU6" s="706"/>
      <c r="CV6" s="706"/>
      <c r="CW6" s="706"/>
      <c r="CX6" s="706"/>
      <c r="CY6" s="706"/>
      <c r="CZ6" s="706"/>
      <c r="DA6" s="32"/>
      <c r="DB6" s="32"/>
      <c r="DC6" s="122"/>
      <c r="DD6" s="6"/>
    </row>
    <row r="7" spans="1:108" ht="18">
      <c r="A7" s="723"/>
      <c r="B7" s="724"/>
      <c r="C7" s="725"/>
      <c r="D7" s="33" t="s">
        <v>132</v>
      </c>
      <c r="E7" s="6"/>
      <c r="F7" s="6"/>
      <c r="G7" s="46"/>
      <c r="H7" s="35" t="s">
        <v>134</v>
      </c>
      <c r="I7" s="29"/>
      <c r="J7" s="293"/>
      <c r="K7" s="35" t="s">
        <v>136</v>
      </c>
      <c r="L7" s="117"/>
      <c r="M7" s="3"/>
      <c r="N7" s="3"/>
      <c r="O7" s="670"/>
      <c r="P7" s="21"/>
      <c r="Q7" s="21"/>
      <c r="R7" s="21"/>
      <c r="S7" s="21"/>
      <c r="T7" s="21"/>
      <c r="U7" s="27"/>
      <c r="V7" s="27"/>
      <c r="W7" s="21"/>
      <c r="X7" s="21"/>
      <c r="Y7" s="38"/>
      <c r="Z7" s="38"/>
      <c r="AA7" s="677"/>
      <c r="AB7" s="730"/>
      <c r="AC7" s="724"/>
      <c r="AD7" s="724"/>
      <c r="AE7" s="724"/>
      <c r="AF7" s="724"/>
      <c r="AG7" s="724"/>
      <c r="AH7" s="724"/>
      <c r="AI7" s="724"/>
      <c r="AJ7" s="730"/>
      <c r="AK7" s="122"/>
      <c r="AL7" s="3"/>
      <c r="AM7" s="670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97"/>
      <c r="BA7" s="698"/>
      <c r="BB7" s="25"/>
      <c r="BC7" s="26"/>
      <c r="BD7" s="6"/>
      <c r="BE7" s="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8"/>
      <c r="BR7" s="28"/>
      <c r="BS7" s="28"/>
      <c r="BT7" s="28"/>
      <c r="BU7" s="28"/>
      <c r="BV7" s="28"/>
      <c r="BW7" s="28"/>
      <c r="BX7" s="28"/>
      <c r="BY7" s="28"/>
      <c r="BZ7" s="723"/>
      <c r="CA7" s="725"/>
      <c r="CB7" s="122"/>
      <c r="CC7" s="3"/>
      <c r="CD7" s="670"/>
      <c r="CE7" s="706"/>
      <c r="CF7" s="42"/>
      <c r="CG7" s="43"/>
      <c r="CH7" s="43"/>
      <c r="CI7" s="44"/>
      <c r="CJ7" s="44"/>
      <c r="CK7" s="44"/>
      <c r="CL7" s="44"/>
      <c r="CM7" s="44"/>
      <c r="CN7" s="44"/>
      <c r="CO7" s="44"/>
      <c r="CP7" s="3"/>
      <c r="CQ7" s="3"/>
      <c r="CR7" s="3"/>
      <c r="CS7" s="6"/>
      <c r="CT7" s="6"/>
      <c r="CU7" s="6"/>
      <c r="CV7" s="6"/>
      <c r="CW7" s="6"/>
      <c r="CX7" s="6"/>
      <c r="CY7" s="6"/>
      <c r="CZ7" s="6"/>
      <c r="DA7" s="32"/>
      <c r="DB7" s="32"/>
      <c r="DC7" s="122"/>
      <c r="DD7" s="6"/>
    </row>
    <row r="8" spans="1:108" ht="21.75" thickBot="1">
      <c r="A8" s="726"/>
      <c r="B8" s="727"/>
      <c r="C8" s="728"/>
      <c r="D8" s="45">
        <v>3</v>
      </c>
      <c r="E8" s="6"/>
      <c r="F8" s="6"/>
      <c r="G8" s="46">
        <v>1</v>
      </c>
      <c r="H8" s="47"/>
      <c r="I8" s="48" t="s">
        <v>136</v>
      </c>
      <c r="J8" s="711"/>
      <c r="K8" s="3"/>
      <c r="L8" s="46"/>
      <c r="M8" s="3"/>
      <c r="N8" s="3"/>
      <c r="O8" s="670"/>
      <c r="P8" s="21"/>
      <c r="Q8" s="21"/>
      <c r="R8" s="21"/>
      <c r="S8" s="21"/>
      <c r="T8" s="21"/>
      <c r="U8" s="27"/>
      <c r="V8" s="27"/>
      <c r="W8" s="21"/>
      <c r="X8" s="21"/>
      <c r="Y8" s="38"/>
      <c r="Z8" s="38"/>
      <c r="AA8" s="677"/>
      <c r="AB8" s="730"/>
      <c r="AC8" s="724"/>
      <c r="AD8" s="724"/>
      <c r="AE8" s="724"/>
      <c r="AF8" s="724"/>
      <c r="AG8" s="724"/>
      <c r="AH8" s="724"/>
      <c r="AI8" s="724"/>
      <c r="AJ8" s="730"/>
      <c r="AK8" s="122"/>
      <c r="AL8" s="3"/>
      <c r="AM8" s="670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97"/>
      <c r="BA8" s="698"/>
      <c r="BB8" s="6"/>
      <c r="BC8" s="26"/>
      <c r="BD8" s="6"/>
      <c r="BE8" s="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43"/>
      <c r="BR8" s="43"/>
      <c r="BS8" s="43"/>
      <c r="BT8" s="50"/>
      <c r="BU8" s="50"/>
      <c r="BV8" s="43"/>
      <c r="BW8" s="43"/>
      <c r="BX8" s="29"/>
      <c r="BY8" s="29"/>
      <c r="BZ8" s="723"/>
      <c r="CA8" s="725"/>
      <c r="CB8" s="122"/>
      <c r="CC8" s="3"/>
      <c r="CD8" s="670"/>
      <c r="CE8" s="3"/>
      <c r="CF8" s="42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2"/>
      <c r="DB8" s="32"/>
      <c r="DC8" s="122"/>
      <c r="DD8" s="6"/>
    </row>
    <row r="9" spans="1:108" ht="23.25" thickBot="1">
      <c r="A9" s="51"/>
      <c r="B9" s="52"/>
      <c r="C9" s="52"/>
      <c r="D9" s="53" t="s">
        <v>139</v>
      </c>
      <c r="E9" s="6"/>
      <c r="F9" s="6"/>
      <c r="G9" s="732" t="s">
        <v>140</v>
      </c>
      <c r="H9" s="730"/>
      <c r="I9" s="733" t="s">
        <v>141</v>
      </c>
      <c r="J9" s="730"/>
      <c r="K9" s="6"/>
      <c r="L9" s="675"/>
      <c r="M9" s="6"/>
      <c r="N9" s="3"/>
      <c r="O9" s="670"/>
      <c r="P9" s="21"/>
      <c r="Q9" s="734" t="s">
        <v>128</v>
      </c>
      <c r="R9" s="721"/>
      <c r="S9" s="721"/>
      <c r="T9" s="721"/>
      <c r="U9" s="721"/>
      <c r="V9" s="721"/>
      <c r="W9" s="721"/>
      <c r="X9" s="722"/>
      <c r="Y9" s="38"/>
      <c r="Z9" s="38"/>
      <c r="AA9" s="677"/>
      <c r="AB9" s="730"/>
      <c r="AC9" s="730"/>
      <c r="AD9" s="730"/>
      <c r="AE9" s="730"/>
      <c r="AF9" s="730"/>
      <c r="AG9" s="730"/>
      <c r="AH9" s="730"/>
      <c r="AI9" s="730"/>
      <c r="AJ9" s="730"/>
      <c r="AK9" s="122"/>
      <c r="AL9" s="3"/>
      <c r="AM9" s="670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97"/>
      <c r="BA9" s="698"/>
      <c r="BB9" s="25"/>
      <c r="BC9" s="26"/>
      <c r="BD9" s="6"/>
      <c r="BE9" s="6"/>
      <c r="BF9" s="6"/>
      <c r="BG9" s="6"/>
      <c r="BH9" s="6"/>
      <c r="BI9" s="26"/>
      <c r="BJ9" s="26"/>
      <c r="BK9" s="26"/>
      <c r="BL9" s="26"/>
      <c r="BM9" s="26"/>
      <c r="BN9" s="26"/>
      <c r="BO9" s="26"/>
      <c r="BP9" s="26"/>
      <c r="BQ9" s="43"/>
      <c r="BR9" s="43"/>
      <c r="BS9" s="43"/>
      <c r="BT9" s="29"/>
      <c r="BU9" s="43"/>
      <c r="BV9" s="43"/>
      <c r="BW9" s="43"/>
      <c r="BX9" s="29"/>
      <c r="BY9" s="29"/>
      <c r="BZ9" s="723"/>
      <c r="CA9" s="725"/>
      <c r="CB9" s="122"/>
      <c r="CC9" s="3"/>
      <c r="CD9" s="670"/>
      <c r="CE9" s="706"/>
      <c r="CF9" s="42"/>
      <c r="CG9" s="6"/>
      <c r="CH9" s="6"/>
      <c r="CI9" s="6"/>
      <c r="CJ9" s="6"/>
      <c r="CK9" s="6"/>
      <c r="CL9" s="6"/>
      <c r="CM9" s="6"/>
      <c r="CN9" s="6"/>
      <c r="CO9" s="6"/>
      <c r="CP9" s="6"/>
      <c r="CQ9" s="3"/>
      <c r="CR9" s="3"/>
      <c r="CS9" s="3"/>
      <c r="CT9" s="3"/>
      <c r="CU9" s="3"/>
      <c r="CV9" s="6"/>
      <c r="CW9" s="6"/>
      <c r="CX9" s="3"/>
      <c r="CY9" s="3"/>
      <c r="CZ9" s="3"/>
      <c r="DA9" s="56"/>
      <c r="DB9" s="6"/>
      <c r="DC9" s="122"/>
      <c r="DD9" s="6"/>
    </row>
    <row r="10" spans="1:108" ht="21.75" thickBot="1">
      <c r="A10" s="57"/>
      <c r="B10" s="3"/>
      <c r="C10" s="3"/>
      <c r="D10" s="3"/>
      <c r="E10" s="6"/>
      <c r="F10" s="732" t="s">
        <v>141</v>
      </c>
      <c r="G10" s="730"/>
      <c r="H10" s="6"/>
      <c r="I10" s="6"/>
      <c r="J10" s="3"/>
      <c r="K10" s="52"/>
      <c r="L10" s="3"/>
      <c r="M10" s="3"/>
      <c r="N10" s="3"/>
      <c r="O10" s="670"/>
      <c r="P10" s="21"/>
      <c r="Q10" s="723"/>
      <c r="R10" s="724"/>
      <c r="S10" s="724"/>
      <c r="T10" s="724"/>
      <c r="U10" s="724"/>
      <c r="V10" s="724"/>
      <c r="W10" s="724"/>
      <c r="X10" s="725"/>
      <c r="Y10" s="38"/>
      <c r="Z10" s="38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28"/>
      <c r="AL10" s="3"/>
      <c r="AM10" s="670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97"/>
      <c r="BA10" s="698"/>
      <c r="BB10" s="26"/>
      <c r="BC10" s="26"/>
      <c r="BD10" s="6"/>
      <c r="BE10" s="6"/>
      <c r="BF10" s="6"/>
      <c r="BG10" s="443"/>
      <c r="BH10" s="443"/>
      <c r="BI10" s="26"/>
      <c r="BJ10" s="26"/>
      <c r="BK10" s="26"/>
      <c r="BL10" s="26"/>
      <c r="BM10" s="26"/>
      <c r="BN10" s="26"/>
      <c r="BO10" s="26"/>
      <c r="BP10" s="26"/>
      <c r="BQ10" s="43"/>
      <c r="BR10" s="43"/>
      <c r="BS10" s="43"/>
      <c r="BT10" s="43"/>
      <c r="BU10" s="43"/>
      <c r="BV10" s="29"/>
      <c r="BW10" s="29"/>
      <c r="BX10" s="29"/>
      <c r="BY10" s="29"/>
      <c r="BZ10" s="726"/>
      <c r="CA10" s="728"/>
      <c r="CB10" s="28"/>
      <c r="CC10" s="3"/>
      <c r="CD10" s="43"/>
      <c r="CE10" s="3"/>
      <c r="CF10" s="42"/>
      <c r="CG10" s="6"/>
      <c r="CH10" s="735"/>
      <c r="CI10" s="730"/>
      <c r="CJ10" s="6"/>
      <c r="CK10" s="6"/>
      <c r="CL10" s="6"/>
      <c r="CM10" s="664"/>
      <c r="CN10" s="706"/>
      <c r="CO10" s="6"/>
      <c r="CP10" s="6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2"/>
      <c r="DB10" s="483"/>
      <c r="DC10" s="44"/>
      <c r="DD10" s="6"/>
    </row>
    <row r="11" spans="1:108" ht="21" thickBot="1">
      <c r="A11" s="51"/>
      <c r="B11" s="3"/>
      <c r="C11" s="3"/>
      <c r="D11" s="62"/>
      <c r="E11" s="48" t="s">
        <v>146</v>
      </c>
      <c r="F11" s="17"/>
      <c r="G11" s="17"/>
      <c r="H11" s="48"/>
      <c r="I11" s="3"/>
      <c r="J11" s="3"/>
      <c r="K11" s="293"/>
      <c r="L11" s="293"/>
      <c r="M11" s="3"/>
      <c r="N11" s="3"/>
      <c r="O11" s="670"/>
      <c r="P11" s="21"/>
      <c r="Q11" s="723"/>
      <c r="R11" s="724"/>
      <c r="S11" s="724"/>
      <c r="T11" s="724"/>
      <c r="U11" s="724"/>
      <c r="V11" s="724"/>
      <c r="W11" s="724"/>
      <c r="X11" s="725"/>
      <c r="Y11" s="21"/>
      <c r="Z11" s="21"/>
      <c r="AA11" s="26"/>
      <c r="AB11" s="43"/>
      <c r="AC11" s="678"/>
      <c r="AD11" s="678"/>
      <c r="AE11" s="29"/>
      <c r="AF11" s="29"/>
      <c r="AG11" s="29"/>
      <c r="AH11" s="29"/>
      <c r="AI11" s="28"/>
      <c r="AJ11" s="122"/>
      <c r="AK11" s="28"/>
      <c r="AL11" s="3"/>
      <c r="AM11" s="670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97"/>
      <c r="BA11" s="698"/>
      <c r="BB11" s="25"/>
      <c r="BC11" s="26"/>
      <c r="BD11" s="6"/>
      <c r="BE11" s="6"/>
      <c r="BF11" s="6"/>
      <c r="BG11" s="443"/>
      <c r="BH11" s="443"/>
      <c r="BI11" s="68"/>
      <c r="BJ11" s="26"/>
      <c r="BK11" s="26"/>
      <c r="BL11" s="26"/>
      <c r="BM11" s="26"/>
      <c r="BN11" s="26"/>
      <c r="BO11" s="26"/>
      <c r="BP11" s="26"/>
      <c r="BQ11" s="43"/>
      <c r="BR11" s="43"/>
      <c r="BS11" s="43"/>
      <c r="BT11" s="43"/>
      <c r="BU11" s="43"/>
      <c r="BV11" s="29"/>
      <c r="BW11" s="29"/>
      <c r="BX11" s="29"/>
      <c r="BY11" s="29"/>
      <c r="BZ11" s="28"/>
      <c r="CA11" s="122"/>
      <c r="CB11" s="28"/>
      <c r="CC11" s="3"/>
      <c r="CD11" s="43"/>
      <c r="CE11" s="706"/>
      <c r="CF11" s="29"/>
      <c r="CG11" s="35"/>
      <c r="CH11" s="113"/>
      <c r="CI11" s="113"/>
      <c r="CJ11" s="6"/>
      <c r="CK11" s="6"/>
      <c r="CL11" s="6"/>
      <c r="CM11" s="6"/>
      <c r="CN11" s="6"/>
      <c r="CO11" s="6"/>
      <c r="CP11" s="6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2"/>
      <c r="DB11" s="293"/>
      <c r="DC11" s="44"/>
      <c r="DD11" s="6"/>
    </row>
    <row r="12" spans="1:108" ht="19.5" thickBot="1">
      <c r="A12" s="736" t="s">
        <v>150</v>
      </c>
      <c r="B12" s="3"/>
      <c r="C12" s="70"/>
      <c r="D12" s="71">
        <v>1</v>
      </c>
      <c r="E12" s="17"/>
      <c r="F12" s="72">
        <v>1000</v>
      </c>
      <c r="G12" s="73">
        <v>1000</v>
      </c>
      <c r="H12" s="17"/>
      <c r="I12" s="74">
        <v>6</v>
      </c>
      <c r="J12" s="75"/>
      <c r="K12" s="664"/>
      <c r="L12" s="664"/>
      <c r="M12" s="739"/>
      <c r="N12" s="730"/>
      <c r="O12" s="670"/>
      <c r="P12" s="21"/>
      <c r="Q12" s="723"/>
      <c r="R12" s="724"/>
      <c r="S12" s="724"/>
      <c r="T12" s="724"/>
      <c r="U12" s="724"/>
      <c r="V12" s="724"/>
      <c r="W12" s="724"/>
      <c r="X12" s="725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28"/>
      <c r="AL12" s="3"/>
      <c r="AM12" s="670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97"/>
      <c r="BA12" s="698"/>
      <c r="BB12" s="6"/>
      <c r="BC12" s="26"/>
      <c r="BD12" s="6"/>
      <c r="BE12" s="6"/>
      <c r="BF12" s="6"/>
      <c r="BG12" s="443"/>
      <c r="BH12" s="443"/>
      <c r="BI12" s="68"/>
      <c r="BJ12" s="26"/>
      <c r="BK12" s="26"/>
      <c r="BL12" s="26"/>
      <c r="BM12" s="26"/>
      <c r="BN12" s="26"/>
      <c r="BO12" s="26"/>
      <c r="BP12" s="26"/>
      <c r="BQ12" s="43"/>
      <c r="BR12" s="43"/>
      <c r="BS12" s="43"/>
      <c r="BT12" s="29"/>
      <c r="BU12" s="29"/>
      <c r="BV12" s="29"/>
      <c r="BW12" s="3"/>
      <c r="BX12" s="3"/>
      <c r="BY12" s="3"/>
      <c r="BZ12" s="28"/>
      <c r="CA12" s="76"/>
      <c r="CB12" s="28"/>
      <c r="CC12" s="3"/>
      <c r="CD12" s="43"/>
      <c r="CE12" s="44"/>
      <c r="CF12" s="77"/>
      <c r="CG12" s="117"/>
      <c r="CH12" s="665"/>
      <c r="CI12" s="665"/>
      <c r="CJ12" s="117"/>
      <c r="CK12" s="78"/>
      <c r="CL12" s="6"/>
      <c r="CM12" s="664"/>
      <c r="CN12" s="706"/>
      <c r="CO12" s="6"/>
      <c r="CP12" s="6"/>
      <c r="CQ12" s="3"/>
      <c r="CR12" s="3"/>
      <c r="CS12" s="3"/>
      <c r="CT12" s="3"/>
      <c r="CU12" s="3"/>
      <c r="CV12" s="3"/>
      <c r="CW12" s="3"/>
      <c r="CX12" s="3"/>
      <c r="CY12" s="6"/>
      <c r="CZ12" s="3"/>
      <c r="DA12" s="32"/>
      <c r="DB12" s="79"/>
      <c r="DC12" s="44"/>
      <c r="DD12" s="6"/>
    </row>
    <row r="13" spans="1:108" ht="18">
      <c r="A13" s="737"/>
      <c r="B13" s="3"/>
      <c r="C13" s="70"/>
      <c r="D13" s="71">
        <v>2</v>
      </c>
      <c r="E13" s="17"/>
      <c r="F13" s="80">
        <v>1000</v>
      </c>
      <c r="G13" s="81">
        <v>1000</v>
      </c>
      <c r="H13" s="17"/>
      <c r="I13" s="74">
        <v>5</v>
      </c>
      <c r="J13" s="75"/>
      <c r="M13" s="35"/>
      <c r="N13" s="46"/>
      <c r="O13" s="670"/>
      <c r="P13" s="21"/>
      <c r="Q13" s="723"/>
      <c r="R13" s="724"/>
      <c r="S13" s="724"/>
      <c r="T13" s="724"/>
      <c r="U13" s="724"/>
      <c r="V13" s="724"/>
      <c r="W13" s="724"/>
      <c r="X13" s="725"/>
      <c r="Y13" s="6"/>
      <c r="Z13" s="740" t="s">
        <v>153</v>
      </c>
      <c r="AA13" s="721"/>
      <c r="AB13" s="721"/>
      <c r="AC13" s="721"/>
      <c r="AD13" s="721"/>
      <c r="AE13" s="721"/>
      <c r="AF13" s="721"/>
      <c r="AG13" s="721"/>
      <c r="AH13" s="722"/>
      <c r="AI13" s="6"/>
      <c r="AJ13" s="6"/>
      <c r="AK13" s="28"/>
      <c r="AL13" s="3"/>
      <c r="AM13" s="670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97"/>
      <c r="BA13" s="698"/>
      <c r="BB13" s="25"/>
      <c r="BC13" s="26"/>
      <c r="BD13" s="6"/>
      <c r="BE13" s="6"/>
      <c r="BF13" s="6"/>
      <c r="BG13" s="671"/>
      <c r="BH13" s="25"/>
      <c r="BI13" s="26"/>
      <c r="BJ13" s="26"/>
      <c r="BK13" s="26"/>
      <c r="BL13" s="26"/>
      <c r="BM13" s="26"/>
      <c r="BN13" s="26"/>
      <c r="BO13" s="26"/>
      <c r="BP13" s="26"/>
      <c r="BQ13" s="43"/>
      <c r="BR13" s="43"/>
      <c r="BS13" s="43"/>
      <c r="BT13" s="6"/>
      <c r="BU13" s="6"/>
      <c r="BV13" s="6"/>
      <c r="BW13" s="6"/>
      <c r="BX13" s="6"/>
      <c r="BY13" s="6"/>
      <c r="BZ13" s="6"/>
      <c r="CA13" s="6"/>
      <c r="CB13" s="58"/>
      <c r="CC13" s="3"/>
      <c r="CD13" s="43"/>
      <c r="CE13" s="706"/>
      <c r="CF13" s="77"/>
      <c r="CG13" s="117"/>
      <c r="CH13" s="665"/>
      <c r="CI13" s="665"/>
      <c r="CJ13" s="117"/>
      <c r="CK13" s="78"/>
      <c r="CL13" s="6"/>
      <c r="CM13" s="6"/>
      <c r="CN13" s="6"/>
      <c r="CO13" s="6"/>
      <c r="CP13" s="6"/>
      <c r="CQ13" s="6"/>
      <c r="CR13" s="3"/>
      <c r="CS13" s="3"/>
      <c r="CT13" s="3"/>
      <c r="CU13" s="3"/>
      <c r="CV13" s="3"/>
      <c r="CW13" s="3"/>
      <c r="CX13" s="3"/>
      <c r="CY13" s="6"/>
      <c r="CZ13" s="3"/>
      <c r="DA13" s="32"/>
      <c r="DB13" s="483"/>
      <c r="DC13" s="44"/>
      <c r="DD13" s="6"/>
    </row>
    <row r="14" spans="1:108" ht="18">
      <c r="A14" s="737"/>
      <c r="B14" s="6"/>
      <c r="C14" s="70"/>
      <c r="D14" s="71">
        <v>3</v>
      </c>
      <c r="E14" s="17"/>
      <c r="F14" s="84">
        <v>1000</v>
      </c>
      <c r="G14" s="85">
        <v>1000</v>
      </c>
      <c r="H14" s="17"/>
      <c r="I14" s="74">
        <v>4</v>
      </c>
      <c r="J14" s="75"/>
      <c r="M14" s="46"/>
      <c r="N14" s="665"/>
      <c r="O14" s="670"/>
      <c r="P14" s="21"/>
      <c r="Q14" s="723"/>
      <c r="R14" s="724"/>
      <c r="S14" s="724"/>
      <c r="T14" s="724"/>
      <c r="U14" s="724"/>
      <c r="V14" s="724"/>
      <c r="W14" s="724"/>
      <c r="X14" s="725"/>
      <c r="Y14" s="6"/>
      <c r="Z14" s="723"/>
      <c r="AA14" s="724"/>
      <c r="AB14" s="724"/>
      <c r="AC14" s="724"/>
      <c r="AD14" s="724"/>
      <c r="AE14" s="724"/>
      <c r="AF14" s="724"/>
      <c r="AG14" s="724"/>
      <c r="AH14" s="725"/>
      <c r="AI14" s="6"/>
      <c r="AJ14" s="6"/>
      <c r="AK14" s="28"/>
      <c r="AL14" s="3"/>
      <c r="AM14" s="670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97"/>
      <c r="BA14" s="698"/>
      <c r="BB14" s="26"/>
      <c r="BC14" s="26"/>
      <c r="BD14" s="6"/>
      <c r="BE14" s="6"/>
      <c r="BF14" s="6"/>
      <c r="BG14" s="666"/>
      <c r="BH14" s="25"/>
      <c r="BI14" s="26"/>
      <c r="BJ14" s="26"/>
      <c r="BK14" s="26"/>
      <c r="BL14" s="26"/>
      <c r="BM14" s="26"/>
      <c r="BN14" s="26"/>
      <c r="BO14" s="26"/>
      <c r="BP14" s="26"/>
      <c r="BQ14" s="43"/>
      <c r="BR14" s="43"/>
      <c r="BS14" s="43"/>
      <c r="BT14" s="6"/>
      <c r="BU14" s="6"/>
      <c r="BV14" s="6"/>
      <c r="BW14" s="6"/>
      <c r="BX14" s="6"/>
      <c r="BY14" s="6"/>
      <c r="BZ14" s="6"/>
      <c r="CA14" s="6"/>
      <c r="CB14" s="58"/>
      <c r="CC14" s="3"/>
      <c r="CD14" s="43"/>
      <c r="CE14" s="44"/>
      <c r="CF14" s="42"/>
      <c r="CG14" s="3"/>
      <c r="CH14" s="113"/>
      <c r="CI14" s="113"/>
      <c r="CJ14" s="6"/>
      <c r="CK14" s="6"/>
      <c r="CL14" s="3"/>
      <c r="CM14" s="664"/>
      <c r="CN14" s="706"/>
      <c r="CO14" s="6"/>
      <c r="CP14" s="3"/>
      <c r="CQ14" s="3"/>
      <c r="CR14" s="3"/>
      <c r="CS14" s="3"/>
      <c r="CT14" s="3"/>
      <c r="CU14" s="3"/>
      <c r="CV14" s="3"/>
      <c r="CW14" s="3"/>
      <c r="CX14" s="3"/>
      <c r="CY14" s="6"/>
      <c r="CZ14" s="3"/>
      <c r="DA14" s="32"/>
      <c r="DB14" s="32"/>
      <c r="DC14" s="44"/>
      <c r="DD14" s="6"/>
    </row>
    <row r="15" spans="1:108" ht="19.5" thickBot="1">
      <c r="A15" s="738"/>
      <c r="B15" s="86"/>
      <c r="C15" s="86"/>
      <c r="D15" s="86"/>
      <c r="E15" s="87"/>
      <c r="F15" s="88"/>
      <c r="G15" s="88"/>
      <c r="H15" s="74"/>
      <c r="I15" s="52"/>
      <c r="J15" s="52"/>
      <c r="K15" s="52"/>
      <c r="L15" s="89"/>
      <c r="M15" s="46"/>
      <c r="N15" s="665"/>
      <c r="O15" s="670"/>
      <c r="P15" s="21"/>
      <c r="Q15" s="723"/>
      <c r="R15" s="724"/>
      <c r="S15" s="724"/>
      <c r="T15" s="724"/>
      <c r="U15" s="724"/>
      <c r="V15" s="724"/>
      <c r="W15" s="724"/>
      <c r="X15" s="725"/>
      <c r="Y15" s="6"/>
      <c r="Z15" s="723"/>
      <c r="AA15" s="724"/>
      <c r="AB15" s="724"/>
      <c r="AC15" s="724"/>
      <c r="AD15" s="724"/>
      <c r="AE15" s="724"/>
      <c r="AF15" s="724"/>
      <c r="AG15" s="724"/>
      <c r="AH15" s="725"/>
      <c r="AI15" s="6"/>
      <c r="AJ15" s="6"/>
      <c r="AK15" s="28"/>
      <c r="AL15" s="3"/>
      <c r="AM15" s="670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97"/>
      <c r="BA15" s="698"/>
      <c r="BB15" s="26"/>
      <c r="BC15" s="26"/>
      <c r="BD15" s="6"/>
      <c r="BE15" s="6"/>
      <c r="BF15" s="90"/>
      <c r="BG15" s="666"/>
      <c r="BH15" s="25"/>
      <c r="BI15" s="6"/>
      <c r="BJ15" s="26"/>
      <c r="BK15" s="26"/>
      <c r="BL15" s="26"/>
      <c r="BM15" s="26"/>
      <c r="BN15" s="26"/>
      <c r="BO15" s="26"/>
      <c r="BP15" s="26"/>
      <c r="BQ15" s="43"/>
      <c r="BR15" s="43"/>
      <c r="BS15" s="43"/>
      <c r="BT15" s="3"/>
      <c r="BU15" s="3"/>
      <c r="BV15" s="3"/>
      <c r="BW15" s="3"/>
      <c r="BX15" s="91"/>
      <c r="BY15" s="92"/>
      <c r="BZ15" s="91"/>
      <c r="CA15" s="92"/>
      <c r="CB15" s="58"/>
      <c r="CC15" s="3"/>
      <c r="CD15" s="43"/>
      <c r="CE15" s="706"/>
      <c r="CF15" s="42"/>
      <c r="CG15" s="29"/>
      <c r="CH15" s="6"/>
      <c r="CI15" s="6"/>
      <c r="CJ15" s="6"/>
      <c r="CK15" s="6"/>
      <c r="CL15" s="3"/>
      <c r="CM15" s="6"/>
      <c r="CN15" s="6"/>
      <c r="CO15" s="6"/>
      <c r="CP15" s="3"/>
      <c r="CQ15" s="3"/>
      <c r="CR15" s="3"/>
      <c r="CS15" s="3"/>
      <c r="CT15" s="3"/>
      <c r="CU15" s="664"/>
      <c r="CV15" s="706"/>
      <c r="CW15" s="3"/>
      <c r="CX15" s="3"/>
      <c r="CY15" s="6"/>
      <c r="CZ15" s="3"/>
      <c r="DA15" s="32"/>
      <c r="DB15" s="32"/>
      <c r="DC15" s="44"/>
      <c r="DD15" s="6"/>
    </row>
    <row r="16" spans="1:108" ht="21.75" thickBot="1">
      <c r="A16" s="93"/>
      <c r="B16" s="52"/>
      <c r="C16" s="52"/>
      <c r="D16" s="52"/>
      <c r="E16" s="94"/>
      <c r="F16" s="95"/>
      <c r="G16" s="96"/>
      <c r="H16" s="97"/>
      <c r="I16" s="3"/>
      <c r="J16" s="3"/>
      <c r="K16" s="98"/>
      <c r="L16" s="89"/>
      <c r="M16" s="46"/>
      <c r="N16" s="665"/>
      <c r="O16" s="670"/>
      <c r="P16" s="21"/>
      <c r="Q16" s="723"/>
      <c r="R16" s="724"/>
      <c r="S16" s="724"/>
      <c r="T16" s="724"/>
      <c r="U16" s="724"/>
      <c r="V16" s="724"/>
      <c r="W16" s="724"/>
      <c r="X16" s="725"/>
      <c r="Y16" s="6"/>
      <c r="Z16" s="723"/>
      <c r="AA16" s="724"/>
      <c r="AB16" s="724"/>
      <c r="AC16" s="724"/>
      <c r="AD16" s="724"/>
      <c r="AE16" s="724"/>
      <c r="AF16" s="724"/>
      <c r="AG16" s="724"/>
      <c r="AH16" s="725"/>
      <c r="AI16" s="6"/>
      <c r="AJ16" s="6"/>
      <c r="AK16" s="28"/>
      <c r="AL16" s="3"/>
      <c r="AM16" s="670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97"/>
      <c r="BA16" s="698"/>
      <c r="BB16" s="25"/>
      <c r="BC16" s="26"/>
      <c r="BD16" s="6"/>
      <c r="BE16" s="6"/>
      <c r="BF16" s="90"/>
      <c r="BG16" s="666"/>
      <c r="BH16" s="25"/>
      <c r="BI16" s="26"/>
      <c r="BJ16" s="26"/>
      <c r="BK16" s="26"/>
      <c r="BL16" s="26"/>
      <c r="BM16" s="98"/>
      <c r="BN16" s="99" t="s">
        <v>155</v>
      </c>
      <c r="BO16" s="100"/>
      <c r="BP16" s="100"/>
      <c r="BQ16" s="43"/>
      <c r="BR16" s="43"/>
      <c r="BS16" s="43"/>
      <c r="BT16" s="43"/>
      <c r="BU16" s="43"/>
      <c r="BV16" s="43"/>
      <c r="BW16" s="3"/>
      <c r="BX16" s="6"/>
      <c r="BY16" s="6"/>
      <c r="BZ16" s="6"/>
      <c r="CA16" s="6"/>
      <c r="CB16" s="58"/>
      <c r="CC16" s="3"/>
      <c r="CD16" s="43"/>
      <c r="CE16" s="44"/>
      <c r="CF16" s="44"/>
      <c r="CG16" s="68"/>
      <c r="CH16" s="43"/>
      <c r="CI16" s="29"/>
      <c r="CJ16" s="3"/>
      <c r="CK16" s="6"/>
      <c r="CL16" s="6"/>
      <c r="CM16" s="735"/>
      <c r="CN16" s="724"/>
      <c r="CO16" s="3"/>
      <c r="CP16" s="3"/>
      <c r="CQ16" s="3"/>
      <c r="CR16" s="3"/>
      <c r="CS16" s="3"/>
      <c r="CT16" s="3"/>
      <c r="CU16" s="664"/>
      <c r="CV16" s="706"/>
      <c r="CW16" s="3"/>
      <c r="CX16" s="3"/>
      <c r="CY16" s="6"/>
      <c r="CZ16" s="3"/>
      <c r="DA16" s="32"/>
      <c r="DB16" s="32"/>
      <c r="DC16" s="44"/>
      <c r="DD16" s="6"/>
    </row>
    <row r="17" spans="1:108" ht="27.75">
      <c r="A17" s="93"/>
      <c r="B17" s="52"/>
      <c r="C17" s="6"/>
      <c r="D17" s="6"/>
      <c r="E17" s="3"/>
      <c r="F17" s="102"/>
      <c r="G17" s="103"/>
      <c r="H17" s="104"/>
      <c r="I17" s="3"/>
      <c r="J17" s="3"/>
      <c r="K17" s="3"/>
      <c r="L17" s="89"/>
      <c r="M17" s="46"/>
      <c r="N17" s="665"/>
      <c r="O17" s="670"/>
      <c r="P17" s="21"/>
      <c r="Q17" s="723"/>
      <c r="R17" s="724"/>
      <c r="S17" s="724"/>
      <c r="T17" s="724"/>
      <c r="U17" s="724"/>
      <c r="V17" s="724"/>
      <c r="W17" s="724"/>
      <c r="X17" s="725"/>
      <c r="Y17" s="6"/>
      <c r="Z17" s="723"/>
      <c r="AA17" s="724"/>
      <c r="AB17" s="724"/>
      <c r="AC17" s="724"/>
      <c r="AD17" s="724"/>
      <c r="AE17" s="724"/>
      <c r="AF17" s="724"/>
      <c r="AG17" s="724"/>
      <c r="AH17" s="725"/>
      <c r="AI17" s="6"/>
      <c r="AJ17" s="6"/>
      <c r="AK17" s="28"/>
      <c r="AL17" s="3"/>
      <c r="AM17" s="670"/>
      <c r="AN17" s="6"/>
      <c r="AO17" s="6"/>
      <c r="AP17" s="6"/>
      <c r="AQ17" s="105" t="s">
        <v>156</v>
      </c>
      <c r="AR17" s="106"/>
      <c r="AS17" s="106"/>
      <c r="AT17" s="6"/>
      <c r="AU17" s="6"/>
      <c r="AV17" s="6"/>
      <c r="AW17" s="6"/>
      <c r="AX17" s="6"/>
      <c r="AY17" s="6"/>
      <c r="AZ17" s="697"/>
      <c r="BA17" s="698"/>
      <c r="BB17" s="26"/>
      <c r="BC17" s="26"/>
      <c r="BD17" s="26"/>
      <c r="BE17" s="6"/>
      <c r="BF17" s="90"/>
      <c r="BG17" s="666"/>
      <c r="BH17" s="107"/>
      <c r="BI17" s="29"/>
      <c r="BJ17" s="26"/>
      <c r="BK17" s="26"/>
      <c r="BL17" s="26"/>
      <c r="BM17" s="26"/>
      <c r="BN17" s="108" t="s">
        <v>158</v>
      </c>
      <c r="BO17" s="109"/>
      <c r="BP17" s="109"/>
      <c r="BQ17" s="110"/>
      <c r="BR17" s="111"/>
      <c r="BS17" s="43"/>
      <c r="BT17" s="112"/>
      <c r="BU17" s="43"/>
      <c r="BV17" s="43"/>
      <c r="BW17" s="43"/>
      <c r="BX17" s="43"/>
      <c r="BY17" s="3"/>
      <c r="BZ17" s="3"/>
      <c r="CA17" s="3"/>
      <c r="CB17" s="58"/>
      <c r="CC17" s="3"/>
      <c r="CD17" s="43"/>
      <c r="CE17" s="706"/>
      <c r="CF17" s="3"/>
      <c r="CG17" s="68"/>
      <c r="CH17" s="664"/>
      <c r="CI17" s="664"/>
      <c r="CJ17" s="3"/>
      <c r="CK17" s="6"/>
      <c r="CL17" s="6"/>
      <c r="CM17" s="113"/>
      <c r="CN17" s="11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6"/>
      <c r="CZ17" s="3"/>
      <c r="DA17" s="32"/>
      <c r="DB17" s="32"/>
      <c r="DC17" s="44"/>
      <c r="DD17" s="6"/>
    </row>
    <row r="18" spans="1:108" ht="19.5" thickBot="1">
      <c r="A18" s="93"/>
      <c r="B18" s="52"/>
      <c r="C18" s="6"/>
      <c r="D18" s="6"/>
      <c r="E18" s="6"/>
      <c r="F18" s="6"/>
      <c r="G18" s="103"/>
      <c r="H18" s="104"/>
      <c r="I18" s="3"/>
      <c r="J18" s="3"/>
      <c r="K18" s="26"/>
      <c r="L18" s="6"/>
      <c r="M18" s="6"/>
      <c r="N18" s="46"/>
      <c r="O18" s="670"/>
      <c r="P18" s="21"/>
      <c r="Q18" s="726"/>
      <c r="R18" s="727"/>
      <c r="S18" s="727"/>
      <c r="T18" s="727"/>
      <c r="U18" s="727"/>
      <c r="V18" s="727"/>
      <c r="W18" s="727"/>
      <c r="X18" s="728"/>
      <c r="Y18" s="6"/>
      <c r="Z18" s="726"/>
      <c r="AA18" s="727"/>
      <c r="AB18" s="727"/>
      <c r="AC18" s="727"/>
      <c r="AD18" s="727"/>
      <c r="AE18" s="727"/>
      <c r="AF18" s="727"/>
      <c r="AG18" s="727"/>
      <c r="AH18" s="728"/>
      <c r="AI18" s="6"/>
      <c r="AJ18" s="6"/>
      <c r="AK18" s="28"/>
      <c r="AL18" s="3"/>
      <c r="AM18" s="670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97"/>
      <c r="BA18" s="698"/>
      <c r="BB18" s="25"/>
      <c r="BC18" s="26"/>
      <c r="BD18" s="26"/>
      <c r="BE18" s="6"/>
      <c r="BF18" s="6"/>
      <c r="BG18" s="26"/>
      <c r="BH18" s="26"/>
      <c r="BI18" s="26"/>
      <c r="BJ18" s="6"/>
      <c r="BK18" s="6"/>
      <c r="BL18" s="6"/>
      <c r="BM18" s="71">
        <v>1</v>
      </c>
      <c r="BN18" s="114" t="s">
        <v>132</v>
      </c>
      <c r="BO18" s="115">
        <v>400</v>
      </c>
      <c r="BP18" s="115">
        <v>400</v>
      </c>
      <c r="BQ18" s="114" t="s">
        <v>132</v>
      </c>
      <c r="BR18" s="74">
        <v>8</v>
      </c>
      <c r="BS18" s="6"/>
      <c r="BT18" s="112"/>
      <c r="BU18" s="43"/>
      <c r="BV18" s="43"/>
      <c r="BW18" s="43"/>
      <c r="BX18" s="43"/>
      <c r="BY18" s="112"/>
      <c r="BZ18" s="116"/>
      <c r="CA18" s="43"/>
      <c r="CB18" s="28"/>
      <c r="CC18" s="3"/>
      <c r="CD18" s="43"/>
      <c r="CE18" s="42"/>
      <c r="CF18" s="3"/>
      <c r="CG18" s="68"/>
      <c r="CH18" s="664"/>
      <c r="CI18" s="664"/>
      <c r="CJ18" s="3"/>
      <c r="CK18" s="77"/>
      <c r="CL18" s="117"/>
      <c r="CM18" s="293"/>
      <c r="CN18" s="293"/>
      <c r="CO18" s="117"/>
      <c r="CP18" s="78"/>
      <c r="CQ18" s="29"/>
      <c r="CR18" s="3"/>
      <c r="CS18" s="3"/>
      <c r="CT18" s="3"/>
      <c r="CU18" s="3"/>
      <c r="CV18" s="3"/>
      <c r="CW18" s="3"/>
      <c r="CX18" s="3"/>
      <c r="CY18" s="6"/>
      <c r="CZ18" s="3"/>
      <c r="DA18" s="32"/>
      <c r="DB18" s="6"/>
      <c r="DC18" s="44"/>
      <c r="DD18" s="6"/>
    </row>
    <row r="19" spans="1:108" ht="19.5" thickBot="1">
      <c r="A19" s="93"/>
      <c r="B19" s="52"/>
      <c r="C19" s="741" t="s">
        <v>160</v>
      </c>
      <c r="D19" s="724"/>
      <c r="E19" s="6"/>
      <c r="F19" s="6"/>
      <c r="G19" s="119"/>
      <c r="H19" s="104"/>
      <c r="I19" s="3"/>
      <c r="J19" s="3"/>
      <c r="K19" s="3"/>
      <c r="L19" s="6"/>
      <c r="M19" s="6"/>
      <c r="N19" s="6"/>
      <c r="O19" s="670"/>
      <c r="P19" s="21"/>
      <c r="Q19" s="6"/>
      <c r="R19" s="6"/>
      <c r="S19" s="21"/>
      <c r="T19" s="21"/>
      <c r="U19" s="21"/>
      <c r="V19" s="21"/>
      <c r="W19" s="21"/>
      <c r="X19" s="21"/>
      <c r="Y19" s="6"/>
      <c r="Z19" s="6"/>
      <c r="AA19" s="680"/>
      <c r="AB19" s="680"/>
      <c r="AC19" s="6"/>
      <c r="AD19" s="3"/>
      <c r="AE19" s="3"/>
      <c r="AF19" s="3"/>
      <c r="AG19" s="3"/>
      <c r="AH19" s="3"/>
      <c r="AI19" s="6"/>
      <c r="AJ19" s="6"/>
      <c r="AK19" s="28"/>
      <c r="AL19" s="3"/>
      <c r="AM19" s="670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99"/>
      <c r="BA19" s="700"/>
      <c r="BB19" s="26"/>
      <c r="BC19" s="26"/>
      <c r="BD19" s="26"/>
      <c r="BE19" s="6"/>
      <c r="BF19" s="6"/>
      <c r="BG19" s="26"/>
      <c r="BH19" s="26"/>
      <c r="BI19" s="26"/>
      <c r="BJ19" s="26"/>
      <c r="BK19" s="6"/>
      <c r="BL19" s="6"/>
      <c r="BM19" s="71">
        <v>2</v>
      </c>
      <c r="BN19" s="114" t="s">
        <v>132</v>
      </c>
      <c r="BO19" s="85">
        <v>400</v>
      </c>
      <c r="BP19" s="85">
        <v>400</v>
      </c>
      <c r="BQ19" s="114" t="s">
        <v>132</v>
      </c>
      <c r="BR19" s="74">
        <v>7</v>
      </c>
      <c r="BS19" s="68"/>
      <c r="BT19" s="112"/>
      <c r="BU19" s="43"/>
      <c r="BX19" s="3"/>
      <c r="BY19" s="122"/>
      <c r="BZ19" s="32"/>
      <c r="CA19" s="43"/>
      <c r="CB19" s="28"/>
      <c r="CC19" s="3"/>
      <c r="CD19" s="43"/>
      <c r="CE19" s="6"/>
      <c r="CF19" s="3"/>
      <c r="CG19" s="68"/>
      <c r="CH19" s="672"/>
      <c r="CI19" s="672"/>
      <c r="CJ19" s="3"/>
      <c r="CK19" s="77"/>
      <c r="CL19" s="117"/>
      <c r="CM19" s="293"/>
      <c r="CN19" s="293"/>
      <c r="CO19" s="117"/>
      <c r="CP19" s="78"/>
      <c r="CQ19" s="29"/>
      <c r="CR19" s="3"/>
      <c r="CS19" s="3"/>
      <c r="CT19" s="3"/>
      <c r="CU19" s="3"/>
      <c r="CV19" s="3"/>
      <c r="CW19" s="3"/>
      <c r="CX19" s="3"/>
      <c r="CY19" s="6"/>
      <c r="CZ19" s="3"/>
      <c r="DA19" s="32"/>
      <c r="DB19" s="6"/>
      <c r="DC19" s="44"/>
      <c r="DD19" s="6"/>
    </row>
    <row r="20" spans="1:108" ht="19.5" thickBot="1">
      <c r="A20" s="93"/>
      <c r="B20" s="52"/>
      <c r="C20" s="52"/>
      <c r="D20" s="46"/>
      <c r="E20" s="6"/>
      <c r="F20" s="6"/>
      <c r="G20" s="124"/>
      <c r="H20" s="104"/>
      <c r="I20" s="3"/>
      <c r="J20" s="6"/>
      <c r="K20" s="29"/>
      <c r="L20" s="6"/>
      <c r="M20" s="6"/>
      <c r="N20" s="6"/>
      <c r="O20" s="670"/>
      <c r="P20" s="21"/>
      <c r="Q20" s="6"/>
      <c r="R20" s="6"/>
      <c r="S20" s="6"/>
      <c r="T20" s="38"/>
      <c r="U20" s="38"/>
      <c r="V20" s="38"/>
      <c r="W20" s="125"/>
      <c r="X20" s="64"/>
      <c r="Y20" s="6"/>
      <c r="Z20" s="6"/>
      <c r="AA20" s="680"/>
      <c r="AB20" s="680"/>
      <c r="AC20" s="6"/>
      <c r="AD20" s="6"/>
      <c r="AE20" s="680"/>
      <c r="AF20" s="680"/>
      <c r="AG20" s="6"/>
      <c r="AH20" s="3"/>
      <c r="AI20" s="6"/>
      <c r="AJ20" s="6"/>
      <c r="AK20" s="28"/>
      <c r="AL20" s="3"/>
      <c r="AM20" s="670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26"/>
      <c r="BA20" s="26"/>
      <c r="BB20" s="26"/>
      <c r="BC20" s="26"/>
      <c r="BD20" s="26"/>
      <c r="BE20" s="6"/>
      <c r="BF20" s="6"/>
      <c r="BG20" s="26"/>
      <c r="BH20" s="26"/>
      <c r="BI20" s="26"/>
      <c r="BJ20" s="26"/>
      <c r="BK20" s="29"/>
      <c r="BL20" s="6"/>
      <c r="BM20" s="71">
        <v>3</v>
      </c>
      <c r="BN20" s="114" t="s">
        <v>132</v>
      </c>
      <c r="BO20" s="72">
        <v>400</v>
      </c>
      <c r="BP20" s="126">
        <v>400</v>
      </c>
      <c r="BQ20" s="114" t="s">
        <v>132</v>
      </c>
      <c r="BR20" s="74">
        <v>6</v>
      </c>
      <c r="BS20" s="68"/>
      <c r="BT20" s="6"/>
      <c r="BU20" s="43"/>
      <c r="BV20" s="714"/>
      <c r="BW20" s="715"/>
      <c r="BX20" s="3"/>
      <c r="BY20" s="122"/>
      <c r="BZ20" s="32"/>
      <c r="CA20" s="43"/>
      <c r="CB20" s="28"/>
      <c r="CC20" s="3"/>
      <c r="CD20" s="43"/>
      <c r="CE20" s="6"/>
      <c r="CF20" s="3"/>
      <c r="CG20" s="68"/>
      <c r="CH20" s="672"/>
      <c r="CI20" s="672"/>
      <c r="CJ20" s="3"/>
      <c r="CK20" s="6"/>
      <c r="CL20" s="6"/>
      <c r="CM20" s="293"/>
      <c r="CN20" s="293"/>
      <c r="CO20" s="6"/>
      <c r="CP20" s="6"/>
      <c r="CQ20" s="128"/>
      <c r="CR20" s="3"/>
      <c r="CS20" s="3"/>
      <c r="CT20" s="3"/>
      <c r="CU20" s="3"/>
      <c r="CV20" s="3"/>
      <c r="CW20" s="3"/>
      <c r="CX20" s="3"/>
      <c r="CY20" s="6"/>
      <c r="CZ20" s="3"/>
      <c r="DA20" s="32"/>
      <c r="DB20" s="6"/>
      <c r="DC20" s="44"/>
      <c r="DD20" s="6"/>
    </row>
    <row r="21" spans="1:108" ht="15.75" customHeight="1">
      <c r="A21" s="93"/>
      <c r="B21" s="52"/>
      <c r="C21" s="52"/>
      <c r="D21" s="52"/>
      <c r="E21" s="6"/>
      <c r="F21" s="6"/>
      <c r="G21" s="129"/>
      <c r="H21" s="130"/>
      <c r="I21" s="3"/>
      <c r="J21" s="3"/>
      <c r="K21" s="29"/>
      <c r="L21" s="6"/>
      <c r="M21" s="6"/>
      <c r="N21" s="742" t="s">
        <v>164</v>
      </c>
      <c r="O21" s="722"/>
      <c r="P21" s="21"/>
      <c r="Q21" s="6"/>
      <c r="R21" s="6"/>
      <c r="S21" s="6"/>
      <c r="T21" s="125"/>
      <c r="U21" s="125"/>
      <c r="V21" s="125"/>
      <c r="W21" s="125"/>
      <c r="X21" s="125"/>
      <c r="Y21" s="6"/>
      <c r="Z21" s="6"/>
      <c r="AA21" s="680"/>
      <c r="AB21" s="680"/>
      <c r="AC21" s="6"/>
      <c r="AD21" s="6"/>
      <c r="AE21" s="680"/>
      <c r="AF21" s="680"/>
      <c r="AG21" s="6"/>
      <c r="AH21" s="3"/>
      <c r="AI21" s="6"/>
      <c r="AJ21" s="6"/>
      <c r="AK21" s="28"/>
      <c r="AL21" s="3"/>
      <c r="AM21" s="670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26"/>
      <c r="BA21" s="26"/>
      <c r="BB21" s="26"/>
      <c r="BC21" s="26"/>
      <c r="BD21" s="26"/>
      <c r="BE21" s="734" t="s">
        <v>165</v>
      </c>
      <c r="BF21" s="721"/>
      <c r="BG21" s="721"/>
      <c r="BH21" s="721"/>
      <c r="BI21" s="722"/>
      <c r="BJ21" s="6"/>
      <c r="BK21" s="6"/>
      <c r="BL21" s="6"/>
      <c r="BM21" s="71">
        <v>4</v>
      </c>
      <c r="BN21" s="114" t="s">
        <v>132</v>
      </c>
      <c r="BO21" s="84">
        <v>400</v>
      </c>
      <c r="BP21" s="131">
        <v>400</v>
      </c>
      <c r="BQ21" s="114" t="s">
        <v>132</v>
      </c>
      <c r="BR21" s="74">
        <v>5</v>
      </c>
      <c r="BS21" s="6"/>
      <c r="BT21" s="6"/>
      <c r="BU21" s="6"/>
      <c r="BV21" s="293"/>
      <c r="BW21" s="293"/>
      <c r="BX21" s="3"/>
      <c r="BY21" s="3"/>
      <c r="BZ21" s="3"/>
      <c r="CA21" s="3"/>
      <c r="CB21" s="28"/>
      <c r="CC21" s="3"/>
      <c r="CD21" s="43"/>
      <c r="CE21" s="42"/>
      <c r="CF21" s="3"/>
      <c r="CG21" s="68"/>
      <c r="CH21" s="672"/>
      <c r="CI21" s="672"/>
      <c r="CJ21" s="3"/>
      <c r="CK21" s="6"/>
      <c r="CL21" s="6"/>
      <c r="CM21" s="743"/>
      <c r="CN21" s="744"/>
      <c r="CO21" s="6"/>
      <c r="CP21" s="6"/>
      <c r="CQ21" s="6"/>
      <c r="CR21" s="3"/>
      <c r="CS21" s="3"/>
      <c r="CT21" s="3"/>
      <c r="CU21" s="3"/>
      <c r="CV21" s="3"/>
      <c r="CW21" s="3"/>
      <c r="CX21" s="3"/>
      <c r="CY21" s="6"/>
      <c r="CZ21" s="3"/>
      <c r="DA21" s="32"/>
      <c r="DB21" s="6"/>
      <c r="DC21" s="44"/>
      <c r="DD21" s="6"/>
    </row>
    <row r="22" spans="1:108" ht="15.75" customHeight="1" thickBot="1">
      <c r="A22" s="674"/>
      <c r="B22" s="670"/>
      <c r="C22" s="52"/>
      <c r="D22" s="52"/>
      <c r="E22" s="3"/>
      <c r="F22" s="102"/>
      <c r="G22" s="103"/>
      <c r="H22" s="104"/>
      <c r="I22" s="3"/>
      <c r="J22" s="3"/>
      <c r="K22" s="29"/>
      <c r="L22" s="6"/>
      <c r="M22" s="6"/>
      <c r="N22" s="723"/>
      <c r="O22" s="725"/>
      <c r="P22" s="21"/>
      <c r="Q22" s="6"/>
      <c r="R22" s="6"/>
      <c r="S22" s="6"/>
      <c r="T22" s="125"/>
      <c r="U22" s="125"/>
      <c r="V22" s="32"/>
      <c r="W22" s="32"/>
      <c r="X22" s="32"/>
      <c r="Y22" s="6"/>
      <c r="Z22" s="3"/>
      <c r="AA22" s="680"/>
      <c r="AB22" s="680"/>
      <c r="AC22" s="3"/>
      <c r="AD22" s="6"/>
      <c r="AE22" s="680"/>
      <c r="AF22" s="680"/>
      <c r="AG22" s="6"/>
      <c r="AH22" s="6"/>
      <c r="AI22" s="6"/>
      <c r="AJ22" s="6"/>
      <c r="AK22" s="28"/>
      <c r="AL22" s="3"/>
      <c r="AM22" s="670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32"/>
      <c r="BA22" s="26"/>
      <c r="BB22" s="26"/>
      <c r="BC22" s="26"/>
      <c r="BD22" s="26"/>
      <c r="BE22" s="723"/>
      <c r="BF22" s="724"/>
      <c r="BG22" s="724"/>
      <c r="BH22" s="724"/>
      <c r="BI22" s="725"/>
      <c r="BJ22" s="6"/>
      <c r="BK22" s="6"/>
      <c r="BL22" s="6"/>
      <c r="BM22" s="6"/>
      <c r="BN22" s="100"/>
      <c r="BO22" s="109"/>
      <c r="BP22" s="109"/>
      <c r="BQ22" s="100"/>
      <c r="BR22" s="6"/>
      <c r="BS22" s="6"/>
      <c r="BT22" s="6"/>
      <c r="BU22" s="6"/>
      <c r="BV22" s="293"/>
      <c r="BW22" s="293"/>
      <c r="BX22" s="6"/>
      <c r="BY22" s="3"/>
      <c r="BZ22" s="3"/>
      <c r="CA22" s="3"/>
      <c r="CB22" s="28"/>
      <c r="CC22" s="3"/>
      <c r="CD22" s="43"/>
      <c r="CE22" s="42"/>
      <c r="CF22" s="42"/>
      <c r="CG22" s="68"/>
      <c r="CH22" s="43"/>
      <c r="CI22" s="43"/>
      <c r="CJ22" s="3"/>
      <c r="CK22" s="6"/>
      <c r="CL22" s="6"/>
      <c r="CM22" s="6"/>
      <c r="CN22" s="6"/>
      <c r="CO22" s="6"/>
      <c r="CP22" s="3"/>
      <c r="CQ22" s="6"/>
      <c r="CR22" s="3"/>
      <c r="CS22" s="3"/>
      <c r="CT22" s="3"/>
      <c r="CU22" s="705"/>
      <c r="CV22" s="705"/>
      <c r="CW22" s="3"/>
      <c r="CX22" s="3"/>
      <c r="CY22" s="6"/>
      <c r="CZ22" s="6"/>
      <c r="DA22" s="32"/>
      <c r="DB22" s="6"/>
      <c r="DC22" s="44"/>
      <c r="DD22" s="6"/>
    </row>
    <row r="23" spans="1:108" ht="15.75" customHeight="1" thickBot="1">
      <c r="A23" s="674"/>
      <c r="B23" s="670"/>
      <c r="C23" s="3"/>
      <c r="D23" s="6"/>
      <c r="E23" s="3"/>
      <c r="F23" s="102"/>
      <c r="G23" s="103"/>
      <c r="H23" s="104"/>
      <c r="I23" s="3"/>
      <c r="J23" s="136"/>
      <c r="K23" s="3"/>
      <c r="L23" s="6"/>
      <c r="M23" s="6"/>
      <c r="N23" s="723"/>
      <c r="O23" s="725"/>
      <c r="P23" s="21"/>
      <c r="Q23" s="6"/>
      <c r="R23" s="6"/>
      <c r="S23" s="6"/>
      <c r="T23" s="6"/>
      <c r="U23" s="6"/>
      <c r="V23" s="38"/>
      <c r="W23" s="38"/>
      <c r="X23" s="38"/>
      <c r="Y23" s="6"/>
      <c r="Z23" s="3"/>
      <c r="AA23" s="680"/>
      <c r="AB23" s="680"/>
      <c r="AC23" s="6"/>
      <c r="AD23" s="6"/>
      <c r="AE23" s="680"/>
      <c r="AF23" s="680"/>
      <c r="AG23" s="6"/>
      <c r="AH23" s="6"/>
      <c r="AI23" s="6"/>
      <c r="AJ23" s="6"/>
      <c r="AK23" s="28"/>
      <c r="AL23" s="3"/>
      <c r="AM23" s="670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26"/>
      <c r="BA23" s="26"/>
      <c r="BB23" s="26"/>
      <c r="BC23" s="26"/>
      <c r="BD23" s="26"/>
      <c r="BE23" s="723"/>
      <c r="BF23" s="724"/>
      <c r="BG23" s="724"/>
      <c r="BH23" s="724"/>
      <c r="BI23" s="725"/>
      <c r="BJ23" s="6"/>
      <c r="BK23" s="6"/>
      <c r="BL23" s="6"/>
      <c r="BM23" s="6"/>
      <c r="BN23" s="6"/>
      <c r="BO23" s="100"/>
      <c r="BP23" s="100"/>
      <c r="BQ23" s="6"/>
      <c r="BR23" s="6"/>
      <c r="BS23" s="6"/>
      <c r="BT23" s="6"/>
      <c r="BU23" s="6"/>
      <c r="BV23" s="293"/>
      <c r="BW23" s="293"/>
      <c r="BX23" s="6"/>
      <c r="BY23" s="3"/>
      <c r="BZ23" s="3"/>
      <c r="CA23" s="3"/>
      <c r="CB23" s="28"/>
      <c r="CC23" s="3"/>
      <c r="CD23" s="29"/>
      <c r="CE23" s="720"/>
      <c r="CF23" s="721"/>
      <c r="CG23" s="721"/>
      <c r="CH23" s="721"/>
      <c r="CI23" s="722"/>
      <c r="CJ23" s="706"/>
      <c r="CK23" s="6"/>
      <c r="CL23" s="6"/>
      <c r="CM23" s="6"/>
      <c r="CN23" s="6"/>
      <c r="CO23" s="6"/>
      <c r="CP23" s="3"/>
      <c r="CQ23" s="6"/>
      <c r="CR23" s="3"/>
      <c r="CS23" s="3"/>
      <c r="CT23" s="3"/>
      <c r="CU23" s="705"/>
      <c r="CV23" s="705"/>
      <c r="CW23" s="3"/>
      <c r="CX23" s="3"/>
      <c r="CY23" s="6"/>
      <c r="CZ23" s="3"/>
      <c r="DA23" s="32"/>
      <c r="DB23" s="443"/>
      <c r="DC23" s="44"/>
      <c r="DD23" s="6"/>
    </row>
    <row r="24" spans="1:108" ht="15.75" customHeight="1" thickBot="1">
      <c r="A24" s="674"/>
      <c r="B24" s="670"/>
      <c r="C24" s="94"/>
      <c r="D24" s="94"/>
      <c r="E24" s="94"/>
      <c r="F24" s="94"/>
      <c r="G24" s="735"/>
      <c r="H24" s="730"/>
      <c r="I24" s="140"/>
      <c r="J24" s="3"/>
      <c r="K24" s="3"/>
      <c r="L24" s="6"/>
      <c r="M24" s="6"/>
      <c r="N24" s="726"/>
      <c r="O24" s="728"/>
      <c r="P24" s="21"/>
      <c r="Q24" s="6"/>
      <c r="R24" s="21"/>
      <c r="S24" s="141"/>
      <c r="T24" s="6"/>
      <c r="U24" s="38"/>
      <c r="V24" s="38"/>
      <c r="W24" s="38"/>
      <c r="X24" s="38"/>
      <c r="Y24" s="6"/>
      <c r="Z24" s="3"/>
      <c r="AA24" s="680"/>
      <c r="AB24" s="680"/>
      <c r="AC24" s="6"/>
      <c r="AD24" s="6"/>
      <c r="AE24" s="680"/>
      <c r="AF24" s="680"/>
      <c r="AG24" s="6"/>
      <c r="AH24" s="6"/>
      <c r="AI24" s="6"/>
      <c r="AJ24" s="6"/>
      <c r="AK24" s="28"/>
      <c r="AL24" s="3"/>
      <c r="AM24" s="670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26"/>
      <c r="BA24" s="26"/>
      <c r="BB24" s="26"/>
      <c r="BC24" s="26"/>
      <c r="BD24" s="26"/>
      <c r="BE24" s="723"/>
      <c r="BF24" s="724"/>
      <c r="BG24" s="724"/>
      <c r="BH24" s="724"/>
      <c r="BI24" s="725"/>
      <c r="BJ24" s="6"/>
      <c r="BK24" s="6"/>
      <c r="BL24" s="6"/>
      <c r="BM24" s="6"/>
      <c r="BN24" s="6"/>
      <c r="BO24" s="732" t="s">
        <v>139</v>
      </c>
      <c r="BP24" s="730"/>
      <c r="BQ24" s="6"/>
      <c r="BR24" s="6"/>
      <c r="BS24" s="6"/>
      <c r="BT24" s="3"/>
      <c r="BU24" s="6"/>
      <c r="BV24" s="293"/>
      <c r="BW24" s="293"/>
      <c r="BX24" s="3"/>
      <c r="BY24" s="3"/>
      <c r="BZ24" s="3"/>
      <c r="CA24" s="3"/>
      <c r="CB24" s="28"/>
      <c r="CC24" s="3"/>
      <c r="CD24" s="29"/>
      <c r="CE24" s="723"/>
      <c r="CF24" s="724"/>
      <c r="CG24" s="724"/>
      <c r="CH24" s="724"/>
      <c r="CI24" s="725"/>
      <c r="CJ24" s="706"/>
      <c r="CK24" s="6"/>
      <c r="CL24" s="6"/>
      <c r="CM24" s="6"/>
      <c r="CN24" s="6"/>
      <c r="CO24" s="6"/>
      <c r="CP24" s="3"/>
      <c r="CQ24" s="128"/>
      <c r="CR24" s="3"/>
      <c r="CS24" s="3"/>
      <c r="CT24" s="3"/>
      <c r="CU24" s="705"/>
      <c r="CV24" s="705"/>
      <c r="CW24" s="3"/>
      <c r="CX24" s="3"/>
      <c r="CY24" s="6"/>
      <c r="CZ24" s="3"/>
      <c r="DA24" s="32"/>
      <c r="DB24" s="293"/>
      <c r="DC24" s="44"/>
      <c r="DD24" s="6"/>
    </row>
    <row r="25" spans="1:108" ht="15.75" customHeight="1" thickBot="1">
      <c r="A25" s="670"/>
      <c r="B25" s="672"/>
      <c r="C25" s="6"/>
      <c r="D25" s="6"/>
      <c r="E25" s="3"/>
      <c r="F25" s="35"/>
      <c r="G25" s="52"/>
      <c r="H25" s="52"/>
      <c r="I25" s="667"/>
      <c r="J25" s="3"/>
      <c r="K25" s="3"/>
      <c r="L25" s="6"/>
      <c r="M25" s="6"/>
      <c r="N25" s="7"/>
      <c r="O25" s="7"/>
      <c r="P25" s="21"/>
      <c r="Q25" s="6"/>
      <c r="R25" s="21"/>
      <c r="S25" s="38"/>
      <c r="T25" s="38"/>
      <c r="U25" s="38"/>
      <c r="V25" s="38"/>
      <c r="W25" s="38"/>
      <c r="X25" s="38"/>
      <c r="Y25" s="6"/>
      <c r="AD25" s="6"/>
      <c r="AE25" s="681"/>
      <c r="AF25" s="681"/>
      <c r="AG25" s="6"/>
      <c r="AH25" s="6"/>
      <c r="AI25" s="6"/>
      <c r="AJ25" s="6"/>
      <c r="AK25" s="28"/>
      <c r="AL25" s="3"/>
      <c r="AM25" s="670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147"/>
      <c r="BA25" s="26"/>
      <c r="BB25" s="26"/>
      <c r="BC25" s="26"/>
      <c r="BD25" s="26"/>
      <c r="BE25" s="726"/>
      <c r="BF25" s="727"/>
      <c r="BG25" s="727"/>
      <c r="BH25" s="727"/>
      <c r="BI25" s="728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32"/>
      <c r="BU25" s="28"/>
      <c r="BV25" s="6"/>
      <c r="BW25" s="6"/>
      <c r="BX25" s="3"/>
      <c r="BY25" s="3"/>
      <c r="BZ25" s="3"/>
      <c r="CA25" s="681"/>
      <c r="CB25" s="28"/>
      <c r="CC25" s="3"/>
      <c r="CD25" s="29"/>
      <c r="CE25" s="723"/>
      <c r="CF25" s="724"/>
      <c r="CG25" s="724"/>
      <c r="CH25" s="724"/>
      <c r="CI25" s="725"/>
      <c r="CJ25" s="706"/>
      <c r="CK25" s="6"/>
      <c r="CL25" s="6"/>
      <c r="CM25" s="6"/>
      <c r="CN25" s="6"/>
      <c r="CO25" s="6"/>
      <c r="CP25" s="3"/>
      <c r="CQ25" s="128"/>
      <c r="CR25" s="3"/>
      <c r="CS25" s="3"/>
      <c r="CT25" s="3"/>
      <c r="CU25" s="705"/>
      <c r="CV25" s="705"/>
      <c r="CW25" s="3"/>
      <c r="CX25" s="3"/>
      <c r="CY25" s="6"/>
      <c r="CZ25" s="3"/>
      <c r="DA25" s="32"/>
      <c r="DB25" s="293"/>
      <c r="DC25" s="44"/>
      <c r="DD25" s="6"/>
    </row>
    <row r="26" spans="1:108" ht="15.75" customHeight="1" thickBot="1">
      <c r="A26" s="670"/>
      <c r="B26" s="735"/>
      <c r="C26" s="730"/>
      <c r="D26" s="6"/>
      <c r="E26" s="149"/>
      <c r="F26" s="46"/>
      <c r="G26" s="665"/>
      <c r="H26" s="665"/>
      <c r="I26" s="46"/>
      <c r="J26" s="150"/>
      <c r="K26" s="3"/>
      <c r="L26" s="6"/>
      <c r="M26" s="6"/>
      <c r="N26" s="3"/>
      <c r="O26" s="670"/>
      <c r="P26" s="21"/>
      <c r="Q26" s="6"/>
      <c r="R26" s="38"/>
      <c r="S26" s="38"/>
      <c r="T26" s="38"/>
      <c r="U26" s="38"/>
      <c r="V26" s="38"/>
      <c r="W26" s="38"/>
      <c r="X26" s="38"/>
      <c r="Y26" s="6"/>
      <c r="AA26" s="680"/>
      <c r="AB26" s="680"/>
      <c r="AD26" s="6"/>
      <c r="AE26" s="681"/>
      <c r="AF26" s="681"/>
      <c r="AG26" s="3"/>
      <c r="AH26" s="3"/>
      <c r="AI26" s="6"/>
      <c r="AJ26" s="6"/>
      <c r="AK26" s="28"/>
      <c r="AL26" s="3"/>
      <c r="AM26" s="670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151"/>
      <c r="BA26" s="26"/>
      <c r="BB26" s="26"/>
      <c r="BC26" s="26"/>
      <c r="BD26" s="26"/>
      <c r="BE26" s="3"/>
      <c r="BF26" s="3"/>
      <c r="BG26" s="3"/>
      <c r="BH26" s="3"/>
      <c r="BI26" s="6"/>
      <c r="BJ26" s="6"/>
      <c r="BK26" s="6"/>
      <c r="BL26" s="29"/>
      <c r="BM26" s="6"/>
      <c r="BN26" s="6"/>
      <c r="BO26" s="293"/>
      <c r="BP26" s="293"/>
      <c r="BQ26" s="3"/>
      <c r="BR26" s="6"/>
      <c r="BS26" s="6"/>
      <c r="BT26" s="3"/>
      <c r="BU26" s="32"/>
      <c r="BV26" s="705"/>
      <c r="BW26" s="705"/>
      <c r="BX26" s="3"/>
      <c r="BY26" s="3"/>
      <c r="BZ26" s="3"/>
      <c r="CA26" s="681"/>
      <c r="CB26" s="28"/>
      <c r="CC26" s="3"/>
      <c r="CD26" s="29"/>
      <c r="CE26" s="723"/>
      <c r="CF26" s="724"/>
      <c r="CG26" s="724"/>
      <c r="CH26" s="724"/>
      <c r="CI26" s="725"/>
      <c r="CJ26" s="706"/>
      <c r="CK26" s="6"/>
      <c r="CL26" s="6"/>
      <c r="CM26" s="745"/>
      <c r="CN26" s="744"/>
      <c r="CO26" s="6"/>
      <c r="CP26" s="6"/>
      <c r="CQ26" s="6"/>
      <c r="CR26" s="3"/>
      <c r="CS26" s="3"/>
      <c r="CT26" s="6"/>
      <c r="CU26" s="6"/>
      <c r="CV26" s="6"/>
      <c r="CW26" s="6"/>
      <c r="CX26" s="3"/>
      <c r="CY26" s="6"/>
      <c r="CZ26" s="3"/>
      <c r="DA26" s="32"/>
      <c r="DB26" s="293"/>
      <c r="DC26" s="44"/>
      <c r="DD26" s="6"/>
    </row>
    <row r="27" spans="1:108" ht="15.75" customHeight="1">
      <c r="A27" s="670"/>
      <c r="B27" s="665"/>
      <c r="C27" s="46"/>
      <c r="D27" s="150"/>
      <c r="E27" s="3"/>
      <c r="F27" s="3"/>
      <c r="G27" s="52"/>
      <c r="H27" s="52"/>
      <c r="I27" s="3"/>
      <c r="J27" s="3"/>
      <c r="K27" s="3"/>
      <c r="L27" s="6"/>
      <c r="M27" s="6"/>
      <c r="N27" s="3"/>
      <c r="O27" s="670"/>
      <c r="P27" s="21"/>
      <c r="Q27" s="21"/>
      <c r="R27" s="38"/>
      <c r="S27" s="38"/>
      <c r="T27" s="38"/>
      <c r="U27" s="38"/>
      <c r="V27" s="38"/>
      <c r="W27" s="38"/>
      <c r="X27" s="38"/>
      <c r="Y27" s="6"/>
      <c r="AB27" s="152"/>
      <c r="AD27" s="6"/>
      <c r="AE27" s="681"/>
      <c r="AF27" s="681"/>
      <c r="AG27" s="6"/>
      <c r="AH27" s="6"/>
      <c r="AI27" s="6"/>
      <c r="AJ27" s="6"/>
      <c r="AK27" s="28"/>
      <c r="AL27" s="3"/>
      <c r="AM27" s="670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95"/>
      <c r="BA27" s="696"/>
      <c r="BB27" s="26"/>
      <c r="BC27" s="26"/>
      <c r="BD27" s="26"/>
      <c r="BE27" s="3"/>
      <c r="BF27" s="3"/>
      <c r="BG27" s="3"/>
      <c r="BH27" s="3"/>
      <c r="BI27" s="3"/>
      <c r="BJ27" s="3"/>
      <c r="BK27" s="6"/>
      <c r="BL27" s="3"/>
      <c r="BM27" s="153"/>
      <c r="BN27" s="6"/>
      <c r="BO27" s="293"/>
      <c r="BP27" s="293"/>
      <c r="BQ27" s="3"/>
      <c r="BR27" s="6"/>
      <c r="BS27" s="6"/>
      <c r="BT27" s="3"/>
      <c r="BU27" s="29"/>
      <c r="BV27" s="705"/>
      <c r="BW27" s="705"/>
      <c r="BX27" s="3"/>
      <c r="BY27" s="3"/>
      <c r="BZ27" s="3"/>
      <c r="CA27" s="681"/>
      <c r="CB27" s="28"/>
      <c r="CC27" s="3"/>
      <c r="CD27" s="29"/>
      <c r="CE27" s="723"/>
      <c r="CF27" s="724"/>
      <c r="CG27" s="724"/>
      <c r="CH27" s="724"/>
      <c r="CI27" s="725"/>
      <c r="CJ27" s="706"/>
      <c r="CK27" s="6"/>
      <c r="CL27" s="35"/>
      <c r="CM27" s="701"/>
      <c r="CN27" s="701"/>
      <c r="CO27" s="101"/>
      <c r="CP27" s="6"/>
      <c r="CQ27" s="6"/>
      <c r="CR27" s="3"/>
      <c r="CS27" s="3"/>
      <c r="CT27" s="6"/>
      <c r="CU27" s="6"/>
      <c r="CV27" s="6"/>
      <c r="CW27" s="6"/>
      <c r="CX27" s="3"/>
      <c r="CY27" s="6"/>
      <c r="CZ27" s="3"/>
      <c r="DA27" s="32"/>
      <c r="DB27" s="3"/>
      <c r="DC27" s="44"/>
      <c r="DD27" s="6"/>
    </row>
    <row r="28" spans="1:108" ht="15.75" customHeight="1" thickBot="1">
      <c r="A28" s="670"/>
      <c r="B28" s="379"/>
      <c r="C28" s="35"/>
      <c r="D28" s="6"/>
      <c r="E28" s="149"/>
      <c r="F28" s="46"/>
      <c r="G28" s="665"/>
      <c r="H28" s="665"/>
      <c r="I28" s="46"/>
      <c r="J28" s="150"/>
      <c r="K28" s="3"/>
      <c r="L28" s="6"/>
      <c r="M28" s="6"/>
      <c r="N28" s="3"/>
      <c r="O28" s="670"/>
      <c r="P28" s="21"/>
      <c r="Q28" s="21"/>
      <c r="R28" s="21"/>
      <c r="S28" s="38"/>
      <c r="T28" s="38"/>
      <c r="U28" s="38"/>
      <c r="V28" s="38"/>
      <c r="W28" s="38"/>
      <c r="X28" s="29"/>
      <c r="Y28" s="6"/>
      <c r="Z28" s="3"/>
      <c r="AA28" s="672"/>
      <c r="AB28" s="679"/>
      <c r="AC28" s="6"/>
      <c r="AD28" s="6"/>
      <c r="AE28" s="681"/>
      <c r="AF28" s="681"/>
      <c r="AG28" s="6"/>
      <c r="AH28" s="3"/>
      <c r="AI28" s="6"/>
      <c r="AJ28" s="6"/>
      <c r="AK28" s="28"/>
      <c r="AL28" s="3"/>
      <c r="AM28" s="670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97"/>
      <c r="BA28" s="698"/>
      <c r="BB28" s="26"/>
      <c r="BC28" s="26"/>
      <c r="BD28" s="26"/>
      <c r="BE28" s="3"/>
      <c r="BF28" s="3"/>
      <c r="BG28" s="3"/>
      <c r="BH28" s="3"/>
      <c r="BI28" s="3"/>
      <c r="BJ28" s="3"/>
      <c r="BK28" s="6"/>
      <c r="BL28" s="6"/>
      <c r="BM28" s="153"/>
      <c r="BN28" s="6"/>
      <c r="BO28" s="6"/>
      <c r="BP28" s="6"/>
      <c r="BQ28" s="3"/>
      <c r="BR28" s="6"/>
      <c r="BS28" s="6"/>
      <c r="BT28" s="6"/>
      <c r="BU28" s="6"/>
      <c r="BV28" s="672"/>
      <c r="BW28" s="672"/>
      <c r="BX28" s="3"/>
      <c r="BY28" s="3"/>
      <c r="BZ28" s="3"/>
      <c r="CA28" s="3"/>
      <c r="CB28" s="28"/>
      <c r="CC28" s="3"/>
      <c r="CD28" s="29"/>
      <c r="CE28" s="726"/>
      <c r="CF28" s="727"/>
      <c r="CG28" s="727"/>
      <c r="CH28" s="727"/>
      <c r="CI28" s="728"/>
      <c r="CJ28" s="706"/>
      <c r="CK28" s="70"/>
      <c r="CL28" s="703"/>
      <c r="CM28" s="665"/>
      <c r="CN28" s="665"/>
      <c r="CO28" s="703"/>
      <c r="CP28" s="75"/>
      <c r="CQ28" s="3"/>
      <c r="CR28" s="3"/>
      <c r="CS28" s="3"/>
      <c r="CT28" s="6"/>
      <c r="CU28" s="6"/>
      <c r="CV28" s="6"/>
      <c r="CW28" s="6"/>
      <c r="CX28" s="3"/>
      <c r="CY28" s="6"/>
      <c r="CZ28" s="3"/>
      <c r="DA28" s="32"/>
      <c r="DB28" s="673"/>
      <c r="DC28" s="44"/>
      <c r="DD28" s="6"/>
    </row>
    <row r="29" spans="1:108" ht="15.75" customHeight="1" thickBot="1">
      <c r="A29" s="670"/>
      <c r="B29" s="25"/>
      <c r="C29" s="6"/>
      <c r="D29" s="6"/>
      <c r="E29" s="3"/>
      <c r="F29" s="3"/>
      <c r="G29" s="52"/>
      <c r="H29" s="52"/>
      <c r="I29" s="3"/>
      <c r="J29" s="3"/>
      <c r="K29" s="150"/>
      <c r="L29" s="6"/>
      <c r="M29" s="6"/>
      <c r="N29" s="25"/>
      <c r="O29" s="670"/>
      <c r="P29" s="21"/>
      <c r="Q29" s="21"/>
      <c r="R29" s="21"/>
      <c r="S29" s="38"/>
      <c r="T29" s="38"/>
      <c r="U29" s="38"/>
      <c r="V29" s="38"/>
      <c r="W29" s="38"/>
      <c r="X29" s="29"/>
      <c r="Y29" s="6"/>
      <c r="Z29" s="3"/>
      <c r="AA29" s="672"/>
      <c r="AB29" s="679"/>
      <c r="AC29" s="6"/>
      <c r="AD29" s="6"/>
      <c r="AE29" s="681"/>
      <c r="AF29" s="681"/>
      <c r="AG29" s="6"/>
      <c r="AH29" s="3"/>
      <c r="AI29" s="6"/>
      <c r="AJ29" s="6"/>
      <c r="AK29" s="28"/>
      <c r="AL29" s="3"/>
      <c r="AM29" s="670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97"/>
      <c r="BA29" s="698"/>
      <c r="BB29" s="26"/>
      <c r="BC29" s="26"/>
      <c r="BD29" s="6"/>
      <c r="BE29" s="3"/>
      <c r="BF29" s="3"/>
      <c r="BG29" s="3"/>
      <c r="BH29" s="3"/>
      <c r="BI29" s="3"/>
      <c r="BJ29" s="3"/>
      <c r="BK29" s="6"/>
      <c r="BL29" s="32"/>
      <c r="BM29" s="3"/>
      <c r="BN29" s="6"/>
      <c r="BO29" s="6"/>
      <c r="BP29" s="6"/>
      <c r="BQ29" s="6"/>
      <c r="BR29" s="6"/>
      <c r="BS29" s="6"/>
      <c r="BT29" s="6"/>
      <c r="BU29" s="6"/>
      <c r="BV29" s="672"/>
      <c r="BW29" s="672"/>
      <c r="BX29" s="3"/>
      <c r="BY29" s="3"/>
      <c r="BZ29" s="3"/>
      <c r="CA29" s="3"/>
      <c r="CB29" s="28"/>
      <c r="CC29" s="3"/>
      <c r="CD29" s="11"/>
      <c r="CE29" s="293"/>
      <c r="CF29" s="3"/>
      <c r="CG29" s="3"/>
      <c r="CH29" s="6"/>
      <c r="CI29" s="6"/>
      <c r="CJ29" s="3"/>
      <c r="CK29" s="77"/>
      <c r="CL29" s="703"/>
      <c r="CM29" s="665"/>
      <c r="CN29" s="665"/>
      <c r="CO29" s="703"/>
      <c r="CP29" s="78"/>
      <c r="CQ29" s="6"/>
      <c r="CR29" s="6"/>
      <c r="CS29" s="3"/>
      <c r="CT29" s="3"/>
      <c r="CU29" s="160"/>
      <c r="CV29" s="160"/>
      <c r="CW29" s="3"/>
      <c r="CX29" s="3"/>
      <c r="CY29" s="6"/>
      <c r="CZ29" s="56"/>
      <c r="DA29" s="48"/>
      <c r="DB29" s="161"/>
      <c r="DC29" s="44"/>
      <c r="DD29" s="6"/>
    </row>
    <row r="30" spans="1:108" ht="15.75" customHeight="1" thickBot="1">
      <c r="A30" s="670"/>
      <c r="B30" s="25"/>
      <c r="C30" s="746"/>
      <c r="D30" s="747"/>
      <c r="E30" s="149"/>
      <c r="F30" s="46"/>
      <c r="G30" s="665"/>
      <c r="H30" s="665"/>
      <c r="I30" s="46"/>
      <c r="J30" s="150"/>
      <c r="K30" s="3"/>
      <c r="L30" s="6"/>
      <c r="M30" s="6"/>
      <c r="N30" s="25"/>
      <c r="O30" s="670"/>
      <c r="P30" s="734" t="s">
        <v>128</v>
      </c>
      <c r="Q30" s="721"/>
      <c r="R30" s="721"/>
      <c r="S30" s="721"/>
      <c r="T30" s="721"/>
      <c r="U30" s="721"/>
      <c r="V30" s="721"/>
      <c r="W30" s="722"/>
      <c r="X30" s="3"/>
      <c r="Y30" s="3"/>
      <c r="Z30" s="3"/>
      <c r="AA30" s="672"/>
      <c r="AB30" s="679"/>
      <c r="AC30" s="6"/>
      <c r="AD30" s="6"/>
      <c r="AE30" s="6"/>
      <c r="AF30" s="6"/>
      <c r="AG30" s="6"/>
      <c r="AH30" s="3"/>
      <c r="AI30" s="6"/>
      <c r="AJ30" s="76"/>
      <c r="AK30" s="28"/>
      <c r="AL30" s="3"/>
      <c r="AM30" s="670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99"/>
      <c r="BA30" s="700"/>
      <c r="BB30" s="3"/>
      <c r="BC30" s="26"/>
      <c r="BD30" s="6"/>
      <c r="BE30" s="3"/>
      <c r="BF30" s="3"/>
      <c r="BG30" s="3"/>
      <c r="BH30" s="3"/>
      <c r="BI30" s="3"/>
      <c r="BJ30" s="3"/>
      <c r="BK30" s="6"/>
      <c r="BL30" s="162"/>
      <c r="BM30" s="163"/>
      <c r="BN30" s="6"/>
      <c r="BO30" s="6"/>
      <c r="BP30" s="6"/>
      <c r="BQ30" s="6"/>
      <c r="BR30" s="6"/>
      <c r="BS30" s="6"/>
      <c r="BT30" s="3"/>
      <c r="BU30" s="3"/>
      <c r="BX30" s="3"/>
      <c r="BY30" s="3"/>
      <c r="BZ30" s="3"/>
      <c r="CA30" s="3"/>
      <c r="CB30" s="122"/>
      <c r="CC30" s="3"/>
      <c r="CD30" s="11"/>
      <c r="CE30" s="293"/>
      <c r="CF30" s="3"/>
      <c r="CG30" s="6"/>
      <c r="CH30" s="735"/>
      <c r="CI30" s="730"/>
      <c r="CJ30" s="3"/>
      <c r="CK30" s="77"/>
      <c r="CL30" s="703"/>
      <c r="CM30" s="665"/>
      <c r="CN30" s="665"/>
      <c r="CO30" s="703"/>
      <c r="CP30" s="78"/>
      <c r="CQ30" s="6"/>
      <c r="CR30" s="6"/>
      <c r="CS30" s="3"/>
      <c r="CT30" s="3"/>
      <c r="CU30" s="160"/>
      <c r="CV30" s="160"/>
      <c r="CW30" s="6"/>
      <c r="CX30" s="6"/>
      <c r="CY30" s="6"/>
      <c r="CZ30" s="71">
        <v>1</v>
      </c>
      <c r="DA30" s="164" t="s">
        <v>132</v>
      </c>
      <c r="DB30" s="165">
        <v>100</v>
      </c>
      <c r="DC30" s="122"/>
      <c r="DD30" s="6"/>
    </row>
    <row r="31" spans="1:108" ht="15.75" customHeight="1" thickBot="1">
      <c r="A31" s="670"/>
      <c r="B31" s="25"/>
      <c r="C31" s="673"/>
      <c r="E31" s="3"/>
      <c r="F31" s="3"/>
      <c r="G31" s="52"/>
      <c r="H31" s="52"/>
      <c r="I31" s="3"/>
      <c r="J31" s="3"/>
      <c r="K31" s="150"/>
      <c r="L31" s="6"/>
      <c r="M31" s="6"/>
      <c r="N31" s="666"/>
      <c r="O31" s="670"/>
      <c r="P31" s="723"/>
      <c r="Q31" s="724"/>
      <c r="R31" s="724"/>
      <c r="S31" s="724"/>
      <c r="T31" s="724"/>
      <c r="U31" s="724"/>
      <c r="V31" s="724"/>
      <c r="W31" s="725"/>
      <c r="X31" s="29"/>
      <c r="Y31" s="6"/>
      <c r="Z31" s="3"/>
      <c r="AA31" s="672"/>
      <c r="AB31" s="679"/>
      <c r="AC31" s="6"/>
      <c r="AD31" s="6"/>
      <c r="AE31" s="443"/>
      <c r="AF31" s="293"/>
      <c r="AG31" s="6"/>
      <c r="AH31" s="3"/>
      <c r="AI31" s="28"/>
      <c r="AJ31" s="6"/>
      <c r="AK31" s="122"/>
      <c r="AL31" s="3"/>
      <c r="AM31" s="670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26"/>
      <c r="BA31" s="26"/>
      <c r="BB31" s="3"/>
      <c r="BC31" s="26"/>
      <c r="BD31" s="6"/>
      <c r="BE31" s="3"/>
      <c r="BF31" s="3"/>
      <c r="BG31" s="3"/>
      <c r="BH31" s="3"/>
      <c r="BI31" s="3"/>
      <c r="BJ31" s="3"/>
      <c r="BK31" s="6"/>
      <c r="BL31" s="3"/>
      <c r="BM31" s="153"/>
      <c r="BN31" s="6"/>
      <c r="BO31" s="293"/>
      <c r="BP31" s="293"/>
      <c r="BQ31" s="6"/>
      <c r="BR31" s="6"/>
      <c r="BS31" s="6"/>
      <c r="BT31" s="6"/>
      <c r="BU31" s="6"/>
      <c r="BV31" s="6"/>
      <c r="BW31" s="6"/>
      <c r="BX31" s="6"/>
      <c r="BY31" s="3"/>
      <c r="BZ31" s="748"/>
      <c r="CA31" s="724"/>
      <c r="CB31" s="28"/>
      <c r="CC31" s="3"/>
      <c r="CD31" s="11"/>
      <c r="CE31" s="749"/>
      <c r="CF31" s="730"/>
      <c r="CG31" s="35"/>
      <c r="CH31" s="707"/>
      <c r="CI31" s="707"/>
      <c r="CJ31" s="6"/>
      <c r="CK31" s="70"/>
      <c r="CL31" s="703"/>
      <c r="CM31" s="665"/>
      <c r="CN31" s="665"/>
      <c r="CO31" s="703"/>
      <c r="CP31" s="75"/>
      <c r="CQ31" s="6"/>
      <c r="CR31" s="6"/>
      <c r="CS31" s="3"/>
      <c r="CT31" s="3"/>
      <c r="CU31" s="160"/>
      <c r="CV31" s="160"/>
      <c r="CW31" s="3"/>
      <c r="CX31" s="6"/>
      <c r="CY31" s="6"/>
      <c r="CZ31" s="71">
        <v>2</v>
      </c>
      <c r="DA31" s="164" t="s">
        <v>132</v>
      </c>
      <c r="DB31" s="131">
        <v>100</v>
      </c>
      <c r="DC31" s="44"/>
      <c r="DD31" s="6"/>
    </row>
    <row r="32" spans="1:108" ht="15.75" customHeight="1">
      <c r="A32" s="670"/>
      <c r="B32" s="713">
        <v>1000</v>
      </c>
      <c r="C32" s="17"/>
      <c r="D32" s="74">
        <v>1</v>
      </c>
      <c r="E32" s="3"/>
      <c r="F32" s="3"/>
      <c r="G32" s="735"/>
      <c r="H32" s="730"/>
      <c r="I32" s="3"/>
      <c r="J32" s="3"/>
      <c r="K32" s="3"/>
      <c r="L32" s="3"/>
      <c r="M32" s="6"/>
      <c r="N32" s="25"/>
      <c r="O32" s="670"/>
      <c r="P32" s="723"/>
      <c r="Q32" s="724"/>
      <c r="R32" s="724"/>
      <c r="S32" s="724"/>
      <c r="T32" s="724"/>
      <c r="U32" s="724"/>
      <c r="V32" s="724"/>
      <c r="W32" s="725"/>
      <c r="X32" s="29"/>
      <c r="Y32" s="70"/>
      <c r="Z32" s="3"/>
      <c r="AA32" s="682"/>
      <c r="AB32" s="682"/>
      <c r="AC32" s="6"/>
      <c r="AD32" s="6"/>
      <c r="AE32" s="293"/>
      <c r="AF32" s="293"/>
      <c r="AG32" s="6"/>
      <c r="AH32" s="6"/>
      <c r="AI32" s="720" t="s">
        <v>123</v>
      </c>
      <c r="AJ32" s="722"/>
      <c r="AK32" s="28"/>
      <c r="AL32" s="3"/>
      <c r="AM32" s="670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112"/>
      <c r="BA32" s="26"/>
      <c r="BB32" s="6"/>
      <c r="BC32" s="26"/>
      <c r="BD32" s="6"/>
      <c r="BE32" s="3"/>
      <c r="BF32" s="3"/>
      <c r="BG32" s="293"/>
      <c r="BH32" s="293"/>
      <c r="BI32" s="3"/>
      <c r="BJ32" s="6"/>
      <c r="BK32" s="3"/>
      <c r="BL32" s="6"/>
      <c r="BM32" s="153"/>
      <c r="BN32" s="6"/>
      <c r="BO32" s="293"/>
      <c r="BP32" s="293"/>
      <c r="BQ32" s="3"/>
      <c r="BR32" s="6"/>
      <c r="BS32" s="6"/>
      <c r="BT32" s="6"/>
      <c r="BY32" s="3"/>
      <c r="BZ32" s="3"/>
      <c r="CA32" s="672"/>
      <c r="CB32" s="28"/>
      <c r="CC32" s="3"/>
      <c r="CD32" s="11"/>
      <c r="CE32" s="3"/>
      <c r="CF32" s="70"/>
      <c r="CG32" s="703"/>
      <c r="CH32" s="665"/>
      <c r="CI32" s="665"/>
      <c r="CJ32" s="703"/>
      <c r="CK32" s="75"/>
      <c r="CL32" s="3"/>
      <c r="CM32" s="701"/>
      <c r="CN32" s="701"/>
      <c r="CO32" s="3"/>
      <c r="CP32" s="6"/>
      <c r="CQ32" s="3"/>
      <c r="CR32" s="6"/>
      <c r="CS32" s="3"/>
      <c r="CT32" s="6"/>
      <c r="CU32" s="6"/>
      <c r="CV32" s="6"/>
      <c r="CW32" s="3"/>
      <c r="CX32" s="3"/>
      <c r="CY32" s="6"/>
      <c r="CZ32" s="71">
        <v>3</v>
      </c>
      <c r="DA32" s="164" t="s">
        <v>132</v>
      </c>
      <c r="DB32" s="174">
        <v>100</v>
      </c>
      <c r="DC32" s="44"/>
      <c r="DD32" s="6"/>
    </row>
    <row r="33" spans="1:108" ht="15.75" customHeight="1">
      <c r="A33" s="670"/>
      <c r="B33" s="175">
        <v>1000</v>
      </c>
      <c r="C33" s="17"/>
      <c r="D33" s="74">
        <v>1</v>
      </c>
      <c r="E33" s="176"/>
      <c r="F33" s="35"/>
      <c r="G33" s="668"/>
      <c r="H33" s="668"/>
      <c r="I33" s="3"/>
      <c r="J33" s="3"/>
      <c r="K33" s="150"/>
      <c r="L33" s="3"/>
      <c r="M33" s="6"/>
      <c r="N33" s="6"/>
      <c r="O33" s="670"/>
      <c r="P33" s="723"/>
      <c r="Q33" s="724"/>
      <c r="R33" s="724"/>
      <c r="S33" s="724"/>
      <c r="T33" s="724"/>
      <c r="U33" s="724"/>
      <c r="V33" s="724"/>
      <c r="W33" s="725"/>
      <c r="X33" s="3"/>
      <c r="Y33" s="6"/>
      <c r="Z33" s="6"/>
      <c r="AA33" s="683"/>
      <c r="AB33" s="683"/>
      <c r="AC33" s="6"/>
      <c r="AD33" s="6"/>
      <c r="AE33" s="293"/>
      <c r="AF33" s="293"/>
      <c r="AG33" s="6"/>
      <c r="AH33" s="6"/>
      <c r="AI33" s="723"/>
      <c r="AJ33" s="725"/>
      <c r="AK33" s="28"/>
      <c r="AL33" s="3"/>
      <c r="AM33" s="670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6"/>
      <c r="BA33" s="76"/>
      <c r="BB33" s="153"/>
      <c r="BC33" s="26"/>
      <c r="BD33" s="6"/>
      <c r="BE33" s="3"/>
      <c r="BF33" s="3"/>
      <c r="BG33" s="293"/>
      <c r="BH33" s="25"/>
      <c r="BI33" s="3"/>
      <c r="BJ33" s="6"/>
      <c r="BK33" s="3"/>
      <c r="BL33" s="6"/>
      <c r="BM33" s="29"/>
      <c r="BN33" s="6"/>
      <c r="BO33" s="293"/>
      <c r="BP33" s="293"/>
      <c r="BQ33" s="3"/>
      <c r="BR33" s="6"/>
      <c r="BS33" s="6"/>
      <c r="BT33" s="6"/>
      <c r="BU33" s="6"/>
      <c r="BV33" s="735"/>
      <c r="BW33" s="730"/>
      <c r="BX33" s="6"/>
      <c r="BY33" s="3"/>
      <c r="BZ33" s="3"/>
      <c r="CA33" s="672"/>
      <c r="CB33" s="28"/>
      <c r="CC33" s="3"/>
      <c r="CD33" s="11"/>
      <c r="CE33" s="705"/>
      <c r="CF33" s="77"/>
      <c r="CG33" s="703"/>
      <c r="CH33" s="665"/>
      <c r="CI33" s="665"/>
      <c r="CJ33" s="703"/>
      <c r="CK33" s="75"/>
      <c r="CL33" s="6"/>
      <c r="CM33" s="745"/>
      <c r="CN33" s="744"/>
      <c r="CO33" s="6"/>
      <c r="CP33" s="6"/>
      <c r="CQ33" s="3"/>
      <c r="CR33" s="6"/>
      <c r="CS33" s="3"/>
      <c r="CT33" s="6"/>
      <c r="CU33" s="6"/>
      <c r="CV33" s="6"/>
      <c r="CW33" s="3"/>
      <c r="CX33" s="3"/>
      <c r="CY33" s="6"/>
      <c r="CZ33" s="71">
        <v>4</v>
      </c>
      <c r="DA33" s="164" t="s">
        <v>132</v>
      </c>
      <c r="DB33" s="73">
        <v>100</v>
      </c>
      <c r="DC33" s="44"/>
      <c r="DD33" s="6"/>
    </row>
    <row r="34" spans="1:108" ht="15.75" customHeight="1">
      <c r="A34" s="670"/>
      <c r="C34" s="179"/>
      <c r="E34" s="149"/>
      <c r="F34" s="90"/>
      <c r="G34" s="665"/>
      <c r="H34" s="665"/>
      <c r="I34" s="90"/>
      <c r="J34" s="150"/>
      <c r="K34" s="3"/>
      <c r="L34" s="3"/>
      <c r="M34" s="6"/>
      <c r="N34" s="483"/>
      <c r="O34" s="670"/>
      <c r="P34" s="723"/>
      <c r="Q34" s="724"/>
      <c r="R34" s="724"/>
      <c r="S34" s="724"/>
      <c r="T34" s="724"/>
      <c r="U34" s="724"/>
      <c r="V34" s="724"/>
      <c r="W34" s="725"/>
      <c r="X34" s="29"/>
      <c r="Y34" s="136"/>
      <c r="Z34" s="35"/>
      <c r="AA34" s="113"/>
      <c r="AB34" s="113"/>
      <c r="AC34" s="6"/>
      <c r="AI34" s="723"/>
      <c r="AJ34" s="725"/>
      <c r="AK34" s="28"/>
      <c r="AL34" s="3"/>
      <c r="AM34" s="670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89"/>
      <c r="BA34" s="689"/>
      <c r="BB34" s="153"/>
      <c r="BC34" s="153"/>
      <c r="BD34" s="6"/>
      <c r="BE34" s="3"/>
      <c r="BF34" s="3"/>
      <c r="BG34" s="293"/>
      <c r="BH34" s="107"/>
      <c r="BI34" s="3"/>
      <c r="BJ34" s="6"/>
      <c r="BK34" s="3"/>
      <c r="BL34" s="32"/>
      <c r="BM34" s="3"/>
      <c r="BN34" s="6"/>
      <c r="BO34" s="6"/>
      <c r="BP34" s="6"/>
      <c r="BQ34" s="3"/>
      <c r="BR34" s="6"/>
      <c r="BS34" s="6"/>
      <c r="BT34" s="6"/>
      <c r="BU34" s="35"/>
      <c r="BV34" s="117"/>
      <c r="BW34" s="117"/>
      <c r="BX34" s="98"/>
      <c r="BY34" s="3"/>
      <c r="BZ34" s="3"/>
      <c r="CA34" s="6"/>
      <c r="CB34" s="28"/>
      <c r="CC34" s="3"/>
      <c r="CD34" s="11"/>
      <c r="CE34" s="705"/>
      <c r="CF34" s="77"/>
      <c r="CG34" s="703"/>
      <c r="CH34" s="665"/>
      <c r="CI34" s="665"/>
      <c r="CJ34" s="703"/>
      <c r="CK34" s="75"/>
      <c r="CL34" s="6"/>
      <c r="CM34" s="6"/>
      <c r="CN34" s="6"/>
      <c r="CO34" s="6"/>
      <c r="CP34" s="6"/>
      <c r="CQ34" s="6"/>
      <c r="CR34" s="6"/>
      <c r="CS34" s="3"/>
      <c r="CT34" s="3"/>
      <c r="CU34" s="6"/>
      <c r="CV34" s="6"/>
      <c r="CW34" s="3"/>
      <c r="CX34" s="3"/>
      <c r="CY34" s="6"/>
      <c r="CZ34" s="71">
        <v>5</v>
      </c>
      <c r="DA34" s="164" t="s">
        <v>132</v>
      </c>
      <c r="DB34" s="183">
        <v>100</v>
      </c>
      <c r="DC34" s="44"/>
      <c r="DD34" s="6"/>
    </row>
    <row r="35" spans="1:108" ht="15.75" customHeight="1">
      <c r="A35" s="670"/>
      <c r="B35" s="671"/>
      <c r="C35" s="29"/>
      <c r="D35" s="185"/>
      <c r="E35" s="3"/>
      <c r="F35" s="3"/>
      <c r="G35" s="668"/>
      <c r="H35" s="668"/>
      <c r="I35" s="3"/>
      <c r="J35" s="150"/>
      <c r="K35" s="3"/>
      <c r="L35" s="3"/>
      <c r="M35" s="6"/>
      <c r="N35" s="483"/>
      <c r="O35" s="670"/>
      <c r="P35" s="723"/>
      <c r="Q35" s="724"/>
      <c r="R35" s="724"/>
      <c r="S35" s="724"/>
      <c r="T35" s="724"/>
      <c r="U35" s="724"/>
      <c r="V35" s="724"/>
      <c r="W35" s="725"/>
      <c r="X35" s="29"/>
      <c r="Y35" s="29"/>
      <c r="Z35" s="117"/>
      <c r="AA35" s="665"/>
      <c r="AB35" s="665"/>
      <c r="AC35" s="117"/>
      <c r="AI35" s="723"/>
      <c r="AJ35" s="725"/>
      <c r="AK35" s="28"/>
      <c r="AL35" s="3"/>
      <c r="AM35" s="670"/>
      <c r="AN35" s="670"/>
      <c r="AO35" s="670"/>
      <c r="AP35" s="670"/>
      <c r="AQ35" s="670"/>
      <c r="AR35" s="670"/>
      <c r="AS35" s="670"/>
      <c r="AT35" s="670"/>
      <c r="AU35" s="670"/>
      <c r="AV35" s="670"/>
      <c r="AW35" s="670"/>
      <c r="AX35" s="670"/>
      <c r="AY35" s="670"/>
      <c r="AZ35" s="670"/>
      <c r="BA35" s="670"/>
      <c r="BB35" s="3"/>
      <c r="BC35" s="29"/>
      <c r="BD35" s="29"/>
      <c r="BE35" s="3"/>
      <c r="BF35" s="3"/>
      <c r="BG35" s="3"/>
      <c r="BH35" s="3"/>
      <c r="BI35" s="3"/>
      <c r="BJ35" s="6"/>
      <c r="BK35" s="3"/>
      <c r="BL35" s="3"/>
      <c r="BM35" s="3"/>
      <c r="BN35" s="6"/>
      <c r="BO35" s="379"/>
      <c r="BP35" s="379"/>
      <c r="BQ35" s="3"/>
      <c r="BR35" s="6"/>
      <c r="BS35" s="6"/>
      <c r="BT35" s="29"/>
      <c r="BU35" s="117"/>
      <c r="BV35" s="665"/>
      <c r="BW35" s="665"/>
      <c r="BX35" s="117"/>
      <c r="BY35" s="3"/>
      <c r="BZ35" s="6"/>
      <c r="CA35" s="705"/>
      <c r="CB35" s="122"/>
      <c r="CC35" s="3"/>
      <c r="CD35" s="11"/>
      <c r="CE35" s="705"/>
      <c r="CF35" s="3"/>
      <c r="CG35" s="3"/>
      <c r="CH35" s="701"/>
      <c r="CI35" s="701"/>
      <c r="CJ35" s="3"/>
      <c r="CK35" s="70"/>
      <c r="CL35" s="6"/>
      <c r="CM35" s="6"/>
      <c r="CN35" s="6"/>
      <c r="CO35" s="6"/>
      <c r="CP35" s="75"/>
      <c r="CQ35" s="6"/>
      <c r="CR35" s="6"/>
      <c r="CS35" s="3"/>
      <c r="CT35" s="6"/>
      <c r="CU35" s="188"/>
      <c r="CV35" s="189"/>
      <c r="CW35" s="3"/>
      <c r="CX35" s="3"/>
      <c r="CY35" s="6"/>
      <c r="CZ35" s="71">
        <v>6</v>
      </c>
      <c r="DA35" s="164" t="s">
        <v>132</v>
      </c>
      <c r="DB35" s="190">
        <v>100</v>
      </c>
      <c r="DC35" s="122"/>
      <c r="DD35" s="6"/>
    </row>
    <row r="36" spans="1:108" ht="15.75" customHeight="1">
      <c r="A36" s="670"/>
      <c r="B36" s="25"/>
      <c r="C36" s="6"/>
      <c r="D36" s="6"/>
      <c r="E36" s="149"/>
      <c r="F36" s="90"/>
      <c r="G36" s="665"/>
      <c r="H36" s="665"/>
      <c r="I36" s="90"/>
      <c r="J36" s="150"/>
      <c r="K36" s="191"/>
      <c r="L36" s="3"/>
      <c r="M36" s="6"/>
      <c r="N36" s="6"/>
      <c r="O36" s="670"/>
      <c r="P36" s="723"/>
      <c r="Q36" s="724"/>
      <c r="R36" s="724"/>
      <c r="S36" s="724"/>
      <c r="T36" s="724"/>
      <c r="U36" s="724"/>
      <c r="V36" s="724"/>
      <c r="W36" s="725"/>
      <c r="X36" s="29"/>
      <c r="Y36" s="6"/>
      <c r="Z36" s="6"/>
      <c r="AA36" s="113"/>
      <c r="AB36" s="113"/>
      <c r="AC36" s="3"/>
      <c r="AD36" s="3"/>
      <c r="AE36" s="100"/>
      <c r="AF36" s="100"/>
      <c r="AG36" s="3"/>
      <c r="AH36" s="6"/>
      <c r="AI36" s="723"/>
      <c r="AJ36" s="725"/>
      <c r="AK36" s="122"/>
      <c r="AL36" s="3"/>
      <c r="AM36" s="670"/>
      <c r="AN36" s="672"/>
      <c r="AO36" s="3"/>
      <c r="AP36" s="379"/>
      <c r="AQ36" s="3"/>
      <c r="AR36" s="685"/>
      <c r="AS36" s="665"/>
      <c r="AT36" s="685"/>
      <c r="AU36" s="665"/>
      <c r="AV36" s="685"/>
      <c r="AW36" s="665"/>
      <c r="AX36" s="685"/>
      <c r="AY36" s="665"/>
      <c r="AZ36" s="685"/>
      <c r="BA36" s="670"/>
      <c r="BB36" s="3"/>
      <c r="BC36" s="3"/>
      <c r="BD36" s="3"/>
      <c r="BE36" s="3"/>
      <c r="BF36" s="3"/>
      <c r="BG36" s="293"/>
      <c r="BH36" s="293"/>
      <c r="BI36" s="6"/>
      <c r="BJ36" s="6"/>
      <c r="BK36" s="3"/>
      <c r="BL36" s="3"/>
      <c r="BM36" s="3"/>
      <c r="BN36" s="6"/>
      <c r="BO36" s="379"/>
      <c r="BP36" s="379"/>
      <c r="BQ36" s="3"/>
      <c r="BR36" s="6"/>
      <c r="BS36" s="6"/>
      <c r="BT36" s="29"/>
      <c r="BU36" s="117"/>
      <c r="BV36" s="665"/>
      <c r="BW36" s="665"/>
      <c r="BX36" s="117"/>
      <c r="BY36" s="3"/>
      <c r="BZ36" s="3"/>
      <c r="CA36" s="705"/>
      <c r="CB36" s="28"/>
      <c r="CC36" s="3"/>
      <c r="CD36" s="11"/>
      <c r="CE36" s="705"/>
      <c r="CF36" s="3"/>
      <c r="CG36" s="3"/>
      <c r="CH36" s="293"/>
      <c r="CI36" s="293"/>
      <c r="CJ36" s="3"/>
      <c r="CK36" s="77"/>
      <c r="CL36" s="6"/>
      <c r="CM36" s="6"/>
      <c r="CN36" s="6"/>
      <c r="CO36" s="6"/>
      <c r="CP36" s="75"/>
      <c r="CQ36" s="6"/>
      <c r="CR36" s="6"/>
      <c r="CS36" s="3"/>
      <c r="CT36" s="193"/>
      <c r="CU36" s="17"/>
      <c r="CV36" s="17"/>
      <c r="CW36" s="194"/>
      <c r="CX36" s="3"/>
      <c r="CY36" s="6"/>
      <c r="CZ36" s="195"/>
      <c r="DA36" s="110"/>
      <c r="DB36" s="161"/>
      <c r="DC36" s="44"/>
      <c r="DD36" s="6"/>
    </row>
    <row r="37" spans="1:108" ht="15.75" customHeight="1" thickBot="1">
      <c r="A37" s="670"/>
      <c r="B37" s="25"/>
      <c r="C37" s="6"/>
      <c r="D37" s="6"/>
      <c r="E37" s="3"/>
      <c r="F37" s="3"/>
      <c r="G37" s="668"/>
      <c r="H37" s="668"/>
      <c r="I37" s="735"/>
      <c r="J37" s="730"/>
      <c r="K37" s="150"/>
      <c r="L37" s="3"/>
      <c r="M37" s="6"/>
      <c r="N37" s="25"/>
      <c r="O37" s="670"/>
      <c r="P37" s="723"/>
      <c r="Q37" s="724"/>
      <c r="R37" s="724"/>
      <c r="S37" s="724"/>
      <c r="T37" s="724"/>
      <c r="U37" s="724"/>
      <c r="V37" s="724"/>
      <c r="W37" s="725"/>
      <c r="X37" s="29"/>
      <c r="Y37" s="136"/>
      <c r="Z37" s="6"/>
      <c r="AA37" s="101"/>
      <c r="AB37" s="101"/>
      <c r="AC37" s="3"/>
      <c r="AD37" s="100"/>
      <c r="AE37" s="109"/>
      <c r="AF37" s="109"/>
      <c r="AG37" s="100"/>
      <c r="AH37" s="6"/>
      <c r="AI37" s="723"/>
      <c r="AJ37" s="725"/>
      <c r="AK37" s="28"/>
      <c r="AL37" s="3"/>
      <c r="AM37" s="670"/>
      <c r="AN37" s="26"/>
      <c r="AO37" s="3"/>
      <c r="AP37" s="748"/>
      <c r="AQ37" s="724"/>
      <c r="AR37" s="35"/>
      <c r="AS37" s="46"/>
      <c r="AT37" s="6"/>
      <c r="AU37" s="46"/>
      <c r="AV37" s="3"/>
      <c r="AW37" s="46"/>
      <c r="AX37" s="3"/>
      <c r="AY37" s="46"/>
      <c r="AZ37" s="26"/>
      <c r="BA37" s="670"/>
      <c r="BB37" s="26"/>
      <c r="BC37" s="6"/>
      <c r="BD37" s="6"/>
      <c r="BE37" s="3"/>
      <c r="BF37" s="3"/>
      <c r="BG37" s="293"/>
      <c r="BH37" s="293"/>
      <c r="BI37" s="3"/>
      <c r="BJ37" s="6"/>
      <c r="BK37" s="3"/>
      <c r="BL37" s="3"/>
      <c r="BM37" s="6"/>
      <c r="BN37" s="6"/>
      <c r="BO37" s="379"/>
      <c r="BP37" s="379"/>
      <c r="BQ37" s="3"/>
      <c r="BR37" s="6"/>
      <c r="BS37" s="6"/>
      <c r="BT37" s="29"/>
      <c r="BU37" s="117"/>
      <c r="BV37" s="665"/>
      <c r="BW37" s="665"/>
      <c r="BX37" s="117"/>
      <c r="BY37" s="3"/>
      <c r="BZ37" s="3"/>
      <c r="CA37" s="705"/>
      <c r="CB37" s="28"/>
      <c r="CC37" s="3"/>
      <c r="CD37" s="11"/>
      <c r="CE37" s="708"/>
      <c r="CF37" s="3"/>
      <c r="CG37" s="3"/>
      <c r="CH37" s="293"/>
      <c r="CI37" s="293"/>
      <c r="CJ37" s="3"/>
      <c r="CK37" s="77"/>
      <c r="CL37" s="6"/>
      <c r="CM37" s="6"/>
      <c r="CN37" s="6"/>
      <c r="CO37" s="6"/>
      <c r="CP37" s="75"/>
      <c r="CQ37" s="6"/>
      <c r="CR37" s="6"/>
      <c r="CS37" s="71"/>
      <c r="CT37" s="164" t="s">
        <v>132</v>
      </c>
      <c r="CU37" s="197">
        <v>400</v>
      </c>
      <c r="CV37" s="115">
        <v>400</v>
      </c>
      <c r="CW37" s="164" t="s">
        <v>132</v>
      </c>
      <c r="CX37" s="74"/>
      <c r="CY37" s="6"/>
      <c r="CZ37" s="6"/>
      <c r="DA37" s="6"/>
      <c r="DB37" s="110"/>
      <c r="DC37" s="44"/>
      <c r="DD37" s="6"/>
    </row>
    <row r="38" spans="1:108" ht="15.75" customHeight="1" thickBot="1">
      <c r="A38" s="670"/>
      <c r="B38" s="6"/>
      <c r="C38" s="6"/>
      <c r="D38" s="6"/>
      <c r="E38" s="6"/>
      <c r="F38" s="198"/>
      <c r="G38" s="379"/>
      <c r="H38" s="379"/>
      <c r="J38" s="3"/>
      <c r="K38" s="3"/>
      <c r="L38" s="3"/>
      <c r="M38" s="6"/>
      <c r="N38" s="25"/>
      <c r="O38" s="670"/>
      <c r="P38" s="723"/>
      <c r="Q38" s="724"/>
      <c r="R38" s="724"/>
      <c r="S38" s="724"/>
      <c r="T38" s="724"/>
      <c r="U38" s="724"/>
      <c r="V38" s="724"/>
      <c r="W38" s="725"/>
      <c r="X38" s="3"/>
      <c r="Y38" s="29"/>
      <c r="Z38" s="3"/>
      <c r="AA38" s="672"/>
      <c r="AB38" s="672"/>
      <c r="AC38" s="71">
        <v>1</v>
      </c>
      <c r="AD38" s="199"/>
      <c r="AE38" s="200">
        <v>100</v>
      </c>
      <c r="AF38" s="201">
        <v>100</v>
      </c>
      <c r="AG38" s="199" t="s">
        <v>132</v>
      </c>
      <c r="AH38" s="74">
        <v>4</v>
      </c>
      <c r="AI38" s="723"/>
      <c r="AJ38" s="725"/>
      <c r="AK38" s="28"/>
      <c r="AL38" s="3"/>
      <c r="AM38" s="670"/>
      <c r="AN38" s="3"/>
      <c r="AO38" s="3"/>
      <c r="AP38" s="3"/>
      <c r="AQ38" s="3"/>
      <c r="AR38" s="3"/>
      <c r="AS38" s="46"/>
      <c r="AT38" s="3"/>
      <c r="AU38" s="46"/>
      <c r="AV38" s="3"/>
      <c r="AW38" s="46"/>
      <c r="AX38" s="202"/>
      <c r="AY38" s="46"/>
      <c r="AZ38" s="26"/>
      <c r="BA38" s="670"/>
      <c r="BB38" s="26"/>
      <c r="BC38" s="6"/>
      <c r="BD38" s="6"/>
      <c r="BE38" s="3"/>
      <c r="BF38" s="3"/>
      <c r="BG38" s="293"/>
      <c r="BH38" s="293"/>
      <c r="BI38" s="3"/>
      <c r="BJ38" s="6"/>
      <c r="BK38" s="3"/>
      <c r="BL38" s="3"/>
      <c r="BM38" s="6"/>
      <c r="BN38" s="6"/>
      <c r="BO38" s="743"/>
      <c r="BP38" s="744"/>
      <c r="BQ38" s="3"/>
      <c r="BR38" s="6"/>
      <c r="BS38" s="6"/>
      <c r="BT38" s="29"/>
      <c r="BU38" s="6"/>
      <c r="BV38" s="117"/>
      <c r="BW38" s="117"/>
      <c r="BX38" s="6"/>
      <c r="BY38" s="3"/>
      <c r="BZ38" s="748"/>
      <c r="CA38" s="724"/>
      <c r="CB38" s="28"/>
      <c r="CC38" s="3"/>
      <c r="CD38" s="11"/>
      <c r="CE38" s="708"/>
      <c r="CF38" s="3"/>
      <c r="CG38" s="3"/>
      <c r="CH38" s="293"/>
      <c r="CI38" s="293"/>
      <c r="CJ38" s="3"/>
      <c r="CK38" s="6"/>
      <c r="CL38" s="6"/>
      <c r="CM38" s="117"/>
      <c r="CN38" s="117"/>
      <c r="CO38" s="6"/>
      <c r="CP38" s="6"/>
      <c r="CQ38" s="3"/>
      <c r="CR38" s="6"/>
      <c r="CS38" s="71"/>
      <c r="CT38" s="164" t="s">
        <v>132</v>
      </c>
      <c r="CU38" s="197">
        <v>400</v>
      </c>
      <c r="CV38" s="115">
        <v>400</v>
      </c>
      <c r="CW38" s="164" t="s">
        <v>132</v>
      </c>
      <c r="CX38" s="74"/>
      <c r="CY38" s="6"/>
      <c r="CZ38" s="3"/>
      <c r="DA38" s="3"/>
      <c r="DB38" s="3"/>
      <c r="DC38" s="44"/>
      <c r="DD38" s="6"/>
    </row>
    <row r="39" spans="1:108" ht="15.75" customHeight="1" thickBot="1">
      <c r="B39" s="670"/>
      <c r="C39" s="6"/>
      <c r="D39" s="6"/>
      <c r="E39" s="6"/>
      <c r="F39" s="179">
        <v>1</v>
      </c>
      <c r="G39" s="179">
        <v>2</v>
      </c>
      <c r="H39" s="46"/>
      <c r="I39" s="26"/>
      <c r="J39" s="26"/>
      <c r="K39" s="26"/>
      <c r="L39" s="26"/>
      <c r="M39" s="6"/>
      <c r="N39" s="6"/>
      <c r="O39" s="670"/>
      <c r="P39" s="723"/>
      <c r="Q39" s="724"/>
      <c r="R39" s="724"/>
      <c r="S39" s="724"/>
      <c r="T39" s="724"/>
      <c r="U39" s="724"/>
      <c r="V39" s="724"/>
      <c r="W39" s="725"/>
      <c r="X39" s="29"/>
      <c r="Y39" s="3"/>
      <c r="Z39" s="3"/>
      <c r="AA39" s="682"/>
      <c r="AB39" s="682"/>
      <c r="AC39" s="71">
        <v>2</v>
      </c>
      <c r="AD39" s="199" t="s">
        <v>132</v>
      </c>
      <c r="AE39" s="203">
        <v>100</v>
      </c>
      <c r="AF39" s="18">
        <v>100</v>
      </c>
      <c r="AG39" s="199" t="s">
        <v>132</v>
      </c>
      <c r="AH39" s="74">
        <v>3</v>
      </c>
      <c r="AI39" s="726"/>
      <c r="AJ39" s="728"/>
      <c r="AK39" s="28"/>
      <c r="AL39" s="3"/>
      <c r="AM39" s="670"/>
      <c r="AN39" s="293"/>
      <c r="AO39" s="3"/>
      <c r="AP39" s="3"/>
      <c r="AQ39" s="3"/>
      <c r="AR39" s="3"/>
      <c r="AS39" s="735"/>
      <c r="AT39" s="730"/>
      <c r="AU39" s="730"/>
      <c r="AV39" s="730"/>
      <c r="AW39" s="730"/>
      <c r="AX39" s="730"/>
      <c r="AY39" s="730"/>
      <c r="AZ39" s="26"/>
      <c r="BA39" s="670"/>
      <c r="BB39" s="26"/>
      <c r="BC39" s="6"/>
      <c r="BD39" s="6"/>
      <c r="BE39" s="3"/>
      <c r="BF39" s="3"/>
      <c r="BG39" s="293"/>
      <c r="BH39" s="293"/>
      <c r="BI39" s="3"/>
      <c r="BJ39" s="6"/>
      <c r="BK39" s="3"/>
      <c r="BL39" s="29"/>
      <c r="BM39" s="6"/>
      <c r="BN39" s="6"/>
      <c r="BO39" s="351"/>
      <c r="BP39" s="351"/>
      <c r="BR39" s="6"/>
      <c r="BS39" s="6"/>
      <c r="BT39" s="29"/>
      <c r="BU39" s="29"/>
      <c r="BV39" s="6"/>
      <c r="BW39" s="6"/>
      <c r="BX39" s="3"/>
      <c r="BY39" s="3"/>
      <c r="BZ39" s="3"/>
      <c r="CA39" s="3"/>
      <c r="CB39" s="28"/>
      <c r="CC39" s="3"/>
      <c r="CD39" s="11"/>
      <c r="CE39" s="708"/>
      <c r="CF39" s="3"/>
      <c r="CG39" s="3"/>
      <c r="CH39" s="743"/>
      <c r="CI39" s="744"/>
      <c r="CJ39" s="3"/>
      <c r="CK39" s="6"/>
      <c r="CL39" s="6"/>
      <c r="CM39" s="672"/>
      <c r="CN39" s="672"/>
      <c r="CO39" s="6"/>
      <c r="CP39" s="6"/>
      <c r="CQ39" s="6"/>
      <c r="CR39" s="6"/>
      <c r="CS39" s="71"/>
      <c r="CT39" s="164" t="s">
        <v>132</v>
      </c>
      <c r="CU39" s="165">
        <v>400</v>
      </c>
      <c r="CV39" s="206">
        <v>400</v>
      </c>
      <c r="CW39" s="164" t="s">
        <v>132</v>
      </c>
      <c r="CX39" s="74"/>
      <c r="CY39" s="6"/>
      <c r="CZ39" s="6"/>
      <c r="DA39" s="6"/>
      <c r="DB39" s="6"/>
      <c r="DC39" s="44"/>
      <c r="DD39" s="6"/>
    </row>
    <row r="40" spans="1:108" ht="15.75" customHeight="1">
      <c r="A40" s="670"/>
      <c r="B40" s="6"/>
      <c r="C40" s="6"/>
      <c r="D40" s="6"/>
      <c r="E40" s="6"/>
      <c r="F40" s="199" t="s">
        <v>132</v>
      </c>
      <c r="G40" s="199" t="s">
        <v>132</v>
      </c>
      <c r="H40" s="669"/>
      <c r="I40" s="669"/>
      <c r="J40" s="35"/>
      <c r="K40" s="98"/>
      <c r="L40" s="98"/>
      <c r="M40" s="6"/>
      <c r="N40" s="6"/>
      <c r="O40" s="670"/>
      <c r="P40" s="723"/>
      <c r="Q40" s="724"/>
      <c r="R40" s="724"/>
      <c r="S40" s="724"/>
      <c r="T40" s="724"/>
      <c r="U40" s="724"/>
      <c r="V40" s="724"/>
      <c r="W40" s="725"/>
      <c r="X40" s="29"/>
      <c r="Y40" s="3"/>
      <c r="Z40" s="136"/>
      <c r="AA40" s="25"/>
      <c r="AB40" s="208"/>
      <c r="AD40" s="100"/>
      <c r="AE40" s="109"/>
      <c r="AF40" s="109"/>
      <c r="AG40" s="100"/>
      <c r="AH40" s="6"/>
      <c r="AI40" s="720" t="s">
        <v>208</v>
      </c>
      <c r="AJ40" s="722"/>
      <c r="AK40" s="28"/>
      <c r="AL40" s="3"/>
      <c r="AM40" s="670"/>
      <c r="AN40" s="293"/>
      <c r="AO40" s="3"/>
      <c r="AP40" s="3"/>
      <c r="AQ40" s="3"/>
      <c r="AR40" s="26"/>
      <c r="AS40" s="26"/>
      <c r="AT40" s="6"/>
      <c r="AU40" s="6"/>
      <c r="AV40" s="6"/>
      <c r="AW40" s="26"/>
      <c r="AX40" s="26"/>
      <c r="AY40" s="209"/>
      <c r="AZ40" s="26"/>
      <c r="BA40" s="670"/>
      <c r="BB40" s="26"/>
      <c r="BC40" s="6"/>
      <c r="BD40" s="6"/>
      <c r="BE40" s="3"/>
      <c r="BF40" s="3"/>
      <c r="BG40" s="751"/>
      <c r="BH40" s="744"/>
      <c r="BI40" s="6"/>
      <c r="BJ40" s="6"/>
      <c r="BK40" s="3"/>
      <c r="BL40" s="6"/>
      <c r="BM40" s="6"/>
      <c r="BN40" s="6"/>
      <c r="BO40" s="351"/>
      <c r="BP40" s="351"/>
      <c r="BR40" s="6"/>
      <c r="BS40" s="6"/>
      <c r="BT40" s="29"/>
      <c r="BU40" s="29"/>
      <c r="BX40" s="3"/>
      <c r="BY40" s="29"/>
      <c r="BZ40" s="3"/>
      <c r="CA40" s="3"/>
      <c r="CB40" s="122"/>
      <c r="CC40" s="3"/>
      <c r="CD40" s="11"/>
      <c r="CE40" s="708"/>
      <c r="CF40" s="3"/>
      <c r="CG40" s="3"/>
      <c r="CH40" s="672"/>
      <c r="CI40" s="672"/>
      <c r="CJ40" s="3"/>
      <c r="CK40" s="6"/>
      <c r="CL40" s="6"/>
      <c r="CM40" s="672"/>
      <c r="CN40" s="672"/>
      <c r="CO40" s="3"/>
      <c r="CP40" s="6"/>
      <c r="CQ40" s="6"/>
      <c r="CR40" s="3"/>
      <c r="CS40" s="71"/>
      <c r="CT40" s="164" t="s">
        <v>132</v>
      </c>
      <c r="CU40" s="165">
        <v>400</v>
      </c>
      <c r="CV40" s="206">
        <v>400</v>
      </c>
      <c r="CW40" s="164" t="s">
        <v>132</v>
      </c>
      <c r="CX40" s="74"/>
      <c r="CY40" s="6"/>
      <c r="CZ40" s="6"/>
      <c r="DA40" s="6"/>
      <c r="DB40" s="6"/>
      <c r="DC40" s="122"/>
      <c r="DD40" s="6"/>
    </row>
    <row r="41" spans="1:108" ht="15.75" customHeight="1">
      <c r="A41" s="670"/>
      <c r="B41" s="6"/>
      <c r="C41" s="6"/>
      <c r="D41" s="293"/>
      <c r="E41" s="107"/>
      <c r="F41" s="210">
        <v>100</v>
      </c>
      <c r="G41" s="211">
        <v>100</v>
      </c>
      <c r="H41" s="665"/>
      <c r="I41" s="665"/>
      <c r="J41" s="25"/>
      <c r="K41" s="6"/>
      <c r="L41" s="6"/>
      <c r="M41" s="6"/>
      <c r="N41" s="6"/>
      <c r="O41" s="670"/>
      <c r="P41" s="723"/>
      <c r="Q41" s="724"/>
      <c r="R41" s="724"/>
      <c r="S41" s="724"/>
      <c r="T41" s="724"/>
      <c r="U41" s="724"/>
      <c r="V41" s="724"/>
      <c r="W41" s="725"/>
      <c r="X41" s="29"/>
      <c r="Y41" s="29"/>
      <c r="Z41" s="29"/>
      <c r="AA41" s="25"/>
      <c r="AB41" s="25"/>
      <c r="AC41" s="6"/>
      <c r="AD41" s="3"/>
      <c r="AE41" s="100"/>
      <c r="AF41" s="100"/>
      <c r="AG41" s="3"/>
      <c r="AH41" s="6"/>
      <c r="AI41" s="723"/>
      <c r="AJ41" s="725"/>
      <c r="AK41" s="122"/>
      <c r="AL41" s="3"/>
      <c r="AM41" s="670"/>
      <c r="AN41" s="293"/>
      <c r="AO41" s="6"/>
      <c r="AP41" s="3"/>
      <c r="AQ41" s="3"/>
      <c r="AR41" s="26"/>
      <c r="AS41" s="212"/>
      <c r="AT41" s="6"/>
      <c r="AU41" s="6"/>
      <c r="AV41" s="6"/>
      <c r="AW41" s="26"/>
      <c r="AX41" s="26"/>
      <c r="AY41" s="26"/>
      <c r="AZ41" s="26"/>
      <c r="BA41" s="670"/>
      <c r="BB41" s="26"/>
      <c r="BC41" s="6"/>
      <c r="BD41" s="6"/>
      <c r="BE41" s="3"/>
      <c r="BF41" s="3"/>
      <c r="BG41" s="6"/>
      <c r="BH41" s="6"/>
      <c r="BI41" s="6"/>
      <c r="BJ41" s="6"/>
      <c r="BK41" s="3"/>
      <c r="BL41" s="6"/>
      <c r="BM41" s="6"/>
      <c r="BN41" s="6"/>
      <c r="BO41" s="351"/>
      <c r="BP41" s="351"/>
      <c r="BR41" s="6"/>
      <c r="BS41" s="6"/>
      <c r="BT41" s="3"/>
      <c r="BU41" s="29"/>
      <c r="BX41" s="3"/>
      <c r="BY41" s="3"/>
      <c r="BZ41" s="3"/>
      <c r="CA41" s="681"/>
      <c r="CB41" s="28"/>
      <c r="CC41" s="3"/>
      <c r="CD41" s="11"/>
      <c r="CE41" s="708"/>
      <c r="CF41" s="3"/>
      <c r="CG41" s="3"/>
      <c r="CH41" s="672"/>
      <c r="CI41" s="672"/>
      <c r="CJ41" s="3"/>
      <c r="CK41" s="6"/>
      <c r="CL41" s="6"/>
      <c r="CM41" s="672"/>
      <c r="CN41" s="672"/>
      <c r="CO41" s="3"/>
      <c r="CP41" s="6"/>
      <c r="CQ41" s="6"/>
      <c r="CR41" s="3"/>
      <c r="CS41" s="3"/>
      <c r="CT41" s="193"/>
      <c r="CU41" s="17"/>
      <c r="CV41" s="17"/>
      <c r="CW41" s="194"/>
      <c r="CX41" s="198"/>
      <c r="CY41" s="6"/>
      <c r="CZ41" s="6"/>
      <c r="DA41" s="6"/>
      <c r="DC41" s="44"/>
      <c r="DD41" s="6"/>
    </row>
    <row r="42" spans="1:108" ht="15.75" customHeight="1">
      <c r="A42" s="670"/>
      <c r="B42" s="7"/>
      <c r="C42" s="7"/>
      <c r="D42" s="7"/>
      <c r="E42" s="7"/>
      <c r="F42" s="7"/>
      <c r="G42" s="7"/>
      <c r="H42" s="670"/>
      <c r="I42" s="670"/>
      <c r="J42" s="670"/>
      <c r="K42" s="7"/>
      <c r="L42" s="7"/>
      <c r="M42" s="7"/>
      <c r="N42" s="670"/>
      <c r="O42" s="670"/>
      <c r="P42" s="723"/>
      <c r="Q42" s="724"/>
      <c r="R42" s="724"/>
      <c r="S42" s="724"/>
      <c r="T42" s="724"/>
      <c r="U42" s="724"/>
      <c r="V42" s="724"/>
      <c r="W42" s="725"/>
      <c r="X42" s="29"/>
      <c r="Y42" s="29"/>
      <c r="Z42" s="3"/>
      <c r="AA42" s="25"/>
      <c r="AB42" s="293"/>
      <c r="AC42" s="3"/>
      <c r="AE42" s="6"/>
      <c r="AF42" s="6"/>
      <c r="AG42" s="6"/>
      <c r="AH42" s="6"/>
      <c r="AI42" s="723"/>
      <c r="AJ42" s="725"/>
      <c r="AK42" s="28"/>
      <c r="AL42" s="3"/>
      <c r="AM42" s="670"/>
      <c r="AN42" s="152"/>
      <c r="AO42" s="6"/>
      <c r="AP42" s="3"/>
      <c r="AQ42" s="3"/>
      <c r="AR42" s="3"/>
      <c r="AS42" s="3"/>
      <c r="AT42" s="6"/>
      <c r="AU42" s="6"/>
      <c r="AV42" s="212"/>
      <c r="AW42" s="26"/>
      <c r="AX42" s="26"/>
      <c r="AY42" s="26"/>
      <c r="AZ42" s="26"/>
      <c r="BA42" s="690"/>
      <c r="BB42" s="26"/>
      <c r="BC42" s="6"/>
      <c r="BD42" s="6"/>
      <c r="BE42" s="3"/>
      <c r="BF42" s="3"/>
      <c r="BG42" s="214"/>
      <c r="BH42" s="541"/>
      <c r="BI42" s="3"/>
      <c r="BJ42" s="6"/>
      <c r="BK42" s="3"/>
      <c r="BL42" s="6"/>
      <c r="BM42" s="6"/>
      <c r="BN42" s="6"/>
      <c r="BO42" s="351"/>
      <c r="BP42" s="351"/>
      <c r="BR42" s="6"/>
      <c r="BS42" s="6"/>
      <c r="BT42" s="3"/>
      <c r="BU42" s="3"/>
      <c r="BV42" s="680"/>
      <c r="BW42" s="680"/>
      <c r="BX42" s="3"/>
      <c r="BY42" s="3"/>
      <c r="BZ42" s="3"/>
      <c r="CA42" s="681"/>
      <c r="CB42" s="28"/>
      <c r="CC42" s="3"/>
      <c r="CD42" s="11"/>
      <c r="CE42" s="351"/>
      <c r="CF42" s="3"/>
      <c r="CG42" s="3"/>
      <c r="CH42" s="743"/>
      <c r="CI42" s="744"/>
      <c r="CJ42" s="3"/>
      <c r="CK42" s="6"/>
      <c r="CL42" s="6"/>
      <c r="CM42" s="672"/>
      <c r="CN42" s="672"/>
      <c r="CO42" s="3"/>
      <c r="CP42" s="6"/>
      <c r="CQ42" s="6"/>
      <c r="CR42" s="3"/>
      <c r="CS42" s="3"/>
      <c r="CT42" s="6"/>
      <c r="CU42" s="752" t="s">
        <v>139</v>
      </c>
      <c r="CV42" s="730"/>
      <c r="CW42" s="6"/>
      <c r="CX42" s="6"/>
      <c r="CY42" s="6"/>
      <c r="CZ42" s="6"/>
      <c r="DA42" s="6"/>
      <c r="DB42" s="443"/>
      <c r="DC42" s="44"/>
      <c r="DD42" s="6"/>
    </row>
    <row r="43" spans="1:108" ht="15.75" customHeight="1">
      <c r="A43" s="670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70"/>
      <c r="P43" s="723"/>
      <c r="Q43" s="724"/>
      <c r="R43" s="724"/>
      <c r="S43" s="724"/>
      <c r="T43" s="724"/>
      <c r="U43" s="724"/>
      <c r="V43" s="724"/>
      <c r="W43" s="725"/>
      <c r="X43" s="29"/>
      <c r="Y43" s="136"/>
      <c r="Z43" s="3"/>
      <c r="AA43" s="3"/>
      <c r="AB43" s="3"/>
      <c r="AE43" s="6"/>
      <c r="AF43" s="6"/>
      <c r="AG43" s="6"/>
      <c r="AH43" s="6"/>
      <c r="AI43" s="723"/>
      <c r="AJ43" s="725"/>
      <c r="AK43" s="28"/>
      <c r="AL43" s="3"/>
      <c r="AM43" s="670"/>
      <c r="AN43" s="26"/>
      <c r="AO43" s="3"/>
      <c r="AP43" s="3"/>
      <c r="AQ43" s="3"/>
      <c r="AR43" s="3"/>
      <c r="AS43" s="753"/>
      <c r="AT43" s="724"/>
      <c r="AU43" s="724"/>
      <c r="AV43" s="724"/>
      <c r="AW43" s="3"/>
      <c r="AX43" s="3"/>
      <c r="AY43" s="26"/>
      <c r="AZ43" s="26"/>
      <c r="BA43" s="691"/>
      <c r="BB43" s="26"/>
      <c r="BC43" s="6"/>
      <c r="BD43" s="6"/>
      <c r="BE43" s="3"/>
      <c r="BF43" s="3"/>
      <c r="BG43" s="293"/>
      <c r="BH43" s="293"/>
      <c r="BI43" s="3"/>
      <c r="BJ43" s="6"/>
      <c r="BK43" s="3"/>
      <c r="BL43" s="6"/>
      <c r="BM43" s="6"/>
      <c r="BN43" s="6"/>
      <c r="BO43" s="351"/>
      <c r="BP43" s="351"/>
      <c r="BR43" s="6"/>
      <c r="BS43" s="6"/>
      <c r="BT43" s="3"/>
      <c r="BU43" s="3"/>
      <c r="BV43" s="680"/>
      <c r="BW43" s="680"/>
      <c r="BX43" s="3"/>
      <c r="BY43" s="3"/>
      <c r="BZ43" s="3"/>
      <c r="CA43" s="681"/>
      <c r="CB43" s="28"/>
      <c r="CC43" s="3"/>
      <c r="CD43" s="11"/>
      <c r="CE43" s="351"/>
      <c r="CF43" s="3"/>
      <c r="CG43" s="3"/>
      <c r="CJ43" s="3"/>
      <c r="CK43" s="6"/>
      <c r="CL43" s="6"/>
      <c r="CM43" s="6"/>
      <c r="CN43" s="6"/>
      <c r="CO43" s="6"/>
      <c r="CP43" s="6"/>
      <c r="CQ43" s="3"/>
      <c r="CR43" s="3"/>
      <c r="CS43" s="3"/>
      <c r="CT43" s="6"/>
      <c r="CU43" s="6"/>
      <c r="CV43" s="6"/>
      <c r="CW43" s="6"/>
      <c r="CX43" s="6"/>
      <c r="CY43" s="6"/>
      <c r="CZ43" s="6"/>
      <c r="DA43" s="6"/>
      <c r="DB43" s="293"/>
      <c r="DC43" s="44"/>
      <c r="DD43" s="6"/>
    </row>
    <row r="44" spans="1:108" ht="15.75" customHeight="1">
      <c r="A44" s="670"/>
      <c r="B44" s="6"/>
      <c r="C44" s="26"/>
      <c r="D44" s="26"/>
      <c r="E44" s="26"/>
      <c r="F44" s="6"/>
      <c r="G44" s="26"/>
      <c r="H44" s="26"/>
      <c r="I44" s="26"/>
      <c r="J44" s="26"/>
      <c r="K44" s="26"/>
      <c r="L44" s="6"/>
      <c r="M44" s="6"/>
      <c r="N44" s="6"/>
      <c r="O44" s="670"/>
      <c r="P44" s="723"/>
      <c r="Q44" s="724"/>
      <c r="R44" s="724"/>
      <c r="S44" s="724"/>
      <c r="T44" s="724"/>
      <c r="U44" s="724"/>
      <c r="V44" s="724"/>
      <c r="W44" s="725"/>
      <c r="X44" s="3"/>
      <c r="Y44" s="29"/>
      <c r="Z44" s="3"/>
      <c r="AA44" s="680"/>
      <c r="AB44" s="680"/>
      <c r="AE44" s="6"/>
      <c r="AF44" s="6"/>
      <c r="AG44" s="6"/>
      <c r="AH44" s="6"/>
      <c r="AI44" s="723"/>
      <c r="AJ44" s="725"/>
      <c r="AK44" s="28"/>
      <c r="AL44" s="3"/>
      <c r="AM44" s="670"/>
      <c r="AN44" s="26"/>
      <c r="AO44" s="218"/>
      <c r="AP44" s="3"/>
      <c r="AQ44" s="3"/>
      <c r="AR44" s="3"/>
      <c r="AS44" s="6"/>
      <c r="AT44" s="360"/>
      <c r="AU44" s="360"/>
      <c r="AV44" s="26"/>
      <c r="AW44" s="3"/>
      <c r="AX44" s="3"/>
      <c r="AY44" s="26"/>
      <c r="AZ44" s="26"/>
      <c r="BA44" s="691"/>
      <c r="BB44" s="26"/>
      <c r="BC44" s="6"/>
      <c r="BD44" s="26"/>
      <c r="BE44" s="3"/>
      <c r="BF44" s="3"/>
      <c r="BG44" s="79"/>
      <c r="BH44" s="79"/>
      <c r="BI44" s="3"/>
      <c r="BJ44" s="6"/>
      <c r="BK44" s="3"/>
      <c r="BL44" s="6"/>
      <c r="BM44" s="6"/>
      <c r="BN44" s="6"/>
      <c r="BO44" s="351"/>
      <c r="BP44" s="351"/>
      <c r="BR44" s="6"/>
      <c r="BS44" s="6"/>
      <c r="BT44" s="3"/>
      <c r="BU44" s="3"/>
      <c r="BV44" s="3"/>
      <c r="BW44" s="3"/>
      <c r="BX44" s="3"/>
      <c r="BY44" s="3"/>
      <c r="BZ44" s="6"/>
      <c r="CA44" s="681"/>
      <c r="CB44" s="28"/>
      <c r="CC44" s="3"/>
      <c r="CD44" s="11"/>
      <c r="CE44" s="351"/>
      <c r="CF44" s="3"/>
      <c r="CG44" s="3"/>
      <c r="CH44" s="672"/>
      <c r="CI44" s="672"/>
      <c r="CJ44" s="3"/>
      <c r="CK44" s="6"/>
      <c r="CL44" s="6"/>
      <c r="CM44" s="6"/>
      <c r="CN44" s="6"/>
      <c r="CO44" s="6"/>
      <c r="CP44" s="6"/>
      <c r="CQ44" s="3"/>
      <c r="CR44" s="3"/>
      <c r="CS44" s="3"/>
      <c r="CT44" s="6"/>
      <c r="CU44" s="293"/>
      <c r="CV44" s="710"/>
      <c r="CW44" s="6"/>
      <c r="CX44" s="3"/>
      <c r="CY44" s="6"/>
      <c r="CZ44" s="6"/>
      <c r="DA44" s="6"/>
      <c r="DB44" s="293"/>
      <c r="DC44" s="44"/>
      <c r="DD44" s="6"/>
    </row>
    <row r="45" spans="1:108" ht="15.75" customHeight="1">
      <c r="A45" s="670"/>
      <c r="B45" s="6"/>
      <c r="C45" s="26"/>
      <c r="D45" s="26"/>
      <c r="E45" s="26"/>
      <c r="F45" s="6"/>
      <c r="G45" s="26"/>
      <c r="H45" s="26"/>
      <c r="I45" s="26"/>
      <c r="J45" s="26"/>
      <c r="K45" s="26"/>
      <c r="L45" s="6"/>
      <c r="M45" s="6"/>
      <c r="N45" s="6"/>
      <c r="O45" s="670"/>
      <c r="P45" s="723"/>
      <c r="Q45" s="724"/>
      <c r="R45" s="724"/>
      <c r="S45" s="724"/>
      <c r="T45" s="724"/>
      <c r="U45" s="724"/>
      <c r="V45" s="724"/>
      <c r="W45" s="725"/>
      <c r="X45" s="29"/>
      <c r="Y45" s="3"/>
      <c r="Z45" s="29"/>
      <c r="AA45" s="680"/>
      <c r="AB45" s="680"/>
      <c r="AE45" s="6"/>
      <c r="AF45" s="6"/>
      <c r="AG45" s="6"/>
      <c r="AH45" s="6"/>
      <c r="AI45" s="723"/>
      <c r="AJ45" s="725"/>
      <c r="AK45" s="28"/>
      <c r="AL45" s="3"/>
      <c r="AM45" s="670"/>
      <c r="AN45" s="26"/>
      <c r="AO45" s="221"/>
      <c r="AP45" s="3"/>
      <c r="AQ45" s="3"/>
      <c r="AR45" s="212"/>
      <c r="AS45" s="6"/>
      <c r="AT45" s="379"/>
      <c r="AU45" s="360"/>
      <c r="AV45" s="3"/>
      <c r="AW45" s="3"/>
      <c r="AX45" s="3"/>
      <c r="AY45" s="26"/>
      <c r="AZ45" s="26"/>
      <c r="BA45" s="691"/>
      <c r="BB45" s="26"/>
      <c r="BC45" s="6"/>
      <c r="BD45" s="26"/>
      <c r="BE45" s="3"/>
      <c r="BF45" s="3"/>
      <c r="BG45" s="79"/>
      <c r="BH45" s="79"/>
      <c r="BI45" s="3"/>
      <c r="BJ45" s="6"/>
      <c r="BK45" s="3"/>
      <c r="BL45" s="6"/>
      <c r="BM45" s="6"/>
      <c r="BN45" s="6"/>
      <c r="BO45" s="3"/>
      <c r="BP45" s="3"/>
      <c r="BQ45" s="3"/>
      <c r="BR45" s="6"/>
      <c r="BS45" s="6"/>
      <c r="BT45" s="3"/>
      <c r="BU45" s="3"/>
      <c r="BV45" s="3"/>
      <c r="BW45" s="3"/>
      <c r="BX45" s="3"/>
      <c r="BY45" s="3"/>
      <c r="BZ45" s="6"/>
      <c r="CA45" s="681"/>
      <c r="CB45" s="28"/>
      <c r="CC45" s="3"/>
      <c r="CD45" s="11"/>
      <c r="CE45" s="351"/>
      <c r="CF45" s="6"/>
      <c r="CG45" s="6"/>
      <c r="CH45" s="672"/>
      <c r="CI45" s="672"/>
      <c r="CJ45" s="6"/>
      <c r="CK45" s="6"/>
      <c r="CL45" s="6"/>
      <c r="CM45" s="6"/>
      <c r="CN45" s="6"/>
      <c r="CO45" s="6"/>
      <c r="CP45" s="6"/>
      <c r="CQ45" s="3"/>
      <c r="CR45" s="3"/>
      <c r="CS45" s="3"/>
      <c r="CT45" s="6"/>
      <c r="CU45" s="293"/>
      <c r="CV45" s="671"/>
      <c r="CW45" s="6"/>
      <c r="CX45" s="6"/>
      <c r="CY45" s="6"/>
      <c r="CZ45" s="3"/>
      <c r="DA45" s="6"/>
      <c r="DB45" s="312"/>
      <c r="DC45" s="44"/>
      <c r="DD45" s="6"/>
    </row>
    <row r="46" spans="1:108" ht="15.75" customHeight="1" thickBot="1">
      <c r="A46" s="670"/>
      <c r="B46" s="6"/>
      <c r="C46" s="26"/>
      <c r="D46" s="26"/>
      <c r="E46" s="26"/>
      <c r="F46" s="6"/>
      <c r="G46" s="26"/>
      <c r="H46" s="26"/>
      <c r="I46" s="26"/>
      <c r="J46" s="26"/>
      <c r="K46" s="26"/>
      <c r="L46" s="6"/>
      <c r="M46" s="6"/>
      <c r="N46" s="6"/>
      <c r="O46" s="670"/>
      <c r="P46" s="726"/>
      <c r="Q46" s="727"/>
      <c r="R46" s="727"/>
      <c r="S46" s="727"/>
      <c r="T46" s="727"/>
      <c r="U46" s="727"/>
      <c r="V46" s="727"/>
      <c r="W46" s="728"/>
      <c r="X46" s="29"/>
      <c r="Y46" s="3"/>
      <c r="Z46" s="136"/>
      <c r="AA46" s="680"/>
      <c r="AB46" s="680"/>
      <c r="AE46" s="6"/>
      <c r="AF46" s="6"/>
      <c r="AG46" s="6"/>
      <c r="AH46" s="6"/>
      <c r="AI46" s="723"/>
      <c r="AJ46" s="725"/>
      <c r="AK46" s="28"/>
      <c r="AL46" s="3"/>
      <c r="AM46" s="670"/>
      <c r="AN46" s="681"/>
      <c r="AO46" s="3"/>
      <c r="AP46" s="3"/>
      <c r="AQ46" s="3"/>
      <c r="AR46" s="212"/>
      <c r="AS46" s="6"/>
      <c r="AV46" s="6"/>
      <c r="AW46" s="3"/>
      <c r="AX46" s="3"/>
      <c r="AY46" s="26"/>
      <c r="AZ46" s="26"/>
      <c r="BA46" s="691"/>
      <c r="BB46" s="26"/>
      <c r="BC46" s="6"/>
      <c r="BD46" s="6"/>
      <c r="BE46" s="3"/>
      <c r="BF46" s="3"/>
      <c r="BG46" s="6"/>
      <c r="BH46" s="6"/>
      <c r="BI46" s="6"/>
      <c r="BJ46" s="6"/>
      <c r="BK46" s="3"/>
      <c r="BL46" s="6"/>
      <c r="BM46" s="6"/>
      <c r="BN46" s="3"/>
      <c r="BO46" s="351"/>
      <c r="BP46" s="351"/>
      <c r="BQ46" s="3"/>
      <c r="BR46" s="6"/>
      <c r="BS46" s="6"/>
      <c r="BT46" s="3"/>
      <c r="BU46" s="3"/>
      <c r="BV46" s="3"/>
      <c r="BW46" s="3"/>
      <c r="BX46" s="3"/>
      <c r="BY46" s="3"/>
      <c r="BZ46" s="6"/>
      <c r="CA46" s="681"/>
      <c r="CB46" s="29"/>
      <c r="CC46" s="3"/>
      <c r="CD46" s="11"/>
      <c r="CE46" s="351"/>
      <c r="CF46" s="6"/>
      <c r="CG46" s="6"/>
      <c r="CH46" s="672"/>
      <c r="CI46" s="672"/>
      <c r="CJ46" s="6"/>
      <c r="CK46" s="6"/>
      <c r="CL46" s="6"/>
      <c r="CM46" s="6"/>
      <c r="CN46" s="6"/>
      <c r="CO46" s="6"/>
      <c r="CP46" s="6"/>
      <c r="CQ46" s="3"/>
      <c r="CR46" s="3"/>
      <c r="CS46" s="3"/>
      <c r="CT46" s="6"/>
      <c r="CU46" s="293"/>
      <c r="CV46" s="710"/>
      <c r="CW46" s="3"/>
      <c r="CX46" s="3"/>
      <c r="CY46" s="6"/>
      <c r="CZ46" s="6"/>
      <c r="DA46" s="6"/>
      <c r="DB46" s="443"/>
      <c r="DC46" s="29"/>
      <c r="DD46" s="6"/>
    </row>
    <row r="47" spans="1:108" ht="15.75" customHeight="1">
      <c r="A47" s="670"/>
      <c r="B47" s="6"/>
      <c r="C47" s="26"/>
      <c r="D47" s="26"/>
      <c r="E47" s="26"/>
      <c r="F47" s="6"/>
      <c r="G47" s="26"/>
      <c r="H47" s="26"/>
      <c r="I47" s="26"/>
      <c r="J47" s="26"/>
      <c r="K47" s="26"/>
      <c r="L47" s="6"/>
      <c r="M47" s="6"/>
      <c r="N47" s="6"/>
      <c r="O47" s="670"/>
      <c r="P47" s="225"/>
      <c r="Q47" s="38"/>
      <c r="R47" s="38"/>
      <c r="S47" s="38"/>
      <c r="T47" s="38"/>
      <c r="U47" s="38"/>
      <c r="V47" s="38"/>
      <c r="W47" s="38"/>
      <c r="X47" s="29"/>
      <c r="Y47" s="29"/>
      <c r="Z47" s="29"/>
      <c r="AA47" s="684"/>
      <c r="AB47" s="684"/>
      <c r="AD47" s="6"/>
      <c r="AE47" s="6"/>
      <c r="AF47" s="6"/>
      <c r="AG47" s="6"/>
      <c r="AH47" s="6"/>
      <c r="AI47" s="723"/>
      <c r="AJ47" s="725"/>
      <c r="AK47" s="29"/>
      <c r="AL47" s="3"/>
      <c r="AM47" s="670"/>
      <c r="AN47" s="681"/>
      <c r="AO47" s="3"/>
      <c r="AP47" s="3"/>
      <c r="AQ47" s="3"/>
      <c r="AR47" s="748"/>
      <c r="AS47" s="754"/>
      <c r="AT47" s="755"/>
      <c r="AU47" s="756"/>
      <c r="AV47" s="6"/>
      <c r="AW47" s="3"/>
      <c r="AX47" s="3"/>
      <c r="AY47" s="26"/>
      <c r="AZ47" s="26"/>
      <c r="BA47" s="692"/>
      <c r="BB47" s="26"/>
      <c r="BC47" s="26"/>
      <c r="BD47" s="26"/>
      <c r="BE47" s="3"/>
      <c r="BF47" s="3"/>
      <c r="BG47" s="6"/>
      <c r="BH47" s="6"/>
      <c r="BI47" s="6"/>
      <c r="BJ47" s="6"/>
      <c r="BK47" s="3"/>
      <c r="BL47" s="6"/>
      <c r="BM47" s="6"/>
      <c r="BN47" s="3"/>
      <c r="BO47" s="6"/>
      <c r="BP47" s="6"/>
      <c r="BQ47" s="3"/>
      <c r="BR47" s="6"/>
      <c r="BS47" s="6"/>
      <c r="BT47" s="6"/>
      <c r="BU47" s="6"/>
      <c r="BV47" s="46"/>
      <c r="BW47" s="6"/>
      <c r="BX47" s="6"/>
      <c r="BY47" s="6"/>
      <c r="BZ47" s="6"/>
      <c r="CA47" s="3"/>
      <c r="CB47" s="28"/>
      <c r="CC47" s="3"/>
      <c r="CD47" s="11"/>
      <c r="CE47" s="351"/>
      <c r="CF47" s="6"/>
      <c r="CG47" s="6"/>
      <c r="CH47" s="743"/>
      <c r="CI47" s="744"/>
      <c r="CJ47" s="6"/>
      <c r="CK47" s="6"/>
      <c r="CL47" s="6"/>
      <c r="CM47" s="757"/>
      <c r="CN47" s="715"/>
      <c r="CO47" s="6"/>
      <c r="CP47" s="6"/>
      <c r="CQ47" s="3"/>
      <c r="CR47" s="3"/>
      <c r="CS47" s="3"/>
      <c r="CT47" s="6"/>
      <c r="CU47" s="214"/>
      <c r="CV47" s="227"/>
      <c r="CW47" s="3"/>
      <c r="CX47" s="3"/>
      <c r="CY47" s="6"/>
      <c r="CZ47" s="6"/>
      <c r="DA47" s="6"/>
      <c r="DB47" s="443"/>
      <c r="DC47" s="44"/>
      <c r="DD47" s="6"/>
    </row>
    <row r="48" spans="1:108" ht="15.75" customHeight="1" thickBot="1">
      <c r="A48" s="670"/>
      <c r="B48" s="6"/>
      <c r="C48" s="26"/>
      <c r="D48" s="26"/>
      <c r="E48" s="26"/>
      <c r="F48" s="26"/>
      <c r="G48" s="26"/>
      <c r="H48" s="26"/>
      <c r="I48" s="26"/>
      <c r="J48" s="26"/>
      <c r="K48" s="26"/>
      <c r="L48" s="6"/>
      <c r="M48" s="6"/>
      <c r="N48" s="6"/>
      <c r="O48" s="670"/>
      <c r="P48" s="225"/>
      <c r="Q48" s="38"/>
      <c r="R48" s="38"/>
      <c r="S48" s="38"/>
      <c r="T48" s="38"/>
      <c r="U48" s="38"/>
      <c r="V48" s="6"/>
      <c r="W48" s="6"/>
      <c r="X48" s="6"/>
      <c r="Y48" s="6"/>
      <c r="Z48" s="29"/>
      <c r="AA48" s="6"/>
      <c r="AB48" s="6"/>
      <c r="AC48" s="3"/>
      <c r="AD48" s="6"/>
      <c r="AE48" s="6"/>
      <c r="AF48" s="6"/>
      <c r="AG48" s="6"/>
      <c r="AH48" s="6"/>
      <c r="AI48" s="726"/>
      <c r="AJ48" s="728"/>
      <c r="AK48" s="28"/>
      <c r="AL48" s="3"/>
      <c r="AM48" s="670"/>
      <c r="AN48" s="681"/>
      <c r="AO48" s="3"/>
      <c r="AP48" s="3"/>
      <c r="AQ48" s="3"/>
      <c r="AR48" s="3"/>
      <c r="AS48" s="3"/>
      <c r="AT48" s="293"/>
      <c r="AU48" s="293"/>
      <c r="AV48" s="6"/>
      <c r="AW48" s="3"/>
      <c r="AX48" s="3"/>
      <c r="AY48" s="3"/>
      <c r="AZ48" s="3"/>
      <c r="BA48" s="670"/>
      <c r="BB48" s="26"/>
      <c r="BC48" s="26"/>
      <c r="BD48" s="26"/>
      <c r="BE48" s="3"/>
      <c r="BF48" s="6"/>
      <c r="BG48" s="735"/>
      <c r="BH48" s="730"/>
      <c r="BI48" s="6"/>
      <c r="BJ48" s="3"/>
      <c r="BK48" s="3"/>
      <c r="BL48" s="29"/>
      <c r="BM48" s="6"/>
      <c r="BN48" s="3"/>
      <c r="BO48" s="351"/>
      <c r="BP48" s="351"/>
      <c r="BQ48" s="3"/>
      <c r="BR48" s="6"/>
      <c r="BS48" s="6"/>
      <c r="BT48" s="6"/>
      <c r="BU48" s="6"/>
      <c r="BV48" s="46"/>
      <c r="BW48" s="6"/>
      <c r="BX48" s="6"/>
      <c r="BY48" s="6"/>
      <c r="BZ48" s="3"/>
      <c r="CA48" s="3"/>
      <c r="CB48" s="28"/>
      <c r="CC48" s="3"/>
      <c r="CD48" s="11"/>
      <c r="CE48" s="6"/>
      <c r="CL48" s="6"/>
      <c r="CM48" s="293"/>
      <c r="CN48" s="293"/>
      <c r="CO48" s="6"/>
      <c r="CP48" s="6"/>
      <c r="CQ48" s="3"/>
      <c r="CR48" s="3"/>
      <c r="CS48" s="3"/>
      <c r="CT48" s="3"/>
      <c r="CU48" s="710"/>
      <c r="CV48" s="541"/>
      <c r="CW48" s="3"/>
      <c r="CX48" s="3"/>
      <c r="CY48" s="6"/>
      <c r="CZ48" s="6"/>
      <c r="DA48" s="6"/>
      <c r="DC48" s="44"/>
      <c r="DD48" s="6"/>
    </row>
    <row r="49" spans="1:108" ht="15.75" customHeight="1">
      <c r="A49" s="670"/>
      <c r="B49" s="6"/>
      <c r="C49" s="26"/>
      <c r="D49" s="26"/>
      <c r="E49" s="26"/>
      <c r="F49" s="26"/>
      <c r="G49" s="26"/>
      <c r="H49" s="26"/>
      <c r="I49" s="26"/>
      <c r="J49" s="26"/>
      <c r="K49" s="26"/>
      <c r="L49" s="6"/>
      <c r="M49" s="6"/>
      <c r="N49" s="6"/>
      <c r="O49" s="670"/>
      <c r="P49" s="225"/>
      <c r="Q49" s="38"/>
      <c r="R49" s="38"/>
      <c r="S49" s="38"/>
      <c r="T49" s="38"/>
      <c r="U49" s="38"/>
      <c r="V49" s="6"/>
      <c r="W49" s="6"/>
      <c r="X49" s="6"/>
      <c r="Y49" s="6"/>
      <c r="Z49" s="6"/>
      <c r="AA49" s="293"/>
      <c r="AB49" s="136"/>
      <c r="AC49" s="3"/>
      <c r="AD49" s="3"/>
      <c r="AE49" s="229"/>
      <c r="AF49" s="230"/>
      <c r="AG49" s="230"/>
      <c r="AH49" s="230"/>
      <c r="AI49" s="231"/>
      <c r="AJ49" s="232"/>
      <c r="AK49" s="28"/>
      <c r="AL49" s="3"/>
      <c r="AM49" s="670"/>
      <c r="AN49" s="681"/>
      <c r="AO49" s="3"/>
      <c r="AP49" s="3"/>
      <c r="AQ49" s="3"/>
      <c r="AR49" s="3"/>
      <c r="AS49" s="3"/>
      <c r="AT49" s="293"/>
      <c r="AU49" s="293"/>
      <c r="AV49" s="3"/>
      <c r="AW49" s="3"/>
      <c r="AX49" s="3"/>
      <c r="AY49" s="26"/>
      <c r="AZ49" s="26"/>
      <c r="BA49" s="670"/>
      <c r="BB49" s="26"/>
      <c r="BC49" s="26"/>
      <c r="BD49" s="26"/>
      <c r="BE49" s="233"/>
      <c r="BF49" s="35"/>
      <c r="BG49" s="701"/>
      <c r="BH49" s="701"/>
      <c r="BI49" s="702"/>
      <c r="BJ49" s="3"/>
      <c r="BK49" s="3"/>
      <c r="BL49" s="6"/>
      <c r="BM49" s="6"/>
      <c r="BN49" s="3"/>
      <c r="BO49" s="351"/>
      <c r="BP49" s="351"/>
      <c r="BQ49" s="3"/>
      <c r="BR49" s="6"/>
      <c r="BS49" s="6"/>
      <c r="BT49" s="35"/>
      <c r="BU49" s="702"/>
      <c r="BV49" s="665"/>
      <c r="BW49" s="702"/>
      <c r="BX49" s="6"/>
      <c r="BY49" s="6"/>
      <c r="BZ49" s="3"/>
      <c r="CA49" s="3"/>
      <c r="CB49" s="28"/>
      <c r="CC49" s="3"/>
      <c r="CD49" s="11"/>
      <c r="CF49" s="3"/>
      <c r="CG49" s="35"/>
      <c r="CH49" s="162"/>
      <c r="CI49" s="162"/>
      <c r="CJ49" s="3"/>
      <c r="CK49" s="6"/>
      <c r="CL49" s="6"/>
      <c r="CM49" s="293"/>
      <c r="CN49" s="293"/>
      <c r="CO49" s="6"/>
      <c r="CP49" s="6"/>
      <c r="CQ49" s="3"/>
      <c r="CR49" s="3"/>
      <c r="CS49" s="3"/>
      <c r="CT49" s="3"/>
      <c r="CU49" s="3"/>
      <c r="CV49" s="3"/>
      <c r="CW49" s="3"/>
      <c r="CX49" s="3"/>
      <c r="CY49" s="6"/>
      <c r="CZ49" s="6"/>
      <c r="DA49" s="6"/>
      <c r="DC49" s="44"/>
      <c r="DD49" s="6"/>
    </row>
    <row r="50" spans="1:108" ht="15.75" customHeight="1" thickBot="1">
      <c r="A50" s="670"/>
      <c r="B50" s="6"/>
      <c r="C50" s="26"/>
      <c r="D50" s="26"/>
      <c r="E50" s="26"/>
      <c r="F50" s="26"/>
      <c r="G50" s="26"/>
      <c r="H50" s="26"/>
      <c r="I50" s="26"/>
      <c r="J50" s="26"/>
      <c r="K50" s="26"/>
      <c r="L50" s="6"/>
      <c r="M50" s="6"/>
      <c r="N50" s="6"/>
      <c r="O50" s="670"/>
      <c r="P50" s="38"/>
      <c r="Q50" s="38"/>
      <c r="R50" s="38"/>
      <c r="S50" s="38"/>
      <c r="T50" s="38"/>
      <c r="U50" s="38"/>
      <c r="V50" s="6"/>
      <c r="W50" s="6"/>
      <c r="X50" s="6"/>
      <c r="Y50" s="6"/>
      <c r="Z50" s="293"/>
      <c r="AA50" s="29"/>
      <c r="AB50" s="293"/>
      <c r="AC50" s="3"/>
      <c r="AD50" s="3"/>
      <c r="AE50" s="235"/>
      <c r="AF50" s="38"/>
      <c r="AG50" s="38"/>
      <c r="AH50" s="38"/>
      <c r="AI50" s="66"/>
      <c r="AJ50" s="236"/>
      <c r="AK50" s="28"/>
      <c r="AL50" s="3"/>
      <c r="AM50" s="670"/>
      <c r="AN50" s="681"/>
      <c r="AO50" s="3"/>
      <c r="AP50" s="3"/>
      <c r="AQ50" s="3"/>
      <c r="AR50" s="3"/>
      <c r="AS50" s="3"/>
      <c r="AT50" s="293"/>
      <c r="AU50" s="293"/>
      <c r="AV50" s="3"/>
      <c r="AW50" s="3"/>
      <c r="AX50" s="26"/>
      <c r="AY50" s="26"/>
      <c r="AZ50" s="26"/>
      <c r="BA50" s="670"/>
      <c r="BB50" s="26"/>
      <c r="BC50" s="26"/>
      <c r="BD50" s="26"/>
      <c r="BE50" s="70"/>
      <c r="BF50" s="703"/>
      <c r="BG50" s="665"/>
      <c r="BH50" s="665"/>
      <c r="BI50" s="703"/>
      <c r="BJ50" s="78"/>
      <c r="BK50" s="237"/>
      <c r="BL50" s="29"/>
      <c r="BM50" s="32"/>
      <c r="BN50" s="3"/>
      <c r="BO50" s="351"/>
      <c r="BP50" s="351"/>
      <c r="BQ50" s="3"/>
      <c r="BR50" s="6"/>
      <c r="BS50" s="70"/>
      <c r="BT50" s="46"/>
      <c r="BU50" s="665"/>
      <c r="BV50" s="702"/>
      <c r="BW50" s="665"/>
      <c r="BX50" s="46"/>
      <c r="BY50" s="75"/>
      <c r="BZ50" s="3"/>
      <c r="CA50" s="3"/>
      <c r="CB50" s="28"/>
      <c r="CC50" s="3"/>
      <c r="CD50" s="11"/>
      <c r="CF50" s="70"/>
      <c r="CG50" s="46"/>
      <c r="CH50" s="665"/>
      <c r="CI50" s="665"/>
      <c r="CJ50" s="46"/>
      <c r="CK50" s="75"/>
      <c r="CL50" s="6"/>
      <c r="CM50" s="293"/>
      <c r="CN50" s="293"/>
      <c r="CO50" s="3"/>
      <c r="CP50" s="6"/>
      <c r="CQ50" s="3"/>
      <c r="CR50" s="3"/>
      <c r="CS50" s="6"/>
      <c r="CT50" s="6"/>
      <c r="CU50" s="6"/>
      <c r="CV50" s="6"/>
      <c r="CW50" s="6"/>
      <c r="CX50" s="6"/>
      <c r="CY50" s="6"/>
      <c r="CZ50" s="6"/>
      <c r="DA50" s="6"/>
      <c r="DB50" s="293"/>
      <c r="DC50" s="44"/>
      <c r="DD50" s="6"/>
    </row>
    <row r="51" spans="1:108" ht="15.75" customHeight="1" thickBot="1">
      <c r="A51" s="670"/>
      <c r="B51" s="6"/>
      <c r="C51" s="26"/>
      <c r="D51" s="26"/>
      <c r="E51" s="26"/>
      <c r="F51" s="26"/>
      <c r="G51" s="26"/>
      <c r="H51" s="26"/>
      <c r="I51" s="26"/>
      <c r="J51" s="26"/>
      <c r="K51" s="26"/>
      <c r="L51" s="6"/>
      <c r="M51" s="6"/>
      <c r="N51" s="6"/>
      <c r="O51" s="670"/>
      <c r="P51" s="38"/>
      <c r="Q51" s="38"/>
      <c r="R51" s="38"/>
      <c r="S51" s="38"/>
      <c r="T51" s="38"/>
      <c r="U51" s="38"/>
      <c r="V51" s="6"/>
      <c r="W51" s="6"/>
      <c r="X51" s="6"/>
      <c r="Y51" s="6"/>
      <c r="Z51" s="293"/>
      <c r="AA51" s="29"/>
      <c r="AB51" s="293"/>
      <c r="AC51" s="3"/>
      <c r="AD51" s="3"/>
      <c r="AE51" s="235"/>
      <c r="AF51" s="38"/>
      <c r="AG51" s="38"/>
      <c r="AH51" s="38"/>
      <c r="AI51" s="66"/>
      <c r="AJ51" s="236"/>
      <c r="AK51" s="28"/>
      <c r="AL51" s="3"/>
      <c r="AM51" s="670"/>
      <c r="AN51" s="681"/>
      <c r="AO51" s="3"/>
      <c r="AP51" s="3"/>
      <c r="AQ51" s="3"/>
      <c r="AR51" s="3"/>
      <c r="AS51" s="3"/>
      <c r="AT51" s="293"/>
      <c r="AU51" s="293"/>
      <c r="AV51" s="3"/>
      <c r="AW51" s="26"/>
      <c r="AX51" s="26"/>
      <c r="AY51" s="6"/>
      <c r="AZ51" s="293"/>
      <c r="BA51" s="670"/>
      <c r="BB51" s="26"/>
      <c r="BC51" s="758"/>
      <c r="BD51" s="718"/>
      <c r="BE51" s="77"/>
      <c r="BF51" s="703"/>
      <c r="BG51" s="665"/>
      <c r="BH51" s="665"/>
      <c r="BI51" s="703"/>
      <c r="BJ51" s="78"/>
      <c r="BK51" s="237"/>
      <c r="BL51" s="29"/>
      <c r="BM51" s="29"/>
      <c r="BN51" s="29"/>
      <c r="BO51" s="29"/>
      <c r="BP51" s="29"/>
      <c r="BQ51" s="29"/>
      <c r="BR51" s="6"/>
      <c r="BS51" s="6"/>
      <c r="BT51" s="6"/>
      <c r="BU51" s="702"/>
      <c r="BV51" s="665"/>
      <c r="BW51" s="702"/>
      <c r="BX51" s="6"/>
      <c r="BY51" s="6"/>
      <c r="BZ51" s="3"/>
      <c r="CA51" s="3"/>
      <c r="CB51" s="122"/>
      <c r="CC51" s="3"/>
      <c r="CD51" s="11"/>
      <c r="CF51" s="77"/>
      <c r="CG51" s="46"/>
      <c r="CH51" s="665"/>
      <c r="CI51" s="665"/>
      <c r="CJ51" s="46"/>
      <c r="CK51" s="75"/>
      <c r="CL51" s="6"/>
      <c r="CO51" s="3"/>
      <c r="CP51" s="6"/>
      <c r="CQ51" s="3"/>
      <c r="CR51" s="3"/>
      <c r="CS51" s="6"/>
      <c r="CT51" s="6"/>
      <c r="CU51" s="107"/>
      <c r="CV51" s="293"/>
      <c r="CW51" s="6"/>
      <c r="CX51" s="6"/>
      <c r="CY51" s="6"/>
      <c r="CZ51" s="6"/>
      <c r="DA51" s="6"/>
      <c r="DB51" s="293"/>
      <c r="DC51" s="122"/>
      <c r="DD51" s="6"/>
    </row>
    <row r="52" spans="1:108" ht="15.75" customHeight="1">
      <c r="A52" s="670"/>
      <c r="B52" s="6"/>
      <c r="C52" s="26"/>
      <c r="D52" s="26"/>
      <c r="E52" s="26"/>
      <c r="F52" s="26"/>
      <c r="G52" s="26"/>
      <c r="H52" s="26"/>
      <c r="I52" s="26"/>
      <c r="J52" s="26"/>
      <c r="K52" s="26"/>
      <c r="L52" s="6"/>
      <c r="M52" s="6"/>
      <c r="N52" s="6"/>
      <c r="O52" s="670"/>
      <c r="P52" s="38"/>
      <c r="Q52" s="38"/>
      <c r="R52" s="38"/>
      <c r="S52" s="38"/>
      <c r="T52" s="38"/>
      <c r="U52" s="38"/>
      <c r="V52" s="6"/>
      <c r="W52" s="6"/>
      <c r="X52" s="6"/>
      <c r="Y52" s="6"/>
      <c r="Z52" s="136"/>
      <c r="AA52" s="293"/>
      <c r="AB52" s="136"/>
      <c r="AC52" s="29"/>
      <c r="AD52" s="29"/>
      <c r="AE52" s="235"/>
      <c r="AF52" s="38"/>
      <c r="AG52" s="38"/>
      <c r="AH52" s="38"/>
      <c r="AI52" s="66"/>
      <c r="AJ52" s="236"/>
      <c r="AK52" s="122"/>
      <c r="AL52" s="3"/>
      <c r="AM52" s="670"/>
      <c r="AN52" s="3"/>
      <c r="AO52" s="3"/>
      <c r="AP52" s="3"/>
      <c r="AQ52" s="3"/>
      <c r="AR52" s="3"/>
      <c r="AS52" s="212"/>
      <c r="AT52" s="351"/>
      <c r="AU52" s="351"/>
      <c r="AV52" s="3"/>
      <c r="AW52" s="26"/>
      <c r="AX52" s="3"/>
      <c r="AY52" s="753"/>
      <c r="AZ52" s="724"/>
      <c r="BA52" s="670"/>
      <c r="BB52" s="670"/>
      <c r="BC52" s="670"/>
      <c r="BD52" s="670"/>
      <c r="BE52" s="77"/>
      <c r="BF52" s="703"/>
      <c r="BG52" s="665"/>
      <c r="BH52" s="665"/>
      <c r="BI52" s="703"/>
      <c r="BJ52" s="78"/>
      <c r="BK52" s="237"/>
      <c r="BL52" s="29"/>
      <c r="BM52" s="29"/>
      <c r="BN52" s="3"/>
      <c r="BO52" s="6"/>
      <c r="BP52" s="6"/>
      <c r="BQ52" s="3"/>
      <c r="BR52" s="6"/>
      <c r="BS52" s="6"/>
      <c r="BT52" s="6"/>
      <c r="BU52" s="6"/>
      <c r="BV52" s="46"/>
      <c r="BW52" s="6"/>
      <c r="BX52" s="6"/>
      <c r="BY52" s="6"/>
      <c r="BZ52" s="122"/>
      <c r="CA52" s="29"/>
      <c r="CB52" s="122"/>
      <c r="CC52" s="3"/>
      <c r="CD52" s="11"/>
      <c r="CF52" s="3"/>
      <c r="CG52" s="3"/>
      <c r="CH52" s="162"/>
      <c r="CI52" s="162"/>
      <c r="CJ52" s="3"/>
      <c r="CK52" s="6"/>
      <c r="CL52" s="6"/>
      <c r="CO52" s="6"/>
      <c r="CP52" s="6"/>
      <c r="CQ52" s="3"/>
      <c r="CR52" s="3"/>
      <c r="CS52" s="6"/>
      <c r="CT52" s="6"/>
      <c r="CU52" s="293"/>
      <c r="CV52" s="25"/>
      <c r="CW52" s="6"/>
      <c r="CX52" s="6"/>
      <c r="CY52" s="6"/>
      <c r="CZ52" s="6"/>
      <c r="DA52" s="6"/>
      <c r="DB52" s="293"/>
      <c r="DC52" s="122"/>
      <c r="DD52" s="6"/>
    </row>
    <row r="53" spans="1:108" ht="15.75" customHeight="1">
      <c r="A53" s="670"/>
      <c r="B53" s="6"/>
      <c r="C53" s="26"/>
      <c r="D53" s="26"/>
      <c r="E53" s="26"/>
      <c r="F53" s="26"/>
      <c r="G53" s="26"/>
      <c r="H53" s="26"/>
      <c r="I53" s="26"/>
      <c r="J53" s="26"/>
      <c r="K53" s="26"/>
      <c r="L53" s="6"/>
      <c r="M53" s="6"/>
      <c r="N53" s="6"/>
      <c r="O53" s="670"/>
      <c r="P53" s="6"/>
      <c r="Q53" s="38"/>
      <c r="R53" s="38"/>
      <c r="S53" s="38"/>
      <c r="T53" s="38"/>
      <c r="U53" s="38"/>
      <c r="V53" s="6"/>
      <c r="W53" s="6"/>
      <c r="X53" s="6"/>
      <c r="Y53" s="6"/>
      <c r="Z53" s="3"/>
      <c r="AA53" s="6"/>
      <c r="AB53" s="6"/>
      <c r="AC53" s="3"/>
      <c r="AD53" s="3"/>
      <c r="AE53" s="235"/>
      <c r="AF53" s="3"/>
      <c r="AG53" s="38"/>
      <c r="AH53" s="38"/>
      <c r="AI53" s="66"/>
      <c r="AJ53" s="236"/>
      <c r="AK53" s="122"/>
      <c r="AL53" s="3"/>
      <c r="AM53" s="670"/>
      <c r="AN53" s="3"/>
      <c r="AO53" s="3"/>
      <c r="AP53" s="3"/>
      <c r="AQ53" s="3"/>
      <c r="AR53" s="6"/>
      <c r="AS53" s="3"/>
      <c r="AT53" s="351"/>
      <c r="AU53" s="351"/>
      <c r="AV53" s="6"/>
      <c r="AW53" s="3"/>
      <c r="AX53" s="3"/>
      <c r="AY53" s="3"/>
      <c r="AZ53" s="3"/>
      <c r="BA53" s="670"/>
      <c r="BB53" s="26"/>
      <c r="BC53" s="26"/>
      <c r="BD53" s="239"/>
      <c r="BE53" s="70"/>
      <c r="BF53" s="703"/>
      <c r="BG53" s="665"/>
      <c r="BH53" s="665"/>
      <c r="BI53" s="703"/>
      <c r="BJ53" s="78"/>
      <c r="BK53" s="237"/>
      <c r="BL53" s="29"/>
      <c r="BM53" s="29"/>
      <c r="BN53" s="29"/>
      <c r="BO53" s="6"/>
      <c r="BP53" s="6"/>
      <c r="BQ53" s="3"/>
      <c r="BR53" s="6"/>
      <c r="BS53" s="6"/>
      <c r="BT53" s="6"/>
      <c r="BU53" s="6"/>
      <c r="BV53" s="46"/>
      <c r="BW53" s="6"/>
      <c r="BX53" s="6"/>
      <c r="BY53" s="6"/>
      <c r="BZ53" s="122"/>
      <c r="CA53" s="29"/>
      <c r="CB53" s="122"/>
      <c r="CC53" s="3"/>
      <c r="CD53" s="11"/>
      <c r="CE53" s="351"/>
      <c r="CF53" s="3"/>
      <c r="CG53" s="6"/>
      <c r="CH53" s="735"/>
      <c r="CI53" s="730"/>
      <c r="CJ53" s="3"/>
      <c r="CK53" s="6"/>
      <c r="CL53" s="6"/>
      <c r="CO53" s="3"/>
      <c r="CP53" s="6"/>
      <c r="CQ53" s="3"/>
      <c r="CR53" s="3"/>
      <c r="CS53" s="6"/>
      <c r="CT53" s="6"/>
      <c r="CU53" s="293"/>
      <c r="CV53" s="107"/>
      <c r="CW53" s="6"/>
      <c r="CX53" s="6"/>
      <c r="CY53" s="6"/>
      <c r="CZ53" s="6"/>
      <c r="DA53" s="6"/>
      <c r="DB53" s="293"/>
      <c r="DC53" s="122"/>
      <c r="DD53" s="6"/>
    </row>
    <row r="54" spans="1:108" ht="15.75" customHeight="1">
      <c r="A54" s="670"/>
      <c r="B54" s="6"/>
      <c r="C54" s="26"/>
      <c r="D54" s="6"/>
      <c r="E54" s="6"/>
      <c r="F54" s="6"/>
      <c r="G54" s="6"/>
      <c r="H54" s="6"/>
      <c r="I54" s="6"/>
      <c r="J54" s="26"/>
      <c r="K54" s="26"/>
      <c r="L54" s="6"/>
      <c r="M54" s="6"/>
      <c r="N54" s="29"/>
      <c r="O54" s="670"/>
      <c r="P54" s="38"/>
      <c r="Q54" s="38"/>
      <c r="R54" s="38"/>
      <c r="S54" s="38"/>
      <c r="T54" s="38"/>
      <c r="U54" s="38"/>
      <c r="V54" s="6"/>
      <c r="W54" s="6"/>
      <c r="X54" s="6"/>
      <c r="Y54" s="6"/>
      <c r="Z54" s="29"/>
      <c r="AA54" s="6"/>
      <c r="AB54" s="6"/>
      <c r="AC54" s="3"/>
      <c r="AD54" s="3"/>
      <c r="AE54" s="235"/>
      <c r="AF54" s="38"/>
      <c r="AG54" s="240" t="s">
        <v>150</v>
      </c>
      <c r="AH54" s="38"/>
      <c r="AI54" s="66"/>
      <c r="AJ54" s="236"/>
      <c r="AK54" s="122"/>
      <c r="AL54" s="3"/>
      <c r="AM54" s="670"/>
      <c r="AN54" s="3"/>
      <c r="AO54" s="3"/>
      <c r="AP54" s="3"/>
      <c r="AQ54" s="3"/>
      <c r="AR54" s="3"/>
      <c r="AS54" s="3"/>
      <c r="AT54" s="693"/>
      <c r="AU54" s="693"/>
      <c r="AV54" s="3"/>
      <c r="AW54" s="3"/>
      <c r="AX54" s="26"/>
      <c r="AY54" s="3"/>
      <c r="AZ54" s="3"/>
      <c r="BA54" s="670"/>
      <c r="BB54" s="26"/>
      <c r="BC54" s="26"/>
      <c r="BD54" s="704"/>
      <c r="BE54" s="29"/>
      <c r="BF54" s="29"/>
      <c r="BG54" s="701"/>
      <c r="BH54" s="701"/>
      <c r="BI54" s="29"/>
      <c r="BJ54" s="29"/>
      <c r="BK54" s="3"/>
      <c r="BL54" s="29"/>
      <c r="BM54" s="29"/>
      <c r="BN54" s="29"/>
      <c r="BO54" s="6"/>
      <c r="BP54" s="6"/>
      <c r="BQ54" s="3"/>
      <c r="BR54" s="6"/>
      <c r="BS54" s="6"/>
      <c r="BT54" s="29"/>
      <c r="BU54" s="735"/>
      <c r="BV54" s="730"/>
      <c r="BW54" s="730"/>
      <c r="BX54" s="29"/>
      <c r="BY54" s="29"/>
      <c r="BZ54" s="122"/>
      <c r="CA54" s="29"/>
      <c r="CB54" s="122"/>
      <c r="CC54" s="3"/>
      <c r="CD54" s="11"/>
      <c r="CE54" s="351"/>
      <c r="CF54" s="3"/>
      <c r="CG54" s="6"/>
      <c r="CH54" s="6"/>
      <c r="CI54" s="6"/>
      <c r="CJ54" s="3"/>
      <c r="CK54" s="6"/>
      <c r="CL54" s="6"/>
      <c r="CM54" s="6"/>
      <c r="CN54" s="6"/>
      <c r="CO54" s="6"/>
      <c r="CP54" s="6"/>
      <c r="CQ54" s="3"/>
      <c r="CR54" s="3"/>
      <c r="CS54" s="6"/>
      <c r="CT54" s="6"/>
      <c r="CU54" s="6"/>
      <c r="CV54" s="3"/>
      <c r="CW54" s="3"/>
      <c r="CX54" s="6"/>
      <c r="CY54" s="6"/>
      <c r="CZ54" s="3"/>
      <c r="DA54" s="3"/>
      <c r="DB54" s="293"/>
      <c r="DC54" s="122"/>
      <c r="DD54" s="6"/>
    </row>
    <row r="55" spans="1:108" ht="15.75" customHeight="1">
      <c r="A55" s="670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6"/>
      <c r="M55" s="6"/>
      <c r="N55" s="29"/>
      <c r="O55" s="29"/>
      <c r="P55" s="7"/>
      <c r="Q55" s="38"/>
      <c r="R55" s="38"/>
      <c r="S55" s="38"/>
      <c r="T55" s="38"/>
      <c r="U55" s="38"/>
      <c r="V55" s="6"/>
      <c r="W55" s="6"/>
      <c r="X55" s="6"/>
      <c r="Y55" s="6"/>
      <c r="Z55" s="6"/>
      <c r="AA55" s="6"/>
      <c r="AB55" s="6"/>
      <c r="AC55" s="3"/>
      <c r="AD55" s="3"/>
      <c r="AE55" s="235"/>
      <c r="AF55" s="38"/>
      <c r="AG55" s="38"/>
      <c r="AH55" s="38"/>
      <c r="AI55" s="66"/>
      <c r="AJ55" s="236"/>
      <c r="AK55" s="122"/>
      <c r="AL55" s="3"/>
      <c r="AM55" s="670"/>
      <c r="AN55" s="3"/>
      <c r="AO55" s="3"/>
      <c r="AP55" s="3"/>
      <c r="AQ55" s="3"/>
      <c r="AR55" s="3"/>
      <c r="AS55" s="3"/>
      <c r="AT55" s="751"/>
      <c r="AU55" s="744"/>
      <c r="AV55" s="3"/>
      <c r="AW55" s="3"/>
      <c r="AX55" s="26"/>
      <c r="AY55" s="243"/>
      <c r="AZ55" s="244"/>
      <c r="BA55" s="670"/>
      <c r="BB55" s="212"/>
      <c r="BC55" s="212"/>
      <c r="BD55" s="704"/>
      <c r="BE55" s="3"/>
      <c r="BF55" s="3"/>
      <c r="BG55" s="29"/>
      <c r="BH55" s="29"/>
      <c r="BI55" s="29"/>
      <c r="BJ55" s="3"/>
      <c r="BK55" s="3"/>
      <c r="BL55" s="3"/>
      <c r="BM55" s="6"/>
      <c r="BN55" s="29"/>
      <c r="BO55" s="6"/>
      <c r="BP55" s="6"/>
      <c r="BQ55" s="6"/>
      <c r="BR55" s="6"/>
      <c r="BS55" s="6"/>
      <c r="BT55" s="29"/>
      <c r="BU55" s="29"/>
      <c r="BV55" s="29"/>
      <c r="BW55" s="29"/>
      <c r="BX55" s="29"/>
      <c r="BY55" s="29"/>
      <c r="BZ55" s="122"/>
      <c r="CA55" s="122"/>
      <c r="CB55" s="122"/>
      <c r="CC55" s="3"/>
      <c r="CD55" s="11"/>
      <c r="CE55" s="681"/>
      <c r="CF55" s="3"/>
      <c r="CG55" s="3"/>
      <c r="CH55" s="664"/>
      <c r="CI55" s="664"/>
      <c r="CJ55" s="3"/>
      <c r="CK55" s="6"/>
      <c r="CL55" s="6"/>
      <c r="CM55" s="6"/>
      <c r="CN55" s="6"/>
      <c r="CO55" s="6"/>
      <c r="CP55" s="6"/>
      <c r="CQ55" s="3"/>
      <c r="CR55" s="3"/>
      <c r="CS55" s="6"/>
      <c r="CT55" s="6"/>
      <c r="CU55" s="6"/>
      <c r="CV55" s="6"/>
      <c r="CW55" s="6"/>
      <c r="CX55" s="6"/>
      <c r="CY55" s="6"/>
      <c r="DC55" s="122"/>
      <c r="DD55" s="6"/>
    </row>
    <row r="56" spans="1:108" ht="15.75" customHeight="1">
      <c r="A56" s="670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6"/>
      <c r="M56" s="6"/>
      <c r="N56" s="29"/>
      <c r="O56" s="29"/>
      <c r="P56" s="7"/>
      <c r="Q56" s="38"/>
      <c r="R56" s="38"/>
      <c r="S56" s="38"/>
      <c r="T56" s="38"/>
      <c r="U56" s="38"/>
      <c r="V56" s="6"/>
      <c r="W56" s="6"/>
      <c r="X56" s="6"/>
      <c r="Y56" s="6"/>
      <c r="Z56" s="6"/>
      <c r="AA56" s="6"/>
      <c r="AB56" s="6"/>
      <c r="AC56" s="3"/>
      <c r="AD56" s="3"/>
      <c r="AE56" s="235"/>
      <c r="AF56" s="38"/>
      <c r="AG56" s="38"/>
      <c r="AH56" s="38"/>
      <c r="AI56" s="66"/>
      <c r="AJ56" s="236"/>
      <c r="AK56" s="122"/>
      <c r="AL56" s="3"/>
      <c r="AM56" s="670"/>
      <c r="AN56" s="150"/>
      <c r="AO56" s="150"/>
      <c r="AP56" s="150"/>
      <c r="AQ56" s="3"/>
      <c r="AR56" s="3"/>
      <c r="AS56" s="26"/>
      <c r="AT56" s="22"/>
      <c r="AU56" s="22"/>
      <c r="AV56" s="3"/>
      <c r="AW56" s="3"/>
      <c r="AX56" s="26"/>
      <c r="AY56" s="26"/>
      <c r="AZ56" s="167"/>
      <c r="BA56" s="670"/>
      <c r="BB56" s="212"/>
      <c r="BC56" s="212"/>
      <c r="BD56" s="242"/>
      <c r="BE56" s="3"/>
      <c r="BF56" s="3"/>
      <c r="BG56" s="3"/>
      <c r="BH56" s="3"/>
      <c r="BI56" s="6"/>
      <c r="BJ56" s="6"/>
      <c r="BK56" s="3"/>
      <c r="BL56" s="3"/>
      <c r="BM56" s="6"/>
      <c r="BN56" s="29"/>
      <c r="BO56" s="6"/>
      <c r="BP56" s="6"/>
      <c r="BQ56" s="6"/>
      <c r="BR56" s="6"/>
      <c r="BS56" s="6"/>
      <c r="BT56" s="29"/>
      <c r="BU56" s="29"/>
      <c r="BV56" s="29"/>
      <c r="BW56" s="29"/>
      <c r="BX56" s="29"/>
      <c r="BY56" s="29"/>
      <c r="BZ56" s="122"/>
      <c r="CA56" s="122"/>
      <c r="CB56" s="122"/>
      <c r="CC56" s="3"/>
      <c r="CD56" s="11"/>
      <c r="CE56" s="681"/>
      <c r="CF56" s="3"/>
      <c r="CG56" s="3"/>
      <c r="CH56" s="664"/>
      <c r="CI56" s="664"/>
      <c r="CJ56" s="3"/>
      <c r="CK56" s="6"/>
      <c r="CL56" s="6"/>
      <c r="CM56" s="6"/>
      <c r="CN56" s="6"/>
      <c r="CO56" s="6"/>
      <c r="CP56" s="6"/>
      <c r="CQ56" s="3"/>
      <c r="CR56" s="3"/>
      <c r="CS56" s="6"/>
      <c r="CT56" s="6"/>
      <c r="CU56" s="6"/>
      <c r="CV56" s="6"/>
      <c r="CW56" s="6"/>
      <c r="CX56" s="6"/>
      <c r="CY56" s="6"/>
      <c r="CZ56" s="6"/>
      <c r="DA56" s="3"/>
      <c r="DB56" s="3"/>
      <c r="DC56" s="122"/>
      <c r="DD56" s="6"/>
    </row>
    <row r="57" spans="1:108" ht="15.75" customHeight="1" thickBot="1">
      <c r="A57" s="670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6"/>
      <c r="M57" s="6"/>
      <c r="N57" s="29"/>
      <c r="O57" s="29"/>
      <c r="P57" s="7"/>
      <c r="Q57" s="38"/>
      <c r="R57" s="38"/>
      <c r="S57" s="38"/>
      <c r="T57" s="38"/>
      <c r="U57" s="38"/>
      <c r="V57" s="6"/>
      <c r="W57" s="6"/>
      <c r="X57" s="6"/>
      <c r="Y57" s="6"/>
      <c r="Z57" s="6"/>
      <c r="AA57" s="6"/>
      <c r="AB57" s="6"/>
      <c r="AC57" s="3"/>
      <c r="AD57" s="3"/>
      <c r="AE57" s="235"/>
      <c r="AF57" s="38"/>
      <c r="AG57" s="38"/>
      <c r="AH57" s="38"/>
      <c r="AI57" s="66"/>
      <c r="AJ57" s="236"/>
      <c r="AK57" s="122"/>
      <c r="AL57" s="3"/>
      <c r="AM57" s="670"/>
      <c r="AN57" s="150"/>
      <c r="AO57" s="150"/>
      <c r="AP57" s="150"/>
      <c r="AQ57" s="150"/>
      <c r="AR57" s="3"/>
      <c r="AS57" s="26"/>
      <c r="AT57" s="750"/>
      <c r="AU57" s="715"/>
      <c r="AV57" s="26"/>
      <c r="AW57" s="3"/>
      <c r="AX57" s="26"/>
      <c r="AY57" s="26"/>
      <c r="AZ57" s="26"/>
      <c r="BA57" s="670"/>
      <c r="BB57" s="26"/>
      <c r="BC57" s="26"/>
      <c r="BD57" s="242"/>
      <c r="BE57" s="3"/>
      <c r="BF57" s="3"/>
      <c r="BG57" s="3"/>
      <c r="BH57" s="3"/>
      <c r="BI57" s="6"/>
      <c r="BJ57" s="6"/>
      <c r="BK57" s="3"/>
      <c r="BL57" s="3"/>
      <c r="BM57" s="6"/>
      <c r="BN57" s="29"/>
      <c r="BO57" s="6"/>
      <c r="BP57" s="6"/>
      <c r="BQ57" s="6"/>
      <c r="BR57" s="6"/>
      <c r="BS57" s="6"/>
      <c r="BT57" s="29"/>
      <c r="BU57" s="29"/>
      <c r="BV57" s="29"/>
      <c r="BW57" s="29"/>
      <c r="BX57" s="29"/>
      <c r="BY57" s="29"/>
      <c r="BZ57" s="122"/>
      <c r="CA57" s="76"/>
      <c r="CB57" s="122"/>
      <c r="CC57" s="3"/>
      <c r="CD57" s="11"/>
      <c r="CE57" s="681"/>
      <c r="CF57" s="3"/>
      <c r="CG57" s="3"/>
      <c r="CH57" s="3"/>
      <c r="CI57" s="3"/>
      <c r="CJ57" s="3"/>
      <c r="CK57" s="6"/>
      <c r="CL57" s="6"/>
      <c r="CM57" s="160"/>
      <c r="CN57" s="160"/>
      <c r="CO57" s="6"/>
      <c r="CP57" s="6"/>
      <c r="CQ57" s="3"/>
      <c r="CR57" s="3"/>
      <c r="CS57" s="6"/>
      <c r="CT57" s="3"/>
      <c r="CU57" s="3"/>
      <c r="CV57" s="3"/>
      <c r="CW57" s="3"/>
      <c r="CX57" s="3"/>
      <c r="CY57" s="3"/>
      <c r="CZ57" s="3"/>
      <c r="DA57" s="3"/>
      <c r="DB57" s="3"/>
      <c r="DC57" s="122"/>
      <c r="DD57" s="6"/>
    </row>
    <row r="58" spans="1:108" ht="15.75" customHeight="1" thickBot="1">
      <c r="A58" s="670"/>
      <c r="B58" s="26"/>
      <c r="C58" s="26"/>
      <c r="D58" s="26"/>
      <c r="E58" s="26"/>
      <c r="F58" s="162" t="s">
        <v>236</v>
      </c>
      <c r="G58" s="245"/>
      <c r="H58" s="245"/>
      <c r="I58" s="245"/>
      <c r="J58" s="245"/>
      <c r="K58" s="245"/>
      <c r="L58" s="6"/>
      <c r="M58" s="6"/>
      <c r="N58" s="29"/>
      <c r="O58" s="29"/>
      <c r="P58" s="7"/>
      <c r="Q58" s="38"/>
      <c r="R58" s="38"/>
      <c r="S58" s="38"/>
      <c r="T58" s="38"/>
      <c r="U58" s="38"/>
      <c r="V58" s="6"/>
      <c r="W58" s="6"/>
      <c r="X58" s="6"/>
      <c r="Y58" s="6"/>
      <c r="Z58" s="6"/>
      <c r="AA58" s="6"/>
      <c r="AB58" s="6"/>
      <c r="AC58" s="29"/>
      <c r="AD58" s="29"/>
      <c r="AE58" s="235"/>
      <c r="AF58" s="38"/>
      <c r="AG58" s="38"/>
      <c r="AH58" s="38"/>
      <c r="AI58" s="66"/>
      <c r="AJ58" s="236"/>
      <c r="AK58" s="122"/>
      <c r="AL58" s="3"/>
      <c r="AM58" s="670"/>
      <c r="AN58" s="681"/>
      <c r="AO58" s="150"/>
      <c r="AP58" s="150"/>
      <c r="AQ58" s="150"/>
      <c r="AR58" s="212"/>
      <c r="AS58" s="3"/>
      <c r="AT58" s="379"/>
      <c r="AU58" s="379"/>
      <c r="AV58" s="3"/>
      <c r="AW58" s="3"/>
      <c r="AX58" s="3"/>
      <c r="AY58" s="246"/>
      <c r="AZ58" s="246"/>
      <c r="BA58" s="670"/>
      <c r="BB58" s="246"/>
      <c r="BC58" s="246"/>
      <c r="BD58" s="242"/>
      <c r="BE58" s="3"/>
      <c r="BF58" s="6"/>
      <c r="BG58" s="6"/>
      <c r="BH58" s="6"/>
      <c r="BI58" s="6"/>
      <c r="BJ58" s="6"/>
      <c r="BK58" s="3"/>
      <c r="BL58" s="3"/>
      <c r="BM58" s="6"/>
      <c r="BN58" s="29"/>
      <c r="BO58" s="3"/>
      <c r="BP58" s="6"/>
      <c r="BQ58" s="6"/>
      <c r="BR58" s="6"/>
      <c r="BS58" s="6"/>
      <c r="BT58" s="29"/>
      <c r="BU58" s="720"/>
      <c r="BV58" s="721"/>
      <c r="BW58" s="721"/>
      <c r="BX58" s="721"/>
      <c r="BY58" s="721"/>
      <c r="BZ58" s="721"/>
      <c r="CA58" s="722"/>
      <c r="CB58" s="122"/>
      <c r="CC58" s="3"/>
      <c r="CD58" s="11"/>
      <c r="CE58" s="681"/>
      <c r="CF58" s="3"/>
      <c r="CG58" s="3"/>
      <c r="CH58" s="709"/>
      <c r="CI58" s="709"/>
      <c r="CJ58" s="3"/>
      <c r="CK58" s="6"/>
      <c r="CL58" s="6"/>
      <c r="CM58" s="160"/>
      <c r="CN58" s="160"/>
      <c r="CO58" s="6"/>
      <c r="CP58" s="6"/>
      <c r="CQ58" s="3"/>
      <c r="CR58" s="3"/>
      <c r="CS58" s="6"/>
      <c r="CT58" s="6"/>
      <c r="CU58" s="6"/>
      <c r="CV58" s="6"/>
      <c r="CW58" s="6"/>
      <c r="CX58" s="6"/>
      <c r="CY58" s="6"/>
      <c r="CZ58" s="6"/>
      <c r="DA58" s="6"/>
      <c r="DB58" s="248"/>
      <c r="DC58" s="122"/>
      <c r="DD58" s="6"/>
    </row>
    <row r="59" spans="1:108" ht="15.75" customHeight="1">
      <c r="A59" s="670"/>
      <c r="B59" s="26"/>
      <c r="C59" s="26"/>
      <c r="D59" s="26"/>
      <c r="E59" s="26"/>
      <c r="F59" s="245"/>
      <c r="G59" s="245"/>
      <c r="H59" s="245"/>
      <c r="I59" s="245"/>
      <c r="J59" s="245"/>
      <c r="K59" s="245"/>
      <c r="L59" s="245"/>
      <c r="M59" s="26"/>
      <c r="N59" s="29"/>
      <c r="O59" s="264"/>
      <c r="P59" s="7"/>
      <c r="Q59" s="38"/>
      <c r="R59" s="38"/>
      <c r="S59" s="38"/>
      <c r="T59" s="38"/>
      <c r="U59" s="38"/>
      <c r="V59" s="6"/>
      <c r="W59" s="6"/>
      <c r="X59" s="6"/>
      <c r="Y59" s="6"/>
      <c r="Z59" s="6"/>
      <c r="AA59" s="6"/>
      <c r="AB59" s="6"/>
      <c r="AC59" s="3"/>
      <c r="AD59" s="3"/>
      <c r="AE59" s="235"/>
      <c r="AF59" s="38"/>
      <c r="AG59" s="38"/>
      <c r="AH59" s="250"/>
      <c r="AI59" s="66"/>
      <c r="AJ59" s="236"/>
      <c r="AK59" s="122"/>
      <c r="AL59" s="3"/>
      <c r="AM59" s="670"/>
      <c r="AN59" s="150"/>
      <c r="AO59" s="150"/>
      <c r="AP59" s="150"/>
      <c r="AQ59" s="150"/>
      <c r="AR59" s="3"/>
      <c r="AS59" s="3"/>
      <c r="AT59" s="379"/>
      <c r="AU59" s="379"/>
      <c r="AV59" s="3"/>
      <c r="AW59" s="3"/>
      <c r="AX59" s="3"/>
      <c r="AY59" s="246"/>
      <c r="AZ59" s="293"/>
      <c r="BA59" s="670"/>
      <c r="BB59" s="246"/>
      <c r="BC59" s="246"/>
      <c r="BD59" s="242"/>
      <c r="BE59" s="29"/>
      <c r="BF59" s="6"/>
      <c r="BG59" s="6"/>
      <c r="BH59" s="6"/>
      <c r="BI59" s="29"/>
      <c r="BJ59" s="29"/>
      <c r="BK59" s="29"/>
      <c r="BL59" s="29"/>
      <c r="BM59" s="3"/>
      <c r="BN59" s="3"/>
      <c r="BO59" s="3"/>
      <c r="BP59" s="6"/>
      <c r="BQ59" s="6"/>
      <c r="BR59" s="6"/>
      <c r="BS59" s="6"/>
      <c r="BT59" s="29"/>
      <c r="BU59" s="723"/>
      <c r="BV59" s="724"/>
      <c r="BW59" s="724"/>
      <c r="BX59" s="724"/>
      <c r="BY59" s="724"/>
      <c r="BZ59" s="724"/>
      <c r="CA59" s="725"/>
      <c r="CB59" s="122"/>
      <c r="CC59" s="3"/>
      <c r="CD59" s="11"/>
      <c r="CF59" s="3"/>
      <c r="CG59" s="3"/>
      <c r="CH59" s="709"/>
      <c r="CI59" s="709"/>
      <c r="CJ59" s="3"/>
      <c r="CK59" s="6"/>
      <c r="CL59" s="3"/>
      <c r="CO59" s="6"/>
      <c r="CP59" s="6"/>
      <c r="CQ59" s="3"/>
      <c r="CR59" s="3"/>
      <c r="CS59" s="6"/>
      <c r="CT59" s="6"/>
      <c r="CU59" s="6"/>
      <c r="CV59" s="6"/>
      <c r="CW59" s="720"/>
      <c r="CX59" s="721"/>
      <c r="CY59" s="721"/>
      <c r="CZ59" s="721"/>
      <c r="DA59" s="721"/>
      <c r="DB59" s="722"/>
      <c r="DC59" s="122"/>
      <c r="DD59" s="6"/>
    </row>
    <row r="60" spans="1:108" ht="15.75" customHeight="1">
      <c r="A60" s="670"/>
      <c r="B60" s="26"/>
      <c r="C60" s="26"/>
      <c r="D60" s="26"/>
      <c r="E60" s="26"/>
      <c r="F60" s="245"/>
      <c r="G60" s="245"/>
      <c r="H60" s="245"/>
      <c r="I60" s="245"/>
      <c r="J60" s="245"/>
      <c r="K60" s="245"/>
      <c r="L60" s="245"/>
      <c r="M60" s="26"/>
      <c r="N60" s="29"/>
      <c r="O60" s="29"/>
      <c r="P60" s="7"/>
      <c r="Q60" s="38"/>
      <c r="R60" s="38"/>
      <c r="S60" s="38"/>
      <c r="T60" s="38"/>
      <c r="U60" s="38"/>
      <c r="V60" s="6"/>
      <c r="W60" s="6"/>
      <c r="X60" s="6"/>
      <c r="Y60" s="6"/>
      <c r="Z60" s="6"/>
      <c r="AA60" s="6"/>
      <c r="AB60" s="6"/>
      <c r="AC60" s="3"/>
      <c r="AD60" s="3"/>
      <c r="AE60" s="235"/>
      <c r="AF60" s="38"/>
      <c r="AG60" s="38"/>
      <c r="AH60" s="250"/>
      <c r="AI60" s="66"/>
      <c r="AJ60" s="236"/>
      <c r="AK60" s="122"/>
      <c r="AL60" s="3"/>
      <c r="AM60" s="670"/>
      <c r="AN60" s="681"/>
      <c r="AO60" s="150"/>
      <c r="AP60" s="150"/>
      <c r="AQ60" s="150"/>
      <c r="AR60" s="3"/>
      <c r="AS60" s="212"/>
      <c r="AT60" s="379"/>
      <c r="AU60" s="379"/>
      <c r="AV60" s="212"/>
      <c r="AW60" s="212"/>
      <c r="AX60" s="212"/>
      <c r="AY60" s="246"/>
      <c r="AZ60" s="293"/>
      <c r="BA60" s="670"/>
      <c r="BB60" s="246"/>
      <c r="BC60" s="246"/>
      <c r="BD60" s="242"/>
      <c r="BE60" s="29"/>
      <c r="BF60" s="6"/>
      <c r="BG60" s="6"/>
      <c r="BH60" s="6"/>
      <c r="BI60" s="29"/>
      <c r="BJ60" s="29"/>
      <c r="BK60" s="29"/>
      <c r="BL60" s="29"/>
      <c r="BM60" s="29"/>
      <c r="BN60" s="29"/>
      <c r="BO60" s="29"/>
      <c r="BP60" s="6"/>
      <c r="BQ60" s="6"/>
      <c r="BR60" s="6"/>
      <c r="BS60" s="6"/>
      <c r="BT60" s="29"/>
      <c r="BU60" s="723"/>
      <c r="BV60" s="724"/>
      <c r="BW60" s="724"/>
      <c r="BX60" s="724"/>
      <c r="BY60" s="724"/>
      <c r="BZ60" s="724"/>
      <c r="CA60" s="725"/>
      <c r="CB60" s="122"/>
      <c r="CC60" s="3"/>
      <c r="CD60" s="11"/>
      <c r="CF60" s="3"/>
      <c r="CG60" s="3"/>
      <c r="CH60" s="709"/>
      <c r="CI60" s="709"/>
      <c r="CJ60" s="3"/>
      <c r="CK60" s="6"/>
      <c r="CL60" s="3"/>
      <c r="CM60" s="6"/>
      <c r="CN60" s="6"/>
      <c r="CO60" s="6"/>
      <c r="CP60" s="6"/>
      <c r="CQ60" s="3"/>
      <c r="CR60" s="3"/>
      <c r="CS60" s="6"/>
      <c r="CT60" s="6"/>
      <c r="CU60" s="6"/>
      <c r="CV60" s="6"/>
      <c r="CW60" s="723"/>
      <c r="CX60" s="724"/>
      <c r="CY60" s="724"/>
      <c r="CZ60" s="724"/>
      <c r="DA60" s="724"/>
      <c r="DB60" s="725"/>
      <c r="DC60" s="122"/>
      <c r="DD60" s="6"/>
    </row>
    <row r="61" spans="1:108" ht="15.75" customHeight="1" thickBot="1">
      <c r="A61" s="670"/>
      <c r="B61" s="26"/>
      <c r="C61" s="26"/>
      <c r="D61" s="26"/>
      <c r="E61" s="26"/>
      <c r="F61" s="245"/>
      <c r="G61" s="245"/>
      <c r="H61" s="245"/>
      <c r="I61" s="245"/>
      <c r="J61" s="245"/>
      <c r="K61" s="245"/>
      <c r="L61" s="245"/>
      <c r="M61" s="26"/>
      <c r="N61" s="29"/>
      <c r="O61" s="29"/>
      <c r="P61" s="7"/>
      <c r="Q61" s="38"/>
      <c r="R61" s="38"/>
      <c r="S61" s="38"/>
      <c r="T61" s="38"/>
      <c r="U61" s="38"/>
      <c r="V61" s="6"/>
      <c r="W61" s="6"/>
      <c r="X61" s="6"/>
      <c r="Y61" s="6"/>
      <c r="Z61" s="6"/>
      <c r="AA61" s="6"/>
      <c r="AB61" s="6"/>
      <c r="AC61" s="3"/>
      <c r="AD61" s="3"/>
      <c r="AE61" s="251"/>
      <c r="AF61" s="91"/>
      <c r="AG61" s="91"/>
      <c r="AH61" s="252"/>
      <c r="AI61" s="253"/>
      <c r="AJ61" s="254"/>
      <c r="AK61" s="122"/>
      <c r="AL61" s="3"/>
      <c r="AM61" s="670"/>
      <c r="AN61" s="150"/>
      <c r="AO61" s="150"/>
      <c r="AP61" s="150"/>
      <c r="AQ61" s="150"/>
      <c r="AR61" s="3"/>
      <c r="AS61" s="6"/>
      <c r="AT61" s="6"/>
      <c r="AU61" s="6"/>
      <c r="AV61" s="6"/>
      <c r="AW61" s="6"/>
      <c r="AX61" s="212"/>
      <c r="AY61" s="212"/>
      <c r="AZ61" s="293"/>
      <c r="BA61" s="670"/>
      <c r="BB61" s="26"/>
      <c r="BC61" s="212"/>
      <c r="BD61" s="255"/>
      <c r="BE61" s="212"/>
      <c r="BF61" s="6"/>
      <c r="BG61" s="29"/>
      <c r="BH61" s="29"/>
      <c r="BI61" s="29"/>
      <c r="BJ61" s="29"/>
      <c r="BK61" s="29"/>
      <c r="BL61" s="29"/>
      <c r="BM61" s="29"/>
      <c r="BN61" s="29"/>
      <c r="BO61" s="29"/>
      <c r="BP61" s="6"/>
      <c r="BQ61" s="6"/>
      <c r="BR61" s="6"/>
      <c r="BS61" s="6"/>
      <c r="BT61" s="29"/>
      <c r="BU61" s="723"/>
      <c r="BV61" s="724"/>
      <c r="BW61" s="724"/>
      <c r="BX61" s="724"/>
      <c r="BY61" s="724"/>
      <c r="BZ61" s="724"/>
      <c r="CA61" s="725"/>
      <c r="CB61" s="122"/>
      <c r="CC61" s="3"/>
      <c r="CD61" s="11"/>
      <c r="CE61" s="3"/>
      <c r="CF61" s="3"/>
      <c r="CG61" s="3"/>
      <c r="CH61" s="3"/>
      <c r="CI61" s="3"/>
      <c r="CJ61" s="3"/>
      <c r="CK61" s="6"/>
      <c r="CL61" s="3"/>
      <c r="CM61" s="3"/>
      <c r="CN61" s="6"/>
      <c r="CO61" s="6"/>
      <c r="CP61" s="6"/>
      <c r="CQ61" s="3"/>
      <c r="CR61" s="3"/>
      <c r="CS61" s="6"/>
      <c r="CT61" s="6"/>
      <c r="CU61" s="6"/>
      <c r="CV61" s="42"/>
      <c r="CW61" s="723"/>
      <c r="CX61" s="724"/>
      <c r="CY61" s="724"/>
      <c r="CZ61" s="724"/>
      <c r="DA61" s="724"/>
      <c r="DB61" s="725"/>
      <c r="DC61" s="122"/>
      <c r="DD61" s="6"/>
    </row>
    <row r="62" spans="1:108" ht="15.75" customHeight="1">
      <c r="A62" s="670"/>
      <c r="B62" s="26"/>
      <c r="C62" s="26"/>
      <c r="D62" s="26"/>
      <c r="E62" s="26"/>
      <c r="F62" s="245"/>
      <c r="G62" s="245"/>
      <c r="H62" s="245"/>
      <c r="I62" s="245"/>
      <c r="J62" s="245"/>
      <c r="K62" s="245"/>
      <c r="L62" s="245"/>
      <c r="M62" s="26"/>
      <c r="N62" s="29"/>
      <c r="O62" s="29"/>
      <c r="P62" s="7"/>
      <c r="Q62" s="38"/>
      <c r="R62" s="38"/>
      <c r="S62" s="38"/>
      <c r="T62" s="38"/>
      <c r="U62" s="38"/>
      <c r="V62" s="6"/>
      <c r="W62" s="6"/>
      <c r="X62" s="6"/>
      <c r="Y62" s="6"/>
      <c r="Z62" s="6"/>
      <c r="AA62" s="6"/>
      <c r="AB62" s="6"/>
      <c r="AC62" s="3"/>
      <c r="AD62" s="680"/>
      <c r="AE62" s="680"/>
      <c r="AF62" s="293"/>
      <c r="AG62" s="32"/>
      <c r="AH62" s="250"/>
      <c r="AI62" s="250"/>
      <c r="AJ62" s="250"/>
      <c r="AK62" s="122"/>
      <c r="AL62" s="3"/>
      <c r="AM62" s="670"/>
      <c r="AN62" s="681"/>
      <c r="AO62" s="150"/>
      <c r="AP62" s="150"/>
      <c r="AQ62" s="150"/>
      <c r="AR62" s="3"/>
      <c r="AS62" s="6"/>
      <c r="AT62" s="6"/>
      <c r="AU62" s="6"/>
      <c r="AV62" s="6"/>
      <c r="AW62" s="6"/>
      <c r="AX62" s="26"/>
      <c r="AY62" s="3"/>
      <c r="AZ62" s="256"/>
      <c r="BA62" s="670"/>
      <c r="BB62" s="256"/>
      <c r="BC62" s="256"/>
      <c r="BD62" s="255"/>
      <c r="BE62" s="212"/>
      <c r="BF62" s="6"/>
      <c r="BG62" s="29"/>
      <c r="BH62" s="29"/>
      <c r="BI62" s="29"/>
      <c r="BJ62" s="29"/>
      <c r="BK62" s="29"/>
      <c r="BL62" s="29"/>
      <c r="BM62" s="29"/>
      <c r="BN62" s="29"/>
      <c r="BO62" s="29"/>
      <c r="BP62" s="6"/>
      <c r="BQ62" s="6"/>
      <c r="BR62" s="6"/>
      <c r="BS62" s="6"/>
      <c r="BT62" s="29"/>
      <c r="BU62" s="723"/>
      <c r="BV62" s="724"/>
      <c r="BW62" s="724"/>
      <c r="BX62" s="724"/>
      <c r="BY62" s="724"/>
      <c r="BZ62" s="724"/>
      <c r="CA62" s="725"/>
      <c r="CB62" s="29"/>
      <c r="CC62" s="3"/>
      <c r="CD62" s="11"/>
      <c r="CE62" s="3"/>
      <c r="CF62" s="3"/>
      <c r="CG62" s="3"/>
      <c r="CH62" s="3"/>
      <c r="CI62" s="3"/>
      <c r="CJ62" s="3"/>
      <c r="CK62" s="6"/>
      <c r="CL62" s="6"/>
      <c r="CM62" s="6"/>
      <c r="CN62" s="6"/>
      <c r="CO62" s="6"/>
      <c r="CP62" s="6"/>
      <c r="CQ62" s="3"/>
      <c r="CR62" s="3"/>
      <c r="CS62" s="6"/>
      <c r="CT62" s="6"/>
      <c r="CU62" s="6"/>
      <c r="CV62" s="29"/>
      <c r="CW62" s="723"/>
      <c r="CX62" s="724"/>
      <c r="CY62" s="724"/>
      <c r="CZ62" s="724"/>
      <c r="DA62" s="724"/>
      <c r="DB62" s="725"/>
      <c r="DC62" s="122"/>
      <c r="DD62" s="6"/>
    </row>
    <row r="63" spans="1:108" ht="15.75" customHeight="1">
      <c r="A63" s="670"/>
      <c r="B63" s="26"/>
      <c r="C63" s="26"/>
      <c r="D63" s="26"/>
      <c r="E63" s="26"/>
      <c r="F63" s="245"/>
      <c r="G63" s="245"/>
      <c r="H63" s="245"/>
      <c r="I63" s="245"/>
      <c r="J63" s="245"/>
      <c r="K63" s="245"/>
      <c r="L63" s="245"/>
      <c r="M63" s="26"/>
      <c r="N63" s="29"/>
      <c r="O63" s="29"/>
      <c r="P63" s="7"/>
      <c r="Q63" s="38"/>
      <c r="R63" s="38"/>
      <c r="S63" s="38"/>
      <c r="T63" s="38"/>
      <c r="U63" s="38"/>
      <c r="V63" s="6"/>
      <c r="W63" s="6"/>
      <c r="X63" s="6"/>
      <c r="Y63" s="6"/>
      <c r="Z63" s="6"/>
      <c r="AA63" s="6"/>
      <c r="AB63" s="6"/>
      <c r="AC63" s="3"/>
      <c r="AD63" s="3"/>
      <c r="AE63" s="32"/>
      <c r="AF63" s="32"/>
      <c r="AG63" s="32"/>
      <c r="AH63" s="250"/>
      <c r="AI63" s="250"/>
      <c r="AJ63" s="250"/>
      <c r="AK63" s="29"/>
      <c r="AL63" s="3"/>
      <c r="AM63" s="670"/>
      <c r="AN63" s="150"/>
      <c r="AO63" s="150"/>
      <c r="AP63" s="150"/>
      <c r="AQ63" s="150"/>
      <c r="AR63" s="3"/>
      <c r="AS63" s="6"/>
      <c r="AT63" s="694"/>
      <c r="AU63" s="694"/>
      <c r="AV63" s="6"/>
      <c r="AW63" s="6"/>
      <c r="AX63" s="3"/>
      <c r="AY63" s="3"/>
      <c r="AZ63" s="256"/>
      <c r="BA63" s="670"/>
      <c r="BB63" s="256"/>
      <c r="BC63" s="256"/>
      <c r="BD63" s="38"/>
      <c r="BE63" s="258"/>
      <c r="BF63" s="259"/>
      <c r="BG63" s="259"/>
      <c r="BH63" s="11"/>
      <c r="BI63" s="11"/>
      <c r="BJ63" s="11"/>
      <c r="BK63" s="11"/>
      <c r="BL63" s="29"/>
      <c r="BM63" s="29"/>
      <c r="BN63" s="29"/>
      <c r="BO63" s="29"/>
      <c r="BP63" s="6"/>
      <c r="BQ63" s="6"/>
      <c r="BR63" s="6"/>
      <c r="BS63" s="6"/>
      <c r="BT63" s="29"/>
      <c r="BU63" s="723"/>
      <c r="BV63" s="724"/>
      <c r="BW63" s="724"/>
      <c r="BX63" s="724"/>
      <c r="BY63" s="724"/>
      <c r="BZ63" s="724"/>
      <c r="CA63" s="725"/>
      <c r="CB63" s="29"/>
      <c r="CC63" s="3"/>
      <c r="CD63" s="11"/>
      <c r="CE63" s="3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3"/>
      <c r="CR63" s="3"/>
      <c r="CS63" s="6"/>
      <c r="CT63" s="6"/>
      <c r="CU63" s="6"/>
      <c r="CV63" s="29"/>
      <c r="CW63" s="723"/>
      <c r="CX63" s="724"/>
      <c r="CY63" s="724"/>
      <c r="CZ63" s="724"/>
      <c r="DA63" s="724"/>
      <c r="DB63" s="725"/>
      <c r="DC63" s="122"/>
      <c r="DD63" s="6"/>
    </row>
    <row r="64" spans="1:108" ht="15.75" customHeight="1" thickBot="1">
      <c r="A64" s="7"/>
      <c r="B64" s="26"/>
      <c r="C64" s="26"/>
      <c r="D64" s="26"/>
      <c r="E64" s="26"/>
      <c r="F64" s="245"/>
      <c r="G64" s="245"/>
      <c r="H64" s="245"/>
      <c r="I64" s="245"/>
      <c r="J64" s="245"/>
      <c r="K64" s="245"/>
      <c r="L64" s="245"/>
      <c r="M64" s="26"/>
      <c r="N64" s="38"/>
      <c r="O64" s="38"/>
      <c r="P64" s="7"/>
      <c r="Q64" s="38"/>
      <c r="R64" s="38"/>
      <c r="S64" s="38"/>
      <c r="T64" s="38"/>
      <c r="U64" s="38"/>
      <c r="V64" s="38"/>
      <c r="W64" s="38"/>
      <c r="X64" s="29"/>
      <c r="Y64" s="3"/>
      <c r="Z64" s="3"/>
      <c r="AA64" s="3"/>
      <c r="AB64" s="3"/>
      <c r="AC64" s="3"/>
      <c r="AD64" s="3"/>
      <c r="AE64" s="32"/>
      <c r="AF64" s="32"/>
      <c r="AG64" s="32"/>
      <c r="AH64" s="250"/>
      <c r="AI64" s="250"/>
      <c r="AJ64" s="250"/>
      <c r="AK64" s="29"/>
      <c r="AL64" s="3"/>
      <c r="AM64" s="670"/>
      <c r="AN64" s="681"/>
      <c r="AO64" s="150"/>
      <c r="AP64" s="150"/>
      <c r="AQ64" s="6"/>
      <c r="AR64" s="6"/>
      <c r="AS64" s="6"/>
      <c r="AT64" s="694"/>
      <c r="AU64" s="694"/>
      <c r="AV64" s="6"/>
      <c r="AW64" s="3"/>
      <c r="AX64" s="3"/>
      <c r="AY64" s="212"/>
      <c r="AZ64" s="212"/>
      <c r="BA64" s="670"/>
      <c r="BB64" s="212"/>
      <c r="BC64" s="212"/>
      <c r="BD64" s="38"/>
      <c r="BE64" s="38"/>
      <c r="BF64" s="38"/>
      <c r="BG64" s="38"/>
      <c r="BH64" s="38"/>
      <c r="BI64" s="38"/>
      <c r="BJ64" s="38"/>
      <c r="BK64" s="38"/>
      <c r="BL64" s="29"/>
      <c r="BM64" s="29"/>
      <c r="BN64" s="29"/>
      <c r="BO64" s="29"/>
      <c r="BP64" s="29"/>
      <c r="BQ64" s="29"/>
      <c r="BR64" s="29"/>
      <c r="BS64" s="29"/>
      <c r="BT64" s="29"/>
      <c r="BU64" s="723"/>
      <c r="BV64" s="724"/>
      <c r="BW64" s="724"/>
      <c r="BX64" s="724"/>
      <c r="BY64" s="724"/>
      <c r="BZ64" s="724"/>
      <c r="CA64" s="725"/>
      <c r="CB64" s="112"/>
      <c r="CC64" s="3"/>
      <c r="CD64" s="11"/>
      <c r="CE64" s="6"/>
      <c r="CF64" s="6"/>
      <c r="CG64" s="6"/>
      <c r="CH64" s="3"/>
      <c r="CI64" s="3"/>
      <c r="CJ64" s="3"/>
      <c r="CK64" s="6"/>
      <c r="CL64" s="6"/>
      <c r="CM64" s="6"/>
      <c r="CN64" s="6"/>
      <c r="CO64" s="6"/>
      <c r="CP64" s="6"/>
      <c r="CQ64" s="3"/>
      <c r="CR64" s="3"/>
      <c r="CS64" s="6"/>
      <c r="CT64" s="6"/>
      <c r="CU64" s="6"/>
      <c r="CV64" s="29"/>
      <c r="CW64" s="726"/>
      <c r="CX64" s="727"/>
      <c r="CY64" s="727"/>
      <c r="CZ64" s="727"/>
      <c r="DA64" s="727"/>
      <c r="DB64" s="728"/>
      <c r="DC64" s="122"/>
      <c r="DD64" s="6"/>
    </row>
    <row r="65" spans="1:108" ht="15.75" customHeight="1">
      <c r="A65" s="7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38"/>
      <c r="O65" s="38"/>
      <c r="P65" s="7"/>
      <c r="Q65" s="38"/>
      <c r="R65" s="38"/>
      <c r="S65" s="38"/>
      <c r="T65" s="38"/>
      <c r="U65" s="38"/>
      <c r="V65" s="38"/>
      <c r="W65" s="38"/>
      <c r="X65" s="29"/>
      <c r="Y65" s="29"/>
      <c r="Z65" s="3"/>
      <c r="AA65" s="3"/>
      <c r="AB65" s="3"/>
      <c r="AC65" s="3"/>
      <c r="AD65" s="3"/>
      <c r="AE65" s="6"/>
      <c r="AF65" s="6"/>
      <c r="AG65" s="32"/>
      <c r="AH65" s="250"/>
      <c r="AI65" s="250"/>
      <c r="AJ65" s="250"/>
      <c r="AK65" s="112"/>
      <c r="AL65" s="3"/>
      <c r="AM65" s="670"/>
      <c r="AN65" s="150"/>
      <c r="AO65" s="150"/>
      <c r="AP65" s="150"/>
      <c r="AQ65" s="6"/>
      <c r="AR65" s="6"/>
      <c r="AS65" s="6"/>
      <c r="AT65" s="694"/>
      <c r="AU65" s="694"/>
      <c r="AV65" s="6"/>
      <c r="AW65" s="3"/>
      <c r="AX65" s="3"/>
      <c r="AY65" s="212"/>
      <c r="AZ65" s="26"/>
      <c r="BA65" s="670"/>
      <c r="BB65" s="26"/>
      <c r="BC65" s="26"/>
      <c r="BD65" s="26"/>
      <c r="BE65" s="38"/>
      <c r="BF65" s="38"/>
      <c r="BG65" s="38"/>
      <c r="BH65" s="38"/>
      <c r="BI65" s="261" t="s">
        <v>238</v>
      </c>
      <c r="BJ65" s="261"/>
      <c r="BK65" s="38"/>
      <c r="BL65" s="29"/>
      <c r="BM65" s="29"/>
      <c r="BN65" s="29"/>
      <c r="BO65" s="29"/>
      <c r="BP65" s="29"/>
      <c r="BQ65" s="29"/>
      <c r="BR65" s="29"/>
      <c r="BS65" s="29"/>
      <c r="BT65" s="29"/>
      <c r="BU65" s="723"/>
      <c r="BV65" s="724"/>
      <c r="BW65" s="724"/>
      <c r="BX65" s="724"/>
      <c r="BY65" s="724"/>
      <c r="BZ65" s="724"/>
      <c r="CA65" s="725"/>
      <c r="CB65" s="112"/>
      <c r="CC65" s="3"/>
      <c r="CD65" s="11"/>
      <c r="CE65" s="6"/>
      <c r="CF65" s="6"/>
      <c r="CG65" s="6"/>
      <c r="CH65" s="3"/>
      <c r="CI65" s="3"/>
      <c r="CJ65" s="3"/>
      <c r="CK65" s="6"/>
      <c r="CL65" s="6"/>
      <c r="CM65" s="6"/>
      <c r="CN65" s="6"/>
      <c r="CO65" s="6"/>
      <c r="CP65" s="6"/>
      <c r="CQ65" s="3"/>
      <c r="CR65" s="3"/>
      <c r="CS65" s="6"/>
      <c r="CT65" s="6"/>
      <c r="CU65" s="6"/>
      <c r="CV65" s="29"/>
      <c r="CW65" s="29"/>
      <c r="CX65" s="763"/>
      <c r="CY65" s="721"/>
      <c r="CZ65" s="721"/>
      <c r="DA65" s="122"/>
      <c r="DB65" s="122"/>
      <c r="DC65" s="122"/>
      <c r="DD65" s="6"/>
    </row>
    <row r="66" spans="1:108" ht="15.75" customHeight="1">
      <c r="A66" s="7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38"/>
      <c r="O66" s="38"/>
      <c r="P66" s="7"/>
      <c r="Q66" s="38"/>
      <c r="R66" s="38"/>
      <c r="S66" s="38"/>
      <c r="T66" s="38"/>
      <c r="U66" s="38"/>
      <c r="V66" s="38"/>
      <c r="W66" s="38"/>
      <c r="X66" s="29"/>
      <c r="Y66" s="29"/>
      <c r="Z66" s="29"/>
      <c r="AA66" s="3"/>
      <c r="AB66" s="3"/>
      <c r="AC66" s="735"/>
      <c r="AD66" s="730"/>
      <c r="AE66" s="730"/>
      <c r="AF66" s="730"/>
      <c r="AG66" s="32"/>
      <c r="AH66" s="250"/>
      <c r="AI66" s="66"/>
      <c r="AJ66" s="66"/>
      <c r="AK66" s="112"/>
      <c r="AL66" s="3"/>
      <c r="AM66" s="670"/>
      <c r="AN66" s="150"/>
      <c r="AO66" s="150"/>
      <c r="AP66" s="150"/>
      <c r="AQ66" s="3"/>
      <c r="AR66" s="3"/>
      <c r="AS66" s="6"/>
      <c r="AT66" s="6"/>
      <c r="AU66" s="6"/>
      <c r="AV66" s="6"/>
      <c r="AW66" s="3"/>
      <c r="AX66" s="3"/>
      <c r="AY66" s="212"/>
      <c r="AZ66" s="26"/>
      <c r="BA66" s="670"/>
      <c r="BB66" s="26"/>
      <c r="BC66" s="212"/>
      <c r="BD66" s="212"/>
      <c r="BE66" s="212"/>
      <c r="BF66" s="212"/>
      <c r="BG66" s="38"/>
      <c r="BH66" s="38"/>
      <c r="BI66" s="38"/>
      <c r="BJ66" s="38"/>
      <c r="BK66" s="38"/>
      <c r="BL66" s="29"/>
      <c r="BM66" s="29"/>
      <c r="BN66" s="29"/>
      <c r="BO66" s="29"/>
      <c r="BP66" s="29"/>
      <c r="BQ66" s="29"/>
      <c r="BR66" s="29"/>
      <c r="BS66" s="29"/>
      <c r="BT66" s="29"/>
      <c r="BU66" s="723"/>
      <c r="BV66" s="724"/>
      <c r="BW66" s="724"/>
      <c r="BX66" s="724"/>
      <c r="BY66" s="724"/>
      <c r="BZ66" s="724"/>
      <c r="CA66" s="725"/>
      <c r="CB66" s="112"/>
      <c r="CC66" s="3"/>
      <c r="CD66" s="11"/>
      <c r="CE66" s="29"/>
      <c r="CF66" s="29"/>
      <c r="CG66" s="29"/>
      <c r="CH66" s="3"/>
      <c r="CI66" s="3"/>
      <c r="CJ66" s="3"/>
      <c r="CK66" s="6"/>
      <c r="CL66" s="6"/>
      <c r="CM66" s="6"/>
      <c r="CN66" s="6"/>
      <c r="CO66" s="6"/>
      <c r="CP66" s="6"/>
      <c r="CQ66" s="38"/>
      <c r="CR66" s="6"/>
      <c r="CS66" s="6"/>
      <c r="CT66" s="6"/>
      <c r="CU66" s="6"/>
      <c r="CV66" s="29"/>
      <c r="CW66" s="29"/>
      <c r="CX66" s="46"/>
      <c r="CY66" s="263"/>
      <c r="CZ66" s="263"/>
      <c r="DA66" s="122"/>
      <c r="DB66" s="122"/>
      <c r="DC66" s="122"/>
      <c r="DD66" s="6"/>
    </row>
    <row r="67" spans="1:108" ht="15.75" customHeight="1">
      <c r="A67" s="7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38"/>
      <c r="O67" s="38"/>
      <c r="P67" s="7"/>
      <c r="Q67" s="38"/>
      <c r="R67" s="38"/>
      <c r="S67" s="38"/>
      <c r="T67" s="38"/>
      <c r="U67" s="38"/>
      <c r="V67" s="38"/>
      <c r="W67" s="38"/>
      <c r="X67" s="29"/>
      <c r="Y67" s="136"/>
      <c r="Z67" s="136"/>
      <c r="AA67" s="3"/>
      <c r="AB67" s="3"/>
      <c r="AC67" s="46"/>
      <c r="AD67" s="46"/>
      <c r="AE67" s="46"/>
      <c r="AF67" s="46"/>
      <c r="AG67" s="32"/>
      <c r="AH67" s="101"/>
      <c r="AI67" s="101"/>
      <c r="AJ67" s="66"/>
      <c r="AK67" s="112"/>
      <c r="AL67" s="3"/>
      <c r="AM67" s="670"/>
      <c r="AN67" s="150"/>
      <c r="AO67" s="150"/>
      <c r="AP67" s="150"/>
      <c r="AQ67" s="3"/>
      <c r="AR67" s="3"/>
      <c r="AS67" s="6"/>
      <c r="AT67" s="6"/>
      <c r="AU67" s="6"/>
      <c r="AV67" s="6"/>
      <c r="AW67" s="3"/>
      <c r="AX67" s="3"/>
      <c r="AY67" s="212"/>
      <c r="AZ67" s="26"/>
      <c r="BA67" s="670"/>
      <c r="BB67" s="167"/>
      <c r="BC67" s="212"/>
      <c r="BD67" s="212"/>
      <c r="BE67" s="212"/>
      <c r="BF67" s="212"/>
      <c r="BG67" s="38"/>
      <c r="BH67" s="38"/>
      <c r="BI67" s="38"/>
      <c r="BJ67" s="38"/>
      <c r="BK67" s="38"/>
      <c r="BL67" s="29"/>
      <c r="BM67" s="29"/>
      <c r="BN67" s="29"/>
      <c r="BO67" s="29"/>
      <c r="BP67" s="29"/>
      <c r="BQ67" s="29"/>
      <c r="BR67" s="29"/>
      <c r="BS67" s="29"/>
      <c r="BT67" s="29"/>
      <c r="BU67" s="723"/>
      <c r="BV67" s="724"/>
      <c r="BW67" s="724"/>
      <c r="BX67" s="724"/>
      <c r="BY67" s="724"/>
      <c r="BZ67" s="724"/>
      <c r="CA67" s="725"/>
      <c r="CB67" s="29"/>
      <c r="CC67" s="3"/>
      <c r="CD67" s="11"/>
      <c r="CE67" s="264"/>
      <c r="CF67" s="29"/>
      <c r="CG67" s="3"/>
      <c r="CH67" s="29"/>
      <c r="CI67" s="6"/>
      <c r="CJ67" s="6"/>
      <c r="CK67" s="6"/>
      <c r="CL67" s="6"/>
      <c r="CM67" s="6"/>
      <c r="CN67" s="6"/>
      <c r="CO67" s="29"/>
      <c r="CP67" s="265"/>
      <c r="CQ67" s="38"/>
      <c r="CR67" s="6"/>
      <c r="CS67" s="6"/>
      <c r="CT67" s="6"/>
      <c r="CU67" s="6"/>
      <c r="CV67" s="29"/>
      <c r="CW67" s="35"/>
      <c r="CX67" s="117"/>
      <c r="CY67" s="117"/>
      <c r="CZ67" s="117"/>
      <c r="DA67" s="122"/>
      <c r="DB67" s="122"/>
      <c r="DC67" s="122"/>
      <c r="DD67" s="6"/>
    </row>
    <row r="68" spans="1:108" ht="15.75" customHeight="1" thickBot="1">
      <c r="A68" s="7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38"/>
      <c r="O68" s="38"/>
      <c r="P68" s="7"/>
      <c r="Q68" s="38"/>
      <c r="R68" s="38"/>
      <c r="S68" s="38"/>
      <c r="T68" s="38"/>
      <c r="U68" s="38"/>
      <c r="V68" s="38"/>
      <c r="W68" s="38"/>
      <c r="X68" s="3"/>
      <c r="Y68" s="29"/>
      <c r="Z68" s="29"/>
      <c r="AA68" s="3"/>
      <c r="AB68" s="35"/>
      <c r="AC68" s="46"/>
      <c r="AD68" s="46"/>
      <c r="AE68" s="46"/>
      <c r="AF68" s="46"/>
      <c r="AG68" s="32"/>
      <c r="AH68" s="38"/>
      <c r="AI68" s="38"/>
      <c r="AJ68" s="38"/>
      <c r="AK68" s="29"/>
      <c r="AL68" s="3"/>
      <c r="AM68" s="670"/>
      <c r="AN68" s="3"/>
      <c r="AO68" s="3"/>
      <c r="AP68" s="3"/>
      <c r="AQ68" s="3"/>
      <c r="AR68" s="3"/>
      <c r="AS68" s="212"/>
      <c r="AT68" s="714"/>
      <c r="AU68" s="715"/>
      <c r="AV68" s="212"/>
      <c r="AW68" s="3"/>
      <c r="AX68" s="3"/>
      <c r="AY68" s="212"/>
      <c r="AZ68" s="26"/>
      <c r="BA68" s="670"/>
      <c r="BB68" s="212"/>
      <c r="BC68" s="212"/>
      <c r="BD68" s="212"/>
      <c r="BE68" s="212"/>
      <c r="BF68" s="212"/>
      <c r="BG68" s="38"/>
      <c r="BH68" s="38"/>
      <c r="BI68" s="38"/>
      <c r="BJ68" s="38"/>
      <c r="BK68" s="38"/>
      <c r="BL68" s="29"/>
      <c r="BM68" s="29"/>
      <c r="BN68" s="29"/>
      <c r="BO68" s="29"/>
      <c r="BP68" s="29"/>
      <c r="BQ68" s="29"/>
      <c r="BR68" s="29"/>
      <c r="BS68" s="29"/>
      <c r="BT68" s="29"/>
      <c r="BU68" s="726"/>
      <c r="BV68" s="727"/>
      <c r="BW68" s="727"/>
      <c r="BX68" s="727"/>
      <c r="BY68" s="727"/>
      <c r="BZ68" s="727"/>
      <c r="CA68" s="728"/>
      <c r="CB68" s="29"/>
      <c r="CC68" s="3"/>
      <c r="CD68" s="11"/>
      <c r="CE68" s="29"/>
      <c r="CF68" s="29"/>
      <c r="CG68" s="3"/>
      <c r="CH68" s="29"/>
      <c r="CI68" s="6"/>
      <c r="CJ68" s="6"/>
      <c r="CK68" s="29"/>
      <c r="CL68" s="29"/>
      <c r="CM68" s="29"/>
      <c r="CN68" s="29"/>
      <c r="CO68" s="233"/>
      <c r="CP68" s="265"/>
      <c r="CQ68" s="38"/>
      <c r="CR68" s="6"/>
      <c r="CS68" s="6"/>
      <c r="CT68" s="6"/>
      <c r="CU68" s="6"/>
      <c r="CV68" s="29"/>
      <c r="CW68" s="117"/>
      <c r="CX68" s="665"/>
      <c r="CY68" s="665"/>
      <c r="CZ68" s="665"/>
      <c r="DA68" s="29"/>
      <c r="DB68" s="29"/>
      <c r="DC68" s="29"/>
      <c r="DD68" s="6"/>
    </row>
    <row r="69" spans="1:108" ht="15.75" customHeight="1" thickBot="1">
      <c r="A69" s="7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38"/>
      <c r="O69" s="38"/>
      <c r="P69" s="7"/>
      <c r="Q69" s="38"/>
      <c r="R69" s="38"/>
      <c r="S69" s="38"/>
      <c r="T69" s="38"/>
      <c r="U69" s="38"/>
      <c r="V69" s="38"/>
      <c r="W69" s="38"/>
      <c r="X69" s="29"/>
      <c r="Y69" s="3"/>
      <c r="Z69" s="3"/>
      <c r="AA69" s="3"/>
      <c r="AB69" s="685"/>
      <c r="AC69" s="665"/>
      <c r="AD69" s="665"/>
      <c r="AE69" s="665"/>
      <c r="AF69" s="665"/>
      <c r="AG69" s="685"/>
      <c r="AH69" s="6"/>
      <c r="AI69" s="38"/>
      <c r="AJ69" s="38"/>
      <c r="AK69" s="29"/>
      <c r="AL69" s="3"/>
      <c r="AM69" s="670"/>
      <c r="AN69" s="681"/>
      <c r="AO69" s="3"/>
      <c r="AP69" s="3"/>
      <c r="AQ69" s="3"/>
      <c r="AR69" s="3"/>
      <c r="AS69" s="3"/>
      <c r="AT69" s="672"/>
      <c r="AU69" s="672"/>
      <c r="AV69" s="3"/>
      <c r="AW69" s="3"/>
      <c r="AX69" s="3"/>
      <c r="AY69" s="212"/>
      <c r="AZ69" s="26"/>
      <c r="BA69" s="670"/>
      <c r="BB69" s="212"/>
      <c r="BC69" s="212"/>
      <c r="BD69" s="212"/>
      <c r="BE69" s="212"/>
      <c r="BF69" s="212"/>
      <c r="BG69" s="38"/>
      <c r="BH69" s="38"/>
      <c r="BI69" s="38"/>
      <c r="BJ69" s="38"/>
      <c r="BK69" s="38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64"/>
      <c r="BW69" s="264"/>
      <c r="BX69" s="29"/>
      <c r="BY69" s="32"/>
      <c r="BZ69" s="29"/>
      <c r="CA69" s="29"/>
      <c r="CB69" s="29"/>
      <c r="CC69" s="3"/>
      <c r="CD69" s="11"/>
      <c r="CE69" s="29"/>
      <c r="CF69" s="29"/>
      <c r="CG69" s="3"/>
      <c r="CH69" s="29"/>
      <c r="CI69" s="6"/>
      <c r="CJ69" s="29"/>
      <c r="CK69" s="6"/>
      <c r="CL69" s="44"/>
      <c r="CM69" s="29"/>
      <c r="CN69" s="6"/>
      <c r="CO69" s="6"/>
      <c r="CP69" s="6"/>
      <c r="CQ69" s="6"/>
      <c r="CR69" s="6"/>
      <c r="CS69" s="6"/>
      <c r="CT69" s="6"/>
      <c r="CU69" s="3"/>
      <c r="CV69" s="293"/>
      <c r="CW69" s="759"/>
      <c r="CX69" s="721"/>
      <c r="CY69" s="721"/>
      <c r="CZ69" s="722"/>
      <c r="DA69" s="29"/>
      <c r="DB69" s="29"/>
      <c r="DC69" s="29"/>
      <c r="DD69" s="6"/>
    </row>
    <row r="70" spans="1:108" ht="15.75" customHeight="1">
      <c r="A70" s="7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8"/>
      <c r="O70" s="38"/>
      <c r="P70" s="7"/>
      <c r="Q70" s="38"/>
      <c r="R70" s="38"/>
      <c r="S70" s="38"/>
      <c r="T70" s="38"/>
      <c r="U70" s="38"/>
      <c r="V70" s="38"/>
      <c r="W70" s="38"/>
      <c r="X70" s="38"/>
      <c r="Y70" s="38"/>
      <c r="Z70" s="29"/>
      <c r="AA70" s="29"/>
      <c r="AB70" s="6"/>
      <c r="AC70" s="686"/>
      <c r="AD70" s="687"/>
      <c r="AE70" s="687"/>
      <c r="AF70" s="687"/>
      <c r="AG70" s="688"/>
      <c r="AH70" s="250"/>
      <c r="AI70" s="38"/>
      <c r="AJ70" s="38"/>
      <c r="AK70" s="29"/>
      <c r="AL70" s="3"/>
      <c r="AM70" s="670"/>
      <c r="AN70" s="681"/>
      <c r="AO70" s="3"/>
      <c r="AP70" s="6"/>
      <c r="AQ70" s="6"/>
      <c r="AR70" s="3"/>
      <c r="AS70" s="3"/>
      <c r="AT70" s="672"/>
      <c r="AU70" s="672"/>
      <c r="AV70" s="3"/>
      <c r="AW70" s="3"/>
      <c r="AX70" s="3"/>
      <c r="AY70" s="3"/>
      <c r="AZ70" s="3"/>
      <c r="BA70" s="670"/>
      <c r="BB70" s="26"/>
      <c r="BC70" s="26"/>
      <c r="BD70" s="26"/>
      <c r="BE70" s="38"/>
      <c r="BF70" s="27"/>
      <c r="BG70" s="38"/>
      <c r="BH70" s="3"/>
      <c r="BI70" s="3"/>
      <c r="BJ70" s="3"/>
      <c r="BK70" s="3"/>
      <c r="BL70" s="3"/>
      <c r="BM70" s="3"/>
      <c r="BN70" s="3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32"/>
      <c r="BZ70" s="29"/>
      <c r="CA70" s="29"/>
      <c r="CB70" s="29"/>
      <c r="CC70" s="3"/>
      <c r="CD70" s="11"/>
      <c r="CE70" s="760"/>
      <c r="CF70" s="721"/>
      <c r="CG70" s="721"/>
      <c r="CH70" s="721"/>
      <c r="CI70" s="721"/>
      <c r="CJ70" s="721"/>
      <c r="CK70" s="721"/>
      <c r="CL70" s="721"/>
      <c r="CM70" s="721"/>
      <c r="CN70" s="721"/>
      <c r="CO70" s="722"/>
      <c r="CP70" s="269"/>
      <c r="CQ70" s="3"/>
      <c r="CR70" s="3"/>
      <c r="CS70" s="3"/>
      <c r="CT70" s="6"/>
      <c r="CU70" s="3"/>
      <c r="CV70" s="293"/>
      <c r="CW70" s="723"/>
      <c r="CX70" s="724"/>
      <c r="CY70" s="724"/>
      <c r="CZ70" s="725"/>
      <c r="DA70" s="3"/>
      <c r="DB70" s="3"/>
      <c r="DC70" s="112"/>
      <c r="DD70" s="6"/>
    </row>
    <row r="71" spans="1:108" ht="15.75" customHeight="1" thickBot="1">
      <c r="A71" s="7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8"/>
      <c r="O71" s="27"/>
      <c r="P71" s="38"/>
      <c r="Q71" s="11"/>
      <c r="R71" s="11"/>
      <c r="S71" s="11"/>
      <c r="T71" s="11"/>
      <c r="U71" s="11"/>
      <c r="V71" s="11"/>
      <c r="W71" s="11"/>
      <c r="X71" s="11"/>
      <c r="Y71" s="38"/>
      <c r="Z71" s="29"/>
      <c r="AA71" s="29"/>
      <c r="AB71" s="6"/>
      <c r="AC71" s="271"/>
      <c r="AD71" s="29"/>
      <c r="AE71" s="29"/>
      <c r="AF71" s="29"/>
      <c r="AG71" s="272"/>
      <c r="AH71" s="250"/>
      <c r="AI71" s="3"/>
      <c r="AJ71" s="3"/>
      <c r="AK71" s="29"/>
      <c r="AL71" s="3"/>
      <c r="AM71" s="670"/>
      <c r="AN71" s="681"/>
      <c r="AO71" s="3"/>
      <c r="AP71" s="3"/>
      <c r="AQ71" s="3"/>
      <c r="AR71" s="3"/>
      <c r="AS71" s="3"/>
      <c r="AT71" s="6"/>
      <c r="AU71" s="6"/>
      <c r="AV71" s="26"/>
      <c r="AW71" s="26"/>
      <c r="AX71" s="26"/>
      <c r="AY71" s="26"/>
      <c r="AZ71" s="26"/>
      <c r="BA71" s="670"/>
      <c r="BB71" s="26"/>
      <c r="BC71" s="26"/>
      <c r="BD71" s="26"/>
      <c r="BE71" s="38"/>
      <c r="BF71" s="38"/>
      <c r="BG71" s="38"/>
      <c r="BH71" s="38"/>
      <c r="BI71" s="38"/>
      <c r="BJ71" s="38"/>
      <c r="BK71" s="38"/>
      <c r="BL71" s="29"/>
      <c r="BM71" s="29"/>
      <c r="BN71" s="29"/>
      <c r="BO71" s="29"/>
      <c r="BP71" s="29"/>
      <c r="BQ71" s="29"/>
      <c r="BR71" s="29"/>
      <c r="BS71" s="29"/>
      <c r="BT71" s="29"/>
      <c r="BU71" s="379"/>
      <c r="BV71" s="379"/>
      <c r="BW71" s="379"/>
      <c r="BX71" s="379"/>
      <c r="BY71" s="32"/>
      <c r="BZ71" s="29"/>
      <c r="CA71" s="29"/>
      <c r="CB71" s="29"/>
      <c r="CC71" s="3"/>
      <c r="CD71" s="11"/>
      <c r="CE71" s="723"/>
      <c r="CF71" s="724"/>
      <c r="CG71" s="724"/>
      <c r="CH71" s="724"/>
      <c r="CI71" s="724"/>
      <c r="CJ71" s="724"/>
      <c r="CK71" s="724"/>
      <c r="CL71" s="724"/>
      <c r="CM71" s="724"/>
      <c r="CN71" s="724"/>
      <c r="CO71" s="725"/>
      <c r="CP71" s="269"/>
      <c r="CQ71" s="3"/>
      <c r="CR71" s="3"/>
      <c r="CS71" s="3"/>
      <c r="CT71" s="6"/>
      <c r="CU71" s="3"/>
      <c r="CV71" s="293"/>
      <c r="CW71" s="723"/>
      <c r="CX71" s="724"/>
      <c r="CY71" s="724"/>
      <c r="CZ71" s="725"/>
      <c r="DA71" s="3"/>
      <c r="DB71" s="3"/>
      <c r="DC71" s="112"/>
      <c r="DD71" s="6"/>
    </row>
    <row r="72" spans="1:108" ht="15.75" customHeight="1" thickBot="1">
      <c r="A72" s="7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11"/>
      <c r="Y72" s="38"/>
      <c r="Z72" s="29"/>
      <c r="AA72" s="29"/>
      <c r="AB72" s="6"/>
      <c r="AC72" s="271"/>
      <c r="AD72" s="29"/>
      <c r="AE72" s="29"/>
      <c r="AF72" s="29"/>
      <c r="AG72" s="272"/>
      <c r="AH72" s="720" t="s">
        <v>242</v>
      </c>
      <c r="AI72" s="721"/>
      <c r="AJ72" s="721"/>
      <c r="AK72" s="29"/>
      <c r="AL72" s="3"/>
      <c r="AM72" s="670"/>
      <c r="AN72" s="681"/>
      <c r="AO72" s="3"/>
      <c r="AP72" s="3"/>
      <c r="AQ72" s="3"/>
      <c r="AR72" s="3"/>
      <c r="AS72" s="3"/>
      <c r="AT72" s="681"/>
      <c r="AU72" s="681"/>
      <c r="AV72" s="26"/>
      <c r="AW72" s="26"/>
      <c r="AX72" s="26"/>
      <c r="AY72" s="26"/>
      <c r="AZ72" s="26"/>
      <c r="BA72" s="670"/>
      <c r="BB72" s="26"/>
      <c r="BC72" s="26"/>
      <c r="BD72" s="26"/>
      <c r="BE72" s="38"/>
      <c r="BF72" s="38"/>
      <c r="BG72" s="38"/>
      <c r="BH72" s="38"/>
      <c r="BI72" s="38"/>
      <c r="BJ72" s="38"/>
      <c r="BK72" s="38"/>
      <c r="BL72" s="29"/>
      <c r="BM72" s="29"/>
      <c r="BN72" s="29"/>
      <c r="BO72" s="29"/>
      <c r="BP72" s="29"/>
      <c r="BQ72" s="29"/>
      <c r="BR72" s="29"/>
      <c r="BS72" s="29"/>
      <c r="BT72" s="29"/>
      <c r="BU72" s="761"/>
      <c r="BV72" s="744"/>
      <c r="BW72" s="744"/>
      <c r="BX72" s="744"/>
      <c r="BY72" s="29"/>
      <c r="BZ72" s="29"/>
      <c r="CA72" s="29"/>
      <c r="CB72" s="29"/>
      <c r="CC72" s="3"/>
      <c r="CD72" s="11"/>
      <c r="CE72" s="723"/>
      <c r="CF72" s="724"/>
      <c r="CG72" s="724"/>
      <c r="CH72" s="724"/>
      <c r="CI72" s="724"/>
      <c r="CJ72" s="724"/>
      <c r="CK72" s="724"/>
      <c r="CL72" s="724"/>
      <c r="CM72" s="724"/>
      <c r="CN72" s="724"/>
      <c r="CO72" s="725"/>
      <c r="CP72" s="269"/>
      <c r="CQ72" s="3"/>
      <c r="CR72" s="3"/>
      <c r="CS72" s="3"/>
      <c r="CT72" s="6"/>
      <c r="CU72" s="3"/>
      <c r="CV72" s="3"/>
      <c r="CW72" s="723"/>
      <c r="CX72" s="724"/>
      <c r="CY72" s="724"/>
      <c r="CZ72" s="725"/>
      <c r="DA72" s="3"/>
      <c r="DB72" s="3"/>
      <c r="DC72" s="112"/>
      <c r="DD72" s="6"/>
    </row>
    <row r="73" spans="1:108" ht="15.75" customHeight="1">
      <c r="A73" s="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11"/>
      <c r="Y73" s="38"/>
      <c r="Z73" s="38"/>
      <c r="AA73" s="29"/>
      <c r="AB73" s="6"/>
      <c r="AC73" s="235"/>
      <c r="AD73" s="38"/>
      <c r="AE73" s="38"/>
      <c r="AF73" s="38"/>
      <c r="AG73" s="270"/>
      <c r="AH73" s="723"/>
      <c r="AI73" s="724"/>
      <c r="AJ73" s="724"/>
      <c r="AK73" s="29"/>
      <c r="AL73" s="3"/>
      <c r="AM73" s="670"/>
      <c r="AN73" s="3"/>
      <c r="AO73" s="3"/>
      <c r="AP73" s="3"/>
      <c r="AQ73" s="3"/>
      <c r="AR73" s="3"/>
      <c r="AS73" s="26"/>
      <c r="AT73" s="681"/>
      <c r="AU73" s="681"/>
      <c r="AV73" s="26"/>
      <c r="AW73" s="26"/>
      <c r="AX73" s="26"/>
      <c r="AY73" s="26"/>
      <c r="AZ73" s="26"/>
      <c r="BA73" s="670"/>
      <c r="BB73" s="26"/>
      <c r="BC73" s="26"/>
      <c r="BD73" s="26"/>
      <c r="BE73" s="38"/>
      <c r="BF73" s="38"/>
      <c r="BG73" s="38"/>
      <c r="BH73" s="38"/>
      <c r="BI73" s="38"/>
      <c r="BJ73" s="38"/>
      <c r="BK73" s="38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3"/>
      <c r="CD73" s="11"/>
      <c r="CE73" s="723"/>
      <c r="CF73" s="724"/>
      <c r="CG73" s="724"/>
      <c r="CH73" s="724"/>
      <c r="CI73" s="724"/>
      <c r="CJ73" s="724"/>
      <c r="CK73" s="724"/>
      <c r="CL73" s="724"/>
      <c r="CM73" s="724"/>
      <c r="CN73" s="724"/>
      <c r="CO73" s="725"/>
      <c r="CP73" s="269"/>
      <c r="CQ73" s="3"/>
      <c r="CR73" s="3"/>
      <c r="CS73" s="3"/>
      <c r="CT73" s="6"/>
      <c r="CU73" s="3"/>
      <c r="CV73" s="3"/>
      <c r="CW73" s="723"/>
      <c r="CX73" s="724"/>
      <c r="CY73" s="724"/>
      <c r="CZ73" s="725"/>
      <c r="DA73" s="720"/>
      <c r="DB73" s="722"/>
      <c r="DC73" s="29"/>
      <c r="DD73" s="6"/>
    </row>
    <row r="74" spans="1:108" ht="15.75" customHeight="1" thickBot="1">
      <c r="A74" s="7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11"/>
      <c r="Y74" s="38"/>
      <c r="Z74" s="38"/>
      <c r="AA74" s="29"/>
      <c r="AB74" s="6"/>
      <c r="AC74" s="235"/>
      <c r="AD74" s="38"/>
      <c r="AE74" s="38"/>
      <c r="AF74" s="38"/>
      <c r="AG74" s="270"/>
      <c r="AH74" s="723"/>
      <c r="AI74" s="724"/>
      <c r="AJ74" s="724"/>
      <c r="AK74" s="29"/>
      <c r="AL74" s="3"/>
      <c r="AM74" s="670"/>
      <c r="AN74" s="3"/>
      <c r="AO74" s="3"/>
      <c r="AP74" s="3"/>
      <c r="AQ74" s="3"/>
      <c r="AR74" s="26"/>
      <c r="AS74" s="26"/>
      <c r="AT74" s="26"/>
      <c r="AU74" s="26"/>
      <c r="AV74" s="26"/>
      <c r="AW74" s="26"/>
      <c r="AX74" s="26"/>
      <c r="AY74" s="26"/>
      <c r="AZ74" s="26"/>
      <c r="BA74" s="670"/>
      <c r="BB74" s="26"/>
      <c r="BC74" s="26"/>
      <c r="BD74" s="26"/>
      <c r="BE74" s="38"/>
      <c r="BF74" s="38"/>
      <c r="BG74" s="38"/>
      <c r="BH74" s="38"/>
      <c r="BI74" s="38"/>
      <c r="BJ74" s="38"/>
      <c r="BK74" s="38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3"/>
      <c r="CD74" s="11"/>
      <c r="CE74" s="723"/>
      <c r="CF74" s="724"/>
      <c r="CG74" s="724"/>
      <c r="CH74" s="724"/>
      <c r="CI74" s="724"/>
      <c r="CJ74" s="724"/>
      <c r="CK74" s="724"/>
      <c r="CL74" s="724"/>
      <c r="CM74" s="724"/>
      <c r="CN74" s="724"/>
      <c r="CO74" s="725"/>
      <c r="CP74" s="269"/>
      <c r="CQ74" s="3"/>
      <c r="CR74" s="3"/>
      <c r="CS74" s="3"/>
      <c r="CT74" s="6"/>
      <c r="CU74" s="3"/>
      <c r="CV74" s="3"/>
      <c r="CW74" s="723"/>
      <c r="CX74" s="724"/>
      <c r="CY74" s="724"/>
      <c r="CZ74" s="725"/>
      <c r="DA74" s="723"/>
      <c r="DB74" s="725"/>
      <c r="DC74" s="29"/>
      <c r="DD74" s="6"/>
    </row>
    <row r="75" spans="1:108" ht="15.75" customHeight="1" thickBot="1">
      <c r="A75" s="7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11"/>
      <c r="Y75" s="38"/>
      <c r="Z75" s="38"/>
      <c r="AA75" s="38"/>
      <c r="AB75" s="6"/>
      <c r="AC75" s="235"/>
      <c r="AD75" s="38"/>
      <c r="AE75" s="38"/>
      <c r="AF75" s="38"/>
      <c r="AG75" s="270"/>
      <c r="AH75" s="723"/>
      <c r="AI75" s="724"/>
      <c r="AJ75" s="724"/>
      <c r="AK75" s="29"/>
      <c r="AL75" s="3"/>
      <c r="AM75" s="670"/>
      <c r="AN75" s="3"/>
      <c r="AO75" s="3"/>
      <c r="AP75" s="3"/>
      <c r="AQ75" s="3"/>
      <c r="AR75" s="3"/>
      <c r="AS75" s="3"/>
      <c r="AT75" s="3"/>
      <c r="AU75" s="3"/>
      <c r="AV75" s="3"/>
      <c r="AW75" s="26"/>
      <c r="AX75" s="26"/>
      <c r="AY75" s="26"/>
      <c r="AZ75" s="26"/>
      <c r="BA75" s="670"/>
      <c r="BB75" s="26"/>
      <c r="BC75" s="26"/>
      <c r="BD75" s="26"/>
      <c r="BE75" s="38"/>
      <c r="BF75" s="38"/>
      <c r="BG75" s="38"/>
      <c r="BH75" s="38"/>
      <c r="BI75" s="38"/>
      <c r="BJ75" s="38"/>
      <c r="BK75" s="38"/>
      <c r="BL75" s="29"/>
      <c r="BM75" s="29"/>
      <c r="BN75" s="29"/>
      <c r="BO75" s="29"/>
      <c r="BP75" s="762"/>
      <c r="BQ75" s="721"/>
      <c r="BR75" s="722"/>
      <c r="BS75" s="29"/>
      <c r="BT75" s="29"/>
      <c r="BU75" s="29"/>
      <c r="BV75" s="29"/>
      <c r="BW75" s="29"/>
      <c r="BX75" s="6"/>
      <c r="BY75" s="6"/>
      <c r="BZ75" s="759"/>
      <c r="CA75" s="722"/>
      <c r="CB75" s="29"/>
      <c r="CC75" s="3"/>
      <c r="CD75" s="11"/>
      <c r="CE75" s="726"/>
      <c r="CF75" s="727"/>
      <c r="CG75" s="727"/>
      <c r="CH75" s="727"/>
      <c r="CI75" s="727"/>
      <c r="CJ75" s="727"/>
      <c r="CK75" s="727"/>
      <c r="CL75" s="727"/>
      <c r="CM75" s="727"/>
      <c r="CN75" s="727"/>
      <c r="CO75" s="728"/>
      <c r="CP75" s="271"/>
      <c r="CQ75" s="29"/>
      <c r="CR75" s="29"/>
      <c r="CS75" s="29"/>
      <c r="CT75" s="29"/>
      <c r="CU75" s="3"/>
      <c r="CV75" s="3"/>
      <c r="CW75" s="726"/>
      <c r="CX75" s="727"/>
      <c r="CY75" s="727"/>
      <c r="CZ75" s="728"/>
      <c r="DA75" s="726"/>
      <c r="DB75" s="728"/>
      <c r="DC75" s="29"/>
      <c r="DD75" s="6"/>
    </row>
    <row r="76" spans="1:108" ht="15.75" customHeight="1" thickBot="1">
      <c r="A76" s="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11"/>
      <c r="Y76" s="38"/>
      <c r="Z76" s="38"/>
      <c r="AA76" s="38"/>
      <c r="AB76" s="6"/>
      <c r="AC76" s="235"/>
      <c r="AD76" s="38"/>
      <c r="AE76" s="38"/>
      <c r="AF76" s="38"/>
      <c r="AG76" s="272"/>
      <c r="AH76" s="723"/>
      <c r="AI76" s="724"/>
      <c r="AJ76" s="724"/>
      <c r="AK76" s="29"/>
      <c r="AL76" s="3"/>
      <c r="AM76" s="670"/>
      <c r="AN76" s="681"/>
      <c r="AO76" s="681"/>
      <c r="AP76" s="681"/>
      <c r="AQ76" s="681"/>
      <c r="AR76" s="293"/>
      <c r="AS76" s="293"/>
      <c r="AT76" s="6"/>
      <c r="AU76" s="3"/>
      <c r="AV76" s="26"/>
      <c r="AW76" s="26"/>
      <c r="AX76" s="26"/>
      <c r="AY76" s="26"/>
      <c r="AZ76" s="26"/>
      <c r="BA76" s="670"/>
      <c r="BB76" s="26"/>
      <c r="BC76" s="26"/>
      <c r="BD76" s="26"/>
      <c r="BE76" s="38"/>
      <c r="BF76" s="38"/>
      <c r="BG76" s="38"/>
      <c r="BH76" s="38"/>
      <c r="BI76" s="38"/>
      <c r="BJ76" s="38"/>
      <c r="BK76" s="38"/>
      <c r="BL76" s="29"/>
      <c r="BM76" s="29"/>
      <c r="BN76" s="29"/>
      <c r="BO76" s="29"/>
      <c r="BP76" s="726"/>
      <c r="BQ76" s="727"/>
      <c r="BR76" s="728"/>
      <c r="BS76" s="29"/>
      <c r="BT76" s="29"/>
      <c r="BU76" s="29"/>
      <c r="BV76" s="29"/>
      <c r="BW76" s="29"/>
      <c r="BX76" s="6"/>
      <c r="BY76" s="6"/>
      <c r="BZ76" s="726"/>
      <c r="CA76" s="728"/>
      <c r="CB76" s="29"/>
      <c r="CC76" s="3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29"/>
      <c r="CV76" s="29"/>
      <c r="CW76" s="29"/>
      <c r="CX76" s="29"/>
      <c r="CY76" s="29"/>
      <c r="CZ76" s="29"/>
      <c r="DA76" s="29"/>
      <c r="DB76" s="29"/>
      <c r="DC76" s="29"/>
      <c r="DD76" s="6"/>
    </row>
    <row r="77" spans="1:108" ht="15.75" customHeight="1">
      <c r="A77" s="7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29"/>
      <c r="AL77" s="3"/>
      <c r="AM77" s="670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6"/>
    </row>
    <row r="78" spans="1:10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</row>
    <row r="79" spans="1:108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</row>
  </sheetData>
  <mergeCells count="67">
    <mergeCell ref="AC66:AF66"/>
    <mergeCell ref="AT68:AU68"/>
    <mergeCell ref="CW69:CZ75"/>
    <mergeCell ref="CE70:CO75"/>
    <mergeCell ref="AH72:AJ76"/>
    <mergeCell ref="BU72:BX72"/>
    <mergeCell ref="BP75:BR76"/>
    <mergeCell ref="BZ75:CA76"/>
    <mergeCell ref="BU58:CA68"/>
    <mergeCell ref="CW59:DB64"/>
    <mergeCell ref="CX65:CZ65"/>
    <mergeCell ref="DA73:DB75"/>
    <mergeCell ref="CU42:CV42"/>
    <mergeCell ref="AS43:AV43"/>
    <mergeCell ref="AR47:AS47"/>
    <mergeCell ref="AT47:AU47"/>
    <mergeCell ref="CH47:CI47"/>
    <mergeCell ref="CM47:CN47"/>
    <mergeCell ref="BZ38:CA38"/>
    <mergeCell ref="AT57:AU57"/>
    <mergeCell ref="AI40:AJ48"/>
    <mergeCell ref="BG40:BH40"/>
    <mergeCell ref="CH42:CI42"/>
    <mergeCell ref="BG48:BH48"/>
    <mergeCell ref="BC51:BD51"/>
    <mergeCell ref="AY52:AZ52"/>
    <mergeCell ref="CH53:CI53"/>
    <mergeCell ref="BU54:BW54"/>
    <mergeCell ref="AT55:AU55"/>
    <mergeCell ref="AS39:AY39"/>
    <mergeCell ref="CH39:CI39"/>
    <mergeCell ref="B26:C26"/>
    <mergeCell ref="CM26:CN26"/>
    <mergeCell ref="C30:D30"/>
    <mergeCell ref="P30:W46"/>
    <mergeCell ref="CH30:CI30"/>
    <mergeCell ref="BZ31:CA31"/>
    <mergeCell ref="CE31:CF31"/>
    <mergeCell ref="G32:H32"/>
    <mergeCell ref="AI32:AJ39"/>
    <mergeCell ref="BV33:BW33"/>
    <mergeCell ref="CM33:CN33"/>
    <mergeCell ref="I37:J37"/>
    <mergeCell ref="AP37:AQ37"/>
    <mergeCell ref="BO38:BP38"/>
    <mergeCell ref="N21:O24"/>
    <mergeCell ref="BE21:BI25"/>
    <mergeCell ref="CM21:CN21"/>
    <mergeCell ref="CE23:CI28"/>
    <mergeCell ref="G24:H24"/>
    <mergeCell ref="BO24:BP24"/>
    <mergeCell ref="BV20:BW20"/>
    <mergeCell ref="A1:DC1"/>
    <mergeCell ref="BQ5:BS5"/>
    <mergeCell ref="A6:C8"/>
    <mergeCell ref="AB6:AJ9"/>
    <mergeCell ref="BZ6:CA10"/>
    <mergeCell ref="G9:H9"/>
    <mergeCell ref="I9:J9"/>
    <mergeCell ref="Q9:X18"/>
    <mergeCell ref="F10:G10"/>
    <mergeCell ref="CH10:CI10"/>
    <mergeCell ref="A12:A15"/>
    <mergeCell ref="M12:N12"/>
    <mergeCell ref="Z13:AH18"/>
    <mergeCell ref="CM16:CN16"/>
    <mergeCell ref="C19:D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2025-10-28T19:23:26Z</dcterms:modified>
</cp:coreProperties>
</file>