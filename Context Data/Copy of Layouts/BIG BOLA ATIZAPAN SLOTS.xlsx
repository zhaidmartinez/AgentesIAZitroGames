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DA36FAB4-AA98-4D4A-B424-DC832644E52E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externalReferences>
    <externalReference r:id="rId5"/>
  </externalReferences>
  <definedNames>
    <definedName name="_abb88">#REF!</definedName>
    <definedName name="BBDD_DASH">OFFSET([1]TAM!$AQ$1,0,0,COUNTA([1]TAM!$AR:$AR),34)</definedName>
    <definedName name="bbdd_ranking_juegos">OFFSET([1]VarDash!XEZ1,0,0,COUNTA([1]VarDash!XEZ1:XEZ94),3)</definedName>
    <definedName name="FUMAR" localSheetId="1">'Layout Actual'!#REF!</definedName>
    <definedName name="P" localSheetId="1">'Layout Actual'!#REF!</definedName>
    <definedName name="P" localSheetId="0">'Licencias Actual'!#REF!</definedName>
    <definedName name="rango_rankings">OFFSET('[1]BD Rankings'!$A$1,0,0, COUNTA('[1]BD Rankings'!$A:$A),COUNTA('[1]BD Rankings'!$1:$1))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6" i="51" l="1"/>
  <c r="E496" i="51"/>
  <c r="N495" i="51"/>
  <c r="E495" i="51"/>
  <c r="N494" i="51"/>
  <c r="E494" i="51"/>
  <c r="N493" i="51"/>
  <c r="E493" i="51"/>
  <c r="N492" i="51"/>
  <c r="E492" i="51"/>
  <c r="N491" i="51"/>
  <c r="E491" i="51"/>
  <c r="N490" i="51"/>
  <c r="E490" i="51"/>
  <c r="N489" i="51"/>
  <c r="E489" i="51"/>
  <c r="N488" i="51"/>
  <c r="E488" i="51"/>
  <c r="N487" i="51"/>
  <c r="N497" i="51" s="1"/>
  <c r="E487" i="51"/>
  <c r="E497" i="51" s="1"/>
  <c r="N484" i="51"/>
  <c r="N485" i="51" s="1"/>
  <c r="E484" i="51"/>
  <c r="E485" i="51" s="1"/>
  <c r="N483" i="51"/>
  <c r="E483" i="51"/>
  <c r="N482" i="51"/>
  <c r="E482" i="51"/>
  <c r="N481" i="51"/>
  <c r="E481" i="51"/>
  <c r="N480" i="51"/>
  <c r="E480" i="51"/>
  <c r="N479" i="51"/>
  <c r="E479" i="51"/>
  <c r="N478" i="51"/>
  <c r="E478" i="51"/>
  <c r="N477" i="51"/>
  <c r="E477" i="51"/>
  <c r="N476" i="51"/>
  <c r="E476" i="51"/>
  <c r="N475" i="51"/>
  <c r="E475" i="51"/>
  <c r="N474" i="51"/>
  <c r="E474" i="51"/>
  <c r="N473" i="51"/>
  <c r="E473" i="51"/>
  <c r="N470" i="51"/>
  <c r="E470" i="51"/>
  <c r="N469" i="51"/>
  <c r="E469" i="51"/>
  <c r="N468" i="51"/>
  <c r="E468" i="51"/>
  <c r="N467" i="51"/>
  <c r="N471" i="51" s="1"/>
  <c r="E467" i="51"/>
  <c r="E471" i="51" s="1"/>
  <c r="N464" i="51"/>
  <c r="E464" i="51"/>
  <c r="N463" i="51"/>
  <c r="E463" i="51"/>
  <c r="N462" i="51"/>
  <c r="E462" i="51"/>
  <c r="N461" i="51"/>
  <c r="E461" i="51"/>
  <c r="N460" i="51"/>
  <c r="E460" i="51"/>
  <c r="N459" i="51"/>
  <c r="N465" i="51" s="1"/>
  <c r="E459" i="51"/>
  <c r="E465" i="51" s="1"/>
  <c r="N456" i="51"/>
  <c r="E456" i="51"/>
  <c r="N455" i="51"/>
  <c r="E455" i="51"/>
  <c r="N454" i="51"/>
  <c r="E454" i="51"/>
  <c r="N453" i="51"/>
  <c r="E453" i="51"/>
  <c r="N452" i="51"/>
  <c r="E452" i="5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40" i="51"/>
  <c r="E440" i="51"/>
  <c r="N439" i="51"/>
  <c r="E439" i="51"/>
  <c r="N438" i="51"/>
  <c r="E438" i="51"/>
  <c r="N437" i="51"/>
  <c r="E437" i="51"/>
  <c r="N436" i="51"/>
  <c r="E436" i="51"/>
  <c r="N435" i="51"/>
  <c r="E435" i="51"/>
  <c r="N434" i="51"/>
  <c r="N457" i="51" s="1"/>
  <c r="E434" i="51"/>
  <c r="E457" i="51" s="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N432" i="51" s="1"/>
  <c r="E355" i="51"/>
  <c r="E432" i="51" s="1"/>
  <c r="F322" i="51" s="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E353" i="51" s="1"/>
  <c r="N325" i="51"/>
  <c r="N353" i="51" s="1"/>
  <c r="E325" i="51"/>
  <c r="M311" i="51"/>
  <c r="P311" i="51" s="1"/>
  <c r="Q311" i="51" s="1"/>
  <c r="D311" i="51"/>
  <c r="M310" i="51"/>
  <c r="D310" i="51"/>
  <c r="P310" i="51" s="1"/>
  <c r="Q310" i="51" s="1"/>
  <c r="M309" i="51"/>
  <c r="D309" i="51"/>
  <c r="P309" i="51" s="1"/>
  <c r="Q309" i="51" s="1"/>
  <c r="M308" i="51"/>
  <c r="P308" i="51" s="1"/>
  <c r="Q308" i="51" s="1"/>
  <c r="D308" i="51"/>
  <c r="M307" i="51"/>
  <c r="P307" i="51" s="1"/>
  <c r="Q307" i="51" s="1"/>
  <c r="D307" i="51"/>
  <c r="M306" i="51"/>
  <c r="D306" i="51"/>
  <c r="P306" i="51" s="1"/>
  <c r="Q306" i="51" s="1"/>
  <c r="M305" i="51"/>
  <c r="P305" i="51" s="1"/>
  <c r="Q305" i="51" s="1"/>
  <c r="D305" i="51"/>
  <c r="M304" i="51"/>
  <c r="P304" i="51" s="1"/>
  <c r="Q304" i="51" s="1"/>
  <c r="D304" i="51"/>
  <c r="M303" i="51"/>
  <c r="D303" i="51"/>
  <c r="P303" i="51" s="1"/>
  <c r="Q303" i="51" s="1"/>
  <c r="M302" i="51"/>
  <c r="D302" i="51"/>
  <c r="P302" i="51" s="1"/>
  <c r="Q302" i="51" s="1"/>
  <c r="M301" i="51"/>
  <c r="P301" i="51" s="1"/>
  <c r="Q301" i="51" s="1"/>
  <c r="D301" i="51"/>
  <c r="M300" i="51"/>
  <c r="D300" i="51"/>
  <c r="P300" i="51" s="1"/>
  <c r="Q300" i="51" s="1"/>
  <c r="M299" i="51"/>
  <c r="D299" i="51"/>
  <c r="P299" i="51" s="1"/>
  <c r="Q299" i="51" s="1"/>
  <c r="M298" i="51"/>
  <c r="P298" i="51" s="1"/>
  <c r="Q298" i="51" s="1"/>
  <c r="D298" i="51"/>
  <c r="M297" i="51"/>
  <c r="D297" i="51"/>
  <c r="P297" i="51" s="1"/>
  <c r="Q297" i="51" s="1"/>
  <c r="M296" i="51"/>
  <c r="D296" i="51"/>
  <c r="P296" i="51" s="1"/>
  <c r="Q296" i="51" s="1"/>
  <c r="M295" i="51"/>
  <c r="P295" i="51" s="1"/>
  <c r="Q295" i="51" s="1"/>
  <c r="D295" i="51"/>
  <c r="M294" i="51"/>
  <c r="D294" i="51"/>
  <c r="P294" i="51" s="1"/>
  <c r="Q294" i="51" s="1"/>
  <c r="M293" i="51"/>
  <c r="D293" i="51"/>
  <c r="P293" i="51" s="1"/>
  <c r="Q293" i="51" s="1"/>
  <c r="M292" i="51"/>
  <c r="P292" i="51" s="1"/>
  <c r="Q292" i="51" s="1"/>
  <c r="D292" i="51"/>
  <c r="M291" i="51"/>
  <c r="D291" i="51"/>
  <c r="P291" i="51" s="1"/>
  <c r="Q291" i="51" s="1"/>
  <c r="M290" i="51"/>
  <c r="D290" i="51"/>
  <c r="P290" i="51" s="1"/>
  <c r="Q290" i="51" s="1"/>
  <c r="M289" i="51"/>
  <c r="P289" i="51" s="1"/>
  <c r="Q289" i="51" s="1"/>
  <c r="D289" i="51"/>
  <c r="M288" i="51"/>
  <c r="D288" i="51"/>
  <c r="P288" i="51" s="1"/>
  <c r="Q288" i="51" s="1"/>
  <c r="M287" i="51"/>
  <c r="D287" i="51"/>
  <c r="P287" i="51" s="1"/>
  <c r="Q287" i="51" s="1"/>
  <c r="M286" i="51"/>
  <c r="P286" i="51" s="1"/>
  <c r="Q286" i="51" s="1"/>
  <c r="D286" i="51"/>
  <c r="M285" i="51"/>
  <c r="D285" i="51"/>
  <c r="P285" i="51" s="1"/>
  <c r="Q285" i="51" s="1"/>
  <c r="M284" i="51"/>
  <c r="D284" i="51"/>
  <c r="P284" i="51" s="1"/>
  <c r="Q284" i="51" s="1"/>
  <c r="M283" i="51"/>
  <c r="P283" i="51" s="1"/>
  <c r="Q283" i="51" s="1"/>
  <c r="D283" i="51"/>
  <c r="M282" i="51"/>
  <c r="D282" i="51"/>
  <c r="P282" i="51" s="1"/>
  <c r="Q282" i="51" s="1"/>
  <c r="M281" i="51"/>
  <c r="D281" i="51"/>
  <c r="P281" i="51" s="1"/>
  <c r="Q281" i="51" s="1"/>
  <c r="M280" i="51"/>
  <c r="P280" i="51" s="1"/>
  <c r="Q280" i="51" s="1"/>
  <c r="D280" i="51"/>
  <c r="M279" i="51"/>
  <c r="D279" i="51"/>
  <c r="P279" i="51" s="1"/>
  <c r="Q279" i="51" s="1"/>
  <c r="M278" i="51"/>
  <c r="D278" i="51"/>
  <c r="P278" i="51" s="1"/>
  <c r="Q278" i="51" s="1"/>
  <c r="M277" i="51"/>
  <c r="P277" i="51" s="1"/>
  <c r="Q277" i="51" s="1"/>
  <c r="D277" i="51"/>
  <c r="M276" i="51"/>
  <c r="D276" i="51"/>
  <c r="P276" i="51" s="1"/>
  <c r="Q276" i="51" s="1"/>
  <c r="M275" i="51"/>
  <c r="D275" i="51"/>
  <c r="P275" i="51" s="1"/>
  <c r="Q275" i="51" s="1"/>
  <c r="M274" i="51"/>
  <c r="P274" i="51" s="1"/>
  <c r="Q274" i="51" s="1"/>
  <c r="D274" i="51"/>
  <c r="M273" i="51"/>
  <c r="D273" i="51"/>
  <c r="P273" i="51" s="1"/>
  <c r="Q273" i="51" s="1"/>
  <c r="M272" i="51"/>
  <c r="D272" i="51"/>
  <c r="P272" i="51" s="1"/>
  <c r="Q272" i="51" s="1"/>
  <c r="M271" i="51"/>
  <c r="P271" i="51" s="1"/>
  <c r="Q271" i="51" s="1"/>
  <c r="D271" i="51"/>
  <c r="M270" i="51"/>
  <c r="D270" i="51"/>
  <c r="P270" i="51" s="1"/>
  <c r="Q270" i="51" s="1"/>
  <c r="M269" i="51"/>
  <c r="D269" i="51"/>
  <c r="P269" i="51" s="1"/>
  <c r="Q269" i="51" s="1"/>
  <c r="M268" i="51"/>
  <c r="P268" i="51" s="1"/>
  <c r="Q268" i="51" s="1"/>
  <c r="D268" i="51"/>
  <c r="M267" i="51"/>
  <c r="D267" i="51"/>
  <c r="P267" i="51" s="1"/>
  <c r="Q267" i="51" s="1"/>
  <c r="M266" i="51"/>
  <c r="D266" i="51"/>
  <c r="P266" i="51" s="1"/>
  <c r="Q266" i="51" s="1"/>
  <c r="M265" i="51"/>
  <c r="D265" i="51"/>
  <c r="P265" i="51" s="1"/>
  <c r="M264" i="51"/>
  <c r="D264" i="51"/>
  <c r="P264" i="51" s="1"/>
  <c r="Q264" i="51" s="1"/>
  <c r="M263" i="51"/>
  <c r="D263" i="51"/>
  <c r="P263" i="51" s="1"/>
  <c r="Q263" i="51" s="1"/>
  <c r="M262" i="51"/>
  <c r="D262" i="51"/>
  <c r="P262" i="51" s="1"/>
  <c r="Q262" i="51" s="1"/>
  <c r="M261" i="51"/>
  <c r="D261" i="51"/>
  <c r="P261" i="51" s="1"/>
  <c r="Q261" i="51" s="1"/>
  <c r="M260" i="51"/>
  <c r="D260" i="51"/>
  <c r="P260" i="51" s="1"/>
  <c r="Q260" i="51" s="1"/>
  <c r="M259" i="51"/>
  <c r="D259" i="51"/>
  <c r="P259" i="51" s="1"/>
  <c r="Q259" i="51" s="1"/>
  <c r="M258" i="51"/>
  <c r="D258" i="51"/>
  <c r="P258" i="51" s="1"/>
  <c r="Q258" i="51" s="1"/>
  <c r="M257" i="51"/>
  <c r="D257" i="51"/>
  <c r="P257" i="51" s="1"/>
  <c r="Q257" i="51" s="1"/>
  <c r="M256" i="51"/>
  <c r="D256" i="51"/>
  <c r="P256" i="51" s="1"/>
  <c r="Q256" i="51" s="1"/>
  <c r="M255" i="51"/>
  <c r="D255" i="51"/>
  <c r="P255" i="51" s="1"/>
  <c r="Q255" i="51" s="1"/>
  <c r="M254" i="51"/>
  <c r="D254" i="51"/>
  <c r="P254" i="51" s="1"/>
  <c r="Q254" i="51" s="1"/>
  <c r="M253" i="51"/>
  <c r="D253" i="51"/>
  <c r="P253" i="51" s="1"/>
  <c r="Q252" i="51"/>
  <c r="P252" i="51"/>
  <c r="M252" i="51"/>
  <c r="D252" i="51"/>
  <c r="M251" i="51"/>
  <c r="P251" i="51" s="1"/>
  <c r="Q251" i="51" s="1"/>
  <c r="D251" i="51"/>
  <c r="M250" i="51"/>
  <c r="D250" i="51"/>
  <c r="P250" i="51" s="1"/>
  <c r="Q250" i="51" s="1"/>
  <c r="Q249" i="51"/>
  <c r="P249" i="51"/>
  <c r="M249" i="51"/>
  <c r="D249" i="51"/>
  <c r="M248" i="51"/>
  <c r="P248" i="51" s="1"/>
  <c r="Q248" i="51" s="1"/>
  <c r="D248" i="51"/>
  <c r="M247" i="51"/>
  <c r="D247" i="51"/>
  <c r="P247" i="51" s="1"/>
  <c r="Q247" i="51" s="1"/>
  <c r="Q246" i="51"/>
  <c r="P246" i="51"/>
  <c r="M246" i="51"/>
  <c r="D246" i="51"/>
  <c r="M245" i="51"/>
  <c r="P245" i="51" s="1"/>
  <c r="Q245" i="51" s="1"/>
  <c r="D245" i="51"/>
  <c r="M244" i="51"/>
  <c r="D244" i="51"/>
  <c r="P244" i="51" s="1"/>
  <c r="Q244" i="51" s="1"/>
  <c r="Q243" i="51"/>
  <c r="P243" i="51"/>
  <c r="M243" i="51"/>
  <c r="D243" i="51"/>
  <c r="M242" i="51"/>
  <c r="P242" i="51" s="1"/>
  <c r="Q242" i="51" s="1"/>
  <c r="D242" i="51"/>
  <c r="M241" i="51"/>
  <c r="N239" i="51" s="1"/>
  <c r="D241" i="51"/>
  <c r="E239" i="51" s="1"/>
  <c r="Q240" i="51"/>
  <c r="P240" i="51"/>
  <c r="M240" i="51"/>
  <c r="D240" i="51"/>
  <c r="M238" i="51"/>
  <c r="D238" i="51"/>
  <c r="P238" i="51" s="1"/>
  <c r="Q238" i="51" s="1"/>
  <c r="M237" i="51"/>
  <c r="P237" i="51" s="1"/>
  <c r="Q237" i="51" s="1"/>
  <c r="D237" i="51"/>
  <c r="M236" i="51"/>
  <c r="D236" i="51"/>
  <c r="P236" i="51" s="1"/>
  <c r="Q236" i="51" s="1"/>
  <c r="M235" i="51"/>
  <c r="D235" i="51"/>
  <c r="P235" i="51" s="1"/>
  <c r="Q235" i="51" s="1"/>
  <c r="M234" i="51"/>
  <c r="P234" i="51" s="1"/>
  <c r="Q234" i="51" s="1"/>
  <c r="D234" i="51"/>
  <c r="M233" i="51"/>
  <c r="D233" i="51"/>
  <c r="P233" i="51" s="1"/>
  <c r="Q233" i="51" s="1"/>
  <c r="M232" i="51"/>
  <c r="D232" i="51"/>
  <c r="P232" i="51" s="1"/>
  <c r="Q232" i="51" s="1"/>
  <c r="M231" i="51"/>
  <c r="P231" i="51" s="1"/>
  <c r="Q231" i="51" s="1"/>
  <c r="D231" i="51"/>
  <c r="M230" i="51"/>
  <c r="D230" i="51"/>
  <c r="P230" i="51" s="1"/>
  <c r="Q230" i="51" s="1"/>
  <c r="M229" i="51"/>
  <c r="D229" i="51"/>
  <c r="P229" i="51" s="1"/>
  <c r="Q229" i="51" s="1"/>
  <c r="M228" i="51"/>
  <c r="P228" i="51" s="1"/>
  <c r="Q228" i="51" s="1"/>
  <c r="D228" i="51"/>
  <c r="M227" i="51"/>
  <c r="D227" i="51"/>
  <c r="P227" i="51" s="1"/>
  <c r="Q227" i="51" s="1"/>
  <c r="M226" i="51"/>
  <c r="D226" i="51"/>
  <c r="P226" i="51" s="1"/>
  <c r="Q226" i="51" s="1"/>
  <c r="M225" i="51"/>
  <c r="P225" i="51" s="1"/>
  <c r="Q225" i="51" s="1"/>
  <c r="D225" i="51"/>
  <c r="M224" i="51"/>
  <c r="D224" i="51"/>
  <c r="P224" i="51" s="1"/>
  <c r="Q224" i="51" s="1"/>
  <c r="M223" i="51"/>
  <c r="D223" i="51"/>
  <c r="P223" i="51" s="1"/>
  <c r="Q223" i="51" s="1"/>
  <c r="M222" i="51"/>
  <c r="P222" i="51" s="1"/>
  <c r="Q222" i="51" s="1"/>
  <c r="D222" i="51"/>
  <c r="M221" i="51"/>
  <c r="D221" i="51"/>
  <c r="P221" i="51" s="1"/>
  <c r="Q221" i="51" s="1"/>
  <c r="M220" i="51"/>
  <c r="D220" i="51"/>
  <c r="P220" i="51" s="1"/>
  <c r="Q220" i="51" s="1"/>
  <c r="M219" i="51"/>
  <c r="P219" i="51" s="1"/>
  <c r="Q219" i="51" s="1"/>
  <c r="D219" i="51"/>
  <c r="M218" i="51"/>
  <c r="D218" i="51"/>
  <c r="P218" i="51" s="1"/>
  <c r="Q218" i="51" s="1"/>
  <c r="M217" i="51"/>
  <c r="D217" i="51"/>
  <c r="P217" i="51" s="1"/>
  <c r="Q217" i="51" s="1"/>
  <c r="M216" i="51"/>
  <c r="O207" i="51" s="1"/>
  <c r="D216" i="51"/>
  <c r="M215" i="51"/>
  <c r="N214" i="51" s="1"/>
  <c r="D215" i="51"/>
  <c r="E214" i="51" s="1"/>
  <c r="F207" i="51"/>
  <c r="Q193" i="51"/>
  <c r="P193" i="51"/>
  <c r="G193" i="51"/>
  <c r="Q192" i="51"/>
  <c r="P192" i="51"/>
  <c r="G192" i="51"/>
  <c r="P191" i="51"/>
  <c r="Q191" i="51" s="1"/>
  <c r="G191" i="51"/>
  <c r="P190" i="51"/>
  <c r="G190" i="51"/>
  <c r="Q190" i="51" s="1"/>
  <c r="Q189" i="51"/>
  <c r="P189" i="51"/>
  <c r="G189" i="51"/>
  <c r="Q188" i="51"/>
  <c r="P188" i="51"/>
  <c r="G188" i="51"/>
  <c r="P187" i="51"/>
  <c r="Q187" i="51" s="1"/>
  <c r="G187" i="51"/>
  <c r="P186" i="51"/>
  <c r="G186" i="51"/>
  <c r="Q186" i="51" s="1"/>
  <c r="Q185" i="51"/>
  <c r="P185" i="51"/>
  <c r="G185" i="51"/>
  <c r="Q184" i="51"/>
  <c r="P184" i="51"/>
  <c r="G184" i="51"/>
  <c r="P183" i="51"/>
  <c r="Q183" i="51" s="1"/>
  <c r="G183" i="51"/>
  <c r="P182" i="51"/>
  <c r="G182" i="51"/>
  <c r="Q182" i="51" s="1"/>
  <c r="Q181" i="51"/>
  <c r="P181" i="51"/>
  <c r="G181" i="51"/>
  <c r="Q180" i="51"/>
  <c r="P180" i="51"/>
  <c r="G180" i="51"/>
  <c r="P179" i="51"/>
  <c r="Q179" i="51" s="1"/>
  <c r="G179" i="51"/>
  <c r="P178" i="51"/>
  <c r="G178" i="51"/>
  <c r="Q178" i="51" s="1"/>
  <c r="Q177" i="51"/>
  <c r="P177" i="51"/>
  <c r="G177" i="51"/>
  <c r="Q176" i="51"/>
  <c r="P176" i="51"/>
  <c r="G176" i="51"/>
  <c r="P175" i="51"/>
  <c r="G175" i="51"/>
  <c r="Q175" i="51" s="1"/>
  <c r="P174" i="51"/>
  <c r="G174" i="51"/>
  <c r="Q174" i="51" s="1"/>
  <c r="P173" i="51"/>
  <c r="Q173" i="51" s="1"/>
  <c r="G173" i="51"/>
  <c r="P172" i="51"/>
  <c r="G172" i="51"/>
  <c r="Q172" i="51" s="1"/>
  <c r="P171" i="51"/>
  <c r="G171" i="51"/>
  <c r="Q171" i="51" s="1"/>
  <c r="P170" i="51"/>
  <c r="G170" i="51"/>
  <c r="Q170" i="51" s="1"/>
  <c r="P169" i="51"/>
  <c r="Q169" i="51" s="1"/>
  <c r="G169" i="51"/>
  <c r="P168" i="51"/>
  <c r="G168" i="51"/>
  <c r="Q168" i="51" s="1"/>
  <c r="P167" i="51"/>
  <c r="G167" i="51"/>
  <c r="Q167" i="51" s="1"/>
  <c r="P166" i="51"/>
  <c r="G166" i="51"/>
  <c r="Q166" i="51" s="1"/>
  <c r="P165" i="51"/>
  <c r="Q165" i="51" s="1"/>
  <c r="G165" i="51"/>
  <c r="P164" i="51"/>
  <c r="G164" i="51"/>
  <c r="Q164" i="51" s="1"/>
  <c r="P163" i="51"/>
  <c r="G163" i="51"/>
  <c r="Q163" i="51" s="1"/>
  <c r="P162" i="51"/>
  <c r="G162" i="51"/>
  <c r="Q162" i="51" s="1"/>
  <c r="P161" i="51"/>
  <c r="Q161" i="51" s="1"/>
  <c r="G161" i="51"/>
  <c r="P160" i="51"/>
  <c r="G160" i="51"/>
  <c r="Q160" i="51" s="1"/>
  <c r="P159" i="51"/>
  <c r="G159" i="51"/>
  <c r="Q159" i="51" s="1"/>
  <c r="P158" i="51"/>
  <c r="G158" i="51"/>
  <c r="Q158" i="51" s="1"/>
  <c r="P157" i="51"/>
  <c r="Q157" i="51" s="1"/>
  <c r="G157" i="51"/>
  <c r="P156" i="51"/>
  <c r="G156" i="51"/>
  <c r="Q156" i="51" s="1"/>
  <c r="P155" i="51"/>
  <c r="G155" i="51"/>
  <c r="Q155" i="51" s="1"/>
  <c r="P153" i="51"/>
  <c r="G153" i="51"/>
  <c r="Q153" i="51" s="1"/>
  <c r="P152" i="51"/>
  <c r="Q152" i="51" s="1"/>
  <c r="G152" i="51"/>
  <c r="P151" i="51"/>
  <c r="G151" i="51"/>
  <c r="Q151" i="51" s="1"/>
  <c r="P150" i="51"/>
  <c r="G150" i="51"/>
  <c r="Q150" i="51" s="1"/>
  <c r="P149" i="51"/>
  <c r="G149" i="51"/>
  <c r="Q149" i="51" s="1"/>
  <c r="P147" i="51"/>
  <c r="Q147" i="51" s="1"/>
  <c r="G147" i="51"/>
  <c r="P146" i="51"/>
  <c r="G146" i="51"/>
  <c r="Q146" i="51" s="1"/>
  <c r="P145" i="51"/>
  <c r="G145" i="51"/>
  <c r="Q145" i="51" s="1"/>
  <c r="P144" i="51"/>
  <c r="G144" i="51"/>
  <c r="Q144" i="51" s="1"/>
  <c r="P143" i="51"/>
  <c r="Q143" i="51" s="1"/>
  <c r="G143" i="51"/>
  <c r="P142" i="51"/>
  <c r="G142" i="51"/>
  <c r="Q142" i="51" s="1"/>
  <c r="P141" i="51"/>
  <c r="G141" i="51"/>
  <c r="Q141" i="51" s="1"/>
  <c r="P140" i="51"/>
  <c r="G140" i="51"/>
  <c r="Q140" i="51" s="1"/>
  <c r="P139" i="51"/>
  <c r="Q139" i="51" s="1"/>
  <c r="G139" i="51"/>
  <c r="P138" i="51"/>
  <c r="G138" i="51"/>
  <c r="Q138" i="51" s="1"/>
  <c r="P136" i="51"/>
  <c r="G136" i="51"/>
  <c r="Q136" i="51" s="1"/>
  <c r="P135" i="51"/>
  <c r="G135" i="51"/>
  <c r="Q135" i="51" s="1"/>
  <c r="P133" i="51"/>
  <c r="Q133" i="51" s="1"/>
  <c r="G133" i="51"/>
  <c r="P132" i="51"/>
  <c r="G132" i="51"/>
  <c r="Q132" i="51" s="1"/>
  <c r="P131" i="51"/>
  <c r="G131" i="51"/>
  <c r="Q131" i="51" s="1"/>
  <c r="P130" i="51"/>
  <c r="G130" i="51"/>
  <c r="Q130" i="51" s="1"/>
  <c r="P129" i="51"/>
  <c r="Q129" i="51" s="1"/>
  <c r="G129" i="51"/>
  <c r="P128" i="51"/>
  <c r="G128" i="51"/>
  <c r="Q128" i="51" s="1"/>
  <c r="P127" i="51"/>
  <c r="G127" i="51"/>
  <c r="Q127" i="51" s="1"/>
  <c r="P126" i="51"/>
  <c r="G126" i="51"/>
  <c r="Q126" i="51" s="1"/>
  <c r="P125" i="51"/>
  <c r="Q125" i="51" s="1"/>
  <c r="G125" i="51"/>
  <c r="P124" i="51"/>
  <c r="G124" i="51"/>
  <c r="Q124" i="51" s="1"/>
  <c r="P123" i="51"/>
  <c r="G123" i="51"/>
  <c r="Q123" i="51" s="1"/>
  <c r="P122" i="51"/>
  <c r="G122" i="51"/>
  <c r="Q122" i="51" s="1"/>
  <c r="P121" i="51"/>
  <c r="G121" i="51"/>
  <c r="Q121" i="51" s="1"/>
  <c r="P120" i="51"/>
  <c r="G120" i="51"/>
  <c r="Q120" i="51" s="1"/>
  <c r="P118" i="51"/>
  <c r="G118" i="51"/>
  <c r="Q118" i="51" s="1"/>
  <c r="P117" i="51"/>
  <c r="G117" i="51"/>
  <c r="Q117" i="51" s="1"/>
  <c r="P116" i="51"/>
  <c r="G116" i="51"/>
  <c r="Q116" i="51" s="1"/>
  <c r="P115" i="51"/>
  <c r="G115" i="51"/>
  <c r="Q115" i="51" s="1"/>
  <c r="P113" i="51"/>
  <c r="G113" i="51"/>
  <c r="Q113" i="51" s="1"/>
  <c r="P112" i="51"/>
  <c r="G112" i="51"/>
  <c r="Q112" i="51" s="1"/>
  <c r="P111" i="51"/>
  <c r="G111" i="51"/>
  <c r="Q111" i="51" s="1"/>
  <c r="P109" i="51"/>
  <c r="G109" i="51"/>
  <c r="Q109" i="51" s="1"/>
  <c r="P108" i="51"/>
  <c r="G108" i="51"/>
  <c r="Q108" i="51" s="1"/>
  <c r="P107" i="51"/>
  <c r="P194" i="51" s="1"/>
  <c r="O102" i="51" s="1"/>
  <c r="G107" i="51"/>
  <c r="Q107" i="51" s="1"/>
  <c r="Q194" i="51" s="1"/>
  <c r="AA104" i="51"/>
  <c r="AA103" i="51"/>
  <c r="AA102" i="51"/>
  <c r="AA101" i="51"/>
  <c r="AA100" i="51"/>
  <c r="AA99" i="51"/>
  <c r="AA98" i="51"/>
  <c r="T97" i="51"/>
  <c r="O322" i="51" l="1"/>
  <c r="E320" i="51" s="1"/>
  <c r="F205" i="51"/>
  <c r="O209" i="51"/>
  <c r="O205" i="51" s="1"/>
  <c r="P215" i="51"/>
  <c r="Q215" i="51" s="1"/>
  <c r="G194" i="51"/>
  <c r="F102" i="51" s="1"/>
  <c r="P216" i="51"/>
  <c r="Q216" i="51" s="1"/>
  <c r="F209" i="51"/>
  <c r="P241" i="51"/>
  <c r="Q241" i="51" s="1"/>
  <c r="J100" i="51" l="1"/>
  <c r="J94" i="51"/>
</calcChain>
</file>

<file path=xl/sharedStrings.xml><?xml version="1.0" encoding="utf-8"?>
<sst xmlns="http://schemas.openxmlformats.org/spreadsheetml/2006/main" count="2449" uniqueCount="753">
  <si>
    <t>PICK&amp;WIN1</t>
  </si>
  <si>
    <t>PICK AND WIN 1</t>
  </si>
  <si>
    <t>PICK&amp;WIN2</t>
  </si>
  <si>
    <t>PICK AND WIN 2</t>
  </si>
  <si>
    <t>PICK&amp;WIN3</t>
  </si>
  <si>
    <t>PICK AND WIN 3</t>
  </si>
  <si>
    <t>HOT DEAL</t>
  </si>
  <si>
    <t>HDEAL</t>
  </si>
  <si>
    <t>LINK KING</t>
  </si>
  <si>
    <t>KING</t>
  </si>
  <si>
    <t>LINK ME</t>
  </si>
  <si>
    <t>LKM</t>
  </si>
  <si>
    <t>HIT</t>
  </si>
  <si>
    <t>BLZPRLS</t>
  </si>
  <si>
    <t>BLAZING PEARLS</t>
  </si>
  <si>
    <t>SPIN HIT</t>
  </si>
  <si>
    <t>LSHK</t>
  </si>
  <si>
    <t>PICK AND WIN SE</t>
  </si>
  <si>
    <t>PICK&amp;WINSE</t>
  </si>
  <si>
    <t>LINK SHOCK</t>
  </si>
  <si>
    <t>88 MULTI</t>
  </si>
  <si>
    <t>88MULTI</t>
  </si>
  <si>
    <t>88 LINK LUCKY CHARMS</t>
  </si>
  <si>
    <t>88LKLCH</t>
  </si>
  <si>
    <t>88 LINK WILD DUELS</t>
  </si>
  <si>
    <t>88LKWDLS</t>
  </si>
  <si>
    <t>BASHIBA</t>
  </si>
  <si>
    <t>BSHIBA</t>
  </si>
  <si>
    <t>BLAZING PEARLS II</t>
  </si>
  <si>
    <t>BLZPRLSII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</si>
  <si>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</si>
  <si>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</si>
  <si>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</si>
  <si>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</si>
  <si>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</si>
  <si>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</si>
  <si>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</si>
  <si>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</si>
  <si>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LINK KING II</t>
  </si>
  <si>
    <t>KINGII</t>
  </si>
  <si>
    <t>LINK ME II</t>
  </si>
  <si>
    <t>LKMII</t>
  </si>
  <si>
    <t>PICK AND WIN 24</t>
  </si>
  <si>
    <t>P&amp;W24</t>
  </si>
  <si>
    <t>PICK AND WIN 24 / HOT DEAL</t>
  </si>
  <si>
    <t>24HDEAL</t>
  </si>
  <si>
    <t>PICK AND WIN 24 / SPIN HIT</t>
  </si>
  <si>
    <t>24HIT</t>
  </si>
  <si>
    <t>SMART SPINS</t>
  </si>
  <si>
    <t>SSPINS</t>
  </si>
  <si>
    <t>SMART SPINS II</t>
  </si>
  <si>
    <t>SSPINSII</t>
  </si>
  <si>
    <t>88 LINK SHOCK</t>
  </si>
  <si>
    <t>88LKSHK</t>
  </si>
  <si>
    <t>88 MULTI SHOCK</t>
  </si>
  <si>
    <t>88MULTISHK</t>
  </si>
  <si>
    <t>LINK ME SHOCK</t>
  </si>
  <si>
    <t>LKMSHK</t>
  </si>
  <si>
    <t>LINK SHOCK II</t>
  </si>
  <si>
    <t>LSHKII</t>
  </si>
  <si>
    <t>88 LINK MULTIPLIER</t>
  </si>
  <si>
    <t>88LKMULTI</t>
  </si>
  <si>
    <t>BASHIBA ALLURE</t>
  </si>
  <si>
    <t>BSHIBAAALL</t>
  </si>
  <si>
    <t>BASHIBA EGYPTIAN</t>
  </si>
  <si>
    <t>BSHIBAEGYP</t>
  </si>
  <si>
    <t>5 TO WIN</t>
  </si>
  <si>
    <t>5WIN</t>
  </si>
  <si>
    <t>DOUBLE LINK</t>
  </si>
  <si>
    <t>DBLK</t>
  </si>
  <si>
    <t>HOT DEAL II</t>
  </si>
  <si>
    <t>HDEALII</t>
  </si>
  <si>
    <t>LIKE IT</t>
  </si>
  <si>
    <t>LKIT</t>
  </si>
  <si>
    <t>LINK UP</t>
  </si>
  <si>
    <t>LKUP</t>
  </si>
  <si>
    <t>F10LWDR</t>
  </si>
  <si>
    <t>F10HL</t>
  </si>
  <si>
    <t>HIGH LIFE</t>
  </si>
  <si>
    <t>LONG WANG DRAGON</t>
  </si>
  <si>
    <t>BLSTD</t>
  </si>
  <si>
    <t>BLAST DYNASTY</t>
  </si>
  <si>
    <t>MEISHK</t>
  </si>
  <si>
    <t>MEI SHI MEI KE</t>
  </si>
  <si>
    <t>WLEG</t>
  </si>
  <si>
    <t>WHEEL OF LEGENDS</t>
  </si>
  <si>
    <t>DBLKMW</t>
  </si>
  <si>
    <t>DOUBLE LINK MULTIPLIER WARRIORS</t>
  </si>
  <si>
    <t>88LKMS</t>
  </si>
  <si>
    <t>88 LINK MS</t>
  </si>
  <si>
    <t>BSHIBALUXMS</t>
  </si>
  <si>
    <t>BASHIBA LUXOR MS</t>
  </si>
  <si>
    <t>DLMWMS</t>
  </si>
  <si>
    <t>DOUBLE LINK MULTIPLIER WARRIOS MS</t>
  </si>
  <si>
    <t>KING2MS</t>
  </si>
  <si>
    <t>LINK KING 2 MS</t>
  </si>
  <si>
    <t>KING3MS</t>
  </si>
  <si>
    <t>LINK KING 3 MS</t>
  </si>
  <si>
    <t>KING4MS</t>
  </si>
  <si>
    <t>LINK KING 4 MS</t>
  </si>
  <si>
    <t>LKM2MS</t>
  </si>
  <si>
    <t>LINK ME 2 MS</t>
  </si>
  <si>
    <t>MKING</t>
  </si>
  <si>
    <t>MEGA KING</t>
  </si>
  <si>
    <t>F10MG</t>
  </si>
  <si>
    <t>FORTUNE 10 MULTIGAME</t>
  </si>
  <si>
    <t>SPIGUA</t>
  </si>
  <si>
    <t>BISMUS</t>
  </si>
  <si>
    <t>BISON MUSTANG</t>
  </si>
  <si>
    <t>FUSHOU</t>
  </si>
  <si>
    <t>RTWIST</t>
  </si>
  <si>
    <t>ROYAL TWIST</t>
  </si>
  <si>
    <t>MHAM</t>
  </si>
  <si>
    <t>FRWLK</t>
  </si>
  <si>
    <t>FAR WEST LINK</t>
  </si>
  <si>
    <t>FRWLKWM</t>
  </si>
  <si>
    <t>FAR WEST LINK WOLF MUSTANG</t>
  </si>
  <si>
    <t>LTMPL</t>
  </si>
  <si>
    <t>LIGHT TEMPLE</t>
  </si>
  <si>
    <t>MROOTS</t>
  </si>
  <si>
    <t>MAGIC ROOTS</t>
  </si>
  <si>
    <t>LKWLD</t>
  </si>
  <si>
    <t>WILD LINK</t>
  </si>
  <si>
    <t>CHSTS</t>
  </si>
  <si>
    <t>COLFIRE</t>
  </si>
  <si>
    <t>COLOSSUS FIRE</t>
  </si>
  <si>
    <t>BACK TO THE WILD</t>
  </si>
  <si>
    <t>BKWLD</t>
  </si>
  <si>
    <t>LINK KING BOOST</t>
  </si>
  <si>
    <t>KINGB</t>
  </si>
  <si>
    <t>LINK ME BOOST</t>
  </si>
  <si>
    <t>LKMB</t>
  </si>
  <si>
    <t>EPIC KINGDOM</t>
  </si>
  <si>
    <t>EPKNG</t>
  </si>
  <si>
    <t>LTMPLv2</t>
  </si>
  <si>
    <t>MROOTSv2</t>
  </si>
  <si>
    <t>MAGIC ROOTS v2</t>
  </si>
  <si>
    <t>MHAMU</t>
  </si>
  <si>
    <t>FUFRGS</t>
  </si>
  <si>
    <t>FUPTS</t>
  </si>
  <si>
    <t>FUSHLK</t>
  </si>
  <si>
    <t>SPIN GUARDIANS</t>
  </si>
  <si>
    <t>ETERNITY GONG</t>
  </si>
  <si>
    <t>EGONG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</si>
  <si>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</si>
  <si>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</si>
  <si>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</si>
  <si>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</si>
  <si>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</si>
  <si>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</si>
  <si>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</si>
  <si>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</si>
  <si>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</si>
  <si>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</si>
  <si>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</si>
  <si>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</si>
  <si>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</si>
  <si>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</si>
  <si>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</si>
  <si>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</si>
  <si>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</si>
  <si>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I D  6 2 0 8 - B  I  G    B  O  L  A   -   B  I  G    B  O  L  A     A  T  I  Z  A  P  Á  N</t>
  </si>
  <si>
    <t>BOOK</t>
  </si>
  <si>
    <t>ENTRADA</t>
  </si>
  <si>
    <t>SCIGA</t>
  </si>
  <si>
    <t>NOV</t>
  </si>
  <si>
    <t>MIN JUG $3.40</t>
  </si>
  <si>
    <t>ADMI</t>
  </si>
  <si>
    <t>ISLA 14</t>
  </si>
  <si>
    <t>MER</t>
  </si>
  <si>
    <t>5c</t>
  </si>
  <si>
    <t>IGT</t>
  </si>
  <si>
    <t>5C</t>
  </si>
  <si>
    <t>AR</t>
  </si>
  <si>
    <t>EIBE</t>
  </si>
  <si>
    <t>Zi</t>
  </si>
  <si>
    <t>EGT</t>
  </si>
  <si>
    <t>E-GAM</t>
  </si>
  <si>
    <t>DRAGON LINK</t>
  </si>
  <si>
    <t>TARZAN</t>
  </si>
  <si>
    <t>25c</t>
  </si>
  <si>
    <t>50c</t>
  </si>
  <si>
    <t>MIN JUG $2.00</t>
  </si>
  <si>
    <t>ISLA 3</t>
  </si>
  <si>
    <t>ISLA 5</t>
  </si>
  <si>
    <t>SIGN BLDW-2</t>
  </si>
  <si>
    <t>ISLA 7</t>
  </si>
  <si>
    <t>ISLA 8</t>
  </si>
  <si>
    <t>ULTRA LUCKY LINK</t>
  </si>
  <si>
    <t>SIGN LK/LM-2</t>
  </si>
  <si>
    <t>10c</t>
  </si>
  <si>
    <t>MIN JUG $2.50</t>
  </si>
  <si>
    <t>AFI</t>
  </si>
  <si>
    <t>FBM</t>
  </si>
  <si>
    <t>BAO ZHU ZHAO FU</t>
  </si>
  <si>
    <t>MIN JUG $5</t>
  </si>
  <si>
    <t>ACCESO NO FUMAR</t>
  </si>
  <si>
    <t>ISLA 9</t>
  </si>
  <si>
    <t>MIN JUG $3.00</t>
  </si>
  <si>
    <t>ISLA 10</t>
  </si>
  <si>
    <t>IAL</t>
  </si>
  <si>
    <t>MIN JUG $5.00</t>
  </si>
  <si>
    <t>SOLAR LINK</t>
  </si>
  <si>
    <t>AGS</t>
  </si>
  <si>
    <t>MESAS TEXAS</t>
  </si>
  <si>
    <t>ACCESO</t>
  </si>
  <si>
    <t>SIGN MHAM-2</t>
  </si>
  <si>
    <t>EGT LOUNGE</t>
  </si>
  <si>
    <t>Entrada estacionamiento</t>
  </si>
  <si>
    <t>WHEEL FORCE</t>
  </si>
  <si>
    <t>CASH STACKS</t>
  </si>
  <si>
    <t>LINK ZONE</t>
  </si>
  <si>
    <t>AW</t>
  </si>
  <si>
    <t>COIN  FU</t>
  </si>
  <si>
    <t>ISLA 11</t>
  </si>
  <si>
    <t>25C</t>
  </si>
  <si>
    <t>WINPOTSL</t>
  </si>
  <si>
    <t>ZONA VIP</t>
  </si>
  <si>
    <t>LOUNGE</t>
  </si>
  <si>
    <t>HIGH LIMIT</t>
  </si>
  <si>
    <t>ISLA 1</t>
  </si>
  <si>
    <t>ISLA 12</t>
  </si>
  <si>
    <t>SIGN MKING-2</t>
  </si>
  <si>
    <t>ISLA 13</t>
  </si>
  <si>
    <t>SIGN FUFRG-2</t>
  </si>
  <si>
    <t>ARU</t>
  </si>
  <si>
    <t>MIN JUG $4.40</t>
  </si>
  <si>
    <t>MIN JUG $10.00</t>
  </si>
  <si>
    <t>ISLA 2</t>
  </si>
  <si>
    <t>20C</t>
  </si>
  <si>
    <t>MESAS EN VIVO</t>
  </si>
  <si>
    <t>BINGO CANTADO</t>
  </si>
  <si>
    <t>BAÑOS</t>
  </si>
  <si>
    <t>CAJAS</t>
  </si>
  <si>
    <t>MIN JUG $8.80</t>
  </si>
  <si>
    <t xml:space="preserve">  ALMACEN</t>
  </si>
  <si>
    <t>SITE</t>
  </si>
  <si>
    <t>ISLA 4</t>
  </si>
  <si>
    <t>SIGN  FU POTS-2</t>
  </si>
  <si>
    <t>Torre</t>
  </si>
  <si>
    <t>Solar Link</t>
  </si>
  <si>
    <t>T.Min $7,50</t>
  </si>
  <si>
    <t>10C</t>
  </si>
  <si>
    <t>MIN JUG $8.00</t>
  </si>
  <si>
    <t>TOTAL SALA</t>
  </si>
  <si>
    <t>ANTERIOR THERMO ENTREGADO</t>
  </si>
  <si>
    <t>THERMO ACTUAL</t>
  </si>
  <si>
    <t>2307-15</t>
  </si>
  <si>
    <t>FECHA</t>
  </si>
  <si>
    <t>SEMANA</t>
  </si>
  <si>
    <t>S22 a S33</t>
  </si>
  <si>
    <t>TOTAL</t>
  </si>
  <si>
    <t>VS</t>
  </si>
  <si>
    <t>78 MAQ.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</si>
  <si>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</si>
  <si>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</si>
  <si>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</si>
  <si>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</si>
  <si>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</si>
  <si>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</si>
  <si>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</si>
  <si>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</si>
  <si>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</si>
  <si>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</si>
  <si>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</si>
  <si>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BRYKE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</si>
  <si>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</si>
  <si>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</si>
  <si>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</si>
  <si>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</si>
  <si>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</si>
  <si>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</si>
  <si>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</si>
  <si>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</si>
  <si>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</si>
  <si>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</si>
  <si>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</si>
  <si>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</si>
  <si>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</si>
  <si>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</si>
  <si>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</si>
  <si>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</si>
  <si>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</si>
  <si>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</si>
  <si>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</si>
  <si>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</si>
  <si>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</si>
  <si>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</si>
  <si>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</si>
  <si>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AMBRA GAMING</t>
  </si>
  <si>
    <t>AMBRA</t>
  </si>
  <si>
    <t>METRONIA / BEMEX</t>
  </si>
  <si>
    <t>MET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</si>
  <si>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</si>
  <si>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</si>
  <si>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</si>
  <si>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</si>
  <si>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</si>
  <si>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</si>
  <si>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</si>
  <si>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</si>
  <si>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</si>
  <si>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</si>
  <si>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SLEIC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</si>
  <si>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</si>
  <si>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</si>
  <si>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</si>
  <si>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</si>
  <si>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</si>
  <si>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</si>
  <si>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</si>
  <si>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</si>
  <si>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</si>
  <si>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</si>
  <si>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</si>
  <si>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</si>
  <si>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</si>
  <si>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</si>
  <si>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</si>
  <si>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</si>
  <si>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</si>
  <si>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</si>
  <si>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</si>
  <si>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</si>
  <si>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</si>
  <si>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</si>
  <si>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</si>
  <si>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</si>
  <si>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</si>
  <si>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</si>
  <si>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</si>
  <si>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</si>
  <si>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</si>
  <si>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</si>
  <si>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</si>
  <si>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</si>
  <si>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</si>
  <si>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</si>
  <si>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</si>
  <si>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</si>
  <si>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</si>
  <si>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</si>
  <si>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APEX</t>
  </si>
  <si>
    <t>ARISTOCRAT</t>
  </si>
  <si>
    <t>ARUZE</t>
  </si>
  <si>
    <t>ASTRO</t>
  </si>
  <si>
    <t>ATRONIC</t>
  </si>
  <si>
    <t>AT</t>
  </si>
  <si>
    <t>AURIFY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</si>
  <si>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</si>
  <si>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</si>
  <si>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</si>
  <si>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</si>
  <si>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</si>
  <si>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</si>
  <si>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</si>
  <si>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</si>
  <si>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</si>
  <si>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</si>
  <si>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</si>
  <si>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</si>
  <si>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</si>
  <si>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</si>
  <si>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</si>
  <si>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</si>
  <si>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</si>
  <si>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</si>
  <si>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</si>
  <si>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</si>
  <si>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</si>
  <si>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</si>
  <si>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</si>
  <si>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</si>
  <si>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</si>
  <si>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</si>
  <si>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</si>
  <si>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</si>
  <si>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</si>
  <si>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</si>
  <si>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</si>
  <si>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</si>
  <si>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</si>
  <si>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</si>
  <si>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</si>
  <si>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</si>
  <si>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</si>
  <si>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</si>
  <si>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</si>
  <si>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</si>
  <si>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</si>
  <si>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</si>
  <si>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</si>
  <si>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</si>
  <si>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</si>
  <si>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</si>
  <si>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</si>
  <si>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</si>
  <si>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</si>
  <si>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</si>
  <si>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</si>
  <si>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</si>
  <si>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</si>
  <si>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</si>
  <si>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</si>
  <si>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</si>
  <si>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</si>
  <si>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</si>
  <si>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</si>
  <si>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</si>
  <si>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</si>
  <si>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</si>
  <si>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KN</t>
  </si>
  <si>
    <t>LEGENDARY GAMING/BAUM GAMES</t>
  </si>
  <si>
    <t>BAUM</t>
  </si>
  <si>
    <t>MERKUR</t>
  </si>
  <si>
    <t>MULTI MEDIA GAMES</t>
  </si>
  <si>
    <t>MMG</t>
  </si>
  <si>
    <t>NOVOMATIC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</si>
  <si>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</si>
  <si>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</si>
  <si>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</si>
  <si>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</si>
  <si>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</si>
  <si>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</si>
  <si>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</si>
  <si>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</si>
  <si>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</si>
  <si>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</si>
  <si>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</si>
  <si>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</si>
  <si>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</si>
  <si>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</si>
  <si>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</si>
  <si>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</si>
  <si>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</si>
  <si>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</si>
  <si>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</si>
  <si>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</si>
  <si>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</si>
  <si>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</si>
  <si>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</si>
  <si>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</si>
  <si>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</si>
  <si>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</si>
  <si>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</si>
  <si>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</si>
  <si>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 SYSTEM</t>
  </si>
  <si>
    <t>WS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</si>
  <si>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</si>
  <si>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</si>
  <si>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</si>
  <si>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</si>
  <si>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</si>
  <si>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</si>
  <si>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</si>
  <si>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</si>
  <si>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</si>
  <si>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</si>
  <si>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</si>
  <si>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</si>
  <si>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</si>
  <si>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</si>
  <si>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</si>
  <si>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</si>
  <si>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</si>
  <si>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</si>
  <si>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</si>
  <si>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</si>
  <si>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</si>
  <si>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</si>
  <si>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</si>
  <si>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</si>
  <si>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</si>
  <si>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</si>
  <si>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</si>
  <si>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</si>
  <si>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</si>
  <si>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</si>
  <si>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</si>
  <si>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</si>
  <si>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</si>
  <si>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</si>
  <si>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</si>
  <si>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</si>
  <si>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</si>
  <si>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</si>
  <si>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</si>
  <si>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</si>
  <si>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</si>
  <si>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</si>
  <si>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</si>
  <si>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</si>
  <si>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</si>
  <si>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</si>
  <si>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</si>
  <si>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</si>
  <si>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</si>
  <si>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</si>
  <si>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</si>
  <si>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</si>
  <si>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</si>
  <si>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</si>
  <si>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</si>
  <si>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</si>
  <si>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</si>
  <si>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</si>
  <si>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</si>
  <si>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</si>
  <si>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</si>
  <si>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</si>
  <si>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</si>
  <si>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</si>
  <si>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</si>
  <si>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</si>
  <si>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</si>
  <si>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</si>
  <si>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</si>
  <si>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</si>
  <si>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</si>
  <si>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</si>
  <si>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</si>
  <si>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</si>
  <si>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</si>
  <si>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</si>
  <si>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</si>
  <si>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</si>
  <si>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</si>
  <si>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</si>
  <si>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</si>
  <si>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SIGN ELINKR-2</t>
  </si>
  <si>
    <t>FU FROG 2 CARAS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</si>
  <si>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</si>
  <si>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</si>
  <si>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</si>
  <si>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</si>
  <si>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</si>
  <si>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</si>
  <si>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</si>
  <si>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</si>
  <si>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</si>
  <si>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</si>
  <si>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</si>
  <si>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</si>
  <si>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</si>
  <si>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SIGN LK-2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</si>
  <si>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</si>
  <si>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</si>
  <si>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</si>
  <si>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</si>
  <si>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</si>
  <si>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</si>
  <si>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</si>
  <si>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</si>
  <si>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</si>
  <si>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</si>
  <si>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</si>
  <si>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</si>
  <si>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</si>
  <si>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</si>
  <si>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</si>
  <si>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</si>
  <si>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</si>
  <si>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</si>
  <si>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</si>
  <si>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</si>
  <si>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</si>
  <si>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</si>
  <si>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</si>
  <si>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</si>
  <si>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</si>
  <si>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</si>
  <si>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</si>
  <si>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</si>
  <si>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</si>
  <si>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</si>
  <si>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</si>
  <si>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</si>
  <si>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</si>
  <si>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</si>
  <si>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</si>
  <si>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</si>
  <si>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</si>
  <si>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</si>
  <si>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</si>
  <si>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</si>
  <si>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</si>
  <si>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</si>
  <si>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</si>
  <si>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</si>
  <si>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</si>
  <si>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</si>
  <si>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</si>
  <si>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</si>
  <si>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</si>
  <si>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</si>
  <si>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</si>
  <si>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</si>
  <si>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</si>
  <si>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</si>
  <si>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</si>
  <si>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</si>
  <si>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</si>
  <si>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</si>
  <si>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</si>
  <si>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</si>
  <si>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</si>
  <si>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</si>
  <si>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</si>
  <si>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</si>
  <si>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</si>
  <si>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</si>
  <si>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</si>
  <si>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</si>
  <si>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</si>
  <si>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</si>
  <si>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</si>
  <si>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</si>
  <si>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</si>
  <si>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</si>
  <si>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</si>
  <si>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</si>
  <si>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</si>
  <si>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</si>
  <si>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</si>
  <si>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</si>
  <si>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</si>
  <si>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</si>
  <si>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</si>
  <si>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</si>
  <si>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</si>
  <si>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</si>
  <si>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</si>
  <si>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</si>
  <si>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</si>
  <si>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</si>
  <si>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</si>
  <si>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</si>
  <si>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</si>
  <si>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</si>
  <si>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</si>
  <si>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</si>
  <si>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</si>
  <si>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</si>
  <si>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</si>
  <si>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</si>
  <si>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</si>
  <si>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</si>
  <si>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</si>
  <si>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</si>
  <si>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</si>
  <si>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</si>
  <si>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</si>
  <si>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</si>
  <si>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</si>
  <si>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</si>
  <si>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</si>
  <si>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</si>
  <si>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</si>
  <si>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</si>
  <si>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</si>
  <si>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</si>
  <si>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</si>
  <si>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</si>
  <si>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</si>
  <si>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</si>
  <si>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</si>
  <si>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</si>
  <si>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</si>
  <si>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</si>
  <si>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</si>
  <si>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</si>
  <si>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</si>
  <si>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</si>
  <si>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</si>
  <si>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</si>
  <si>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</si>
  <si>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</si>
  <si>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</si>
  <si>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</si>
  <si>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</si>
  <si>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</si>
  <si>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</si>
  <si>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</si>
  <si>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</si>
  <si>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</si>
  <si>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</si>
  <si>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</si>
  <si>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</si>
  <si>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</si>
  <si>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</si>
  <si>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</si>
  <si>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</si>
  <si>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</si>
  <si>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</si>
  <si>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</si>
  <si>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</si>
  <si>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</si>
  <si>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</si>
  <si>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</si>
  <si>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MIGHTY HAMMER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</si>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</sst>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_);[Red]\(&quot;$&quot;#,##0\)"/>
    <numFmt numFmtId="171" formatCode="_(* #,##0_);_(* \(#,##0\);_(* &quot;-&quot;_);_(@_)"/>
    <numFmt numFmtId="172" formatCode="h:mm;@"/>
    <numFmt numFmtId="173" formatCode="_-* #,##0\ _€_-;\-* #,##0\ _€_-;_-* &quot;-&quot;\ _€_-;_-@_-"/>
    <numFmt numFmtId="174" formatCode="0000000"/>
  </numFmts>
  <fonts count="14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0"/>
      <color rgb="FF000000"/>
      <name val="Arial"/>
      <family val="2"/>
    </font>
    <font>
      <b/>
      <sz val="18"/>
      <color theme="5" tint="0.3999755851924192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theme="5" tint="0.7999816888943144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36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Arial"/>
      <family val="2"/>
    </font>
    <font>
      <b/>
      <sz val="12"/>
      <color rgb="FF000000"/>
      <name val="Calibri"/>
      <family val="2"/>
    </font>
    <font>
      <b/>
      <sz val="12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F0"/>
      <name val="Calibri"/>
      <family val="2"/>
    </font>
    <font>
      <b/>
      <sz val="11"/>
      <color theme="0"/>
      <name val="Arial"/>
      <family val="2"/>
    </font>
    <font>
      <b/>
      <sz val="12"/>
      <color theme="2" tint="-0.749992370372631"/>
      <name val="Calibri"/>
      <family val="2"/>
      <scheme val="minor"/>
    </font>
    <font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8"/>
      <color rgb="FFFF000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Arial"/>
      <family val="2"/>
    </font>
    <font>
      <b/>
      <sz val="18"/>
      <color rgb="FF1F4A7E"/>
      <name val="Calibri"/>
      <family val="2"/>
    </font>
    <font>
      <b/>
      <sz val="12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rgb="FFFFFFFF"/>
      <name val="Calibri"/>
      <family val="2"/>
    </font>
    <font>
      <sz val="9"/>
      <color rgb="FF000000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rgb="FF76923C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b/>
      <sz val="16"/>
      <color indexed="8"/>
      <name val="Calibri"/>
      <family val="2"/>
    </font>
    <font>
      <b/>
      <sz val="12"/>
      <color rgb="FF494429"/>
      <name val="Calibri"/>
      <family val="2"/>
    </font>
    <font>
      <b/>
      <sz val="16"/>
      <color rgb="FFFFFFFF"/>
      <name val="Calibri"/>
      <family val="2"/>
    </font>
    <font>
      <b/>
      <sz val="18"/>
      <color rgb="FFDDDDDD"/>
      <name val="Calibri"/>
      <family val="2"/>
    </font>
    <font>
      <b/>
      <sz val="18"/>
      <color rgb="FFFFFF00"/>
      <name val="Calibri"/>
      <family val="2"/>
    </font>
    <font>
      <sz val="12"/>
      <color indexed="8"/>
      <name val="Calibri"/>
      <family val="2"/>
    </font>
    <font>
      <b/>
      <sz val="18"/>
      <color rgb="FF974706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C000"/>
      <name val="Arial"/>
      <family val="2"/>
    </font>
    <font>
      <b/>
      <sz val="12"/>
      <color theme="9" tint="0.3999755851924192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name val="Calibri"/>
      <family val="2"/>
    </font>
    <font>
      <b/>
      <sz val="16"/>
      <color rgb="FFFF0000"/>
      <name val="Calibri"/>
      <family val="2"/>
    </font>
    <font>
      <b/>
      <sz val="20"/>
      <color indexed="8"/>
      <name val="Calibri"/>
      <family val="2"/>
    </font>
    <font>
      <b/>
      <sz val="12"/>
      <color indexed="10"/>
      <name val="Calibri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4"/>
      <color theme="3" tint="-0.499984740745262"/>
      <name val="Arial"/>
      <family val="2"/>
    </font>
    <font>
      <b/>
      <sz val="14"/>
      <color rgb="FF000000"/>
      <name val="Calibri"/>
      <family val="2"/>
    </font>
    <font>
      <b/>
      <sz val="11"/>
      <color rgb="FFFF0000"/>
      <name val="Calibri"/>
      <family val="2"/>
    </font>
    <font>
      <b/>
      <sz val="16"/>
      <color theme="0"/>
      <name val="Calibri"/>
      <family val="2"/>
    </font>
    <font>
      <sz val="8"/>
      <name val="Arial"/>
      <family val="2"/>
    </font>
    <font>
      <b/>
      <sz val="16"/>
      <color rgb="FFFF0000"/>
      <name val="Arial"/>
      <family val="2"/>
    </font>
    <font>
      <sz val="20"/>
      <name val="Calibri"/>
      <family val="2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color rgb="FF000000"/>
      <name val="Arial"/>
      <family val="2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24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Arial"/>
      <family val="2"/>
    </font>
  </fonts>
  <fills count="19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gray125">
        <fgColor auto="1"/>
        <bgColor theme="9" tint="-0.499984740745262"/>
      </patternFill>
    </fill>
    <fill>
      <patternFill patternType="solid">
        <fgColor rgb="FFF61EA9"/>
        <bgColor auto="1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rgb="FF00B0F0"/>
        <bgColor auto="1"/>
      </patternFill>
    </fill>
    <fill>
      <patternFill patternType="gray0625">
        <fgColor auto="1"/>
        <bgColor rgb="FF00B050"/>
      </patternFill>
    </fill>
    <fill>
      <patternFill patternType="gray0625">
        <fgColor auto="1"/>
        <bgColor rgb="FFAB1D05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48DD4"/>
        <bgColor rgb="FF548DD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B2A1C7"/>
        <bgColor rgb="FFB2A1C7"/>
      </patternFill>
    </fill>
    <fill>
      <patternFill patternType="solid">
        <fgColor theme="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1"/>
        <bgColor rgb="FFFF0000"/>
      </patternFill>
    </fill>
    <fill>
      <patternFill patternType="gray125">
        <fgColor rgb="FFFFFFFF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B2A1C7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theme="0"/>
        <bgColor rgb="FFFDE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F0000"/>
      </patternFill>
    </fill>
    <fill>
      <patternFill patternType="gray0625">
        <bgColor rgb="FF568FD4"/>
      </patternFill>
    </fill>
    <fill>
      <patternFill patternType="gray0625">
        <bgColor rgb="FFC2D69B"/>
      </patternFill>
    </fill>
    <fill>
      <patternFill patternType="gray0625">
        <fgColor rgb="FF568FD4"/>
        <bgColor rgb="FFFF0000"/>
      </patternFill>
    </fill>
    <fill>
      <patternFill patternType="solid">
        <fgColor rgb="FF7F7F7F"/>
        <bgColor indexed="64"/>
      </patternFill>
    </fill>
    <fill>
      <patternFill patternType="gray125">
        <fgColor rgb="FFFFFFFF"/>
        <bgColor rgb="FF7030A0"/>
      </patternFill>
    </fill>
    <fill>
      <patternFill patternType="solid">
        <fgColor rgb="FFFFFF00"/>
        <bgColor rgb="FF000000"/>
      </patternFill>
    </fill>
    <fill>
      <patternFill patternType="solid">
        <fgColor rgb="FF64252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E36B09"/>
        <bgColor indexed="64"/>
      </patternFill>
    </fill>
    <fill>
      <patternFill patternType="solid">
        <fgColor rgb="FFFABF8F"/>
        <bgColor indexed="64"/>
      </patternFill>
    </fill>
    <fill>
      <patternFill patternType="gray125">
        <fgColor rgb="FFFFFFFF"/>
        <bgColor rgb="FF9ABA58"/>
      </patternFill>
    </fill>
    <fill>
      <patternFill patternType="solid">
        <fgColor theme="0"/>
        <bgColor rgb="FF9933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66CC"/>
      </patternFill>
    </fill>
    <fill>
      <patternFill patternType="solid">
        <fgColor rgb="FF000000"/>
        <bgColor rgb="FFFF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theme="0"/>
      </patternFill>
    </fill>
    <fill>
      <patternFill patternType="solid">
        <fgColor rgb="FF96B3D7"/>
        <bgColor indexed="64"/>
      </patternFill>
    </fill>
    <fill>
      <patternFill patternType="gray125">
        <bgColor rgb="FF974706"/>
      </patternFill>
    </fill>
    <fill>
      <patternFill patternType="solid">
        <fgColor rgb="FF000000"/>
      </patternFill>
    </fill>
    <fill>
      <patternFill patternType="gray125">
        <bgColor theme="0"/>
      </patternFill>
    </fill>
    <fill>
      <patternFill patternType="solid">
        <fgColor theme="0"/>
        <bgColor rgb="FFFFFFFF"/>
      </patternFill>
    </fill>
    <fill>
      <patternFill patternType="gray0625">
        <bgColor theme="0"/>
      </patternFill>
    </fill>
    <fill>
      <patternFill patternType="solid">
        <fgColor rgb="FFFFC000"/>
      </patternFill>
    </fill>
    <fill>
      <patternFill patternType="solid">
        <fgColor rgb="FF5F4979"/>
        <bgColor indexed="64"/>
      </patternFill>
    </fill>
    <fill>
      <patternFill patternType="solid">
        <fgColor rgb="FFFFFFFF"/>
        <bgColor rgb="FFFBD4B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0"/>
      </top>
      <bottom/>
      <diagonal/>
    </border>
    <border diagonalDown="1">
      <left/>
      <right/>
      <top/>
      <bottom/>
      <diagonal style="thin">
        <color indexed="0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50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6" applyNumberFormat="0" applyAlignment="0" applyProtection="0"/>
    <xf numFmtId="0" fontId="14" fillId="22" borderId="7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7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9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9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0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2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0" fillId="0" borderId="0"/>
    <xf numFmtId="0" fontId="22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0" fillId="0" borderId="0"/>
    <xf numFmtId="0" fontId="2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2" fillId="0" borderId="0">
      <alignment vertical="top"/>
    </xf>
    <xf numFmtId="0" fontId="1" fillId="0" borderId="0"/>
    <xf numFmtId="0" fontId="10" fillId="0" borderId="0"/>
    <xf numFmtId="0" fontId="10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0" fillId="33" borderId="9" applyNumberFormat="0" applyFont="0" applyAlignment="0" applyProtection="0"/>
    <xf numFmtId="0" fontId="10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16" fillId="0" borderId="13" applyNumberFormat="0" applyFill="0" applyAlignment="0" applyProtection="0"/>
    <xf numFmtId="0" fontId="29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10" fillId="0" borderId="0"/>
    <xf numFmtId="0" fontId="21" fillId="0" borderId="0">
      <protection locked="0"/>
    </xf>
    <xf numFmtId="0" fontId="1" fillId="0" borderId="0">
      <protection locked="0"/>
    </xf>
    <xf numFmtId="0" fontId="21" fillId="0" borderId="0">
      <protection locked="0"/>
    </xf>
    <xf numFmtId="0" fontId="2" fillId="0" borderId="0">
      <alignment vertical="top"/>
    </xf>
    <xf numFmtId="0" fontId="10" fillId="0" borderId="0"/>
    <xf numFmtId="0" fontId="2" fillId="0" borderId="0">
      <protection locked="0"/>
    </xf>
    <xf numFmtId="0" fontId="116" fillId="0" borderId="0">
      <alignment vertical="top"/>
    </xf>
  </cellStyleXfs>
  <cellXfs count="1298">
    <xf numFmtId="0" fontId="0" fillId="0" borderId="0" xfId="0"/>
    <xf numFmtId="0" fontId="0" fillId="0" borderId="0" xfId="0" applyAlignment="1">
      <alignment horizontal="center" vertical="center"/>
    </xf>
    <xf numFmtId="0" fontId="34" fillId="82" borderId="1" xfId="128" applyFont="1" applyFill="1" applyBorder="1" applyAlignment="1">
      <alignment horizontal="center" vertical="center" shrinkToFit="1"/>
    </xf>
    <xf numFmtId="0" fontId="33" fillId="86" borderId="1" xfId="128" applyFont="1" applyFill="1" applyBorder="1" applyAlignment="1">
      <alignment horizontal="center" vertical="center" shrinkToFit="1"/>
    </xf>
    <xf numFmtId="0" fontId="10" fillId="0" borderId="0" xfId="242"/>
    <xf numFmtId="0" fontId="10" fillId="0" borderId="19" xfId="242" applyBorder="1"/>
    <xf numFmtId="0" fontId="10" fillId="0" borderId="5" xfId="242" applyBorder="1"/>
    <xf numFmtId="0" fontId="1" fillId="0" borderId="0" xfId="124" applyFont="1"/>
    <xf numFmtId="0" fontId="10" fillId="0" borderId="23" xfId="124" applyBorder="1"/>
    <xf numFmtId="0" fontId="10" fillId="0" borderId="0" xfId="124"/>
    <xf numFmtId="0" fontId="10" fillId="0" borderId="25" xfId="115" applyBorder="1"/>
    <xf numFmtId="0" fontId="10" fillId="0" borderId="0" xfId="115"/>
    <xf numFmtId="0" fontId="59" fillId="106" borderId="1" xfId="128" applyFont="1" applyFill="1" applyBorder="1" applyAlignment="1">
      <alignment horizontal="center" vertical="center" shrinkToFit="1"/>
    </xf>
    <xf numFmtId="0" fontId="0" fillId="0" borderId="24" xfId="0" applyBorder="1"/>
    <xf numFmtId="0" fontId="21" fillId="0" borderId="0" xfId="243" applyProtection="1"/>
    <xf numFmtId="0" fontId="21" fillId="0" borderId="0" xfId="0" applyFont="1"/>
    <xf numFmtId="0" fontId="60" fillId="107" borderId="27" xfId="115" applyFont="1" applyFill="1" applyBorder="1" applyAlignment="1">
      <alignment horizontal="center"/>
    </xf>
    <xf numFmtId="0" fontId="10" fillId="0" borderId="0" xfId="115" applyAlignment="1">
      <alignment horizontal="center" vertical="center"/>
    </xf>
    <xf numFmtId="0" fontId="1" fillId="0" borderId="23" xfId="244" applyBorder="1" applyProtection="1"/>
    <xf numFmtId="0" fontId="61" fillId="35" borderId="0" xfId="148" applyFont="1" applyFill="1" applyAlignment="1">
      <alignment vertical="center"/>
    </xf>
    <xf numFmtId="0" fontId="62" fillId="0" borderId="0" xfId="242" applyFont="1" applyAlignment="1">
      <alignment vertical="center"/>
    </xf>
    <xf numFmtId="0" fontId="63" fillId="0" borderId="0" xfId="0" applyFont="1" applyAlignment="1">
      <alignment horizontal="center" vertical="center"/>
    </xf>
    <xf numFmtId="0" fontId="59" fillId="59" borderId="28" xfId="128" applyFont="1" applyFill="1" applyBorder="1" applyAlignment="1">
      <alignment horizontal="center" vertical="center" shrinkToFit="1"/>
    </xf>
    <xf numFmtId="0" fontId="60" fillId="88" borderId="0" xfId="244" applyFont="1" applyFill="1" applyAlignment="1">
      <alignment horizontal="center"/>
      <protection locked="0"/>
    </xf>
    <xf numFmtId="0" fontId="64" fillId="0" borderId="0" xfId="112" applyFont="1" applyAlignment="1">
      <alignment horizontal="center" vertical="center"/>
    </xf>
    <xf numFmtId="0" fontId="65" fillId="108" borderId="0" xfId="148" applyFont="1" applyFill="1" applyAlignment="1">
      <alignment horizontal="center" vertical="center"/>
    </xf>
    <xf numFmtId="0" fontId="66" fillId="39" borderId="1" xfId="124" applyFont="1" applyFill="1" applyBorder="1" applyAlignment="1">
      <alignment horizontal="center"/>
    </xf>
    <xf numFmtId="0" fontId="33" fillId="34" borderId="29" xfId="128" applyFont="1" applyFill="1" applyBorder="1" applyAlignment="1">
      <alignment horizontal="center" vertical="center" shrinkToFit="1"/>
    </xf>
    <xf numFmtId="0" fontId="21" fillId="88" borderId="0" xfId="243" applyFill="1" applyProtection="1"/>
    <xf numFmtId="0" fontId="67" fillId="0" borderId="0" xfId="242" applyFont="1" applyAlignment="1">
      <alignment horizontal="center" vertical="center"/>
    </xf>
    <xf numFmtId="0" fontId="68" fillId="0" borderId="0" xfId="242" applyFont="1" applyAlignment="1">
      <alignment horizontal="center" vertical="center"/>
    </xf>
    <xf numFmtId="0" fontId="68" fillId="0" borderId="0" xfId="242" applyFont="1"/>
    <xf numFmtId="0" fontId="1" fillId="0" borderId="0" xfId="244" applyProtection="1"/>
    <xf numFmtId="0" fontId="69" fillId="59" borderId="0" xfId="126" applyFont="1" applyFill="1" applyAlignment="1">
      <alignment horizontal="center" vertical="center"/>
    </xf>
    <xf numFmtId="0" fontId="21" fillId="88" borderId="0" xfId="0" applyFont="1" applyFill="1"/>
    <xf numFmtId="0" fontId="70" fillId="88" borderId="0" xfId="124" applyFont="1" applyFill="1" applyAlignment="1">
      <alignment horizontal="center" vertical="center"/>
    </xf>
    <xf numFmtId="0" fontId="71" fillId="88" borderId="0" xfId="243" applyFont="1" applyFill="1" applyAlignment="1" applyProtection="1">
      <alignment horizontal="left"/>
    </xf>
    <xf numFmtId="0" fontId="72" fillId="109" borderId="30" xfId="115" applyFont="1" applyFill="1" applyBorder="1" applyAlignment="1">
      <alignment horizontal="center"/>
    </xf>
    <xf numFmtId="0" fontId="68" fillId="0" borderId="18" xfId="242" applyFont="1" applyBorder="1" applyAlignment="1">
      <alignment horizontal="center" vertical="center"/>
    </xf>
    <xf numFmtId="0" fontId="58" fillId="97" borderId="18" xfId="242" applyFont="1" applyFill="1" applyBorder="1" applyAlignment="1">
      <alignment horizontal="center" vertical="center"/>
    </xf>
    <xf numFmtId="0" fontId="68" fillId="97" borderId="18" xfId="242" applyFont="1" applyFill="1" applyBorder="1" applyAlignment="1">
      <alignment horizontal="center" vertical="center"/>
    </xf>
    <xf numFmtId="0" fontId="68" fillId="0" borderId="18" xfId="243" applyFont="1" applyBorder="1" applyAlignment="1" applyProtection="1">
      <alignment horizontal="center" vertical="center"/>
    </xf>
    <xf numFmtId="0" fontId="73" fillId="0" borderId="18" xfId="148" applyFont="1" applyBorder="1" applyAlignment="1">
      <alignment vertical="center"/>
    </xf>
    <xf numFmtId="0" fontId="73" fillId="0" borderId="26" xfId="148" applyFont="1" applyBorder="1" applyAlignment="1">
      <alignment vertical="center"/>
    </xf>
    <xf numFmtId="0" fontId="10" fillId="0" borderId="31" xfId="242" applyBorder="1"/>
    <xf numFmtId="0" fontId="68" fillId="97" borderId="0" xfId="242" applyFont="1" applyFill="1" applyAlignment="1">
      <alignment horizontal="center" vertical="center"/>
    </xf>
    <xf numFmtId="0" fontId="0" fillId="88" borderId="0" xfId="0" applyFill="1"/>
    <xf numFmtId="0" fontId="58" fillId="0" borderId="0" xfId="115" applyFont="1" applyAlignment="1">
      <alignment horizontal="center" vertical="center"/>
    </xf>
    <xf numFmtId="0" fontId="67" fillId="0" borderId="23" xfId="242" applyFont="1" applyBorder="1" applyAlignment="1">
      <alignment horizontal="center" vertical="center"/>
    </xf>
    <xf numFmtId="0" fontId="74" fillId="110" borderId="1" xfId="124" applyFont="1" applyFill="1" applyBorder="1" applyAlignment="1">
      <alignment horizontal="center"/>
    </xf>
    <xf numFmtId="0" fontId="60" fillId="95" borderId="2" xfId="244" applyFont="1" applyFill="1" applyBorder="1" applyAlignment="1">
      <alignment horizontal="center"/>
      <protection locked="0"/>
    </xf>
    <xf numFmtId="0" fontId="60" fillId="110" borderId="2" xfId="244" applyFont="1" applyFill="1" applyBorder="1" applyAlignment="1">
      <alignment horizontal="center"/>
      <protection locked="0"/>
    </xf>
    <xf numFmtId="0" fontId="34" fillId="88" borderId="32" xfId="128" applyFont="1" applyFill="1" applyBorder="1" applyAlignment="1">
      <alignment horizontal="center" vertical="center" shrinkToFit="1"/>
    </xf>
    <xf numFmtId="0" fontId="75" fillId="52" borderId="32" xfId="128" applyFont="1" applyFill="1" applyBorder="1" applyAlignment="1">
      <alignment horizontal="center" vertical="center" shrinkToFit="1"/>
    </xf>
    <xf numFmtId="0" fontId="70" fillId="111" borderId="0" xfId="243" applyFont="1" applyFill="1" applyAlignment="1" applyProtection="1">
      <alignment horizontal="center" vertical="center"/>
    </xf>
    <xf numFmtId="0" fontId="76" fillId="112" borderId="33" xfId="139" applyFont="1" applyFill="1" applyBorder="1" applyAlignment="1">
      <alignment horizontal="center" vertical="center" shrinkToFit="1"/>
    </xf>
    <xf numFmtId="0" fontId="77" fillId="113" borderId="32" xfId="132" applyFont="1" applyFill="1" applyBorder="1" applyAlignment="1" applyProtection="1">
      <alignment horizontal="center" vertical="center" shrinkToFit="1"/>
    </xf>
    <xf numFmtId="0" fontId="53" fillId="88" borderId="0" xfId="245" applyFont="1" applyFill="1" applyAlignment="1" applyProtection="1">
      <alignment horizontal="center"/>
    </xf>
    <xf numFmtId="0" fontId="74" fillId="114" borderId="1" xfId="0" applyFont="1" applyFill="1" applyBorder="1" applyAlignment="1">
      <alignment horizontal="center"/>
    </xf>
    <xf numFmtId="0" fontId="10" fillId="0" borderId="24" xfId="242" applyBorder="1"/>
    <xf numFmtId="0" fontId="78" fillId="115" borderId="1" xfId="128" applyFont="1" applyFill="1" applyBorder="1" applyAlignment="1">
      <alignment horizontal="center" vertical="center" shrinkToFit="1"/>
    </xf>
    <xf numFmtId="0" fontId="10" fillId="88" borderId="0" xfId="115" applyFill="1"/>
    <xf numFmtId="0" fontId="79" fillId="88" borderId="0" xfId="115" applyFont="1" applyFill="1" applyAlignment="1">
      <alignment horizontal="center" vertical="center"/>
    </xf>
    <xf numFmtId="0" fontId="74" fillId="88" borderId="0" xfId="0" applyFont="1" applyFill="1" applyAlignment="1">
      <alignment horizontal="center"/>
    </xf>
    <xf numFmtId="0" fontId="0" fillId="52" borderId="0" xfId="0" applyFill="1"/>
    <xf numFmtId="0" fontId="80" fillId="0" borderId="0" xfId="113" applyFont="1" applyAlignment="1" applyProtection="1">
      <alignment horizontal="center" vertical="center"/>
    </xf>
    <xf numFmtId="0" fontId="81" fillId="0" borderId="0" xfId="115" applyFont="1" applyAlignment="1">
      <alignment horizontal="center" vertical="center"/>
    </xf>
    <xf numFmtId="0" fontId="10" fillId="88" borderId="0" xfId="242" applyFill="1"/>
    <xf numFmtId="0" fontId="82" fillId="88" borderId="0" xfId="242" applyFont="1" applyFill="1" applyAlignment="1">
      <alignment horizontal="center" vertical="center"/>
    </xf>
    <xf numFmtId="0" fontId="57" fillId="88" borderId="0" xfId="115" applyFont="1" applyFill="1" applyAlignment="1">
      <alignment horizontal="center" vertical="center"/>
    </xf>
    <xf numFmtId="0" fontId="57" fillId="88" borderId="0" xfId="0" applyFont="1" applyFill="1" applyAlignment="1">
      <alignment horizontal="center" vertical="center"/>
    </xf>
    <xf numFmtId="0" fontId="62" fillId="0" borderId="0" xfId="0" applyFont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83" fillId="0" borderId="0" xfId="0" applyFont="1" applyAlignment="1">
      <alignment horizontal="center" vertical="center"/>
    </xf>
    <xf numFmtId="0" fontId="84" fillId="88" borderId="0" xfId="243" applyFont="1" applyFill="1" applyAlignment="1" applyProtection="1">
      <alignment horizontal="center" vertical="center"/>
    </xf>
    <xf numFmtId="0" fontId="0" fillId="0" borderId="20" xfId="0" applyBorder="1"/>
    <xf numFmtId="0" fontId="0" fillId="0" borderId="21" xfId="0" applyBorder="1"/>
    <xf numFmtId="0" fontId="84" fillId="0" borderId="21" xfId="124" applyFont="1" applyBorder="1" applyAlignment="1">
      <alignment horizontal="center" vertical="center"/>
    </xf>
    <xf numFmtId="0" fontId="68" fillId="97" borderId="21" xfId="124" applyFont="1" applyFill="1" applyBorder="1" applyAlignment="1">
      <alignment horizontal="center" vertical="center"/>
    </xf>
    <xf numFmtId="0" fontId="53" fillId="116" borderId="21" xfId="0" applyFont="1" applyFill="1" applyBorder="1" applyAlignment="1">
      <alignment horizontal="center" vertical="center"/>
    </xf>
    <xf numFmtId="0" fontId="58" fillId="97" borderId="0" xfId="242" applyFont="1" applyFill="1" applyAlignment="1">
      <alignment horizontal="center" vertical="center"/>
    </xf>
    <xf numFmtId="0" fontId="85" fillId="117" borderId="0" xfId="115" applyFont="1" applyFill="1" applyAlignment="1">
      <alignment horizontal="center"/>
    </xf>
    <xf numFmtId="0" fontId="0" fillId="0" borderId="0" xfId="0" applyProtection="1">
      <protection locked="0"/>
    </xf>
    <xf numFmtId="0" fontId="29" fillId="88" borderId="0" xfId="0" applyFont="1" applyFill="1" applyAlignment="1">
      <alignment horizontal="center" vertical="center"/>
    </xf>
    <xf numFmtId="0" fontId="82" fillId="118" borderId="0" xfId="0" applyFont="1" applyFill="1"/>
    <xf numFmtId="0" fontId="29" fillId="52" borderId="0" xfId="0" applyFont="1" applyFill="1" applyAlignment="1" applyProtection="1">
      <alignment horizontal="center" vertical="center"/>
      <protection locked="0"/>
    </xf>
    <xf numFmtId="0" fontId="84" fillId="119" borderId="0" xfId="124" applyFont="1" applyFill="1" applyAlignment="1">
      <alignment horizontal="center" vertical="center"/>
    </xf>
    <xf numFmtId="0" fontId="86" fillId="35" borderId="0" xfId="124" applyFont="1" applyFill="1" applyAlignment="1">
      <alignment horizontal="center" vertical="center"/>
    </xf>
    <xf numFmtId="0" fontId="84" fillId="119" borderId="35" xfId="124" applyFont="1" applyFill="1" applyBorder="1" applyAlignment="1">
      <alignment horizontal="center" vertical="center"/>
    </xf>
    <xf numFmtId="0" fontId="83" fillId="88" borderId="0" xfId="0" applyFont="1" applyFill="1" applyAlignment="1">
      <alignment horizontal="center" vertical="center"/>
    </xf>
    <xf numFmtId="0" fontId="60" fillId="88" borderId="0" xfId="172" applyFont="1" applyFill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87" fillId="120" borderId="0" xfId="245" applyFont="1" applyFill="1" applyAlignment="1" applyProtection="1">
      <alignment horizontal="center" vertical="center"/>
    </xf>
    <xf numFmtId="0" fontId="88" fillId="121" borderId="0" xfId="245" applyFont="1" applyFill="1" applyAlignment="1" applyProtection="1">
      <alignment horizontal="center" vertical="center"/>
    </xf>
    <xf numFmtId="0" fontId="60" fillId="0" borderId="0" xfId="172" applyFont="1" applyAlignment="1">
      <alignment horizontal="center" vertical="center"/>
    </xf>
    <xf numFmtId="0" fontId="60" fillId="88" borderId="0" xfId="0" applyFont="1" applyFill="1" applyAlignment="1">
      <alignment horizontal="left"/>
    </xf>
    <xf numFmtId="0" fontId="84" fillId="0" borderId="24" xfId="124" applyFont="1" applyBorder="1" applyAlignment="1">
      <alignment horizontal="center" vertical="center"/>
    </xf>
    <xf numFmtId="0" fontId="84" fillId="0" borderId="0" xfId="124" applyFont="1" applyAlignment="1">
      <alignment horizontal="center" vertical="center"/>
    </xf>
    <xf numFmtId="0" fontId="70" fillId="0" borderId="0" xfId="124" applyFont="1" applyAlignment="1">
      <alignment horizontal="center" vertical="center"/>
    </xf>
    <xf numFmtId="0" fontId="68" fillId="97" borderId="0" xfId="124" applyFont="1" applyFill="1" applyAlignment="1">
      <alignment horizontal="center" vertical="center"/>
    </xf>
    <xf numFmtId="0" fontId="53" fillId="116" borderId="0" xfId="0" applyFont="1" applyFill="1" applyAlignment="1">
      <alignment horizontal="center" vertical="center"/>
    </xf>
    <xf numFmtId="0" fontId="89" fillId="0" borderId="0" xfId="242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0" fillId="0" borderId="0" xfId="243" applyFont="1" applyAlignment="1" applyProtection="1">
      <alignment horizontal="center" vertical="center"/>
    </xf>
    <xf numFmtId="0" fontId="90" fillId="88" borderId="0" xfId="242" applyFont="1" applyFill="1" applyAlignment="1">
      <alignment vertical="center"/>
    </xf>
    <xf numFmtId="0" fontId="91" fillId="122" borderId="0" xfId="0" applyFont="1" applyFill="1" applyAlignment="1">
      <alignment horizontal="center"/>
    </xf>
    <xf numFmtId="0" fontId="2" fillId="123" borderId="0" xfId="0" applyFont="1" applyFill="1"/>
    <xf numFmtId="0" fontId="70" fillId="111" borderId="0" xfId="124" applyFont="1" applyFill="1" applyAlignment="1">
      <alignment horizontal="center" vertical="center"/>
    </xf>
    <xf numFmtId="0" fontId="92" fillId="88" borderId="0" xfId="245" applyFont="1" applyFill="1" applyAlignment="1" applyProtection="1">
      <alignment horizontal="center" vertical="center"/>
    </xf>
    <xf numFmtId="0" fontId="78" fillId="124" borderId="1" xfId="128" applyFont="1" applyFill="1" applyBorder="1" applyAlignment="1">
      <alignment horizontal="center" vertical="center" shrinkToFit="1"/>
    </xf>
    <xf numFmtId="0" fontId="76" fillId="125" borderId="0" xfId="246" applyFont="1" applyFill="1" applyAlignment="1">
      <alignment horizontal="center" vertical="center" shrinkToFit="1"/>
    </xf>
    <xf numFmtId="0" fontId="80" fillId="126" borderId="1" xfId="132" applyFont="1" applyFill="1" applyBorder="1" applyAlignment="1" applyProtection="1">
      <alignment horizontal="center" vertical="center" shrinkToFit="1"/>
    </xf>
    <xf numFmtId="0" fontId="77" fillId="127" borderId="1" xfId="132" applyFont="1" applyFill="1" applyBorder="1" applyAlignment="1" applyProtection="1">
      <alignment horizontal="center" vertical="center" shrinkToFit="1"/>
    </xf>
    <xf numFmtId="0" fontId="93" fillId="128" borderId="1" xfId="132" applyFont="1" applyFill="1" applyBorder="1" applyAlignment="1" applyProtection="1">
      <alignment horizontal="center" vertical="center" shrinkToFit="1"/>
    </xf>
    <xf numFmtId="0" fontId="71" fillId="88" borderId="0" xfId="243" applyFont="1" applyFill="1" applyAlignment="1" applyProtection="1">
      <alignment horizontal="right"/>
    </xf>
    <xf numFmtId="0" fontId="72" fillId="118" borderId="0" xfId="115" applyFont="1" applyFill="1" applyAlignment="1">
      <alignment horizontal="center"/>
    </xf>
    <xf numFmtId="0" fontId="72" fillId="118" borderId="37" xfId="115" applyFont="1" applyFill="1" applyBorder="1" applyAlignment="1">
      <alignment horizontal="center"/>
    </xf>
    <xf numFmtId="0" fontId="70" fillId="0" borderId="24" xfId="124" applyFont="1" applyBorder="1" applyAlignment="1">
      <alignment horizontal="center" vertical="center"/>
    </xf>
    <xf numFmtId="0" fontId="53" fillId="116" borderId="25" xfId="0" applyFont="1" applyFill="1" applyBorder="1" applyAlignment="1">
      <alignment horizontal="center" vertical="center"/>
    </xf>
    <xf numFmtId="0" fontId="60" fillId="129" borderId="29" xfId="244" applyFont="1" applyFill="1" applyBorder="1" applyAlignment="1">
      <alignment horizontal="center"/>
      <protection locked="0"/>
    </xf>
    <xf numFmtId="0" fontId="94" fillId="130" borderId="1" xfId="132" applyFont="1" applyFill="1" applyBorder="1" applyAlignment="1" applyProtection="1">
      <alignment horizontal="center" vertical="center" shrinkToFit="1"/>
    </xf>
    <xf numFmtId="0" fontId="68" fillId="88" borderId="0" xfId="242" applyFont="1" applyFill="1" applyAlignment="1">
      <alignment horizontal="center" vertical="center"/>
    </xf>
    <xf numFmtId="0" fontId="68" fillId="88" borderId="37" xfId="242" applyFont="1" applyFill="1" applyBorder="1" applyAlignment="1">
      <alignment horizontal="center" vertical="center"/>
    </xf>
    <xf numFmtId="0" fontId="29" fillId="52" borderId="0" xfId="124" applyFont="1" applyFill="1" applyAlignment="1">
      <alignment horizontal="center" vertical="center"/>
    </xf>
    <xf numFmtId="0" fontId="68" fillId="52" borderId="38" xfId="124" applyFont="1" applyFill="1" applyBorder="1" applyAlignment="1">
      <alignment horizontal="right" vertical="center"/>
    </xf>
    <xf numFmtId="0" fontId="87" fillId="88" borderId="0" xfId="245" applyFont="1" applyFill="1" applyAlignment="1" applyProtection="1">
      <alignment horizontal="center" vertical="center"/>
    </xf>
    <xf numFmtId="0" fontId="88" fillId="88" borderId="0" xfId="245" applyFont="1" applyFill="1" applyAlignment="1" applyProtection="1">
      <alignment horizontal="center" vertical="center"/>
    </xf>
    <xf numFmtId="0" fontId="61" fillId="88" borderId="37" xfId="128" applyFont="1" applyFill="1" applyBorder="1" applyAlignment="1" applyProtection="1">
      <alignment horizontal="center" vertical="center" shrinkToFit="1"/>
      <protection locked="0"/>
    </xf>
    <xf numFmtId="0" fontId="95" fillId="88" borderId="0" xfId="0" applyFont="1" applyFill="1"/>
    <xf numFmtId="0" fontId="72" fillId="118" borderId="0" xfId="0" applyFont="1" applyFill="1" applyAlignment="1">
      <alignment horizontal="center"/>
    </xf>
    <xf numFmtId="0" fontId="70" fillId="88" borderId="0" xfId="243" applyFont="1" applyFill="1" applyAlignment="1" applyProtection="1">
      <alignment horizontal="center" vertical="center"/>
    </xf>
    <xf numFmtId="0" fontId="68" fillId="88" borderId="0" xfId="124" applyFont="1" applyFill="1" applyAlignment="1">
      <alignment horizontal="left" vertical="center"/>
    </xf>
    <xf numFmtId="0" fontId="68" fillId="88" borderId="0" xfId="124" applyFont="1" applyFill="1" applyAlignment="1">
      <alignment horizontal="right" vertical="center"/>
    </xf>
    <xf numFmtId="0" fontId="92" fillId="132" borderId="0" xfId="245" applyFont="1" applyFill="1" applyAlignment="1" applyProtection="1">
      <alignment horizontal="center" vertical="center"/>
    </xf>
    <xf numFmtId="0" fontId="53" fillId="133" borderId="0" xfId="245" applyFont="1" applyFill="1" applyAlignment="1" applyProtection="1">
      <alignment horizontal="center"/>
    </xf>
    <xf numFmtId="0" fontId="68" fillId="88" borderId="0" xfId="243" applyFont="1" applyFill="1" applyAlignment="1" applyProtection="1">
      <alignment horizontal="center" vertical="center"/>
    </xf>
    <xf numFmtId="0" fontId="30" fillId="88" borderId="0" xfId="0" applyFont="1" applyFill="1" applyAlignment="1">
      <alignment horizontal="center" vertical="center"/>
    </xf>
    <xf numFmtId="0" fontId="21" fillId="0" borderId="0" xfId="172" applyFont="1" applyAlignment="1"/>
    <xf numFmtId="0" fontId="70" fillId="88" borderId="37" xfId="243" applyFont="1" applyFill="1" applyBorder="1" applyAlignment="1" applyProtection="1">
      <alignment horizontal="center" vertical="center"/>
    </xf>
    <xf numFmtId="0" fontId="53" fillId="0" borderId="25" xfId="0" applyFont="1" applyBorder="1" applyAlignment="1">
      <alignment horizontal="center" vertical="center"/>
    </xf>
    <xf numFmtId="0" fontId="51" fillId="134" borderId="0" xfId="0" applyFont="1" applyFill="1" applyAlignment="1">
      <alignment horizontal="center" vertical="center" shrinkToFit="1"/>
    </xf>
    <xf numFmtId="0" fontId="59" fillId="88" borderId="0" xfId="243" applyFont="1" applyFill="1" applyAlignment="1" applyProtection="1">
      <alignment horizontal="right" vertical="center"/>
    </xf>
    <xf numFmtId="0" fontId="70" fillId="125" borderId="0" xfId="246" applyFont="1" applyFill="1" applyAlignment="1">
      <alignment horizontal="left" vertical="center" shrinkToFit="1"/>
    </xf>
    <xf numFmtId="0" fontId="92" fillId="135" borderId="0" xfId="245" applyFont="1" applyFill="1" applyAlignment="1" applyProtection="1">
      <alignment horizontal="center" vertical="center"/>
    </xf>
    <xf numFmtId="0" fontId="96" fillId="136" borderId="42" xfId="132" applyFont="1" applyFill="1" applyBorder="1" applyAlignment="1" applyProtection="1">
      <alignment horizontal="center" vertical="center" shrinkToFit="1"/>
    </xf>
    <xf numFmtId="0" fontId="97" fillId="113" borderId="0" xfId="132" applyFont="1" applyFill="1" applyAlignment="1" applyProtection="1">
      <alignment horizontal="right" vertical="center" shrinkToFit="1"/>
    </xf>
    <xf numFmtId="0" fontId="77" fillId="137" borderId="1" xfId="132" applyFont="1" applyFill="1" applyBorder="1" applyAlignment="1" applyProtection="1">
      <alignment horizontal="center" vertical="center" shrinkToFit="1"/>
    </xf>
    <xf numFmtId="0" fontId="98" fillId="88" borderId="0" xfId="0" applyFont="1" applyFill="1" applyAlignment="1">
      <alignment horizontal="left" vertical="center"/>
    </xf>
    <xf numFmtId="0" fontId="10" fillId="0" borderId="24" xfId="242" applyBorder="1" applyProtection="1">
      <protection locked="0"/>
    </xf>
    <xf numFmtId="0" fontId="99" fillId="88" borderId="37" xfId="0" applyFont="1" applyFill="1" applyBorder="1" applyAlignment="1">
      <alignment horizontal="center" vertical="center"/>
    </xf>
    <xf numFmtId="0" fontId="83" fillId="88" borderId="0" xfId="242" applyFont="1" applyFill="1" applyAlignment="1">
      <alignment horizontal="center"/>
    </xf>
    <xf numFmtId="0" fontId="10" fillId="0" borderId="0" xfId="242" applyAlignment="1">
      <alignment horizontal="center" vertical="center"/>
    </xf>
    <xf numFmtId="0" fontId="60" fillId="0" borderId="0" xfId="115" applyFont="1" applyAlignment="1">
      <alignment horizontal="center"/>
    </xf>
    <xf numFmtId="0" fontId="60" fillId="0" borderId="0" xfId="115" applyFont="1" applyAlignment="1">
      <alignment horizontal="center" vertical="center"/>
    </xf>
    <xf numFmtId="0" fontId="100" fillId="138" borderId="0" xfId="128" applyFont="1" applyFill="1" applyAlignment="1">
      <alignment horizontal="center" vertical="center" shrinkToFit="1"/>
    </xf>
    <xf numFmtId="0" fontId="101" fillId="96" borderId="1" xfId="0" applyFont="1" applyFill="1" applyBorder="1" applyAlignment="1">
      <alignment horizontal="center"/>
    </xf>
    <xf numFmtId="0" fontId="78" fillId="88" borderId="0" xfId="128" applyFont="1" applyFill="1" applyAlignment="1">
      <alignment horizontal="center" vertical="center" shrinkToFit="1"/>
    </xf>
    <xf numFmtId="0" fontId="71" fillId="88" borderId="0" xfId="148" applyFont="1" applyFill="1" applyAlignment="1">
      <alignment horizontal="left" vertical="center"/>
    </xf>
    <xf numFmtId="0" fontId="73" fillId="88" borderId="0" xfId="148" applyFont="1" applyFill="1" applyAlignment="1">
      <alignment vertical="center"/>
    </xf>
    <xf numFmtId="0" fontId="73" fillId="88" borderId="0" xfId="152" applyFont="1" applyFill="1" applyAlignment="1">
      <alignment vertical="center"/>
    </xf>
    <xf numFmtId="0" fontId="72" fillId="88" borderId="0" xfId="172" applyFont="1" applyFill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62" fillId="0" borderId="24" xfId="242" applyFont="1" applyBorder="1" applyAlignment="1">
      <alignment vertical="center"/>
    </xf>
    <xf numFmtId="0" fontId="10" fillId="97" borderId="0" xfId="242" applyFill="1" applyAlignment="1">
      <alignment horizontal="center" vertical="center"/>
    </xf>
    <xf numFmtId="0" fontId="68" fillId="0" borderId="17" xfId="124" applyFont="1" applyBorder="1" applyAlignment="1">
      <alignment horizontal="center" vertical="center"/>
    </xf>
    <xf numFmtId="0" fontId="68" fillId="139" borderId="45" xfId="242" applyFont="1" applyFill="1" applyBorder="1" applyAlignment="1">
      <alignment horizontal="center" vertical="center"/>
    </xf>
    <xf numFmtId="0" fontId="10" fillId="0" borderId="0" xfId="242" applyProtection="1">
      <protection locked="0"/>
    </xf>
    <xf numFmtId="0" fontId="78" fillId="140" borderId="0" xfId="128" applyFont="1" applyFill="1" applyAlignment="1">
      <alignment horizontal="center" vertical="center" shrinkToFit="1"/>
    </xf>
    <xf numFmtId="0" fontId="98" fillId="88" borderId="0" xfId="0" applyFont="1" applyFill="1" applyAlignment="1">
      <alignment horizontal="right" vertical="center"/>
    </xf>
    <xf numFmtId="0" fontId="70" fillId="88" borderId="0" xfId="124" applyFont="1" applyFill="1" applyAlignment="1">
      <alignment horizontal="left" vertical="center"/>
    </xf>
    <xf numFmtId="0" fontId="106" fillId="0" borderId="0" xfId="112" applyFont="1" applyAlignment="1">
      <alignment horizontal="center" vertical="center"/>
    </xf>
    <xf numFmtId="0" fontId="68" fillId="139" borderId="47" xfId="242" applyFont="1" applyFill="1" applyBorder="1" applyAlignment="1">
      <alignment horizontal="center" vertical="center"/>
    </xf>
    <xf numFmtId="0" fontId="68" fillId="139" borderId="48" xfId="242" applyFont="1" applyFill="1" applyBorder="1" applyAlignment="1">
      <alignment horizontal="center" vertical="center"/>
    </xf>
    <xf numFmtId="0" fontId="75" fillId="141" borderId="0" xfId="128" applyFont="1" applyFill="1" applyAlignment="1">
      <alignment horizontal="center" vertical="center" shrinkToFit="1"/>
    </xf>
    <xf numFmtId="0" fontId="60" fillId="88" borderId="0" xfId="115" applyFont="1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10" fillId="88" borderId="0" xfId="124" applyFill="1" applyAlignment="1">
      <alignment horizontal="center" vertical="center"/>
    </xf>
    <xf numFmtId="0" fontId="73" fillId="35" borderId="0" xfId="148" applyFont="1" applyFill="1" applyAlignment="1">
      <alignment vertical="center"/>
    </xf>
    <xf numFmtId="0" fontId="74" fillId="114" borderId="49" xfId="0" applyFont="1" applyFill="1" applyBorder="1" applyAlignment="1">
      <alignment horizontal="center"/>
    </xf>
    <xf numFmtId="0" fontId="68" fillId="97" borderId="0" xfId="243" applyFont="1" applyFill="1" applyAlignment="1" applyProtection="1">
      <alignment horizontal="center" vertical="center"/>
    </xf>
    <xf numFmtId="0" fontId="10" fillId="0" borderId="0" xfId="124" applyProtection="1">
      <protection locked="0"/>
    </xf>
    <xf numFmtId="0" fontId="71" fillId="52" borderId="0" xfId="247" applyFont="1" applyFill="1"/>
    <xf numFmtId="0" fontId="76" fillId="142" borderId="50" xfId="248" applyFont="1" applyFill="1" applyBorder="1" applyAlignment="1" applyProtection="1">
      <alignment horizontal="center" vertical="center" shrinkToFit="1"/>
    </xf>
    <xf numFmtId="0" fontId="68" fillId="0" borderId="0" xfId="124" applyFont="1" applyAlignment="1">
      <alignment horizontal="center" vertical="center"/>
    </xf>
    <xf numFmtId="0" fontId="0" fillId="88" borderId="0" xfId="0" applyFill="1" applyAlignment="1">
      <alignment horizontal="left"/>
    </xf>
    <xf numFmtId="0" fontId="68" fillId="0" borderId="0" xfId="243" applyFont="1" applyAlignment="1" applyProtection="1">
      <alignment horizontal="center" vertical="center"/>
    </xf>
    <xf numFmtId="0" fontId="71" fillId="52" borderId="0" xfId="247" applyFont="1" applyFill="1" applyAlignment="1">
      <alignment horizontal="right"/>
    </xf>
    <xf numFmtId="0" fontId="86" fillId="35" borderId="0" xfId="124" applyFont="1" applyFill="1" applyAlignment="1">
      <alignment vertical="center"/>
    </xf>
    <xf numFmtId="170" fontId="70" fillId="0" borderId="24" xfId="124" applyNumberFormat="1" applyFont="1" applyBorder="1" applyAlignment="1">
      <alignment horizontal="center" vertical="center"/>
    </xf>
    <xf numFmtId="0" fontId="107" fillId="0" borderId="23" xfId="115" applyFont="1" applyBorder="1" applyAlignment="1">
      <alignment horizontal="center" vertical="center"/>
    </xf>
    <xf numFmtId="0" fontId="68" fillId="139" borderId="48" xfId="124" applyFont="1" applyFill="1" applyBorder="1" applyAlignment="1">
      <alignment horizontal="center" vertical="center"/>
    </xf>
    <xf numFmtId="0" fontId="83" fillId="88" borderId="0" xfId="0" applyFont="1" applyFill="1" applyAlignment="1">
      <alignment horizontal="center"/>
    </xf>
    <xf numFmtId="0" fontId="74" fillId="88" borderId="0" xfId="124" applyFont="1" applyFill="1" applyAlignment="1">
      <alignment horizontal="center"/>
    </xf>
    <xf numFmtId="0" fontId="74" fillId="143" borderId="42" xfId="124" applyFont="1" applyFill="1" applyBorder="1" applyAlignment="1">
      <alignment horizontal="center"/>
    </xf>
    <xf numFmtId="0" fontId="91" fillId="144" borderId="15" xfId="0" applyFont="1" applyFill="1" applyBorder="1" applyAlignment="1">
      <alignment horizontal="center"/>
    </xf>
    <xf numFmtId="0" fontId="91" fillId="144" borderId="16" xfId="0" applyFont="1" applyFill="1" applyBorder="1" applyAlignment="1">
      <alignment horizontal="center"/>
    </xf>
    <xf numFmtId="0" fontId="73" fillId="145" borderId="0" xfId="132" applyFont="1" applyFill="1" applyAlignment="1" applyProtection="1">
      <alignment horizontal="center" vertical="center" shrinkToFit="1"/>
    </xf>
    <xf numFmtId="0" fontId="84" fillId="146" borderId="0" xfId="247" applyFont="1" applyFill="1" applyAlignment="1">
      <alignment horizontal="center" vertical="center"/>
    </xf>
    <xf numFmtId="0" fontId="53" fillId="88" borderId="0" xfId="115" applyFont="1" applyFill="1" applyAlignment="1">
      <alignment horizontal="center" vertical="center"/>
    </xf>
    <xf numFmtId="0" fontId="108" fillId="116" borderId="0" xfId="115" applyFont="1" applyFill="1"/>
    <xf numFmtId="0" fontId="83" fillId="80" borderId="49" xfId="124" applyFont="1" applyFill="1" applyBorder="1" applyAlignment="1">
      <alignment horizontal="center"/>
    </xf>
    <xf numFmtId="0" fontId="94" fillId="147" borderId="49" xfId="132" applyFont="1" applyFill="1" applyBorder="1" applyAlignment="1" applyProtection="1">
      <alignment horizontal="center" vertical="center" shrinkToFit="1"/>
    </xf>
    <xf numFmtId="0" fontId="73" fillId="148" borderId="49" xfId="132" applyFont="1" applyFill="1" applyBorder="1" applyAlignment="1" applyProtection="1">
      <alignment horizontal="center" vertical="center" shrinkToFit="1"/>
    </xf>
    <xf numFmtId="0" fontId="104" fillId="0" borderId="0" xfId="0" applyFont="1" applyAlignment="1">
      <alignment vertical="center"/>
    </xf>
    <xf numFmtId="0" fontId="94" fillId="149" borderId="0" xfId="132" applyFont="1" applyFill="1" applyAlignment="1" applyProtection="1">
      <alignment horizontal="center" vertical="center" shrinkToFit="1"/>
    </xf>
    <xf numFmtId="0" fontId="71" fillId="0" borderId="0" xfId="242" applyFont="1" applyAlignment="1">
      <alignment horizontal="center"/>
    </xf>
    <xf numFmtId="0" fontId="70" fillId="111" borderId="0" xfId="247" applyFont="1" applyFill="1" applyAlignment="1">
      <alignment horizontal="center" vertical="center"/>
    </xf>
    <xf numFmtId="0" fontId="68" fillId="0" borderId="24" xfId="124" applyFont="1" applyBorder="1" applyAlignment="1">
      <alignment horizontal="center" vertical="center"/>
    </xf>
    <xf numFmtId="0" fontId="109" fillId="0" borderId="0" xfId="128" applyFont="1" applyAlignment="1">
      <alignment horizontal="center" vertical="center" shrinkToFit="1"/>
    </xf>
    <xf numFmtId="0" fontId="10" fillId="88" borderId="0" xfId="115" applyFill="1" applyAlignment="1">
      <alignment horizontal="center" vertical="center"/>
    </xf>
    <xf numFmtId="0" fontId="10" fillId="88" borderId="0" xfId="242" applyFill="1" applyAlignment="1">
      <alignment horizontal="center" vertical="center"/>
    </xf>
    <xf numFmtId="0" fontId="53" fillId="0" borderId="0" xfId="115" applyFont="1" applyAlignment="1">
      <alignment horizontal="center" vertical="center"/>
    </xf>
    <xf numFmtId="0" fontId="53" fillId="116" borderId="0" xfId="115" applyFont="1" applyFill="1" applyAlignment="1">
      <alignment horizontal="center" vertical="center"/>
    </xf>
    <xf numFmtId="0" fontId="10" fillId="150" borderId="0" xfId="115" applyFill="1" applyAlignment="1">
      <alignment horizontal="center" vertical="center"/>
    </xf>
    <xf numFmtId="0" fontId="80" fillId="151" borderId="0" xfId="132" applyFont="1" applyFill="1" applyAlignment="1" applyProtection="1">
      <alignment horizontal="center" vertical="center" shrinkToFit="1"/>
    </xf>
    <xf numFmtId="0" fontId="29" fillId="88" borderId="0" xfId="0" applyFont="1" applyFill="1"/>
    <xf numFmtId="0" fontId="68" fillId="97" borderId="24" xfId="124" applyFont="1" applyFill="1" applyBorder="1" applyAlignment="1">
      <alignment horizontal="center" vertical="center"/>
    </xf>
    <xf numFmtId="0" fontId="68" fillId="0" borderId="17" xfId="244" applyFont="1" applyBorder="1" applyAlignment="1" applyProtection="1">
      <alignment horizontal="center" vertical="center"/>
    </xf>
    <xf numFmtId="0" fontId="21" fillId="0" borderId="18" xfId="245" applyBorder="1" applyAlignment="1" applyProtection="1">
      <alignment horizontal="center" vertical="center"/>
    </xf>
    <xf numFmtId="0" fontId="21" fillId="0" borderId="18" xfId="148" applyFont="1" applyBorder="1" applyAlignment="1">
      <alignment horizontal="center" vertical="center"/>
    </xf>
    <xf numFmtId="0" fontId="60" fillId="0" borderId="18" xfId="245" applyFont="1" applyBorder="1" applyAlignment="1" applyProtection="1">
      <alignment horizontal="center"/>
    </xf>
    <xf numFmtId="0" fontId="3" fillId="0" borderId="17" xfId="148" applyBorder="1" applyAlignment="1">
      <alignment vertical="center"/>
    </xf>
    <xf numFmtId="0" fontId="21" fillId="0" borderId="18" xfId="148" applyFont="1" applyBorder="1" applyAlignment="1" applyProtection="1">
      <protection locked="0"/>
    </xf>
    <xf numFmtId="0" fontId="0" fillId="88" borderId="0" xfId="0" applyFill="1" applyProtection="1">
      <protection locked="0"/>
    </xf>
    <xf numFmtId="0" fontId="0" fillId="88" borderId="0" xfId="0" applyFill="1" applyAlignment="1" applyProtection="1">
      <alignment horizontal="left" vertical="center"/>
      <protection locked="0"/>
    </xf>
    <xf numFmtId="0" fontId="83" fillId="88" borderId="0" xfId="124" applyFont="1" applyFill="1" applyAlignment="1">
      <alignment horizontal="center"/>
    </xf>
    <xf numFmtId="0" fontId="73" fillId="152" borderId="1" xfId="132" applyFont="1" applyFill="1" applyBorder="1" applyAlignment="1" applyProtection="1">
      <alignment horizontal="center" vertical="center" shrinkToFit="1"/>
    </xf>
    <xf numFmtId="0" fontId="29" fillId="88" borderId="0" xfId="0" applyFont="1" applyFill="1" applyAlignment="1">
      <alignment horizontal="center"/>
    </xf>
    <xf numFmtId="0" fontId="10" fillId="88" borderId="0" xfId="124" applyFill="1"/>
    <xf numFmtId="0" fontId="96" fillId="88" borderId="0" xfId="132" applyFont="1" applyFill="1" applyAlignment="1" applyProtection="1">
      <alignment horizontal="center" vertical="center" shrinkToFit="1"/>
    </xf>
    <xf numFmtId="0" fontId="77" fillId="151" borderId="0" xfId="132" applyFont="1" applyFill="1" applyAlignment="1" applyProtection="1">
      <alignment horizontal="center" vertical="center" shrinkToFit="1"/>
    </xf>
    <xf numFmtId="0" fontId="54" fillId="103" borderId="49" xfId="128" applyFont="1" applyFill="1" applyBorder="1" applyAlignment="1">
      <alignment horizontal="center" vertical="center" shrinkToFit="1"/>
    </xf>
    <xf numFmtId="0" fontId="80" fillId="153" borderId="0" xfId="113" applyFont="1" applyFill="1" applyAlignment="1" applyProtection="1">
      <alignment horizontal="center" vertical="center"/>
    </xf>
    <xf numFmtId="0" fontId="21" fillId="0" borderId="0" xfId="245" applyProtection="1"/>
    <xf numFmtId="0" fontId="21" fillId="0" borderId="0" xfId="148" applyFont="1" applyAlignment="1">
      <alignment horizontal="center" vertical="center"/>
    </xf>
    <xf numFmtId="0" fontId="0" fillId="0" borderId="22" xfId="0" applyBorder="1"/>
    <xf numFmtId="0" fontId="53" fillId="0" borderId="0" xfId="245" applyFont="1" applyAlignment="1">
      <alignment horizontal="center" vertical="center"/>
      <protection locked="0"/>
    </xf>
    <xf numFmtId="0" fontId="34" fillId="88" borderId="0" xfId="128" applyFont="1" applyFill="1" applyAlignment="1">
      <alignment horizontal="center" vertical="center" shrinkToFit="1"/>
    </xf>
    <xf numFmtId="0" fontId="64" fillId="88" borderId="0" xfId="112" applyFont="1" applyFill="1" applyAlignment="1">
      <alignment horizontal="center" vertical="center"/>
    </xf>
    <xf numFmtId="0" fontId="68" fillId="0" borderId="0" xfId="244" applyFont="1" applyAlignment="1" applyProtection="1">
      <alignment horizontal="center" vertical="center"/>
    </xf>
    <xf numFmtId="0" fontId="32" fillId="88" borderId="0" xfId="0" applyFont="1" applyFill="1" applyAlignment="1">
      <alignment vertical="center"/>
    </xf>
    <xf numFmtId="0" fontId="21" fillId="0" borderId="0" xfId="245" applyAlignment="1" applyProtection="1">
      <alignment horizontal="center" vertical="center"/>
    </xf>
    <xf numFmtId="0" fontId="85" fillId="154" borderId="0" xfId="245" applyFont="1" applyFill="1" applyAlignment="1" applyProtection="1">
      <alignment horizontal="center"/>
    </xf>
    <xf numFmtId="0" fontId="0" fillId="0" borderId="23" xfId="0" applyBorder="1"/>
    <xf numFmtId="0" fontId="111" fillId="35" borderId="0" xfId="113" applyFont="1" applyFill="1" applyAlignment="1" applyProtection="1">
      <alignment horizontal="center" vertical="center"/>
    </xf>
    <xf numFmtId="0" fontId="112" fillId="80" borderId="0" xfId="245" applyFont="1" applyFill="1" applyAlignment="1" applyProtection="1">
      <alignment horizontal="center" vertical="center"/>
    </xf>
    <xf numFmtId="0" fontId="62" fillId="35" borderId="0" xfId="0" applyFont="1" applyFill="1" applyAlignment="1">
      <alignment horizontal="center" vertical="center"/>
    </xf>
    <xf numFmtId="0" fontId="53" fillId="88" borderId="0" xfId="243" applyFont="1" applyFill="1" applyAlignment="1" applyProtection="1">
      <alignment horizontal="center" vertical="center"/>
    </xf>
    <xf numFmtId="0" fontId="29" fillId="88" borderId="0" xfId="0" applyFont="1" applyFill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113" fillId="59" borderId="0" xfId="126" applyFont="1" applyFill="1" applyAlignment="1">
      <alignment horizontal="center" vertical="center"/>
    </xf>
    <xf numFmtId="0" fontId="101" fillId="96" borderId="2" xfId="0" applyFont="1" applyFill="1" applyBorder="1" applyAlignment="1">
      <alignment horizontal="center"/>
    </xf>
    <xf numFmtId="0" fontId="48" fillId="59" borderId="49" xfId="128" applyFont="1" applyFill="1" applyBorder="1" applyAlignment="1">
      <alignment horizontal="center" vertical="center" shrinkToFit="1"/>
    </xf>
    <xf numFmtId="0" fontId="78" fillId="155" borderId="2" xfId="128" applyFont="1" applyFill="1" applyBorder="1" applyAlignment="1">
      <alignment horizontal="center" vertical="center" shrinkToFit="1"/>
    </xf>
    <xf numFmtId="0" fontId="86" fillId="88" borderId="0" xfId="124" applyFont="1" applyFill="1" applyAlignment="1">
      <alignment horizontal="center" vertical="center"/>
    </xf>
    <xf numFmtId="0" fontId="60" fillId="0" borderId="0" xfId="244" applyFont="1" applyAlignment="1" applyProtection="1">
      <alignment horizontal="center" vertical="center"/>
    </xf>
    <xf numFmtId="0" fontId="84" fillId="88" borderId="0" xfId="124" applyFont="1" applyFill="1" applyAlignment="1">
      <alignment horizontal="center" vertical="center"/>
    </xf>
    <xf numFmtId="0" fontId="2" fillId="88" borderId="0" xfId="0" applyFont="1" applyFill="1"/>
    <xf numFmtId="0" fontId="68" fillId="97" borderId="24" xfId="242" applyFont="1" applyFill="1" applyBorder="1" applyAlignment="1">
      <alignment horizontal="center" vertical="center"/>
    </xf>
    <xf numFmtId="0" fontId="53" fillId="0" borderId="25" xfId="115" applyFont="1" applyBorder="1" applyAlignment="1">
      <alignment horizontal="center" vertical="center"/>
    </xf>
    <xf numFmtId="0" fontId="3" fillId="108" borderId="0" xfId="148" applyFill="1" applyAlignment="1">
      <alignment vertical="center"/>
    </xf>
    <xf numFmtId="0" fontId="0" fillId="0" borderId="17" xfId="0" applyBorder="1"/>
    <xf numFmtId="0" fontId="0" fillId="0" borderId="18" xfId="0" applyBorder="1"/>
    <xf numFmtId="0" fontId="53" fillId="0" borderId="18" xfId="245" applyFont="1" applyBorder="1" applyAlignment="1">
      <alignment horizontal="center" vertical="center"/>
      <protection locked="0"/>
    </xf>
    <xf numFmtId="0" fontId="68" fillId="0" borderId="18" xfId="244" applyFont="1" applyBorder="1" applyAlignment="1" applyProtection="1">
      <alignment horizontal="center" vertical="center"/>
    </xf>
    <xf numFmtId="0" fontId="21" fillId="88" borderId="18" xfId="243" applyFill="1" applyBorder="1" applyProtection="1"/>
    <xf numFmtId="0" fontId="21" fillId="88" borderId="18" xfId="0" applyFont="1" applyFill="1" applyBorder="1"/>
    <xf numFmtId="0" fontId="2" fillId="88" borderId="18" xfId="0" applyFont="1" applyFill="1" applyBorder="1"/>
    <xf numFmtId="0" fontId="29" fillId="88" borderId="18" xfId="124" applyFont="1" applyFill="1" applyBorder="1" applyAlignment="1">
      <alignment horizontal="center" vertical="center"/>
    </xf>
    <xf numFmtId="0" fontId="0" fillId="88" borderId="18" xfId="0" applyFill="1" applyBorder="1"/>
    <xf numFmtId="0" fontId="84" fillId="88" borderId="18" xfId="124" applyFont="1" applyFill="1" applyBorder="1" applyAlignment="1">
      <alignment horizontal="center" vertical="center"/>
    </xf>
    <xf numFmtId="0" fontId="1" fillId="0" borderId="26" xfId="244" applyBorder="1" applyProtection="1"/>
    <xf numFmtId="0" fontId="68" fillId="0" borderId="18" xfId="115" applyFont="1" applyBorder="1" applyAlignment="1">
      <alignment horizontal="center" vertical="center"/>
    </xf>
    <xf numFmtId="0" fontId="71" fillId="139" borderId="0" xfId="242" applyFont="1" applyFill="1" applyAlignment="1">
      <alignment horizontal="center" vertical="center"/>
    </xf>
    <xf numFmtId="0" fontId="33" fillId="34" borderId="49" xfId="128" applyFont="1" applyFill="1" applyBorder="1" applyAlignment="1">
      <alignment horizontal="center" vertical="center" shrinkToFit="1"/>
    </xf>
    <xf numFmtId="0" fontId="53" fillId="0" borderId="0" xfId="245" applyFont="1" applyAlignment="1" applyProtection="1">
      <alignment horizontal="left"/>
    </xf>
    <xf numFmtId="0" fontId="114" fillId="88" borderId="0" xfId="245" applyFont="1" applyFill="1" applyAlignment="1" applyProtection="1">
      <alignment vertical="center"/>
    </xf>
    <xf numFmtId="0" fontId="53" fillId="0" borderId="0" xfId="245" applyFont="1" applyAlignment="1">
      <alignment horizontal="right" vertical="center"/>
      <protection locked="0"/>
    </xf>
    <xf numFmtId="0" fontId="83" fillId="0" borderId="0" xfId="0" applyFont="1" applyAlignment="1">
      <alignment horizontal="left" vertical="center"/>
    </xf>
    <xf numFmtId="0" fontId="68" fillId="97" borderId="21" xfId="242" applyFont="1" applyFill="1" applyBorder="1" applyAlignment="1">
      <alignment horizontal="center" vertical="center"/>
    </xf>
    <xf numFmtId="0" fontId="68" fillId="0" borderId="21" xfId="115" applyFont="1" applyBorder="1" applyAlignment="1">
      <alignment horizontal="center" vertical="center"/>
    </xf>
    <xf numFmtId="0" fontId="68" fillId="0" borderId="21" xfId="242" applyFont="1" applyBorder="1" applyAlignment="1">
      <alignment horizontal="center" vertical="center"/>
    </xf>
    <xf numFmtId="0" fontId="68" fillId="0" borderId="22" xfId="242" applyFont="1" applyBorder="1" applyAlignment="1">
      <alignment horizontal="center" vertical="center"/>
    </xf>
    <xf numFmtId="0" fontId="71" fillId="139" borderId="24" xfId="242" applyFont="1" applyFill="1" applyBorder="1" applyAlignment="1">
      <alignment horizontal="center" vertical="center"/>
    </xf>
    <xf numFmtId="0" fontId="67" fillId="0" borderId="23" xfId="242" applyFont="1" applyBorder="1"/>
    <xf numFmtId="0" fontId="3" fillId="0" borderId="0" xfId="148" applyAlignment="1">
      <alignment vertical="center"/>
    </xf>
    <xf numFmtId="0" fontId="68" fillId="0" borderId="0" xfId="244" applyFont="1" applyAlignment="1" applyProtection="1">
      <alignment horizontal="left" vertical="center"/>
    </xf>
    <xf numFmtId="0" fontId="68" fillId="0" borderId="0" xfId="244" applyFont="1" applyAlignment="1" applyProtection="1">
      <alignment horizontal="right" vertical="center"/>
    </xf>
    <xf numFmtId="0" fontId="0" fillId="0" borderId="0" xfId="0" applyAlignment="1">
      <alignment horizontal="right"/>
    </xf>
    <xf numFmtId="0" fontId="68" fillId="0" borderId="0" xfId="115" applyFont="1" applyAlignment="1">
      <alignment horizontal="center" vertical="center"/>
    </xf>
    <xf numFmtId="0" fontId="84" fillId="88" borderId="0" xfId="242" applyFont="1" applyFill="1" applyAlignment="1">
      <alignment vertical="center"/>
    </xf>
    <xf numFmtId="0" fontId="68" fillId="0" borderId="23" xfId="242" applyFont="1" applyBorder="1" applyAlignment="1">
      <alignment horizontal="center" vertical="center"/>
    </xf>
    <xf numFmtId="0" fontId="53" fillId="52" borderId="0" xfId="243" applyFont="1" applyFill="1" applyAlignment="1" applyProtection="1">
      <alignment horizontal="center" vertical="center"/>
    </xf>
    <xf numFmtId="0" fontId="111" fillId="0" borderId="0" xfId="242" applyFont="1" applyAlignment="1">
      <alignment vertical="center"/>
    </xf>
    <xf numFmtId="0" fontId="10" fillId="0" borderId="0" xfId="242" applyAlignment="1" applyProtection="1">
      <alignment horizontal="left" vertical="center"/>
      <protection locked="0"/>
    </xf>
    <xf numFmtId="0" fontId="10" fillId="0" borderId="23" xfId="115" applyBorder="1"/>
    <xf numFmtId="0" fontId="68" fillId="0" borderId="24" xfId="242" applyFont="1" applyBorder="1" applyAlignment="1">
      <alignment horizontal="center" vertical="center"/>
    </xf>
    <xf numFmtId="0" fontId="106" fillId="52" borderId="0" xfId="112" applyFont="1" applyFill="1" applyAlignment="1">
      <alignment horizontal="center" vertical="center"/>
    </xf>
    <xf numFmtId="0" fontId="70" fillId="105" borderId="0" xfId="124" applyFont="1" applyFill="1" applyAlignment="1">
      <alignment horizontal="center" vertical="center"/>
    </xf>
    <xf numFmtId="0" fontId="21" fillId="52" borderId="0" xfId="243" applyFill="1" applyProtection="1"/>
    <xf numFmtId="0" fontId="87" fillId="0" borderId="0" xfId="245" applyFont="1" applyAlignment="1" applyProtection="1">
      <alignment horizontal="center" vertical="center"/>
    </xf>
    <xf numFmtId="0" fontId="83" fillId="0" borderId="0" xfId="0" applyFont="1" applyAlignment="1">
      <alignment horizontal="right" vertical="center"/>
    </xf>
    <xf numFmtId="0" fontId="111" fillId="0" borderId="0" xfId="244" applyFont="1" applyAlignment="1" applyProtection="1">
      <alignment vertical="center"/>
    </xf>
    <xf numFmtId="0" fontId="76" fillId="142" borderId="0" xfId="246" applyFont="1" applyFill="1" applyAlignment="1">
      <alignment horizontal="center" vertical="center" shrinkToFit="1"/>
    </xf>
    <xf numFmtId="0" fontId="21" fillId="0" borderId="0" xfId="243" applyAlignment="1">
      <alignment horizontal="left" vertical="center"/>
      <protection locked="0"/>
    </xf>
    <xf numFmtId="0" fontId="71" fillId="0" borderId="0" xfId="243" applyFont="1" applyAlignment="1" applyProtection="1">
      <alignment horizontal="center"/>
    </xf>
    <xf numFmtId="0" fontId="70" fillId="105" borderId="53" xfId="124" applyFont="1" applyFill="1" applyBorder="1" applyAlignment="1">
      <alignment horizontal="center" vertical="center"/>
    </xf>
    <xf numFmtId="0" fontId="68" fillId="97" borderId="0" xfId="243" applyFont="1" applyFill="1" applyAlignment="1" applyProtection="1">
      <alignment horizontal="right" vertical="center"/>
    </xf>
    <xf numFmtId="0" fontId="21" fillId="0" borderId="0" xfId="243" applyAlignment="1" applyProtection="1">
      <alignment horizontal="center" vertical="center"/>
    </xf>
    <xf numFmtId="0" fontId="68" fillId="97" borderId="17" xfId="242" applyFont="1" applyFill="1" applyBorder="1" applyAlignment="1">
      <alignment horizontal="center" vertical="center"/>
    </xf>
    <xf numFmtId="0" fontId="68" fillId="97" borderId="26" xfId="242" applyFont="1" applyFill="1" applyBorder="1" applyAlignment="1">
      <alignment horizontal="center" vertical="center"/>
    </xf>
    <xf numFmtId="0" fontId="21" fillId="52" borderId="38" xfId="243" applyFill="1" applyBorder="1" applyProtection="1"/>
    <xf numFmtId="0" fontId="21" fillId="0" borderId="0" xfId="245" applyAlignment="1">
      <alignment horizontal="left" vertical="center"/>
      <protection locked="0"/>
    </xf>
    <xf numFmtId="0" fontId="68" fillId="97" borderId="32" xfId="243" applyFont="1" applyFill="1" applyBorder="1" applyAlignment="1" applyProtection="1">
      <alignment horizontal="center" vertical="center"/>
    </xf>
    <xf numFmtId="0" fontId="68" fillId="0" borderId="54" xfId="243" applyFont="1" applyBorder="1" applyAlignment="1" applyProtection="1">
      <alignment horizontal="center" vertical="center"/>
    </xf>
    <xf numFmtId="0" fontId="90" fillId="0" borderId="0" xfId="242" applyFont="1" applyAlignment="1">
      <alignment horizontal="left" vertical="center"/>
    </xf>
    <xf numFmtId="0" fontId="90" fillId="0" borderId="0" xfId="242" applyFont="1" applyAlignment="1">
      <alignment horizontal="center" vertical="center"/>
    </xf>
    <xf numFmtId="0" fontId="68" fillId="88" borderId="0" xfId="244" applyFont="1" applyFill="1" applyAlignment="1" applyProtection="1">
      <alignment horizontal="center" vertical="center"/>
    </xf>
    <xf numFmtId="0" fontId="114" fillId="35" borderId="0" xfId="245" applyFont="1" applyFill="1" applyAlignment="1" applyProtection="1">
      <alignment vertical="center"/>
    </xf>
    <xf numFmtId="0" fontId="114" fillId="0" borderId="0" xfId="245" applyFont="1" applyAlignment="1" applyProtection="1">
      <alignment vertical="center"/>
    </xf>
    <xf numFmtId="0" fontId="68" fillId="0" borderId="23" xfId="242" applyFont="1" applyBorder="1"/>
    <xf numFmtId="0" fontId="74" fillId="156" borderId="0" xfId="0" applyFont="1" applyFill="1" applyAlignment="1">
      <alignment horizontal="center"/>
    </xf>
    <xf numFmtId="0" fontId="68" fillId="156" borderId="0" xfId="244" applyFont="1" applyFill="1" applyAlignment="1" applyProtection="1">
      <alignment horizontal="left" vertical="center"/>
    </xf>
    <xf numFmtId="0" fontId="48" fillId="100" borderId="67" xfId="128" applyFont="1" applyFill="1" applyBorder="1" applyAlignment="1">
      <alignment horizontal="center" vertical="center" shrinkToFit="1"/>
    </xf>
    <xf numFmtId="0" fontId="0" fillId="156" borderId="0" xfId="0" applyFill="1"/>
    <xf numFmtId="0" fontId="53" fillId="156" borderId="0" xfId="245" applyFont="1" applyFill="1" applyAlignment="1" applyProtection="1">
      <alignment horizontal="left"/>
    </xf>
    <xf numFmtId="0" fontId="66" fillId="39" borderId="70" xfId="124" applyFont="1" applyFill="1" applyBorder="1" applyAlignment="1">
      <alignment horizontal="center"/>
    </xf>
    <xf numFmtId="0" fontId="21" fillId="0" borderId="21" xfId="0" applyFont="1" applyBorder="1" applyProtection="1">
      <protection locked="0"/>
    </xf>
    <xf numFmtId="0" fontId="111" fillId="97" borderId="0" xfId="245" applyFont="1" applyFill="1" applyAlignment="1" applyProtection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115" applyProtection="1">
      <protection locked="0"/>
    </xf>
    <xf numFmtId="0" fontId="21" fillId="0" borderId="0" xfId="245">
      <protection locked="0"/>
    </xf>
    <xf numFmtId="0" fontId="10" fillId="0" borderId="0" xfId="115" applyAlignment="1" applyProtection="1">
      <alignment horizontal="left" vertical="center"/>
      <protection locked="0"/>
    </xf>
    <xf numFmtId="0" fontId="104" fillId="88" borderId="0" xfId="244" applyFont="1" applyFill="1" applyAlignment="1" applyProtection="1">
      <alignment vertical="center"/>
    </xf>
    <xf numFmtId="0" fontId="74" fillId="114" borderId="70" xfId="0" applyFont="1" applyFill="1" applyBorder="1" applyAlignment="1">
      <alignment horizontal="center"/>
    </xf>
    <xf numFmtId="0" fontId="104" fillId="35" borderId="0" xfId="244" applyFont="1" applyFill="1" applyAlignment="1" applyProtection="1">
      <alignment vertical="center"/>
    </xf>
    <xf numFmtId="0" fontId="104" fillId="0" borderId="0" xfId="244" applyFont="1" applyAlignment="1" applyProtection="1">
      <alignment vertical="center"/>
    </xf>
    <xf numFmtId="0" fontId="21" fillId="146" borderId="0" xfId="0" applyFont="1" applyFill="1"/>
    <xf numFmtId="0" fontId="73" fillId="152" borderId="67" xfId="132" applyFont="1" applyFill="1" applyBorder="1" applyAlignment="1" applyProtection="1">
      <alignment horizontal="center" vertical="center" shrinkToFit="1"/>
    </xf>
    <xf numFmtId="0" fontId="73" fillId="152" borderId="71" xfId="132" applyFont="1" applyFill="1" applyBorder="1" applyAlignment="1" applyProtection="1">
      <alignment horizontal="center" vertical="center" shrinkToFit="1"/>
    </xf>
    <xf numFmtId="0" fontId="73" fillId="148" borderId="67" xfId="132" applyFont="1" applyFill="1" applyBorder="1" applyAlignment="1" applyProtection="1">
      <alignment horizontal="center" vertical="center" shrinkToFit="1"/>
    </xf>
    <xf numFmtId="0" fontId="84" fillId="146" borderId="0" xfId="243" applyFont="1" applyFill="1" applyAlignment="1" applyProtection="1">
      <alignment horizontal="center" vertical="center"/>
    </xf>
    <xf numFmtId="0" fontId="77" fillId="137" borderId="72" xfId="132" applyFont="1" applyFill="1" applyBorder="1" applyAlignment="1" applyProtection="1">
      <alignment horizontal="center" vertical="center" shrinkToFit="1"/>
    </xf>
    <xf numFmtId="0" fontId="94" fillId="147" borderId="67" xfId="132" applyFont="1" applyFill="1" applyBorder="1" applyAlignment="1" applyProtection="1">
      <alignment horizontal="center" vertical="center" shrinkToFit="1"/>
    </xf>
    <xf numFmtId="0" fontId="53" fillId="133" borderId="24" xfId="245" applyFont="1" applyFill="1" applyBorder="1" applyAlignment="1" applyProtection="1">
      <alignment horizontal="center"/>
    </xf>
    <xf numFmtId="0" fontId="3" fillId="0" borderId="0" xfId="148" applyAlignment="1">
      <alignment horizontal="left" vertical="center"/>
    </xf>
    <xf numFmtId="0" fontId="115" fillId="0" borderId="0" xfId="245" applyFont="1">
      <protection locked="0"/>
    </xf>
    <xf numFmtId="0" fontId="9" fillId="0" borderId="0" xfId="245" applyFont="1">
      <protection locked="0"/>
    </xf>
    <xf numFmtId="0" fontId="53" fillId="133" borderId="73" xfId="245" applyFont="1" applyFill="1" applyBorder="1" applyAlignment="1" applyProtection="1">
      <alignment horizontal="center"/>
    </xf>
    <xf numFmtId="0" fontId="21" fillId="0" borderId="18" xfId="245" applyBorder="1">
      <protection locked="0"/>
    </xf>
    <xf numFmtId="0" fontId="73" fillId="0" borderId="74" xfId="148" applyFont="1" applyBorder="1" applyAlignment="1">
      <alignment vertical="center"/>
    </xf>
    <xf numFmtId="0" fontId="73" fillId="0" borderId="75" xfId="148" applyFont="1" applyBorder="1" applyAlignment="1">
      <alignment vertical="center"/>
    </xf>
    <xf numFmtId="0" fontId="115" fillId="0" borderId="18" xfId="245" applyFont="1" applyBorder="1">
      <protection locked="0"/>
    </xf>
    <xf numFmtId="0" fontId="29" fillId="0" borderId="0" xfId="115" applyFont="1" applyProtection="1">
      <protection locked="0"/>
    </xf>
    <xf numFmtId="0" fontId="10" fillId="0" borderId="21" xfId="115" quotePrefix="1" applyBorder="1" applyProtection="1">
      <protection locked="0"/>
    </xf>
    <xf numFmtId="0" fontId="10" fillId="0" borderId="21" xfId="115" applyBorder="1"/>
    <xf numFmtId="0" fontId="31" fillId="0" borderId="0" xfId="115" applyFont="1" applyProtection="1">
      <protection locked="0"/>
    </xf>
    <xf numFmtId="0" fontId="10" fillId="0" borderId="0" xfId="115" quotePrefix="1" applyProtection="1">
      <protection locked="0"/>
    </xf>
    <xf numFmtId="0" fontId="121" fillId="0" borderId="0" xfId="249" applyFont="1" applyAlignment="1" applyProtection="1">
      <alignment horizontal="center" vertical="top" shrinkToFit="1"/>
      <protection locked="0"/>
    </xf>
    <xf numFmtId="0" fontId="118" fillId="0" borderId="0" xfId="249" applyFont="1" applyAlignment="1" applyProtection="1">
      <alignment horizontal="center" vertical="top" shrinkToFit="1"/>
      <protection locked="0"/>
    </xf>
    <xf numFmtId="0" fontId="119" fillId="0" borderId="0" xfId="249" applyFont="1" applyAlignment="1">
      <alignment horizontal="center" vertical="center" shrinkToFit="1"/>
    </xf>
    <xf numFmtId="0" fontId="31" fillId="0" borderId="0" xfId="0" applyFont="1" applyProtection="1">
      <protection locked="0"/>
    </xf>
    <xf numFmtId="0" fontId="6" fillId="0" borderId="0" xfId="128" applyFont="1" applyAlignment="1" applyProtection="1">
      <alignment horizontal="center" vertical="center"/>
      <protection locked="0"/>
    </xf>
    <xf numFmtId="0" fontId="123" fillId="0" borderId="0" xfId="0" applyFont="1" applyProtection="1">
      <protection locked="0"/>
    </xf>
    <xf numFmtId="0" fontId="122" fillId="0" borderId="70" xfId="0" applyFont="1" applyBorder="1" applyAlignment="1">
      <alignment horizontal="center" vertical="center" wrapText="1"/>
    </xf>
    <xf numFmtId="14" fontId="120" fillId="143" borderId="70" xfId="0" applyNumberFormat="1" applyFont="1" applyFill="1" applyBorder="1" applyAlignment="1" applyProtection="1">
      <alignment horizontal="center" vertical="center" wrapText="1"/>
      <protection locked="0"/>
    </xf>
    <xf numFmtId="0" fontId="29" fillId="158" borderId="70" xfId="0" applyFont="1" applyFill="1" applyBorder="1" applyAlignment="1" applyProtection="1">
      <alignment horizontal="center" vertical="center" wrapText="1"/>
      <protection locked="0"/>
    </xf>
    <xf numFmtId="167" fontId="29" fillId="158" borderId="70" xfId="40" applyFont="1" applyFill="1" applyBorder="1" applyAlignment="1" applyProtection="1">
      <alignment horizontal="right" vertical="center"/>
    </xf>
    <xf numFmtId="0" fontId="29" fillId="159" borderId="7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24" fillId="0" borderId="0" xfId="0" applyFont="1" applyAlignment="1" applyProtection="1">
      <alignment horizontal="center" vertical="center"/>
      <protection locked="0"/>
    </xf>
    <xf numFmtId="0" fontId="29" fillId="160" borderId="70" xfId="0" applyFont="1" applyFill="1" applyBorder="1" applyAlignment="1" applyProtection="1">
      <alignment horizontal="center" vertical="center" wrapText="1"/>
      <protection locked="0"/>
    </xf>
    <xf numFmtId="167" fontId="29" fillId="160" borderId="70" xfId="40" applyFont="1" applyFill="1" applyBorder="1" applyAlignment="1" applyProtection="1">
      <alignment horizontal="right" vertical="center"/>
    </xf>
    <xf numFmtId="0" fontId="29" fillId="162" borderId="71" xfId="0" applyFont="1" applyFill="1" applyBorder="1" applyAlignment="1" applyProtection="1">
      <alignment horizontal="center" vertical="center" wrapText="1"/>
      <protection locked="0"/>
    </xf>
    <xf numFmtId="172" fontId="29" fillId="162" borderId="70" xfId="187" applyNumberFormat="1" applyFont="1" applyFill="1" applyBorder="1" applyAlignment="1" applyProtection="1">
      <alignment horizontal="right" vertical="center" wrapText="1"/>
      <protection locked="0"/>
    </xf>
    <xf numFmtId="0" fontId="126" fillId="0" borderId="0" xfId="0" applyFont="1" applyAlignment="1" applyProtection="1">
      <alignment horizontal="center" vertical="center"/>
      <protection locked="0"/>
    </xf>
    <xf numFmtId="0" fontId="29" fillId="163" borderId="70" xfId="0" applyFont="1" applyFill="1" applyBorder="1" applyAlignment="1" applyProtection="1">
      <alignment horizontal="center" vertical="center" wrapText="1"/>
      <protection locked="0"/>
    </xf>
    <xf numFmtId="10" fontId="29" fillId="163" borderId="70" xfId="187" applyNumberFormat="1" applyFont="1" applyFill="1" applyBorder="1" applyAlignment="1" applyProtection="1">
      <alignment horizontal="right" vertical="center"/>
    </xf>
    <xf numFmtId="0" fontId="29" fillId="164" borderId="70" xfId="0" applyFont="1" applyFill="1" applyBorder="1" applyAlignment="1" applyProtection="1">
      <alignment horizontal="center" vertical="center" wrapText="1"/>
      <protection locked="0"/>
    </xf>
    <xf numFmtId="1" fontId="29" fillId="164" borderId="2" xfId="187" applyNumberFormat="1" applyFont="1" applyFill="1" applyBorder="1" applyAlignment="1" applyProtection="1">
      <alignment horizontal="right" vertical="center"/>
    </xf>
    <xf numFmtId="0" fontId="29" fillId="165" borderId="70" xfId="0" applyFont="1" applyFill="1" applyBorder="1" applyAlignment="1" applyProtection="1">
      <alignment horizontal="center" vertical="center" wrapText="1"/>
      <protection locked="0"/>
    </xf>
    <xf numFmtId="1" fontId="29" fillId="165" borderId="70" xfId="187" applyNumberFormat="1" applyFont="1" applyFill="1" applyBorder="1" applyAlignment="1" applyProtection="1">
      <alignment horizontal="right" vertical="center"/>
    </xf>
    <xf numFmtId="0" fontId="122" fillId="0" borderId="0" xfId="0" applyFont="1" applyAlignment="1" applyProtection="1">
      <alignment horizontal="center" wrapText="1"/>
      <protection locked="0"/>
    </xf>
    <xf numFmtId="0" fontId="29" fillId="161" borderId="70" xfId="0" applyFont="1" applyFill="1" applyBorder="1" applyAlignment="1" applyProtection="1">
      <alignment horizontal="center" vertical="center" wrapText="1"/>
      <protection locked="0"/>
    </xf>
    <xf numFmtId="1" fontId="29" fillId="161" borderId="70" xfId="187" applyNumberFormat="1" applyFont="1" applyFill="1" applyBorder="1" applyAlignment="1" applyProtection="1">
      <alignment horizontal="right" vertical="center"/>
    </xf>
    <xf numFmtId="14" fontId="122" fillId="0" borderId="0" xfId="0" applyNumberFormat="1" applyFont="1" applyAlignment="1" applyProtection="1">
      <alignment horizontal="center" wrapText="1"/>
      <protection locked="0"/>
    </xf>
    <xf numFmtId="0" fontId="74" fillId="110" borderId="70" xfId="0" applyFont="1" applyFill="1" applyBorder="1" applyAlignment="1">
      <alignment horizontal="center" vertical="center"/>
    </xf>
    <xf numFmtId="0" fontId="83" fillId="166" borderId="5" xfId="0" applyFont="1" applyFill="1" applyBorder="1" applyAlignment="1">
      <alignment horizontal="center" vertical="center"/>
    </xf>
    <xf numFmtId="0" fontId="59" fillId="0" borderId="71" xfId="139" applyFont="1" applyBorder="1" applyAlignment="1" applyProtection="1">
      <alignment horizontal="left" vertical="center" shrinkToFit="1"/>
      <protection locked="0"/>
    </xf>
    <xf numFmtId="0" fontId="59" fillId="0" borderId="76" xfId="139" applyFont="1" applyBorder="1" applyAlignment="1" applyProtection="1">
      <alignment horizontal="left" vertical="center" shrinkToFit="1"/>
      <protection locked="0"/>
    </xf>
    <xf numFmtId="0" fontId="128" fillId="0" borderId="76" xfId="139" applyFont="1" applyBorder="1" applyAlignment="1" applyProtection="1">
      <alignment vertical="center" shrinkToFit="1"/>
      <protection locked="0"/>
    </xf>
    <xf numFmtId="0" fontId="128" fillId="0" borderId="67" xfId="139" applyFont="1" applyBorder="1" applyAlignment="1" applyProtection="1">
      <alignment vertical="center" shrinkToFit="1"/>
      <protection locked="0"/>
    </xf>
    <xf numFmtId="0" fontId="32" fillId="53" borderId="67" xfId="128" applyFont="1" applyFill="1" applyBorder="1" applyAlignment="1">
      <alignment horizontal="center" vertical="center" shrinkToFit="1"/>
    </xf>
    <xf numFmtId="171" fontId="0" fillId="0" borderId="67" xfId="0" applyNumberFormat="1" applyBorder="1" applyAlignment="1">
      <alignment horizontal="center" vertical="center"/>
    </xf>
    <xf numFmtId="171" fontId="70" fillId="0" borderId="2" xfId="128" applyNumberFormat="1" applyFont="1" applyBorder="1" applyAlignment="1">
      <alignment horizontal="center" vertical="center" shrinkToFit="1"/>
    </xf>
    <xf numFmtId="0" fontId="32" fillId="54" borderId="67" xfId="128" applyFont="1" applyFill="1" applyBorder="1" applyAlignment="1">
      <alignment horizontal="center" vertical="center" shrinkToFit="1"/>
    </xf>
    <xf numFmtId="171" fontId="70" fillId="0" borderId="70" xfId="128" applyNumberFormat="1" applyFont="1" applyBorder="1" applyAlignment="1">
      <alignment horizontal="center" vertical="center" shrinkToFit="1"/>
    </xf>
    <xf numFmtId="0" fontId="33" fillId="55" borderId="67" xfId="128" applyFont="1" applyFill="1" applyBorder="1" applyAlignment="1">
      <alignment horizontal="center" vertical="center" shrinkToFit="1"/>
    </xf>
    <xf numFmtId="0" fontId="128" fillId="158" borderId="76" xfId="139" applyFont="1" applyFill="1" applyBorder="1" applyAlignment="1" applyProtection="1">
      <alignment vertical="center" shrinkToFit="1"/>
      <protection locked="0"/>
    </xf>
    <xf numFmtId="0" fontId="128" fillId="158" borderId="67" xfId="139" applyFont="1" applyFill="1" applyBorder="1" applyAlignment="1" applyProtection="1">
      <alignment vertical="center" shrinkToFit="1"/>
      <protection locked="0"/>
    </xf>
    <xf numFmtId="0" fontId="128" fillId="158" borderId="78" xfId="139" applyFont="1" applyFill="1" applyBorder="1" applyAlignment="1" applyProtection="1">
      <alignment vertical="center" shrinkToFit="1"/>
      <protection locked="0"/>
    </xf>
    <xf numFmtId="171" fontId="0" fillId="158" borderId="67" xfId="0" applyNumberFormat="1" applyFill="1" applyBorder="1" applyAlignment="1">
      <alignment horizontal="center" vertical="center"/>
    </xf>
    <xf numFmtId="171" fontId="70" fillId="158" borderId="70" xfId="128" applyNumberFormat="1" applyFont="1" applyFill="1" applyBorder="1" applyAlignment="1">
      <alignment horizontal="center" vertical="center" shrinkToFit="1"/>
    </xf>
    <xf numFmtId="0" fontId="34" fillId="36" borderId="67" xfId="128" applyFont="1" applyFill="1" applyBorder="1" applyAlignment="1">
      <alignment horizontal="center" vertical="center" shrinkToFit="1"/>
    </xf>
    <xf numFmtId="0" fontId="34" fillId="56" borderId="67" xfId="128" applyFont="1" applyFill="1" applyBorder="1" applyAlignment="1">
      <alignment horizontal="center" vertical="center" shrinkToFit="1"/>
    </xf>
    <xf numFmtId="0" fontId="34" fillId="37" borderId="67" xfId="128" applyFont="1" applyFill="1" applyBorder="1" applyAlignment="1">
      <alignment horizontal="center" vertical="center" shrinkToFit="1"/>
    </xf>
    <xf numFmtId="0" fontId="47" fillId="79" borderId="67" xfId="128" applyFont="1" applyFill="1" applyBorder="1" applyAlignment="1">
      <alignment horizontal="center" vertical="center" shrinkToFit="1"/>
    </xf>
    <xf numFmtId="0" fontId="33" fillId="57" borderId="67" xfId="128" applyFont="1" applyFill="1" applyBorder="1" applyAlignment="1">
      <alignment horizontal="center" vertical="center" shrinkToFit="1"/>
    </xf>
    <xf numFmtId="0" fontId="40" fillId="58" borderId="67" xfId="128" applyFont="1" applyFill="1" applyBorder="1" applyAlignment="1">
      <alignment horizontal="center" vertical="center" shrinkToFit="1"/>
    </xf>
    <xf numFmtId="0" fontId="33" fillId="50" borderId="67" xfId="128" applyFont="1" applyFill="1" applyBorder="1" applyAlignment="1">
      <alignment horizontal="center" vertical="center" shrinkToFit="1"/>
    </xf>
    <xf numFmtId="0" fontId="40" fillId="35" borderId="67" xfId="128" applyFont="1" applyFill="1" applyBorder="1" applyAlignment="1">
      <alignment horizontal="center" vertical="center" shrinkToFit="1"/>
    </xf>
    <xf numFmtId="0" fontId="40" fillId="59" borderId="67" xfId="128" applyFont="1" applyFill="1" applyBorder="1" applyAlignment="1">
      <alignment horizontal="center" vertical="center" shrinkToFit="1"/>
    </xf>
    <xf numFmtId="0" fontId="33" fillId="34" borderId="67" xfId="128" applyFont="1" applyFill="1" applyBorder="1" applyAlignment="1">
      <alignment horizontal="center" vertical="center" shrinkToFit="1"/>
    </xf>
    <xf numFmtId="0" fontId="48" fillId="98" borderId="67" xfId="128" applyFont="1" applyFill="1" applyBorder="1" applyAlignment="1">
      <alignment horizontal="center" vertical="center" shrinkToFit="1"/>
    </xf>
    <xf numFmtId="0" fontId="48" fillId="99" borderId="67" xfId="128" applyFont="1" applyFill="1" applyBorder="1" applyAlignment="1">
      <alignment horizontal="center" vertical="center" shrinkToFit="1"/>
    </xf>
    <xf numFmtId="0" fontId="48" fillId="59" borderId="67" xfId="128" applyFont="1" applyFill="1" applyBorder="1" applyAlignment="1">
      <alignment horizontal="center" vertical="center" shrinkToFit="1"/>
    </xf>
    <xf numFmtId="0" fontId="41" fillId="80" borderId="67" xfId="128" applyFont="1" applyFill="1" applyBorder="1" applyAlignment="1">
      <alignment horizontal="center" vertical="center" shrinkToFit="1"/>
    </xf>
    <xf numFmtId="0" fontId="48" fillId="101" borderId="67" xfId="128" applyFont="1" applyFill="1" applyBorder="1" applyAlignment="1">
      <alignment horizontal="center" vertical="center" shrinkToFit="1"/>
    </xf>
    <xf numFmtId="171" fontId="0" fillId="0" borderId="70" xfId="0" applyNumberFormat="1" applyBorder="1" applyAlignment="1">
      <alignment horizontal="center" vertical="center"/>
    </xf>
    <xf numFmtId="0" fontId="41" fillId="60" borderId="67" xfId="128" applyFont="1" applyFill="1" applyBorder="1" applyAlignment="1">
      <alignment horizontal="center" vertical="center" shrinkToFit="1"/>
    </xf>
    <xf numFmtId="0" fontId="48" fillId="102" borderId="67" xfId="128" applyFont="1" applyFill="1" applyBorder="1" applyAlignment="1">
      <alignment horizontal="center" vertical="center" shrinkToFit="1"/>
    </xf>
    <xf numFmtId="0" fontId="42" fillId="81" borderId="67" xfId="128" applyFont="1" applyFill="1" applyBorder="1" applyAlignment="1">
      <alignment horizontal="center" vertical="center" shrinkToFit="1"/>
    </xf>
    <xf numFmtId="0" fontId="48" fillId="88" borderId="67" xfId="128" applyFont="1" applyFill="1" applyBorder="1" applyAlignment="1">
      <alignment horizontal="center" vertical="center" shrinkToFit="1"/>
    </xf>
    <xf numFmtId="0" fontId="42" fillId="61" borderId="67" xfId="128" applyFont="1" applyFill="1" applyBorder="1" applyAlignment="1">
      <alignment horizontal="center" vertical="center" shrinkToFit="1"/>
    </xf>
    <xf numFmtId="0" fontId="128" fillId="158" borderId="70" xfId="139" applyFont="1" applyFill="1" applyBorder="1" applyAlignment="1" applyProtection="1">
      <alignment vertical="center" shrinkToFit="1"/>
      <protection locked="0"/>
    </xf>
    <xf numFmtId="171" fontId="0" fillId="158" borderId="70" xfId="0" applyNumberFormat="1" applyFill="1" applyBorder="1" applyAlignment="1">
      <alignment horizontal="center" vertical="center"/>
    </xf>
    <xf numFmtId="0" fontId="0" fillId="0" borderId="76" xfId="0" applyBorder="1" applyProtection="1">
      <protection locked="0"/>
    </xf>
    <xf numFmtId="0" fontId="0" fillId="0" borderId="67" xfId="0" applyBorder="1" applyProtection="1">
      <protection locked="0"/>
    </xf>
    <xf numFmtId="0" fontId="34" fillId="62" borderId="67" xfId="128" applyFont="1" applyFill="1" applyBorder="1" applyAlignment="1">
      <alignment horizontal="center" vertical="center" shrinkToFit="1"/>
    </xf>
    <xf numFmtId="0" fontId="33" fillId="63" borderId="67" xfId="128" applyFont="1" applyFill="1" applyBorder="1" applyAlignment="1">
      <alignment horizontal="center" vertical="center" shrinkToFit="1"/>
    </xf>
    <xf numFmtId="0" fontId="43" fillId="55" borderId="67" xfId="128" applyFont="1" applyFill="1" applyBorder="1" applyAlignment="1">
      <alignment horizontal="center" vertical="center" shrinkToFit="1"/>
    </xf>
    <xf numFmtId="0" fontId="34" fillId="38" borderId="67" xfId="128" applyFont="1" applyFill="1" applyBorder="1" applyAlignment="1">
      <alignment horizontal="center" vertical="center" shrinkToFit="1"/>
    </xf>
    <xf numFmtId="0" fontId="50" fillId="89" borderId="67" xfId="128" applyFont="1" applyFill="1" applyBorder="1" applyAlignment="1">
      <alignment horizontal="center" vertical="center" shrinkToFit="1"/>
    </xf>
    <xf numFmtId="0" fontId="34" fillId="64" borderId="67" xfId="128" applyFont="1" applyFill="1" applyBorder="1" applyAlignment="1">
      <alignment horizontal="center" vertical="center" shrinkToFit="1"/>
    </xf>
    <xf numFmtId="0" fontId="44" fillId="65" borderId="67" xfId="128" applyFont="1" applyFill="1" applyBorder="1" applyAlignment="1">
      <alignment horizontal="center" vertical="center" shrinkToFit="1"/>
    </xf>
    <xf numFmtId="0" fontId="45" fillId="65" borderId="67" xfId="128" applyFont="1" applyFill="1" applyBorder="1" applyAlignment="1">
      <alignment horizontal="center" vertical="center" shrinkToFit="1"/>
    </xf>
    <xf numFmtId="0" fontId="46" fillId="65" borderId="67" xfId="128" applyFont="1" applyFill="1" applyBorder="1" applyAlignment="1">
      <alignment horizontal="center" vertical="center" shrinkToFit="1"/>
    </xf>
    <xf numFmtId="0" fontId="33" fillId="61" borderId="67" xfId="128" applyFont="1" applyFill="1" applyBorder="1" applyAlignment="1">
      <alignment horizontal="center" vertical="center" shrinkToFit="1"/>
    </xf>
    <xf numFmtId="0" fontId="34" fillId="82" borderId="67" xfId="128" applyFont="1" applyFill="1" applyBorder="1" applyAlignment="1">
      <alignment horizontal="center" vertical="center" shrinkToFit="1"/>
    </xf>
    <xf numFmtId="0" fontId="54" fillId="103" borderId="67" xfId="128" applyFont="1" applyFill="1" applyBorder="1" applyAlignment="1">
      <alignment horizontal="center" vertical="center" shrinkToFit="1"/>
    </xf>
    <xf numFmtId="0" fontId="34" fillId="39" borderId="67" xfId="128" applyFont="1" applyFill="1" applyBorder="1" applyAlignment="1">
      <alignment horizontal="center" vertical="center" shrinkToFit="1"/>
    </xf>
    <xf numFmtId="0" fontId="34" fillId="40" borderId="67" xfId="128" applyFont="1" applyFill="1" applyBorder="1" applyAlignment="1">
      <alignment horizontal="center" vertical="center" shrinkToFit="1"/>
    </xf>
    <xf numFmtId="0" fontId="35" fillId="41" borderId="67" xfId="128" applyFont="1" applyFill="1" applyBorder="1" applyAlignment="1">
      <alignment horizontal="center" vertical="center" shrinkToFit="1"/>
    </xf>
    <xf numFmtId="0" fontId="35" fillId="66" borderId="67" xfId="128" applyFont="1" applyFill="1" applyBorder="1" applyAlignment="1">
      <alignment horizontal="center" vertical="center" shrinkToFit="1"/>
    </xf>
    <xf numFmtId="0" fontId="34" fillId="67" borderId="67" xfId="128" applyFont="1" applyFill="1" applyBorder="1" applyAlignment="1">
      <alignment horizontal="center" vertical="center" shrinkToFit="1"/>
    </xf>
    <xf numFmtId="0" fontId="36" fillId="42" borderId="67" xfId="128" applyFont="1" applyFill="1" applyBorder="1" applyAlignment="1">
      <alignment horizontal="center" vertical="center" shrinkToFit="1"/>
    </xf>
    <xf numFmtId="0" fontId="36" fillId="43" borderId="67" xfId="128" applyFont="1" applyFill="1" applyBorder="1" applyAlignment="1">
      <alignment horizontal="center" vertical="center" shrinkToFit="1"/>
    </xf>
    <xf numFmtId="0" fontId="33" fillId="90" borderId="67" xfId="128" applyFont="1" applyFill="1" applyBorder="1" applyAlignment="1">
      <alignment horizontal="center" vertical="center" shrinkToFit="1"/>
    </xf>
    <xf numFmtId="0" fontId="34" fillId="44" borderId="67" xfId="128" applyFont="1" applyFill="1" applyBorder="1" applyAlignment="1">
      <alignment horizontal="center" vertical="center" shrinkToFit="1"/>
    </xf>
    <xf numFmtId="0" fontId="37" fillId="45" borderId="67" xfId="128" applyFont="1" applyFill="1" applyBorder="1" applyAlignment="1">
      <alignment horizontal="center" vertical="center" shrinkToFit="1"/>
    </xf>
    <xf numFmtId="0" fontId="34" fillId="104" borderId="67" xfId="128" applyFont="1" applyFill="1" applyBorder="1" applyAlignment="1">
      <alignment horizontal="center" vertical="center" shrinkToFit="1"/>
    </xf>
    <xf numFmtId="0" fontId="48" fillId="83" borderId="67" xfId="128" applyFont="1" applyFill="1" applyBorder="1" applyAlignment="1">
      <alignment horizontal="center" vertical="center" shrinkToFit="1"/>
    </xf>
    <xf numFmtId="0" fontId="49" fillId="84" borderId="67" xfId="128" applyFont="1" applyFill="1" applyBorder="1" applyAlignment="1">
      <alignment horizontal="center" vertical="center" shrinkToFit="1"/>
    </xf>
    <xf numFmtId="0" fontId="34" fillId="68" borderId="67" xfId="128" applyFont="1" applyFill="1" applyBorder="1" applyAlignment="1">
      <alignment horizontal="center" vertical="center" shrinkToFit="1"/>
    </xf>
    <xf numFmtId="0" fontId="34" fillId="46" borderId="67" xfId="128" applyFont="1" applyFill="1" applyBorder="1" applyAlignment="1">
      <alignment horizontal="center" vertical="center" shrinkToFit="1"/>
    </xf>
    <xf numFmtId="0" fontId="34" fillId="69" borderId="67" xfId="128" applyFont="1" applyFill="1" applyBorder="1" applyAlignment="1">
      <alignment horizontal="center" vertical="center" shrinkToFit="1"/>
    </xf>
    <xf numFmtId="0" fontId="34" fillId="70" borderId="67" xfId="128" applyFont="1" applyFill="1" applyBorder="1" applyAlignment="1">
      <alignment horizontal="center" vertical="center" shrinkToFit="1"/>
    </xf>
    <xf numFmtId="0" fontId="35" fillId="71" borderId="67" xfId="128" applyFont="1" applyFill="1" applyBorder="1" applyAlignment="1">
      <alignment horizontal="center" vertical="center" shrinkToFit="1"/>
    </xf>
    <xf numFmtId="0" fontId="33" fillId="72" borderId="67" xfId="128" applyFont="1" applyFill="1" applyBorder="1" applyAlignment="1">
      <alignment horizontal="center" vertical="center" shrinkToFit="1"/>
    </xf>
    <xf numFmtId="0" fontId="33" fillId="85" borderId="67" xfId="128" applyFont="1" applyFill="1" applyBorder="1" applyAlignment="1">
      <alignment horizontal="center" vertical="center" shrinkToFit="1"/>
    </xf>
    <xf numFmtId="0" fontId="55" fillId="35" borderId="67" xfId="128" applyFont="1" applyFill="1" applyBorder="1" applyAlignment="1">
      <alignment horizontal="center" vertical="center" shrinkToFit="1"/>
    </xf>
    <xf numFmtId="0" fontId="38" fillId="73" borderId="67" xfId="128" applyFont="1" applyFill="1" applyBorder="1" applyAlignment="1">
      <alignment horizontal="center" vertical="center" shrinkToFit="1"/>
    </xf>
    <xf numFmtId="0" fontId="34" fillId="74" borderId="67" xfId="128" applyFont="1" applyFill="1" applyBorder="1" applyAlignment="1">
      <alignment horizontal="center" vertical="center" shrinkToFit="1"/>
    </xf>
    <xf numFmtId="0" fontId="37" fillId="91" borderId="67" xfId="128" applyFont="1" applyFill="1" applyBorder="1" applyAlignment="1">
      <alignment horizontal="center" vertical="center" shrinkToFit="1"/>
    </xf>
    <xf numFmtId="0" fontId="35" fillId="75" borderId="67" xfId="128" applyFont="1" applyFill="1" applyBorder="1" applyAlignment="1">
      <alignment horizontal="center" vertical="center" shrinkToFit="1"/>
    </xf>
    <xf numFmtId="0" fontId="35" fillId="76" borderId="67" xfId="128" applyFont="1" applyFill="1" applyBorder="1" applyAlignment="1">
      <alignment horizontal="center" vertical="center" shrinkToFit="1"/>
    </xf>
    <xf numFmtId="0" fontId="35" fillId="92" borderId="67" xfId="128" applyFont="1" applyFill="1" applyBorder="1" applyAlignment="1">
      <alignment horizontal="center" vertical="center" shrinkToFit="1"/>
    </xf>
    <xf numFmtId="0" fontId="35" fillId="77" borderId="67" xfId="128" applyFont="1" applyFill="1" applyBorder="1" applyAlignment="1">
      <alignment horizontal="center" vertical="center" shrinkToFit="1"/>
    </xf>
    <xf numFmtId="0" fontId="48" fillId="105" borderId="67" xfId="128" applyFont="1" applyFill="1" applyBorder="1" applyAlignment="1">
      <alignment horizontal="center" vertical="center" shrinkToFit="1"/>
    </xf>
    <xf numFmtId="0" fontId="39" fillId="47" borderId="67" xfId="128" applyFont="1" applyFill="1" applyBorder="1" applyAlignment="1">
      <alignment horizontal="center" vertical="center" shrinkToFit="1"/>
    </xf>
    <xf numFmtId="0" fontId="39" fillId="48" borderId="67" xfId="128" applyFont="1" applyFill="1" applyBorder="1" applyAlignment="1">
      <alignment horizontal="center" vertical="center" shrinkToFit="1"/>
    </xf>
    <xf numFmtId="0" fontId="33" fillId="45" borderId="67" xfId="128" applyFont="1" applyFill="1" applyBorder="1" applyAlignment="1">
      <alignment horizontal="center" vertical="center" shrinkToFit="1"/>
    </xf>
    <xf numFmtId="0" fontId="33" fillId="49" borderId="67" xfId="128" applyFont="1" applyFill="1" applyBorder="1" applyAlignment="1">
      <alignment horizontal="center" vertical="center" shrinkToFit="1"/>
    </xf>
    <xf numFmtId="0" fontId="47" fillId="86" borderId="67" xfId="128" applyFont="1" applyFill="1" applyBorder="1" applyAlignment="1">
      <alignment horizontal="center" vertical="center" shrinkToFit="1"/>
    </xf>
    <xf numFmtId="0" fontId="52" fillId="93" borderId="67" xfId="128" applyFont="1" applyFill="1" applyBorder="1" applyAlignment="1">
      <alignment horizontal="center" vertical="center" shrinkToFit="1"/>
    </xf>
    <xf numFmtId="0" fontId="33" fillId="86" borderId="67" xfId="128" applyFont="1" applyFill="1" applyBorder="1" applyAlignment="1">
      <alignment horizontal="center" vertical="center" shrinkToFit="1"/>
    </xf>
    <xf numFmtId="0" fontId="34" fillId="51" borderId="67" xfId="128" applyFont="1" applyFill="1" applyBorder="1" applyAlignment="1">
      <alignment horizontal="center" vertical="center" shrinkToFit="1"/>
    </xf>
    <xf numFmtId="0" fontId="34" fillId="52" borderId="67" xfId="128" applyFont="1" applyFill="1" applyBorder="1" applyAlignment="1">
      <alignment horizontal="center" vertical="center" shrinkToFit="1"/>
    </xf>
    <xf numFmtId="0" fontId="34" fillId="78" borderId="67" xfId="128" applyFont="1" applyFill="1" applyBorder="1" applyAlignment="1">
      <alignment horizontal="center" vertical="center" shrinkToFit="1"/>
    </xf>
    <xf numFmtId="0" fontId="34" fillId="87" borderId="67" xfId="128" applyFont="1" applyFill="1" applyBorder="1" applyAlignment="1">
      <alignment horizontal="center" vertical="center" shrinkToFit="1"/>
    </xf>
    <xf numFmtId="0" fontId="128" fillId="0" borderId="71" xfId="139" applyFont="1" applyBorder="1" applyAlignment="1" applyProtection="1">
      <alignment vertical="center" shrinkToFit="1"/>
      <protection locked="0"/>
    </xf>
    <xf numFmtId="0" fontId="128" fillId="0" borderId="78" xfId="139" applyFont="1" applyBorder="1" applyAlignment="1" applyProtection="1">
      <alignment vertical="center" shrinkToFit="1"/>
      <protection locked="0"/>
    </xf>
    <xf numFmtId="0" fontId="128" fillId="0" borderId="70" xfId="139" applyFont="1" applyBorder="1" applyAlignment="1" applyProtection="1">
      <alignment vertical="center" shrinkToFit="1"/>
      <protection locked="0"/>
    </xf>
    <xf numFmtId="0" fontId="57" fillId="0" borderId="4" xfId="0" applyFont="1" applyBorder="1" applyAlignment="1" applyProtection="1">
      <alignment horizontal="center"/>
      <protection locked="0"/>
    </xf>
    <xf numFmtId="0" fontId="57" fillId="0" borderId="19" xfId="0" applyFont="1" applyBorder="1" applyAlignment="1" applyProtection="1">
      <alignment horizontal="center"/>
      <protection locked="0"/>
    </xf>
    <xf numFmtId="0" fontId="57" fillId="0" borderId="0" xfId="0" applyFont="1" applyAlignment="1" applyProtection="1">
      <alignment horizontal="center"/>
      <protection locked="0"/>
    </xf>
    <xf numFmtId="0" fontId="125" fillId="0" borderId="0" xfId="0" applyFont="1" applyAlignment="1">
      <alignment horizontal="center"/>
    </xf>
    <xf numFmtId="0" fontId="63" fillId="0" borderId="3" xfId="0" applyFont="1" applyBorder="1" applyAlignment="1" applyProtection="1">
      <alignment horizontal="center" vertical="center"/>
      <protection locked="0"/>
    </xf>
    <xf numFmtId="0" fontId="63" fillId="0" borderId="84" xfId="0" applyFont="1" applyBorder="1" applyAlignment="1" applyProtection="1">
      <alignment horizontal="center" vertical="center"/>
      <protection locked="0"/>
    </xf>
    <xf numFmtId="0" fontId="63" fillId="0" borderId="85" xfId="0" applyFont="1" applyBorder="1" applyAlignment="1" applyProtection="1">
      <alignment horizontal="center" vertical="center"/>
      <protection locked="0"/>
    </xf>
    <xf numFmtId="171" fontId="0" fillId="0" borderId="89" xfId="0" applyNumberFormat="1" applyBorder="1" applyAlignment="1">
      <alignment horizontal="center" vertical="center"/>
    </xf>
    <xf numFmtId="171" fontId="0" fillId="0" borderId="90" xfId="209" applyNumberFormat="1" applyFont="1" applyFill="1" applyBorder="1" applyAlignment="1" applyProtection="1">
      <alignment horizontal="center" vertical="center"/>
    </xf>
    <xf numFmtId="0" fontId="83" fillId="95" borderId="67" xfId="124" applyFont="1" applyFill="1" applyBorder="1" applyAlignment="1">
      <alignment horizontal="center"/>
    </xf>
    <xf numFmtId="171" fontId="0" fillId="0" borderId="1" xfId="0" applyNumberFormat="1" applyBorder="1" applyAlignment="1">
      <alignment horizontal="center" vertical="center"/>
    </xf>
    <xf numFmtId="0" fontId="74" fillId="167" borderId="0" xfId="0" applyFont="1" applyFill="1" applyAlignment="1">
      <alignment horizontal="center" vertical="center"/>
    </xf>
    <xf numFmtId="0" fontId="130" fillId="88" borderId="67" xfId="124" applyFont="1" applyFill="1" applyBorder="1" applyAlignment="1">
      <alignment horizontal="center"/>
    </xf>
    <xf numFmtId="0" fontId="98" fillId="168" borderId="67" xfId="124" applyFont="1" applyFill="1" applyBorder="1" applyAlignment="1">
      <alignment horizontal="center"/>
    </xf>
    <xf numFmtId="0" fontId="83" fillId="94" borderId="67" xfId="124" applyFont="1" applyFill="1" applyBorder="1" applyAlignment="1">
      <alignment horizontal="center"/>
    </xf>
    <xf numFmtId="0" fontId="74" fillId="41" borderId="67" xfId="124" applyFont="1" applyFill="1" applyBorder="1" applyAlignment="1">
      <alignment horizontal="center"/>
    </xf>
    <xf numFmtId="0" fontId="83" fillId="169" borderId="67" xfId="124" applyFont="1" applyFill="1" applyBorder="1" applyAlignment="1">
      <alignment horizontal="center"/>
    </xf>
    <xf numFmtId="0" fontId="66" fillId="95" borderId="1" xfId="124" applyFont="1" applyFill="1" applyBorder="1" applyAlignment="1">
      <alignment horizontal="center"/>
    </xf>
    <xf numFmtId="0" fontId="83" fillId="80" borderId="67" xfId="124" applyFont="1" applyFill="1" applyBorder="1" applyAlignment="1">
      <alignment horizontal="center"/>
    </xf>
    <xf numFmtId="0" fontId="83" fillId="170" borderId="67" xfId="124" applyFont="1" applyFill="1" applyBorder="1" applyAlignment="1">
      <alignment horizontal="center"/>
    </xf>
    <xf numFmtId="0" fontId="83" fillId="82" borderId="67" xfId="124" applyFont="1" applyFill="1" applyBorder="1" applyAlignment="1">
      <alignment horizontal="center"/>
    </xf>
    <xf numFmtId="0" fontId="75" fillId="171" borderId="67" xfId="128" applyFont="1" applyFill="1" applyBorder="1" applyAlignment="1">
      <alignment horizontal="center" vertical="center" shrinkToFit="1"/>
    </xf>
    <xf numFmtId="0" fontId="83" fillId="169" borderId="1" xfId="124" applyFont="1" applyFill="1" applyBorder="1" applyAlignment="1">
      <alignment horizontal="center"/>
    </xf>
    <xf numFmtId="0" fontId="75" fillId="172" borderId="67" xfId="128" applyFont="1" applyFill="1" applyBorder="1" applyAlignment="1">
      <alignment horizontal="center" vertical="center" shrinkToFit="1"/>
    </xf>
    <xf numFmtId="0" fontId="75" fillId="173" borderId="67" xfId="128" applyFont="1" applyFill="1" applyBorder="1" applyAlignment="1">
      <alignment horizontal="center" vertical="center" shrinkToFit="1"/>
    </xf>
    <xf numFmtId="0" fontId="131" fillId="169" borderId="1" xfId="124" applyFont="1" applyFill="1" applyBorder="1" applyAlignment="1">
      <alignment horizontal="center"/>
    </xf>
    <xf numFmtId="0" fontId="78" fillId="174" borderId="67" xfId="128" applyFont="1" applyFill="1" applyBorder="1" applyAlignment="1">
      <alignment horizontal="center" vertical="center" shrinkToFit="1"/>
    </xf>
    <xf numFmtId="0" fontId="59" fillId="175" borderId="67" xfId="128" applyFont="1" applyFill="1" applyBorder="1" applyAlignment="1">
      <alignment horizontal="center" vertical="center" shrinkToFit="1"/>
    </xf>
    <xf numFmtId="0" fontId="78" fillId="176" borderId="67" xfId="128" applyFont="1" applyFill="1" applyBorder="1" applyAlignment="1">
      <alignment horizontal="center" vertical="center" shrinkToFit="1"/>
    </xf>
    <xf numFmtId="0" fontId="78" fillId="177" borderId="67" xfId="128" applyFont="1" applyFill="1" applyBorder="1" applyAlignment="1">
      <alignment horizontal="center" vertical="center" shrinkToFit="1"/>
    </xf>
    <xf numFmtId="0" fontId="83" fillId="178" borderId="1" xfId="0" applyFont="1" applyFill="1" applyBorder="1" applyAlignment="1">
      <alignment horizontal="center"/>
    </xf>
    <xf numFmtId="0" fontId="74" fillId="143" borderId="1" xfId="124" applyFont="1" applyFill="1" applyBorder="1" applyAlignment="1">
      <alignment horizontal="center"/>
    </xf>
    <xf numFmtId="0" fontId="59" fillId="59" borderId="1" xfId="128" applyFont="1" applyFill="1" applyBorder="1" applyAlignment="1">
      <alignment horizontal="center" vertical="center" shrinkToFit="1"/>
    </xf>
    <xf numFmtId="0" fontId="132" fillId="179" borderId="1" xfId="0" applyFont="1" applyFill="1" applyBorder="1" applyAlignment="1">
      <alignment horizontal="center"/>
    </xf>
    <xf numFmtId="0" fontId="83" fillId="179" borderId="1" xfId="0" applyFont="1" applyFill="1" applyBorder="1" applyAlignment="1">
      <alignment horizontal="center"/>
    </xf>
    <xf numFmtId="0" fontId="83" fillId="52" borderId="1" xfId="0" applyFont="1" applyFill="1" applyBorder="1" applyAlignment="1">
      <alignment horizontal="center"/>
    </xf>
    <xf numFmtId="0" fontId="59" fillId="166" borderId="1" xfId="128" applyFont="1" applyFill="1" applyBorder="1" applyAlignment="1">
      <alignment horizontal="center" vertical="center" shrinkToFit="1"/>
    </xf>
    <xf numFmtId="0" fontId="83" fillId="180" borderId="1" xfId="0" applyFont="1" applyFill="1" applyBorder="1" applyAlignment="1">
      <alignment horizontal="center"/>
    </xf>
    <xf numFmtId="0" fontId="78" fillId="155" borderId="1" xfId="128" applyFont="1" applyFill="1" applyBorder="1" applyAlignment="1">
      <alignment horizontal="center" vertical="center" shrinkToFit="1"/>
    </xf>
    <xf numFmtId="0" fontId="98" fillId="161" borderId="1" xfId="0" applyFont="1" applyFill="1" applyBorder="1" applyAlignment="1">
      <alignment horizontal="center"/>
    </xf>
    <xf numFmtId="0" fontId="59" fillId="181" borderId="1" xfId="128" applyFont="1" applyFill="1" applyBorder="1" applyAlignment="1">
      <alignment horizontal="center" vertical="center" shrinkToFit="1"/>
    </xf>
    <xf numFmtId="0" fontId="102" fillId="52" borderId="1" xfId="0" applyFont="1" applyFill="1" applyBorder="1" applyAlignment="1">
      <alignment horizontal="center"/>
    </xf>
    <xf numFmtId="0" fontId="75" fillId="171" borderId="1" xfId="128" applyFont="1" applyFill="1" applyBorder="1" applyAlignment="1">
      <alignment horizontal="center" vertical="center" shrinkToFit="1"/>
    </xf>
    <xf numFmtId="0" fontId="133" fillId="157" borderId="1" xfId="124" applyFont="1" applyFill="1" applyBorder="1" applyAlignment="1">
      <alignment horizontal="center"/>
    </xf>
    <xf numFmtId="0" fontId="78" fillId="182" borderId="1" xfId="128" applyFont="1" applyFill="1" applyBorder="1" applyAlignment="1">
      <alignment horizontal="center" vertical="center" shrinkToFit="1"/>
    </xf>
    <xf numFmtId="0" fontId="102" fillId="35" borderId="67" xfId="0" applyFont="1" applyFill="1" applyBorder="1" applyAlignment="1">
      <alignment horizontal="center"/>
    </xf>
    <xf numFmtId="0" fontId="132" fillId="183" borderId="1" xfId="0" applyFont="1" applyFill="1" applyBorder="1" applyAlignment="1">
      <alignment horizontal="center"/>
    </xf>
    <xf numFmtId="0" fontId="83" fillId="184" borderId="1" xfId="0" applyFont="1" applyFill="1" applyBorder="1" applyAlignment="1">
      <alignment horizontal="center"/>
    </xf>
    <xf numFmtId="0" fontId="59" fillId="175" borderId="1" xfId="128" applyFont="1" applyFill="1" applyBorder="1" applyAlignment="1">
      <alignment horizontal="center" vertical="center" shrinkToFit="1"/>
    </xf>
    <xf numFmtId="0" fontId="83" fillId="35" borderId="1" xfId="0" applyFont="1" applyFill="1" applyBorder="1" applyAlignment="1">
      <alignment horizontal="center"/>
    </xf>
    <xf numFmtId="0" fontId="74" fillId="169" borderId="1" xfId="0" applyFont="1" applyFill="1" applyBorder="1" applyAlignment="1">
      <alignment horizontal="center"/>
    </xf>
    <xf numFmtId="0" fontId="134" fillId="110" borderId="1" xfId="128" applyFont="1" applyFill="1" applyBorder="1" applyAlignment="1">
      <alignment horizontal="center" vertical="center" shrinkToFit="1"/>
    </xf>
    <xf numFmtId="0" fontId="61" fillId="110" borderId="1" xfId="128" applyFont="1" applyFill="1" applyBorder="1" applyAlignment="1">
      <alignment horizontal="center" vertical="center" shrinkToFit="1"/>
    </xf>
    <xf numFmtId="0" fontId="135" fillId="96" borderId="1" xfId="128" applyFont="1" applyFill="1" applyBorder="1" applyAlignment="1">
      <alignment horizontal="center" vertical="center" shrinkToFit="1"/>
    </xf>
    <xf numFmtId="0" fontId="75" fillId="185" borderId="1" xfId="128" applyFont="1" applyFill="1" applyBorder="1" applyAlignment="1" applyProtection="1">
      <alignment horizontal="center" vertical="center" shrinkToFit="1"/>
      <protection locked="0"/>
    </xf>
    <xf numFmtId="0" fontId="78" fillId="186" borderId="1" xfId="128" applyFont="1" applyFill="1" applyBorder="1" applyAlignment="1">
      <alignment horizontal="center" vertical="center" shrinkToFit="1"/>
    </xf>
    <xf numFmtId="0" fontId="83" fillId="41" borderId="1" xfId="0" applyFont="1" applyFill="1" applyBorder="1" applyAlignment="1">
      <alignment horizontal="center"/>
    </xf>
    <xf numFmtId="0" fontId="59" fillId="39" borderId="1" xfId="128" applyFont="1" applyFill="1" applyBorder="1" applyAlignment="1">
      <alignment horizontal="center" vertical="center" shrinkToFit="1"/>
    </xf>
    <xf numFmtId="0" fontId="61" fillId="82" borderId="1" xfId="128" applyFont="1" applyFill="1" applyBorder="1" applyAlignment="1" applyProtection="1">
      <alignment horizontal="center" vertical="center" shrinkToFit="1"/>
      <protection locked="0"/>
    </xf>
    <xf numFmtId="0" fontId="75" fillId="187" borderId="1" xfId="128" applyFont="1" applyFill="1" applyBorder="1" applyAlignment="1">
      <alignment horizontal="center" vertical="center" shrinkToFit="1"/>
    </xf>
    <xf numFmtId="0" fontId="83" fillId="188" borderId="1" xfId="0" applyFont="1" applyFill="1" applyBorder="1" applyAlignment="1">
      <alignment horizontal="center"/>
    </xf>
    <xf numFmtId="0" fontId="83" fillId="96" borderId="1" xfId="0" applyFont="1" applyFill="1" applyBorder="1" applyAlignment="1">
      <alignment horizontal="center"/>
    </xf>
    <xf numFmtId="0" fontId="102" fillId="178" borderId="1" xfId="124" applyFont="1" applyFill="1" applyBorder="1" applyAlignment="1">
      <alignment horizontal="center"/>
    </xf>
    <xf numFmtId="0" fontId="83" fillId="82" borderId="1" xfId="0" applyFont="1" applyFill="1" applyBorder="1" applyAlignment="1">
      <alignment horizontal="center"/>
    </xf>
    <xf numFmtId="0" fontId="83" fillId="155" borderId="1" xfId="0" applyFont="1" applyFill="1" applyBorder="1" applyAlignment="1">
      <alignment horizontal="center"/>
    </xf>
    <xf numFmtId="0" fontId="75" fillId="189" borderId="1" xfId="128" applyFont="1" applyFill="1" applyBorder="1" applyAlignment="1">
      <alignment horizontal="center" vertical="center" shrinkToFit="1"/>
    </xf>
    <xf numFmtId="0" fontId="75" fillId="190" borderId="1" xfId="128" applyFont="1" applyFill="1" applyBorder="1" applyAlignment="1">
      <alignment horizontal="center" vertical="center" shrinkToFit="1"/>
    </xf>
    <xf numFmtId="0" fontId="78" fillId="191" borderId="1" xfId="128" applyFont="1" applyFill="1" applyBorder="1" applyAlignment="1">
      <alignment horizontal="center" vertical="center" shrinkToFit="1"/>
    </xf>
    <xf numFmtId="0" fontId="83" fillId="100" borderId="1" xfId="0" applyFont="1" applyFill="1" applyBorder="1" applyAlignment="1">
      <alignment horizontal="center"/>
    </xf>
    <xf numFmtId="0" fontId="83" fillId="99" borderId="1" xfId="124" applyFont="1" applyFill="1" applyBorder="1" applyAlignment="1">
      <alignment horizontal="center"/>
    </xf>
    <xf numFmtId="0" fontId="83" fillId="192" borderId="1" xfId="0" applyFont="1" applyFill="1" applyBorder="1" applyAlignment="1">
      <alignment horizontal="center"/>
    </xf>
    <xf numFmtId="0" fontId="75" fillId="193" borderId="1" xfId="128" applyFont="1" applyFill="1" applyBorder="1" applyAlignment="1">
      <alignment horizontal="center" vertical="center" shrinkToFit="1"/>
    </xf>
    <xf numFmtId="0" fontId="78" fillId="194" borderId="1" xfId="128" applyFont="1" applyFill="1" applyBorder="1" applyAlignment="1">
      <alignment horizontal="center" vertical="center" shrinkToFit="1"/>
    </xf>
    <xf numFmtId="0" fontId="83" fillId="81" borderId="1" xfId="0" applyFont="1" applyFill="1" applyBorder="1" applyAlignment="1">
      <alignment horizontal="center"/>
    </xf>
    <xf numFmtId="0" fontId="83" fillId="195" borderId="1" xfId="0" applyFont="1" applyFill="1" applyBorder="1" applyAlignment="1">
      <alignment horizontal="center"/>
    </xf>
    <xf numFmtId="0" fontId="83" fillId="159" borderId="1" xfId="0" applyFont="1" applyFill="1" applyBorder="1" applyAlignment="1">
      <alignment horizontal="center"/>
    </xf>
    <xf numFmtId="0" fontId="78" fillId="172" borderId="1" xfId="128" applyFont="1" applyFill="1" applyBorder="1" applyAlignment="1">
      <alignment horizontal="center" vertical="center" shrinkToFit="1"/>
    </xf>
    <xf numFmtId="0" fontId="61" fillId="196" borderId="1" xfId="128" applyFont="1" applyFill="1" applyBorder="1" applyAlignment="1">
      <alignment horizontal="center" vertical="center" shrinkToFit="1"/>
    </xf>
    <xf numFmtId="0" fontId="78" fillId="197" borderId="1" xfId="128" applyFont="1" applyFill="1" applyBorder="1" applyAlignment="1">
      <alignment horizontal="center" vertical="center" shrinkToFit="1"/>
    </xf>
    <xf numFmtId="0" fontId="59" fillId="163" borderId="1" xfId="128" applyFont="1" applyFill="1" applyBorder="1" applyAlignment="1">
      <alignment horizontal="center" vertical="center" shrinkToFit="1"/>
    </xf>
    <xf numFmtId="0" fontId="83" fillId="157" borderId="1" xfId="0" applyFont="1" applyFill="1" applyBorder="1" applyAlignment="1">
      <alignment horizontal="center"/>
    </xf>
    <xf numFmtId="171" fontId="0" fillId="0" borderId="91" xfId="209" applyNumberFormat="1" applyFont="1" applyFill="1" applyBorder="1" applyAlignment="1" applyProtection="1">
      <alignment horizontal="center" vertical="center"/>
    </xf>
    <xf numFmtId="173" fontId="137" fillId="0" borderId="3" xfId="0" applyNumberFormat="1" applyFont="1" applyBorder="1" applyAlignment="1">
      <alignment horizontal="center" vertical="center"/>
    </xf>
    <xf numFmtId="173" fontId="139" fillId="198" borderId="1" xfId="128" applyNumberFormat="1" applyFont="1" applyFill="1" applyBorder="1" applyAlignment="1">
      <alignment vertical="center" shrinkToFit="1"/>
    </xf>
    <xf numFmtId="0" fontId="0" fillId="0" borderId="0" xfId="0" applyAlignment="1">
      <alignment vertical="center"/>
    </xf>
    <xf numFmtId="0" fontId="11" fillId="95" borderId="0" xfId="0" applyFont="1" applyFill="1" applyAlignment="1">
      <alignment horizontal="center" vertical="center"/>
    </xf>
    <xf numFmtId="0" fontId="68" fillId="139" borderId="56" xfId="242" applyFont="1" applyFill="1" applyBorder="1" applyAlignment="1">
      <alignment horizontal="center" vertical="center"/>
    </xf>
    <xf numFmtId="0" fontId="68" fillId="0" borderId="96" xfId="243" applyFont="1" applyBorder="1" applyAlignment="1" applyProtection="1">
      <alignment horizontal="center" vertical="center"/>
    </xf>
    <xf numFmtId="0" fontId="48" fillId="100" borderId="102" xfId="128" applyFont="1" applyFill="1" applyBorder="1" applyAlignment="1">
      <alignment horizontal="center" vertical="center" shrinkToFit="1"/>
    </xf>
    <xf numFmtId="0" fontId="73" fillId="152" borderId="102" xfId="132" applyFont="1" applyFill="1" applyBorder="1" applyAlignment="1" applyProtection="1">
      <alignment horizontal="center" vertical="center" shrinkToFit="1"/>
    </xf>
    <xf numFmtId="0" fontId="73" fillId="152" borderId="104" xfId="132" applyFont="1" applyFill="1" applyBorder="1" applyAlignment="1" applyProtection="1">
      <alignment horizontal="center" vertical="center" shrinkToFit="1"/>
    </xf>
    <xf numFmtId="0" fontId="73" fillId="148" borderId="102" xfId="132" applyFont="1" applyFill="1" applyBorder="1" applyAlignment="1" applyProtection="1">
      <alignment horizontal="center" vertical="center" shrinkToFit="1"/>
    </xf>
    <xf numFmtId="0" fontId="94" fillId="147" borderId="102" xfId="132" applyFont="1" applyFill="1" applyBorder="1" applyAlignment="1" applyProtection="1">
      <alignment horizontal="center" vertical="center" shrinkToFit="1"/>
    </xf>
    <xf numFmtId="0" fontId="74" fillId="0" borderId="1" xfId="124" applyFont="1" applyBorder="1" applyAlignment="1">
      <alignment horizontal="center"/>
    </xf>
    <xf numFmtId="0" fontId="60" fillId="0" borderId="2" xfId="244" applyFont="1" applyBorder="1" applyAlignment="1">
      <alignment horizontal="center"/>
      <protection locked="0"/>
    </xf>
    <xf numFmtId="0" fontId="58" fillId="0" borderId="0" xfId="242" applyFont="1" applyAlignment="1">
      <alignment horizontal="center" vertical="center"/>
    </xf>
    <xf numFmtId="0" fontId="85" fillId="0" borderId="0" xfId="115" applyFont="1" applyAlignment="1">
      <alignment horizontal="center"/>
    </xf>
    <xf numFmtId="0" fontId="82" fillId="0" borderId="0" xfId="0" applyFont="1"/>
    <xf numFmtId="0" fontId="90" fillId="0" borderId="0" xfId="242" applyFont="1" applyAlignment="1">
      <alignment vertical="center"/>
    </xf>
    <xf numFmtId="0" fontId="91" fillId="0" borderId="0" xfId="0" applyFont="1" applyAlignment="1">
      <alignment horizontal="center"/>
    </xf>
    <xf numFmtId="0" fontId="60" fillId="0" borderId="67" xfId="244" applyFont="1" applyBorder="1" applyAlignment="1">
      <alignment horizontal="center"/>
      <protection locked="0"/>
    </xf>
    <xf numFmtId="0" fontId="95" fillId="0" borderId="0" xfId="0" applyFont="1"/>
    <xf numFmtId="0" fontId="72" fillId="0" borderId="0" xfId="0" applyFont="1" applyAlignment="1">
      <alignment horizontal="center"/>
    </xf>
    <xf numFmtId="0" fontId="76" fillId="0" borderId="0" xfId="246" applyFont="1" applyAlignment="1">
      <alignment horizontal="center" vertical="center" shrinkToFit="1"/>
    </xf>
    <xf numFmtId="0" fontId="51" fillId="0" borderId="0" xfId="0" applyFont="1" applyAlignment="1">
      <alignment horizontal="center" vertical="center" shrinkToFit="1"/>
    </xf>
    <xf numFmtId="0" fontId="66" fillId="0" borderId="1" xfId="124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0" fontId="70" fillId="0" borderId="0" xfId="243" applyFont="1" applyAlignment="1" applyProtection="1">
      <alignment horizontal="center" vertical="center"/>
    </xf>
    <xf numFmtId="0" fontId="68" fillId="0" borderId="0" xfId="124" applyFont="1" applyAlignment="1">
      <alignment horizontal="left" vertical="center"/>
    </xf>
    <xf numFmtId="0" fontId="68" fillId="0" borderId="0" xfId="124" applyFont="1" applyAlignment="1">
      <alignment horizontal="right" vertical="center"/>
    </xf>
    <xf numFmtId="0" fontId="78" fillId="0" borderId="0" xfId="128" applyFont="1" applyAlignment="1">
      <alignment horizontal="center" vertical="center" shrinkToFit="1"/>
    </xf>
    <xf numFmtId="0" fontId="59" fillId="0" borderId="1" xfId="128" applyFont="1" applyBorder="1" applyAlignment="1">
      <alignment horizontal="center" vertical="center" shrinkToFit="1"/>
    </xf>
    <xf numFmtId="0" fontId="60" fillId="0" borderId="0" xfId="244" applyFont="1" applyAlignment="1">
      <alignment horizontal="center"/>
      <protection locked="0"/>
    </xf>
    <xf numFmtId="0" fontId="0" fillId="0" borderId="0" xfId="0" applyAlignment="1">
      <alignment horizontal="left"/>
    </xf>
    <xf numFmtId="0" fontId="74" fillId="0" borderId="42" xfId="124" applyFont="1" applyBorder="1" applyAlignment="1">
      <alignment horizontal="center"/>
    </xf>
    <xf numFmtId="0" fontId="74" fillId="0" borderId="0" xfId="0" applyFont="1" applyAlignment="1">
      <alignment horizontal="center"/>
    </xf>
    <xf numFmtId="0" fontId="101" fillId="0" borderId="2" xfId="0" applyFont="1" applyBorder="1" applyAlignment="1">
      <alignment horizontal="center"/>
    </xf>
    <xf numFmtId="0" fontId="66" fillId="0" borderId="103" xfId="124" applyFont="1" applyBorder="1" applyAlignment="1">
      <alignment horizontal="center"/>
    </xf>
    <xf numFmtId="0" fontId="74" fillId="0" borderId="103" xfId="0" applyFont="1" applyBorder="1" applyAlignment="1">
      <alignment horizontal="center"/>
    </xf>
    <xf numFmtId="0" fontId="83" fillId="0" borderId="67" xfId="124" applyFont="1" applyBorder="1" applyAlignment="1">
      <alignment horizontal="center"/>
    </xf>
    <xf numFmtId="0" fontId="29" fillId="0" borderId="0" xfId="0" applyFont="1" applyAlignment="1" applyProtection="1">
      <alignment horizontal="center" vertical="center"/>
      <protection locked="0"/>
    </xf>
    <xf numFmtId="0" fontId="78" fillId="0" borderId="2" xfId="128" applyFont="1" applyBorder="1" applyAlignment="1">
      <alignment horizontal="center" vertical="center" shrinkToFit="1"/>
    </xf>
    <xf numFmtId="0" fontId="2" fillId="0" borderId="0" xfId="0" applyFont="1"/>
    <xf numFmtId="0" fontId="92" fillId="0" borderId="0" xfId="245" applyFont="1" applyAlignment="1" applyProtection="1">
      <alignment horizontal="center" vertical="center"/>
    </xf>
    <xf numFmtId="0" fontId="78" fillId="0" borderId="1" xfId="128" applyFont="1" applyBorder="1" applyAlignment="1">
      <alignment horizontal="center" vertical="center" shrinkToFit="1"/>
    </xf>
    <xf numFmtId="0" fontId="74" fillId="0" borderId="67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0" fontId="91" fillId="0" borderId="15" xfId="0" applyFont="1" applyBorder="1" applyAlignment="1">
      <alignment horizontal="center"/>
    </xf>
    <xf numFmtId="0" fontId="91" fillId="0" borderId="16" xfId="0" applyFont="1" applyBorder="1" applyAlignment="1">
      <alignment horizontal="center"/>
    </xf>
    <xf numFmtId="0" fontId="96" fillId="0" borderId="0" xfId="132" applyFont="1" applyAlignment="1" applyProtection="1">
      <alignment horizontal="center" vertical="center" shrinkToFit="1"/>
    </xf>
    <xf numFmtId="0" fontId="60" fillId="0" borderId="27" xfId="115" applyFont="1" applyBorder="1" applyAlignment="1">
      <alignment horizontal="center"/>
    </xf>
    <xf numFmtId="0" fontId="59" fillId="0" borderId="71" xfId="128" applyFont="1" applyBorder="1" applyAlignment="1">
      <alignment horizontal="center" vertical="center" shrinkToFit="1"/>
    </xf>
    <xf numFmtId="0" fontId="72" fillId="0" borderId="30" xfId="115" applyFont="1" applyBorder="1" applyAlignment="1">
      <alignment horizontal="center"/>
    </xf>
    <xf numFmtId="0" fontId="84" fillId="0" borderId="0" xfId="243" applyFont="1" applyAlignment="1" applyProtection="1">
      <alignment horizontal="center" vertical="center"/>
    </xf>
    <xf numFmtId="0" fontId="60" fillId="0" borderId="0" xfId="0" applyFont="1" applyAlignment="1">
      <alignment horizontal="left"/>
    </xf>
    <xf numFmtId="0" fontId="72" fillId="0" borderId="0" xfId="115" applyFont="1" applyAlignment="1">
      <alignment horizontal="center"/>
    </xf>
    <xf numFmtId="0" fontId="72" fillId="0" borderId="37" xfId="115" applyFont="1" applyBorder="1" applyAlignment="1">
      <alignment horizontal="center"/>
    </xf>
    <xf numFmtId="0" fontId="68" fillId="0" borderId="37" xfId="242" applyFont="1" applyBorder="1" applyAlignment="1">
      <alignment horizontal="center" vertical="center"/>
    </xf>
    <xf numFmtId="0" fontId="61" fillId="0" borderId="37" xfId="128" applyFont="1" applyBorder="1" applyAlignment="1" applyProtection="1">
      <alignment horizontal="center" vertical="center" shrinkToFit="1"/>
      <protection locked="0"/>
    </xf>
    <xf numFmtId="0" fontId="70" fillId="0" borderId="37" xfId="243" applyFont="1" applyBorder="1" applyAlignment="1" applyProtection="1">
      <alignment horizontal="center" vertical="center"/>
    </xf>
    <xf numFmtId="0" fontId="71" fillId="0" borderId="0" xfId="243" applyFont="1" applyAlignment="1" applyProtection="1">
      <alignment horizontal="right"/>
    </xf>
    <xf numFmtId="0" fontId="99" fillId="0" borderId="37" xfId="0" applyFont="1" applyBorder="1" applyAlignment="1">
      <alignment horizontal="center" vertical="center"/>
    </xf>
    <xf numFmtId="0" fontId="104" fillId="35" borderId="0" xfId="148" applyFont="1" applyFill="1" applyAlignment="1">
      <alignment horizontal="center" vertical="center"/>
    </xf>
    <xf numFmtId="0" fontId="104" fillId="35" borderId="21" xfId="148" applyFont="1" applyFill="1" applyBorder="1" applyAlignment="1">
      <alignment horizontal="center" vertical="center"/>
    </xf>
    <xf numFmtId="0" fontId="84" fillId="35" borderId="4" xfId="242" applyFont="1" applyFill="1" applyBorder="1" applyAlignment="1">
      <alignment horizontal="center" vertical="center"/>
    </xf>
    <xf numFmtId="0" fontId="84" fillId="35" borderId="5" xfId="242" applyFont="1" applyFill="1" applyBorder="1" applyAlignment="1">
      <alignment horizontal="center" vertical="center"/>
    </xf>
    <xf numFmtId="0" fontId="87" fillId="35" borderId="20" xfId="243" applyFont="1" applyFill="1" applyBorder="1" applyAlignment="1" applyProtection="1">
      <alignment horizontal="center" vertical="center"/>
    </xf>
    <xf numFmtId="0" fontId="87" fillId="35" borderId="21" xfId="243" applyFont="1" applyFill="1" applyBorder="1" applyAlignment="1" applyProtection="1">
      <alignment horizontal="center" vertical="center"/>
    </xf>
    <xf numFmtId="0" fontId="87" fillId="35" borderId="22" xfId="243" applyFont="1" applyFill="1" applyBorder="1" applyAlignment="1" applyProtection="1">
      <alignment horizontal="center" vertical="center"/>
    </xf>
    <xf numFmtId="0" fontId="87" fillId="35" borderId="24" xfId="243" applyFont="1" applyFill="1" applyBorder="1" applyAlignment="1" applyProtection="1">
      <alignment horizontal="center" vertical="center"/>
    </xf>
    <xf numFmtId="0" fontId="87" fillId="35" borderId="0" xfId="243" applyFont="1" applyFill="1" applyAlignment="1" applyProtection="1">
      <alignment horizontal="center" vertical="center"/>
    </xf>
    <xf numFmtId="0" fontId="87" fillId="35" borderId="23" xfId="243" applyFont="1" applyFill="1" applyBorder="1" applyAlignment="1" applyProtection="1">
      <alignment horizontal="center" vertical="center"/>
    </xf>
    <xf numFmtId="0" fontId="87" fillId="35" borderId="17" xfId="243" applyFont="1" applyFill="1" applyBorder="1" applyAlignment="1" applyProtection="1">
      <alignment horizontal="center" vertical="center"/>
    </xf>
    <xf numFmtId="0" fontId="87" fillId="35" borderId="18" xfId="243" applyFont="1" applyFill="1" applyBorder="1" applyAlignment="1" applyProtection="1">
      <alignment horizontal="center" vertical="center"/>
    </xf>
    <xf numFmtId="0" fontId="87" fillId="35" borderId="26" xfId="243" applyFont="1" applyFill="1" applyBorder="1" applyAlignment="1" applyProtection="1">
      <alignment horizontal="center" vertical="center"/>
    </xf>
    <xf numFmtId="0" fontId="90" fillId="35" borderId="58" xfId="243" applyFont="1" applyFill="1" applyBorder="1" applyAlignment="1" applyProtection="1">
      <alignment horizontal="center" vertical="center"/>
    </xf>
    <xf numFmtId="0" fontId="90" fillId="35" borderId="0" xfId="243" applyFont="1" applyFill="1" applyAlignment="1" applyProtection="1">
      <alignment horizontal="center" vertical="center"/>
    </xf>
    <xf numFmtId="0" fontId="90" fillId="35" borderId="59" xfId="243" applyFont="1" applyFill="1" applyBorder="1" applyAlignment="1" applyProtection="1">
      <alignment horizontal="center" vertical="center"/>
    </xf>
    <xf numFmtId="0" fontId="90" fillId="35" borderId="60" xfId="243" applyFont="1" applyFill="1" applyBorder="1" applyAlignment="1" applyProtection="1">
      <alignment horizontal="center" vertical="center"/>
    </xf>
    <xf numFmtId="0" fontId="90" fillId="35" borderId="45" xfId="243" applyFont="1" applyFill="1" applyBorder="1" applyAlignment="1" applyProtection="1">
      <alignment horizontal="center" vertical="center"/>
    </xf>
    <xf numFmtId="0" fontId="90" fillId="35" borderId="61" xfId="243" applyFont="1" applyFill="1" applyBorder="1" applyAlignment="1" applyProtection="1">
      <alignment horizontal="center" vertical="center"/>
    </xf>
    <xf numFmtId="0" fontId="61" fillId="35" borderId="24" xfId="148" applyFont="1" applyFill="1" applyBorder="1" applyAlignment="1">
      <alignment horizontal="center" vertical="center"/>
    </xf>
    <xf numFmtId="0" fontId="61" fillId="35" borderId="0" xfId="148" applyFont="1" applyFill="1" applyAlignment="1">
      <alignment horizontal="center" vertical="center"/>
    </xf>
    <xf numFmtId="0" fontId="90" fillId="35" borderId="31" xfId="243" applyFont="1" applyFill="1" applyBorder="1" applyAlignment="1" applyProtection="1">
      <alignment horizontal="center" vertical="center"/>
    </xf>
    <xf numFmtId="0" fontId="90" fillId="35" borderId="37" xfId="243" applyFont="1" applyFill="1" applyBorder="1" applyAlignment="1" applyProtection="1">
      <alignment horizontal="center" vertical="center"/>
    </xf>
    <xf numFmtId="0" fontId="90" fillId="35" borderId="65" xfId="243" applyFont="1" applyFill="1" applyBorder="1" applyAlignment="1" applyProtection="1">
      <alignment horizontal="center" vertical="center"/>
    </xf>
    <xf numFmtId="0" fontId="90" fillId="35" borderId="66" xfId="243" applyFont="1" applyFill="1" applyBorder="1" applyAlignment="1" applyProtection="1">
      <alignment horizontal="center" vertical="center"/>
    </xf>
    <xf numFmtId="0" fontId="87" fillId="35" borderId="32" xfId="243" applyFont="1" applyFill="1" applyBorder="1" applyAlignment="1" applyProtection="1">
      <alignment horizontal="center" vertical="center"/>
    </xf>
    <xf numFmtId="0" fontId="87" fillId="35" borderId="52" xfId="243" applyFont="1" applyFill="1" applyBorder="1" applyAlignment="1" applyProtection="1">
      <alignment horizontal="center" vertical="center"/>
    </xf>
    <xf numFmtId="0" fontId="87" fillId="35" borderId="37" xfId="243" applyFont="1" applyFill="1" applyBorder="1" applyAlignment="1" applyProtection="1">
      <alignment horizontal="center" vertical="center"/>
    </xf>
    <xf numFmtId="0" fontId="87" fillId="35" borderId="68" xfId="243" applyFont="1" applyFill="1" applyBorder="1" applyAlignment="1" applyProtection="1">
      <alignment horizontal="center" vertical="center"/>
    </xf>
    <xf numFmtId="0" fontId="53" fillId="35" borderId="69" xfId="243" applyFont="1" applyFill="1" applyBorder="1" applyAlignment="1" applyProtection="1">
      <alignment horizontal="center" vertical="center"/>
    </xf>
    <xf numFmtId="0" fontId="53" fillId="35" borderId="18" xfId="243" applyFont="1" applyFill="1" applyBorder="1" applyAlignment="1" applyProtection="1">
      <alignment horizontal="center" vertical="center"/>
    </xf>
    <xf numFmtId="0" fontId="53" fillId="35" borderId="68" xfId="243" applyFont="1" applyFill="1" applyBorder="1" applyAlignment="1" applyProtection="1">
      <alignment horizontal="center" vertical="center"/>
    </xf>
    <xf numFmtId="0" fontId="114" fillId="35" borderId="24" xfId="245" applyFont="1" applyFill="1" applyBorder="1" applyAlignment="1" applyProtection="1">
      <alignment horizontal="center" vertical="center"/>
    </xf>
    <xf numFmtId="0" fontId="114" fillId="35" borderId="0" xfId="245" applyFont="1" applyFill="1" applyAlignment="1" applyProtection="1">
      <alignment horizontal="center" vertical="center"/>
    </xf>
    <xf numFmtId="0" fontId="63" fillId="0" borderId="0" xfId="0" applyFont="1" applyAlignment="1">
      <alignment horizontal="center"/>
    </xf>
    <xf numFmtId="0" fontId="58" fillId="35" borderId="0" xfId="115" applyFont="1" applyFill="1" applyAlignment="1">
      <alignment horizontal="center" vertical="center"/>
    </xf>
    <xf numFmtId="0" fontId="73" fillId="35" borderId="0" xfId="148" applyFont="1" applyFill="1" applyAlignment="1">
      <alignment horizontal="center" vertical="center"/>
    </xf>
    <xf numFmtId="0" fontId="90" fillId="35" borderId="20" xfId="243" applyFont="1" applyFill="1" applyBorder="1" applyAlignment="1" applyProtection="1">
      <alignment horizontal="center" vertical="center"/>
    </xf>
    <xf numFmtId="0" fontId="90" fillId="35" borderId="21" xfId="243" applyFont="1" applyFill="1" applyBorder="1" applyAlignment="1" applyProtection="1">
      <alignment horizontal="center" vertical="center"/>
    </xf>
    <xf numFmtId="0" fontId="90" fillId="35" borderId="22" xfId="243" applyFont="1" applyFill="1" applyBorder="1" applyAlignment="1" applyProtection="1">
      <alignment horizontal="center" vertical="center"/>
    </xf>
    <xf numFmtId="0" fontId="90" fillId="35" borderId="24" xfId="243" applyFont="1" applyFill="1" applyBorder="1" applyAlignment="1" applyProtection="1">
      <alignment horizontal="center" vertical="center"/>
    </xf>
    <xf numFmtId="0" fontId="90" fillId="35" borderId="23" xfId="243" applyFont="1" applyFill="1" applyBorder="1" applyAlignment="1" applyProtection="1">
      <alignment horizontal="center" vertical="center"/>
    </xf>
    <xf numFmtId="0" fontId="90" fillId="35" borderId="17" xfId="243" applyFont="1" applyFill="1" applyBorder="1" applyAlignment="1" applyProtection="1">
      <alignment horizontal="center" vertical="center"/>
    </xf>
    <xf numFmtId="0" fontId="90" fillId="35" borderId="18" xfId="243" applyFont="1" applyFill="1" applyBorder="1" applyAlignment="1" applyProtection="1">
      <alignment horizontal="center" vertical="center"/>
    </xf>
    <xf numFmtId="0" fontId="90" fillId="35" borderId="26" xfId="243" applyFont="1" applyFill="1" applyBorder="1" applyAlignment="1" applyProtection="1">
      <alignment horizontal="center" vertical="center"/>
    </xf>
    <xf numFmtId="0" fontId="110" fillId="35" borderId="4" xfId="247" applyFont="1" applyFill="1" applyBorder="1" applyAlignment="1">
      <alignment horizontal="center" vertical="center"/>
    </xf>
    <xf numFmtId="0" fontId="110" fillId="35" borderId="5" xfId="247" applyFont="1" applyFill="1" applyBorder="1" applyAlignment="1">
      <alignment horizontal="center" vertical="center"/>
    </xf>
    <xf numFmtId="0" fontId="104" fillId="35" borderId="0" xfId="244" applyFont="1" applyFill="1" applyAlignment="1" applyProtection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73" fillId="88" borderId="39" xfId="148" applyFont="1" applyFill="1" applyBorder="1" applyAlignment="1">
      <alignment horizontal="center" vertical="center"/>
    </xf>
    <xf numFmtId="0" fontId="73" fillId="88" borderId="0" xfId="148" applyFont="1" applyFill="1" applyAlignment="1">
      <alignment horizontal="center" vertical="center"/>
    </xf>
    <xf numFmtId="0" fontId="73" fillId="88" borderId="0" xfId="152" applyFont="1" applyFill="1" applyAlignment="1">
      <alignment horizontal="center" vertical="center"/>
    </xf>
    <xf numFmtId="0" fontId="103" fillId="88" borderId="0" xfId="242" applyFont="1" applyFill="1" applyAlignment="1">
      <alignment horizontal="center" vertical="center"/>
    </xf>
    <xf numFmtId="0" fontId="104" fillId="88" borderId="0" xfId="242" applyFont="1" applyFill="1" applyAlignment="1">
      <alignment horizontal="center" vertical="center"/>
    </xf>
    <xf numFmtId="0" fontId="73" fillId="35" borderId="0" xfId="152" applyFont="1" applyFill="1" applyAlignment="1">
      <alignment horizontal="center" vertical="center" wrapText="1"/>
    </xf>
    <xf numFmtId="0" fontId="56" fillId="39" borderId="17" xfId="115" applyFont="1" applyFill="1" applyBorder="1" applyAlignment="1">
      <alignment horizontal="center" vertical="center"/>
    </xf>
    <xf numFmtId="0" fontId="56" fillId="39" borderId="18" xfId="115" applyFont="1" applyFill="1" applyBorder="1" applyAlignment="1">
      <alignment horizontal="center" vertical="center"/>
    </xf>
    <xf numFmtId="0" fontId="10" fillId="0" borderId="32" xfId="115" applyBorder="1" applyAlignment="1">
      <alignment horizontal="center" vertical="center"/>
    </xf>
    <xf numFmtId="0" fontId="0" fillId="0" borderId="32" xfId="115" applyFont="1" applyBorder="1" applyAlignment="1">
      <alignment horizontal="center"/>
    </xf>
    <xf numFmtId="0" fontId="10" fillId="0" borderId="32" xfId="115" applyBorder="1" applyAlignment="1">
      <alignment horizontal="center"/>
    </xf>
    <xf numFmtId="0" fontId="72" fillId="35" borderId="0" xfId="172" applyFont="1" applyFill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73" fillId="0" borderId="39" xfId="148" applyFont="1" applyBorder="1" applyAlignment="1">
      <alignment horizontal="center" vertical="center"/>
    </xf>
    <xf numFmtId="0" fontId="73" fillId="0" borderId="0" xfId="148" applyFont="1" applyAlignment="1">
      <alignment horizontal="center" vertical="center"/>
    </xf>
    <xf numFmtId="0" fontId="30" fillId="131" borderId="40" xfId="115" applyFont="1" applyFill="1" applyBorder="1" applyAlignment="1">
      <alignment horizontal="center" vertical="center" wrapText="1"/>
    </xf>
    <xf numFmtId="0" fontId="30" fillId="131" borderId="41" xfId="115" applyFont="1" applyFill="1" applyBorder="1" applyAlignment="1">
      <alignment horizontal="center" vertical="center" wrapText="1"/>
    </xf>
    <xf numFmtId="0" fontId="138" fillId="0" borderId="71" xfId="139" applyFont="1" applyBorder="1" applyAlignment="1">
      <alignment horizontal="left" vertical="center" shrinkToFit="1"/>
    </xf>
    <xf numFmtId="0" fontId="138" fillId="0" borderId="76" xfId="139" applyFont="1" applyBorder="1" applyAlignment="1">
      <alignment horizontal="left" vertical="center" shrinkToFit="1"/>
    </xf>
    <xf numFmtId="0" fontId="138" fillId="0" borderId="67" xfId="139" applyFont="1" applyBorder="1" applyAlignment="1">
      <alignment horizontal="left" vertical="center" shrinkToFit="1"/>
    </xf>
    <xf numFmtId="0" fontId="59" fillId="0" borderId="1" xfId="0" applyFont="1" applyBorder="1" applyAlignment="1">
      <alignment horizontal="left" vertical="center" wrapText="1" shrinkToFit="1"/>
    </xf>
    <xf numFmtId="0" fontId="70" fillId="0" borderId="4" xfId="0" applyFont="1" applyBorder="1" applyAlignment="1">
      <alignment horizontal="center" vertical="center" wrapText="1" shrinkToFit="1"/>
    </xf>
    <xf numFmtId="0" fontId="70" fillId="0" borderId="19" xfId="0" applyFont="1" applyBorder="1" applyAlignment="1">
      <alignment horizontal="center" vertical="center" wrapText="1" shrinkToFit="1"/>
    </xf>
    <xf numFmtId="0" fontId="70" fillId="0" borderId="5" xfId="0" applyFont="1" applyBorder="1" applyAlignment="1">
      <alignment horizontal="center" vertical="center" wrapText="1" shrinkToFit="1"/>
    </xf>
    <xf numFmtId="0" fontId="59" fillId="0" borderId="92" xfId="0" applyFont="1" applyBorder="1" applyAlignment="1">
      <alignment horizontal="left" vertical="center" wrapText="1" shrinkToFit="1"/>
    </xf>
    <xf numFmtId="0" fontId="59" fillId="0" borderId="93" xfId="0" applyFont="1" applyBorder="1" applyAlignment="1">
      <alignment horizontal="left" vertical="center" wrapText="1" shrinkToFit="1"/>
    </xf>
    <xf numFmtId="0" fontId="59" fillId="0" borderId="94" xfId="0" applyFont="1" applyBorder="1" applyAlignment="1">
      <alignment horizontal="left" vertical="center" wrapText="1" shrinkToFit="1"/>
    </xf>
    <xf numFmtId="0" fontId="57" fillId="0" borderId="4" xfId="0" applyFont="1" applyBorder="1" applyAlignment="1" applyProtection="1">
      <alignment horizontal="center"/>
      <protection locked="0"/>
    </xf>
    <xf numFmtId="0" fontId="57" fillId="0" borderId="19" xfId="0" applyFont="1" applyBorder="1" applyAlignment="1" applyProtection="1">
      <alignment horizontal="center"/>
      <protection locked="0"/>
    </xf>
    <xf numFmtId="0" fontId="57" fillId="0" borderId="5" xfId="0" applyFont="1" applyBorder="1" applyAlignment="1" applyProtection="1">
      <alignment horizontal="center"/>
      <protection locked="0"/>
    </xf>
    <xf numFmtId="171" fontId="125" fillId="110" borderId="4" xfId="0" applyNumberFormat="1" applyFont="1" applyFill="1" applyBorder="1" applyAlignment="1">
      <alignment horizontal="center" vertical="center"/>
    </xf>
    <xf numFmtId="171" fontId="125" fillId="110" borderId="5" xfId="0" applyNumberFormat="1" applyFont="1" applyFill="1" applyBorder="1" applyAlignment="1">
      <alignment horizontal="center" vertical="center"/>
    </xf>
    <xf numFmtId="0" fontId="98" fillId="0" borderId="71" xfId="119" applyFont="1" applyBorder="1" applyAlignment="1">
      <alignment horizontal="left" shrinkToFit="1"/>
    </xf>
    <xf numFmtId="0" fontId="98" fillId="0" borderId="67" xfId="119" applyFont="1" applyBorder="1" applyAlignment="1">
      <alignment horizontal="left" shrinkToFit="1"/>
    </xf>
    <xf numFmtId="0" fontId="136" fillId="35" borderId="0" xfId="0" applyFont="1" applyFill="1" applyAlignment="1" applyProtection="1">
      <alignment horizontal="center" vertical="center"/>
      <protection locked="0"/>
    </xf>
    <xf numFmtId="0" fontId="30" fillId="159" borderId="4" xfId="0" applyFont="1" applyFill="1" applyBorder="1" applyAlignment="1">
      <alignment horizontal="center" vertical="center"/>
    </xf>
    <xf numFmtId="0" fontId="30" fillId="159" borderId="19" xfId="0" applyFont="1" applyFill="1" applyBorder="1" applyAlignment="1">
      <alignment horizontal="center" vertical="center"/>
    </xf>
    <xf numFmtId="0" fontId="30" fillId="159" borderId="5" xfId="0" applyFont="1" applyFill="1" applyBorder="1" applyAlignment="1">
      <alignment horizontal="center" vertical="center"/>
    </xf>
    <xf numFmtId="0" fontId="78" fillId="110" borderId="76" xfId="128" applyFont="1" applyFill="1" applyBorder="1" applyAlignment="1" applyProtection="1">
      <alignment horizontal="center" vertical="center" shrinkToFit="1"/>
      <protection locked="0"/>
    </xf>
    <xf numFmtId="0" fontId="78" fillId="110" borderId="67" xfId="128" applyFont="1" applyFill="1" applyBorder="1" applyAlignment="1" applyProtection="1">
      <alignment horizontal="center" vertical="center" shrinkToFit="1"/>
      <protection locked="0"/>
    </xf>
    <xf numFmtId="0" fontId="78" fillId="110" borderId="86" xfId="128" applyFont="1" applyFill="1" applyBorder="1" applyAlignment="1" applyProtection="1">
      <alignment horizontal="center" vertical="center" shrinkToFit="1"/>
      <protection locked="0"/>
    </xf>
    <xf numFmtId="0" fontId="78" fillId="110" borderId="87" xfId="128" applyFont="1" applyFill="1" applyBorder="1" applyAlignment="1" applyProtection="1">
      <alignment horizontal="center" vertical="center" shrinkToFit="1"/>
      <protection locked="0"/>
    </xf>
    <xf numFmtId="0" fontId="98" fillId="0" borderId="71" xfId="119" applyFont="1" applyBorder="1" applyAlignment="1" applyProtection="1">
      <alignment horizontal="left" shrinkToFit="1"/>
      <protection locked="0"/>
    </xf>
    <xf numFmtId="0" fontId="98" fillId="0" borderId="88" xfId="119" applyFont="1" applyBorder="1" applyAlignment="1" applyProtection="1">
      <alignment horizontal="left" shrinkToFit="1"/>
      <protection locked="0"/>
    </xf>
    <xf numFmtId="0" fontId="79" fillId="110" borderId="82" xfId="0" applyFont="1" applyFill="1" applyBorder="1" applyAlignment="1">
      <alignment horizontal="center" vertical="center"/>
    </xf>
    <xf numFmtId="0" fontId="79" fillId="110" borderId="83" xfId="0" applyFont="1" applyFill="1" applyBorder="1" applyAlignment="1">
      <alignment horizontal="center" vertical="center"/>
    </xf>
    <xf numFmtId="0" fontId="63" fillId="0" borderId="4" xfId="0" applyFont="1" applyBorder="1" applyAlignment="1" applyProtection="1">
      <alignment horizontal="center"/>
      <protection locked="0"/>
    </xf>
    <xf numFmtId="0" fontId="63" fillId="0" borderId="19" xfId="0" applyFont="1" applyBorder="1" applyAlignment="1" applyProtection="1">
      <alignment horizontal="center"/>
      <protection locked="0"/>
    </xf>
    <xf numFmtId="0" fontId="63" fillId="0" borderId="4" xfId="0" applyFont="1" applyBorder="1" applyAlignment="1" applyProtection="1">
      <alignment horizontal="center" vertical="center"/>
      <protection locked="0"/>
    </xf>
    <xf numFmtId="0" fontId="63" fillId="0" borderId="5" xfId="0" applyFont="1" applyBorder="1" applyAlignment="1" applyProtection="1">
      <alignment horizontal="center" vertical="center"/>
      <protection locked="0"/>
    </xf>
    <xf numFmtId="0" fontId="78" fillId="110" borderId="36" xfId="128" applyFont="1" applyFill="1" applyBorder="1" applyAlignment="1" applyProtection="1">
      <alignment horizontal="center" vertical="center" shrinkToFit="1"/>
      <protection locked="0"/>
    </xf>
    <xf numFmtId="0" fontId="78" fillId="110" borderId="0" xfId="128" applyFont="1" applyFill="1" applyAlignment="1" applyProtection="1">
      <alignment horizontal="center" vertical="center" shrinkToFit="1"/>
      <protection locked="0"/>
    </xf>
    <xf numFmtId="0" fontId="59" fillId="0" borderId="79" xfId="139" applyFont="1" applyBorder="1" applyAlignment="1" applyProtection="1">
      <alignment horizontal="left" vertical="center" shrinkToFit="1"/>
      <protection locked="0"/>
    </xf>
    <xf numFmtId="0" fontId="59" fillId="0" borderId="80" xfId="139" applyFont="1" applyBorder="1" applyAlignment="1" applyProtection="1">
      <alignment horizontal="left" vertical="center" shrinkToFit="1"/>
      <protection locked="0"/>
    </xf>
    <xf numFmtId="0" fontId="59" fillId="0" borderId="81" xfId="139" applyFont="1" applyBorder="1" applyAlignment="1" applyProtection="1">
      <alignment horizontal="left" vertical="center" shrinkToFit="1"/>
      <protection locked="0"/>
    </xf>
    <xf numFmtId="0" fontId="126" fillId="110" borderId="0" xfId="0" applyFont="1" applyFill="1" applyAlignment="1" applyProtection="1">
      <alignment horizontal="center" vertical="center"/>
      <protection locked="0"/>
    </xf>
    <xf numFmtId="0" fontId="129" fillId="35" borderId="0" xfId="0" applyFont="1" applyFill="1" applyAlignment="1" applyProtection="1">
      <alignment horizontal="center" vertical="center"/>
      <protection locked="0"/>
    </xf>
    <xf numFmtId="0" fontId="59" fillId="0" borderId="71" xfId="139" applyFont="1" applyBorder="1" applyAlignment="1" applyProtection="1">
      <alignment horizontal="left" vertical="center" shrinkToFit="1"/>
      <protection locked="0"/>
    </xf>
    <xf numFmtId="0" fontId="59" fillId="0" borderId="76" xfId="139" applyFont="1" applyBorder="1" applyAlignment="1" applyProtection="1">
      <alignment horizontal="left" vertical="center" shrinkToFit="1"/>
      <protection locked="0"/>
    </xf>
    <xf numFmtId="0" fontId="59" fillId="158" borderId="71" xfId="139" applyFont="1" applyFill="1" applyBorder="1" applyAlignment="1" applyProtection="1">
      <alignment horizontal="left" vertical="center" shrinkToFit="1"/>
      <protection locked="0"/>
    </xf>
    <xf numFmtId="0" fontId="59" fillId="158" borderId="76" xfId="139" applyFont="1" applyFill="1" applyBorder="1" applyAlignment="1" applyProtection="1">
      <alignment horizontal="left" vertical="center" shrinkToFit="1"/>
      <protection locked="0"/>
    </xf>
    <xf numFmtId="0" fontId="0" fillId="0" borderId="76" xfId="0" applyBorder="1" applyAlignment="1">
      <alignment horizontal="left" vertical="center" shrinkToFit="1"/>
    </xf>
    <xf numFmtId="0" fontId="59" fillId="158" borderId="77" xfId="128" applyFont="1" applyFill="1" applyBorder="1" applyAlignment="1" applyProtection="1">
      <alignment horizontal="center" vertical="center" shrinkToFit="1"/>
      <protection locked="0"/>
    </xf>
    <xf numFmtId="0" fontId="59" fillId="158" borderId="32" xfId="128" applyFont="1" applyFill="1" applyBorder="1" applyAlignment="1" applyProtection="1">
      <alignment horizontal="center" vertical="center" shrinkToFit="1"/>
      <protection locked="0"/>
    </xf>
    <xf numFmtId="0" fontId="59" fillId="158" borderId="52" xfId="128" applyFont="1" applyFill="1" applyBorder="1" applyAlignment="1" applyProtection="1">
      <alignment horizontal="center" vertical="center" shrinkToFit="1"/>
      <protection locked="0"/>
    </xf>
    <xf numFmtId="0" fontId="127" fillId="35" borderId="4" xfId="0" applyFont="1" applyFill="1" applyBorder="1" applyAlignment="1" applyProtection="1">
      <alignment horizontal="center" vertical="center"/>
      <protection locked="0"/>
    </xf>
    <xf numFmtId="0" fontId="127" fillId="35" borderId="19" xfId="0" applyFont="1" applyFill="1" applyBorder="1" applyAlignment="1" applyProtection="1">
      <alignment horizontal="center" vertical="center"/>
      <protection locked="0"/>
    </xf>
    <xf numFmtId="0" fontId="127" fillId="35" borderId="5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124" fillId="35" borderId="0" xfId="0" applyFont="1" applyFill="1" applyAlignment="1" applyProtection="1">
      <alignment horizontal="center" vertical="center"/>
      <protection locked="0"/>
    </xf>
    <xf numFmtId="0" fontId="57" fillId="161" borderId="4" xfId="0" applyFont="1" applyFill="1" applyBorder="1" applyAlignment="1" applyProtection="1">
      <alignment horizontal="center" vertical="center"/>
      <protection locked="0"/>
    </xf>
    <xf numFmtId="0" fontId="57" fillId="161" borderId="19" xfId="0" applyFont="1" applyFill="1" applyBorder="1" applyAlignment="1" applyProtection="1">
      <alignment horizontal="center" vertical="center"/>
      <protection locked="0"/>
    </xf>
    <xf numFmtId="0" fontId="57" fillId="161" borderId="5" xfId="0" applyFont="1" applyFill="1" applyBorder="1" applyAlignment="1" applyProtection="1">
      <alignment horizontal="center" vertical="center"/>
      <protection locked="0"/>
    </xf>
    <xf numFmtId="0" fontId="57" fillId="35" borderId="4" xfId="0" applyFont="1" applyFill="1" applyBorder="1" applyAlignment="1" applyProtection="1">
      <alignment horizontal="center"/>
      <protection locked="0"/>
    </xf>
    <xf numFmtId="0" fontId="57" fillId="35" borderId="19" xfId="0" applyFont="1" applyFill="1" applyBorder="1" applyAlignment="1" applyProtection="1">
      <alignment horizontal="center"/>
      <protection locked="0"/>
    </xf>
    <xf numFmtId="0" fontId="57" fillId="35" borderId="5" xfId="0" applyFont="1" applyFill="1" applyBorder="1" applyAlignment="1" applyProtection="1">
      <alignment horizontal="center"/>
      <protection locked="0"/>
    </xf>
    <xf numFmtId="14" fontId="122" fillId="0" borderId="71" xfId="0" applyNumberFormat="1" applyFont="1" applyBorder="1" applyAlignment="1" applyProtection="1">
      <alignment horizontal="center" wrapText="1"/>
      <protection locked="0"/>
    </xf>
    <xf numFmtId="14" fontId="122" fillId="0" borderId="67" xfId="0" applyNumberFormat="1" applyFont="1" applyBorder="1" applyAlignment="1" applyProtection="1">
      <alignment horizontal="center" wrapText="1"/>
      <protection locked="0"/>
    </xf>
    <xf numFmtId="0" fontId="122" fillId="0" borderId="71" xfId="0" applyFont="1" applyBorder="1" applyAlignment="1" applyProtection="1">
      <alignment horizontal="center" wrapText="1"/>
      <protection locked="0"/>
    </xf>
    <xf numFmtId="0" fontId="122" fillId="0" borderId="67" xfId="0" applyFont="1" applyBorder="1" applyAlignment="1" applyProtection="1">
      <alignment horizontal="center" wrapText="1"/>
      <protection locked="0"/>
    </xf>
    <xf numFmtId="14" fontId="122" fillId="0" borderId="70" xfId="0" applyNumberFormat="1" applyFont="1" applyBorder="1" applyAlignment="1">
      <alignment horizontal="center" wrapText="1"/>
    </xf>
    <xf numFmtId="0" fontId="122" fillId="0" borderId="70" xfId="0" applyFont="1" applyBorder="1" applyAlignment="1" applyProtection="1">
      <alignment horizontal="center" wrapText="1"/>
      <protection locked="0"/>
    </xf>
    <xf numFmtId="14" fontId="120" fillId="143" borderId="71" xfId="0" applyNumberFormat="1" applyFont="1" applyFill="1" applyBorder="1" applyAlignment="1" applyProtection="1">
      <alignment horizontal="center" vertical="center" wrapText="1"/>
      <protection locked="0"/>
    </xf>
    <xf numFmtId="14" fontId="120" fillId="143" borderId="76" xfId="0" applyNumberFormat="1" applyFont="1" applyFill="1" applyBorder="1" applyAlignment="1" applyProtection="1">
      <alignment horizontal="center" vertical="center" wrapText="1"/>
      <protection locked="0"/>
    </xf>
    <xf numFmtId="14" fontId="120" fillId="143" borderId="67" xfId="0" applyNumberFormat="1" applyFont="1" applyFill="1" applyBorder="1" applyAlignment="1" applyProtection="1">
      <alignment horizontal="center" vertical="center" wrapText="1"/>
      <protection locked="0"/>
    </xf>
    <xf numFmtId="0" fontId="48" fillId="0" borderId="31" xfId="0" applyFont="1" applyBorder="1" applyAlignment="1" applyProtection="1">
      <alignment horizontal="center"/>
      <protection locked="0"/>
    </xf>
    <xf numFmtId="0" fontId="48" fillId="0" borderId="37" xfId="0" applyFont="1" applyBorder="1" applyAlignment="1" applyProtection="1">
      <alignment horizontal="center"/>
      <protection locked="0"/>
    </xf>
    <xf numFmtId="0" fontId="117" fillId="0" borderId="4" xfId="249" applyFont="1" applyBorder="1" applyAlignment="1" applyProtection="1">
      <alignment horizontal="center" vertical="top" shrinkToFit="1"/>
      <protection locked="0"/>
    </xf>
    <xf numFmtId="0" fontId="118" fillId="0" borderId="19" xfId="249" applyFont="1" applyBorder="1" applyAlignment="1" applyProtection="1">
      <alignment horizontal="center" vertical="top" shrinkToFit="1"/>
      <protection locked="0"/>
    </xf>
    <xf numFmtId="0" fontId="118" fillId="0" borderId="5" xfId="249" applyFont="1" applyBorder="1" applyAlignment="1" applyProtection="1">
      <alignment horizontal="center" vertical="top" shrinkToFit="1"/>
      <protection locked="0"/>
    </xf>
    <xf numFmtId="171" fontId="119" fillId="0" borderId="4" xfId="249" applyNumberFormat="1" applyFont="1" applyBorder="1" applyAlignment="1">
      <alignment horizontal="center" vertical="center" shrinkToFit="1"/>
    </xf>
    <xf numFmtId="171" fontId="119" fillId="0" borderId="19" xfId="249" applyNumberFormat="1" applyFont="1" applyBorder="1" applyAlignment="1">
      <alignment horizontal="center" vertical="center" shrinkToFit="1"/>
    </xf>
    <xf numFmtId="171" fontId="119" fillId="0" borderId="5" xfId="249" applyNumberFormat="1" applyFont="1" applyBorder="1" applyAlignment="1">
      <alignment horizontal="center" vertical="center" shrinkToFit="1"/>
    </xf>
    <xf numFmtId="0" fontId="120" fillId="41" borderId="70" xfId="0" applyFont="1" applyFill="1" applyBorder="1" applyAlignment="1" applyProtection="1">
      <alignment horizontal="center" vertical="center" wrapText="1"/>
      <protection locked="0"/>
    </xf>
    <xf numFmtId="0" fontId="122" fillId="157" borderId="71" xfId="0" applyFont="1" applyFill="1" applyBorder="1" applyAlignment="1" applyProtection="1">
      <alignment horizontal="center" wrapText="1"/>
      <protection locked="0"/>
    </xf>
    <xf numFmtId="0" fontId="122" fillId="157" borderId="67" xfId="0" applyFont="1" applyFill="1" applyBorder="1" applyAlignment="1" applyProtection="1">
      <alignment horizontal="center" wrapText="1"/>
      <protection locked="0"/>
    </xf>
    <xf numFmtId="0" fontId="122" fillId="157" borderId="70" xfId="0" applyFont="1" applyFill="1" applyBorder="1" applyAlignment="1" applyProtection="1">
      <alignment horizontal="center" wrapText="1"/>
      <protection locked="0"/>
    </xf>
    <xf numFmtId="0" fontId="68" fillId="0" borderId="20" xfId="124" applyFont="1" applyBorder="1" applyAlignment="1">
      <alignment horizontal="center" vertical="center"/>
    </xf>
    <xf numFmtId="0" fontId="68" fillId="0" borderId="0" xfId="124" applyFont="1" applyAlignment="1">
      <alignment horizontal="center" vertical="center"/>
    </xf>
    <xf numFmtId="0" fontId="68" fillId="0" borderId="23" xfId="124" applyFont="1" applyBorder="1" applyAlignment="1">
      <alignment horizontal="center" vertical="center"/>
    </xf>
    <xf numFmtId="0" fontId="68" fillId="0" borderId="24" xfId="124" applyFont="1" applyBorder="1" applyAlignment="1">
      <alignment horizontal="center" vertical="center"/>
    </xf>
    <xf numFmtId="0" fontId="68" fillId="0" borderId="17" xfId="124" applyFont="1" applyBorder="1" applyAlignment="1">
      <alignment horizontal="center" vertical="center"/>
    </xf>
    <xf numFmtId="0" fontId="68" fillId="0" borderId="18" xfId="124" applyFont="1" applyBorder="1" applyAlignment="1">
      <alignment horizontal="center" vertical="center"/>
    </xf>
    <xf numFmtId="0" fontId="68" fillId="0" borderId="26" xfId="124" applyFont="1" applyBorder="1" applyAlignment="1">
      <alignment horizontal="center" vertical="center"/>
    </xf>
    <xf numFmtId="0" fontId="90" fillId="35" borderId="55" xfId="243" applyFont="1" applyFill="1" applyBorder="1" applyAlignment="1" applyProtection="1">
      <alignment horizontal="center" vertical="center"/>
    </xf>
    <xf numFmtId="0" fontId="90" fillId="35" borderId="56" xfId="243" applyFont="1" applyFill="1" applyBorder="1" applyAlignment="1" applyProtection="1">
      <alignment horizontal="center" vertical="center"/>
    </xf>
    <xf numFmtId="0" fontId="90" fillId="35" borderId="57" xfId="243" applyFont="1" applyFill="1" applyBorder="1" applyAlignment="1" applyProtection="1">
      <alignment horizontal="center" vertical="center"/>
    </xf>
    <xf numFmtId="0" fontId="90" fillId="35" borderId="62" xfId="243" applyFont="1" applyFill="1" applyBorder="1" applyAlignment="1" applyProtection="1">
      <alignment horizontal="center" vertical="center"/>
    </xf>
    <xf numFmtId="0" fontId="90" fillId="35" borderId="63" xfId="243" applyFont="1" applyFill="1" applyBorder="1" applyAlignment="1" applyProtection="1">
      <alignment horizontal="center" vertical="center"/>
    </xf>
    <xf numFmtId="0" fontId="87" fillId="35" borderId="64" xfId="243" applyFont="1" applyFill="1" applyBorder="1" applyAlignment="1" applyProtection="1">
      <alignment horizontal="center" vertical="center"/>
    </xf>
    <xf numFmtId="0" fontId="53" fillId="35" borderId="62" xfId="243" applyFont="1" applyFill="1" applyBorder="1" applyAlignment="1" applyProtection="1">
      <alignment horizontal="center" vertical="center"/>
    </xf>
    <xf numFmtId="0" fontId="53" fillId="35" borderId="56" xfId="243" applyFont="1" applyFill="1" applyBorder="1" applyAlignment="1" applyProtection="1">
      <alignment horizontal="center" vertical="center"/>
    </xf>
    <xf numFmtId="0" fontId="53" fillId="35" borderId="63" xfId="243" applyFont="1" applyFill="1" applyBorder="1" applyAlignment="1" applyProtection="1">
      <alignment horizontal="center" vertical="center"/>
    </xf>
    <xf numFmtId="0" fontId="63" fillId="35" borderId="0" xfId="0" applyFont="1" applyFill="1" applyAlignment="1">
      <alignment horizontal="center"/>
    </xf>
    <xf numFmtId="0" fontId="105" fillId="35" borderId="51" xfId="124" applyFont="1" applyFill="1" applyBorder="1" applyAlignment="1">
      <alignment horizontal="center" vertical="center" wrapText="1"/>
    </xf>
    <xf numFmtId="0" fontId="105" fillId="35" borderId="32" xfId="124" applyFont="1" applyFill="1" applyBorder="1" applyAlignment="1">
      <alignment horizontal="center" vertical="center" wrapText="1"/>
    </xf>
    <xf numFmtId="0" fontId="105" fillId="35" borderId="52" xfId="124" applyFont="1" applyFill="1" applyBorder="1" applyAlignment="1">
      <alignment horizontal="center" vertical="center" wrapText="1"/>
    </xf>
    <xf numFmtId="0" fontId="105" fillId="35" borderId="46" xfId="124" applyFont="1" applyFill="1" applyBorder="1" applyAlignment="1">
      <alignment horizontal="center" vertical="center" wrapText="1"/>
    </xf>
    <xf numFmtId="0" fontId="105" fillId="35" borderId="36" xfId="124" applyFont="1" applyFill="1" applyBorder="1" applyAlignment="1">
      <alignment horizontal="center" vertical="center" wrapText="1"/>
    </xf>
    <xf numFmtId="0" fontId="105" fillId="35" borderId="42" xfId="124" applyFont="1" applyFill="1" applyBorder="1" applyAlignment="1">
      <alignment horizontal="center" vertical="center" wrapText="1"/>
    </xf>
    <xf numFmtId="0" fontId="57" fillId="35" borderId="20" xfId="124" applyFont="1" applyFill="1" applyBorder="1" applyAlignment="1">
      <alignment horizontal="center" vertical="center"/>
    </xf>
    <xf numFmtId="0" fontId="57" fillId="35" borderId="21" xfId="124" applyFont="1" applyFill="1" applyBorder="1" applyAlignment="1">
      <alignment horizontal="center" vertical="center"/>
    </xf>
    <xf numFmtId="0" fontId="57" fillId="35" borderId="22" xfId="124" applyFont="1" applyFill="1" applyBorder="1" applyAlignment="1">
      <alignment horizontal="center" vertical="center"/>
    </xf>
    <xf numFmtId="0" fontId="57" fillId="35" borderId="24" xfId="124" applyFont="1" applyFill="1" applyBorder="1" applyAlignment="1">
      <alignment horizontal="center" vertical="center"/>
    </xf>
    <xf numFmtId="0" fontId="57" fillId="35" borderId="0" xfId="124" applyFont="1" applyFill="1" applyAlignment="1">
      <alignment horizontal="center" vertical="center"/>
    </xf>
    <xf numFmtId="0" fontId="57" fillId="35" borderId="23" xfId="124" applyFont="1" applyFill="1" applyBorder="1" applyAlignment="1">
      <alignment horizontal="center" vertical="center"/>
    </xf>
    <xf numFmtId="0" fontId="57" fillId="35" borderId="17" xfId="124" applyFont="1" applyFill="1" applyBorder="1" applyAlignment="1">
      <alignment horizontal="center" vertical="center"/>
    </xf>
    <xf numFmtId="0" fontId="57" fillId="35" borderId="18" xfId="124" applyFont="1" applyFill="1" applyBorder="1" applyAlignment="1">
      <alignment horizontal="center" vertical="center"/>
    </xf>
    <xf numFmtId="0" fontId="57" fillId="35" borderId="26" xfId="124" applyFont="1" applyFill="1" applyBorder="1" applyAlignment="1">
      <alignment horizontal="center" vertical="center"/>
    </xf>
    <xf numFmtId="0" fontId="58" fillId="35" borderId="4" xfId="124" applyFont="1" applyFill="1" applyBorder="1" applyAlignment="1">
      <alignment horizontal="center"/>
    </xf>
    <xf numFmtId="0" fontId="58" fillId="35" borderId="5" xfId="124" applyFont="1" applyFill="1" applyBorder="1" applyAlignment="1">
      <alignment horizontal="center"/>
    </xf>
    <xf numFmtId="0" fontId="0" fillId="0" borderId="34" xfId="115" applyFont="1" applyBorder="1" applyAlignment="1">
      <alignment horizontal="center" vertical="center"/>
    </xf>
    <xf numFmtId="0" fontId="105" fillId="35" borderId="43" xfId="124" applyFont="1" applyFill="1" applyBorder="1" applyAlignment="1">
      <alignment horizontal="center" vertical="center" wrapText="1"/>
    </xf>
    <xf numFmtId="0" fontId="105" fillId="35" borderId="44" xfId="124" applyFont="1" applyFill="1" applyBorder="1" applyAlignment="1">
      <alignment horizontal="center" vertical="center" wrapText="1"/>
    </xf>
    <xf numFmtId="0" fontId="104" fillId="35" borderId="4" xfId="124" applyFont="1" applyFill="1" applyBorder="1" applyAlignment="1">
      <alignment horizontal="center" vertical="center"/>
    </xf>
    <xf numFmtId="0" fontId="104" fillId="35" borderId="5" xfId="124" applyFont="1" applyFill="1" applyBorder="1" applyAlignment="1">
      <alignment horizontal="center" vertical="center"/>
    </xf>
    <xf numFmtId="0" fontId="0" fillId="88" borderId="36" xfId="0" applyFill="1" applyBorder="1" applyAlignment="1">
      <alignment horizontal="center"/>
    </xf>
    <xf numFmtId="0" fontId="0" fillId="88" borderId="32" xfId="0" applyFill="1" applyBorder="1" applyAlignment="1">
      <alignment horizontal="center"/>
    </xf>
    <xf numFmtId="0" fontId="73" fillId="35" borderId="39" xfId="148" applyFont="1" applyFill="1" applyBorder="1" applyAlignment="1">
      <alignment horizontal="center" vertical="center"/>
    </xf>
    <xf numFmtId="0" fontId="90" fillId="35" borderId="97" xfId="243" applyFont="1" applyFill="1" applyBorder="1" applyAlignment="1" applyProtection="1">
      <alignment horizontal="center" vertical="center"/>
    </xf>
    <xf numFmtId="0" fontId="90" fillId="35" borderId="98" xfId="243" applyFont="1" applyFill="1" applyBorder="1" applyAlignment="1" applyProtection="1">
      <alignment horizontal="center" vertical="center"/>
    </xf>
    <xf numFmtId="0" fontId="90" fillId="35" borderId="99" xfId="243" applyFont="1" applyFill="1" applyBorder="1" applyAlignment="1" applyProtection="1">
      <alignment horizontal="center" vertical="center"/>
    </xf>
    <xf numFmtId="0" fontId="90" fillId="35" borderId="100" xfId="243" applyFont="1" applyFill="1" applyBorder="1" applyAlignment="1" applyProtection="1">
      <alignment horizontal="center" vertical="center"/>
    </xf>
    <xf numFmtId="0" fontId="87" fillId="35" borderId="101" xfId="243" applyFont="1" applyFill="1" applyBorder="1" applyAlignment="1" applyProtection="1">
      <alignment horizontal="center" vertical="center"/>
    </xf>
    <xf numFmtId="0" fontId="53" fillId="35" borderId="98" xfId="243" applyFont="1" applyFill="1" applyBorder="1" applyAlignment="1" applyProtection="1">
      <alignment horizontal="center" vertical="center"/>
    </xf>
    <xf numFmtId="0" fontId="53" fillId="35" borderId="100" xfId="243" applyFont="1" applyFill="1" applyBorder="1" applyAlignment="1" applyProtection="1">
      <alignment horizontal="center" vertical="center"/>
    </xf>
    <xf numFmtId="0" fontId="105" fillId="35" borderId="77" xfId="124" applyFont="1" applyFill="1" applyBorder="1" applyAlignment="1">
      <alignment horizontal="center" vertical="center" wrapText="1"/>
    </xf>
    <xf numFmtId="0" fontId="105" fillId="35" borderId="95" xfId="124" applyFont="1" applyFill="1" applyBorder="1" applyAlignment="1">
      <alignment horizontal="center" vertical="center" wrapText="1"/>
    </xf>
    <xf numFmtId="0" fontId="0" fillId="0" borderId="64" xfId="115" applyFont="1" applyBorder="1" applyAlignment="1">
      <alignment horizontal="center" vertical="center"/>
    </xf>
    <xf numFmtId="174" fontId="56" fillId="39" borderId="17" xfId="115" applyNumberFormat="1" applyFont="1" applyFill="1" applyBorder="1" applyAlignment="1">
      <alignment horizontal="center" vertical="center"/>
    </xf>
    <xf numFmtId="174" fontId="56" fillId="39" borderId="18" xfId="115" applyNumberFormat="1" applyFont="1" applyFill="1" applyBorder="1" applyAlignment="1">
      <alignment horizontal="center" vertical="center"/>
    </xf>
    <xf numFmtId="174" fontId="0" fillId="0" borderId="0" xfId="0" applyNumberFormat="1"/>
    <xf numFmtId="174" fontId="10" fillId="0" borderId="0" xfId="242" applyNumberFormat="1"/>
    <xf numFmtId="174" fontId="10" fillId="0" borderId="19" xfId="242" applyNumberFormat="1" applyBorder="1"/>
    <xf numFmtId="174" fontId="10" fillId="0" borderId="5" xfId="242" applyNumberFormat="1" applyBorder="1"/>
    <xf numFmtId="174" fontId="57" fillId="35" borderId="20" xfId="242" applyNumberFormat="1" applyFont="1" applyFill="1" applyBorder="1" applyAlignment="1">
      <alignment horizontal="center" vertical="center"/>
    </xf>
    <xf numFmtId="174" fontId="57" fillId="35" borderId="21" xfId="242" applyNumberFormat="1" applyFont="1" applyFill="1" applyBorder="1" applyAlignment="1">
      <alignment horizontal="center" vertical="center"/>
    </xf>
    <xf numFmtId="174" fontId="57" fillId="35" borderId="22" xfId="242" applyNumberFormat="1" applyFont="1" applyFill="1" applyBorder="1" applyAlignment="1">
      <alignment horizontal="center" vertical="center"/>
    </xf>
    <xf numFmtId="174" fontId="1" fillId="0" borderId="0" xfId="242" applyNumberFormat="1" applyFont="1"/>
    <xf numFmtId="174" fontId="58" fillId="35" borderId="4" xfId="242" applyNumberFormat="1" applyFont="1" applyFill="1" applyBorder="1" applyAlignment="1">
      <alignment horizontal="center"/>
    </xf>
    <xf numFmtId="174" fontId="58" fillId="35" borderId="5" xfId="242" applyNumberFormat="1" applyFont="1" applyFill="1" applyBorder="1" applyAlignment="1">
      <alignment horizontal="center"/>
    </xf>
    <xf numFmtId="174" fontId="10" fillId="0" borderId="23" xfId="242" applyNumberFormat="1" applyBorder="1"/>
    <xf numFmtId="174" fontId="57" fillId="35" borderId="24" xfId="242" applyNumberFormat="1" applyFont="1" applyFill="1" applyBorder="1" applyAlignment="1">
      <alignment horizontal="center" vertical="center"/>
    </xf>
    <xf numFmtId="174" fontId="57" fillId="35" borderId="0" xfId="242" applyNumberFormat="1" applyFont="1" applyFill="1" applyAlignment="1">
      <alignment horizontal="center" vertical="center"/>
    </xf>
    <xf numFmtId="174" fontId="57" fillId="35" borderId="23" xfId="242" applyNumberFormat="1" applyFont="1" applyFill="1" applyBorder="1" applyAlignment="1">
      <alignment horizontal="center" vertical="center"/>
    </xf>
    <xf numFmtId="174" fontId="10" fillId="0" borderId="25" xfId="115" applyNumberFormat="1" applyBorder="1"/>
    <xf numFmtId="174" fontId="10" fillId="0" borderId="0" xfId="115" applyNumberFormat="1"/>
    <xf numFmtId="174" fontId="59" fillId="0" borderId="106" xfId="128" applyNumberFormat="1" applyFont="1" applyBorder="1" applyAlignment="1">
      <alignment horizontal="center" vertical="center" shrinkToFit="1"/>
    </xf>
    <xf numFmtId="174" fontId="0" fillId="0" borderId="24" xfId="0" applyNumberFormat="1" applyBorder="1"/>
    <xf numFmtId="174" fontId="57" fillId="35" borderId="17" xfId="242" applyNumberFormat="1" applyFont="1" applyFill="1" applyBorder="1" applyAlignment="1">
      <alignment horizontal="center" vertical="center"/>
    </xf>
    <xf numFmtId="174" fontId="57" fillId="35" borderId="18" xfId="242" applyNumberFormat="1" applyFont="1" applyFill="1" applyBorder="1" applyAlignment="1">
      <alignment horizontal="center" vertical="center"/>
    </xf>
    <xf numFmtId="174" fontId="57" fillId="35" borderId="26" xfId="242" applyNumberFormat="1" applyFont="1" applyFill="1" applyBorder="1" applyAlignment="1">
      <alignment horizontal="center" vertical="center"/>
    </xf>
    <xf numFmtId="174" fontId="21" fillId="0" borderId="0" xfId="243" applyNumberFormat="1" applyProtection="1"/>
    <xf numFmtId="174" fontId="21" fillId="0" borderId="0" xfId="0" applyNumberFormat="1" applyFont="1"/>
    <xf numFmtId="174" fontId="60" fillId="0" borderId="27" xfId="115" applyNumberFormat="1" applyFont="1" applyBorder="1" applyAlignment="1">
      <alignment horizontal="center"/>
    </xf>
    <xf numFmtId="174" fontId="10" fillId="0" borderId="0" xfId="115" applyNumberFormat="1" applyAlignment="1">
      <alignment horizontal="center" vertical="center"/>
    </xf>
    <xf numFmtId="174" fontId="1" fillId="0" borderId="23" xfId="244" applyNumberFormat="1" applyBorder="1" applyProtection="1"/>
    <xf numFmtId="174" fontId="61" fillId="35" borderId="0" xfId="148" applyNumberFormat="1" applyFont="1" applyFill="1" applyAlignment="1">
      <alignment vertical="center"/>
    </xf>
    <xf numFmtId="174" fontId="62" fillId="0" borderId="0" xfId="242" applyNumberFormat="1" applyFont="1" applyAlignment="1">
      <alignment vertical="center"/>
    </xf>
    <xf numFmtId="174" fontId="63" fillId="0" borderId="0" xfId="0" applyNumberFormat="1" applyFont="1" applyAlignment="1">
      <alignment horizontal="center" vertical="center"/>
    </xf>
    <xf numFmtId="174" fontId="59" fillId="0" borderId="28" xfId="128" applyNumberFormat="1" applyFont="1" applyBorder="1" applyAlignment="1">
      <alignment horizontal="center" vertical="center" shrinkToFit="1"/>
    </xf>
    <xf numFmtId="174" fontId="60" fillId="88" borderId="0" xfId="244" applyNumberFormat="1" applyFont="1" applyFill="1" applyAlignment="1">
      <alignment horizontal="center"/>
      <protection locked="0"/>
    </xf>
    <xf numFmtId="174" fontId="64" fillId="0" borderId="0" xfId="112" applyNumberFormat="1" applyFont="1" applyAlignment="1">
      <alignment horizontal="center" vertical="center"/>
    </xf>
    <xf numFmtId="174" fontId="65" fillId="108" borderId="0" xfId="148" applyNumberFormat="1" applyFont="1" applyFill="1" applyAlignment="1">
      <alignment horizontal="center" vertical="center"/>
    </xf>
    <xf numFmtId="174" fontId="66" fillId="0" borderId="106" xfId="242" applyNumberFormat="1" applyFont="1" applyBorder="1" applyAlignment="1">
      <alignment horizontal="center"/>
    </xf>
    <xf numFmtId="174" fontId="33" fillId="34" borderId="29" xfId="128" applyNumberFormat="1" applyFont="1" applyFill="1" applyBorder="1" applyAlignment="1">
      <alignment horizontal="center" vertical="center" shrinkToFit="1"/>
    </xf>
    <xf numFmtId="174" fontId="21" fillId="88" borderId="0" xfId="243" applyNumberFormat="1" applyFill="1" applyProtection="1"/>
    <xf numFmtId="174" fontId="67" fillId="0" borderId="0" xfId="242" applyNumberFormat="1" applyFont="1" applyAlignment="1">
      <alignment horizontal="center" vertical="center"/>
    </xf>
    <xf numFmtId="174" fontId="68" fillId="0" borderId="0" xfId="242" applyNumberFormat="1" applyFont="1" applyAlignment="1">
      <alignment horizontal="center" vertical="center"/>
    </xf>
    <xf numFmtId="174" fontId="68" fillId="0" borderId="0" xfId="242" applyNumberFormat="1" applyFont="1"/>
    <xf numFmtId="174" fontId="1" fillId="0" borderId="0" xfId="244" applyNumberFormat="1" applyProtection="1"/>
    <xf numFmtId="174" fontId="69" fillId="59" borderId="0" xfId="126" applyNumberFormat="1" applyFont="1" applyFill="1" applyAlignment="1">
      <alignment horizontal="center" vertical="center"/>
    </xf>
    <xf numFmtId="174" fontId="21" fillId="88" borderId="0" xfId="0" applyNumberFormat="1" applyFont="1" applyFill="1"/>
    <xf numFmtId="174" fontId="70" fillId="88" borderId="0" xfId="242" applyNumberFormat="1" applyFont="1" applyFill="1" applyAlignment="1">
      <alignment horizontal="center" vertical="center"/>
    </xf>
    <xf numFmtId="174" fontId="71" fillId="88" borderId="0" xfId="243" applyNumberFormat="1" applyFont="1" applyFill="1" applyAlignment="1" applyProtection="1">
      <alignment horizontal="left"/>
    </xf>
    <xf numFmtId="174" fontId="72" fillId="0" borderId="30" xfId="115" applyNumberFormat="1" applyFont="1" applyBorder="1" applyAlignment="1">
      <alignment horizontal="center"/>
    </xf>
    <xf numFmtId="174" fontId="68" fillId="0" borderId="18" xfId="242" applyNumberFormat="1" applyFont="1" applyBorder="1" applyAlignment="1">
      <alignment horizontal="center" vertical="center"/>
    </xf>
    <xf numFmtId="174" fontId="58" fillId="97" borderId="18" xfId="242" applyNumberFormat="1" applyFont="1" applyFill="1" applyBorder="1" applyAlignment="1">
      <alignment horizontal="center" vertical="center"/>
    </xf>
    <xf numFmtId="174" fontId="68" fillId="97" borderId="18" xfId="242" applyNumberFormat="1" applyFont="1" applyFill="1" applyBorder="1" applyAlignment="1">
      <alignment horizontal="center" vertical="center"/>
    </xf>
    <xf numFmtId="174" fontId="68" fillId="0" borderId="18" xfId="243" applyNumberFormat="1" applyFont="1" applyBorder="1" applyAlignment="1" applyProtection="1">
      <alignment horizontal="center" vertical="center"/>
    </xf>
    <xf numFmtId="174" fontId="73" fillId="0" borderId="18" xfId="148" applyNumberFormat="1" applyFont="1" applyBorder="1" applyAlignment="1">
      <alignment vertical="center"/>
    </xf>
    <xf numFmtId="174" fontId="73" fillId="0" borderId="26" xfId="148" applyNumberFormat="1" applyFont="1" applyBorder="1" applyAlignment="1">
      <alignment vertical="center"/>
    </xf>
    <xf numFmtId="174" fontId="10" fillId="0" borderId="31" xfId="242" applyNumberFormat="1" applyBorder="1"/>
    <xf numFmtId="174" fontId="33" fillId="86" borderId="106" xfId="128" applyNumberFormat="1" applyFont="1" applyFill="1" applyBorder="1" applyAlignment="1">
      <alignment horizontal="center" vertical="center" shrinkToFit="1"/>
    </xf>
    <xf numFmtId="174" fontId="0" fillId="88" borderId="0" xfId="0" applyNumberFormat="1" applyFill="1"/>
    <xf numFmtId="174" fontId="58" fillId="0" borderId="0" xfId="115" applyNumberFormat="1" applyFont="1" applyAlignment="1">
      <alignment horizontal="center" vertical="center"/>
    </xf>
    <xf numFmtId="174" fontId="67" fillId="0" borderId="23" xfId="242" applyNumberFormat="1" applyFont="1" applyBorder="1" applyAlignment="1">
      <alignment horizontal="center" vertical="center"/>
    </xf>
    <xf numFmtId="174" fontId="74" fillId="0" borderId="106" xfId="242" applyNumberFormat="1" applyFont="1" applyBorder="1" applyAlignment="1">
      <alignment horizontal="center"/>
    </xf>
    <xf numFmtId="174" fontId="60" fillId="0" borderId="2" xfId="244" applyNumberFormat="1" applyFont="1" applyBorder="1" applyAlignment="1">
      <alignment horizontal="center"/>
      <protection locked="0"/>
    </xf>
    <xf numFmtId="174" fontId="34" fillId="88" borderId="32" xfId="128" applyNumberFormat="1" applyFont="1" applyFill="1" applyBorder="1" applyAlignment="1">
      <alignment horizontal="center" vertical="center" shrinkToFit="1"/>
    </xf>
    <xf numFmtId="174" fontId="75" fillId="52" borderId="32" xfId="128" applyNumberFormat="1" applyFont="1" applyFill="1" applyBorder="1" applyAlignment="1">
      <alignment horizontal="center" vertical="center" shrinkToFit="1"/>
    </xf>
    <xf numFmtId="174" fontId="70" fillId="111" borderId="0" xfId="243" applyNumberFormat="1" applyFont="1" applyFill="1" applyAlignment="1" applyProtection="1">
      <alignment horizontal="center" vertical="center"/>
    </xf>
    <xf numFmtId="174" fontId="76" fillId="112" borderId="33" xfId="139" applyNumberFormat="1" applyFont="1" applyFill="1" applyBorder="1" applyAlignment="1">
      <alignment horizontal="center" vertical="center" shrinkToFit="1"/>
    </xf>
    <xf numFmtId="174" fontId="77" fillId="113" borderId="32" xfId="132" applyNumberFormat="1" applyFont="1" applyFill="1" applyBorder="1" applyAlignment="1" applyProtection="1">
      <alignment horizontal="center" vertical="center" shrinkToFit="1"/>
    </xf>
    <xf numFmtId="174" fontId="53" fillId="88" borderId="0" xfId="245" applyNumberFormat="1" applyFont="1" applyFill="1" applyAlignment="1" applyProtection="1">
      <alignment horizontal="center"/>
    </xf>
    <xf numFmtId="174" fontId="74" fillId="0" borderId="106" xfId="0" applyNumberFormat="1" applyFont="1" applyBorder="1" applyAlignment="1">
      <alignment horizontal="center"/>
    </xf>
    <xf numFmtId="174" fontId="10" fillId="0" borderId="24" xfId="242" applyNumberFormat="1" applyBorder="1"/>
    <xf numFmtId="174" fontId="78" fillId="0" borderId="106" xfId="128" applyNumberFormat="1" applyFont="1" applyBorder="1" applyAlignment="1">
      <alignment horizontal="center" vertical="center" shrinkToFit="1"/>
    </xf>
    <xf numFmtId="174" fontId="0" fillId="0" borderId="107" xfId="115" applyNumberFormat="1" applyFont="1" applyBorder="1" applyAlignment="1">
      <alignment horizontal="center" vertical="center"/>
    </xf>
    <xf numFmtId="174" fontId="10" fillId="0" borderId="32" xfId="115" applyNumberFormat="1" applyBorder="1" applyAlignment="1">
      <alignment horizontal="center" vertical="center"/>
    </xf>
    <xf numFmtId="174" fontId="0" fillId="0" borderId="32" xfId="115" applyNumberFormat="1" applyFont="1" applyBorder="1" applyAlignment="1">
      <alignment horizontal="center"/>
    </xf>
    <xf numFmtId="174" fontId="10" fillId="0" borderId="32" xfId="115" applyNumberFormat="1" applyBorder="1" applyAlignment="1">
      <alignment horizontal="center"/>
    </xf>
    <xf numFmtId="174" fontId="10" fillId="88" borderId="0" xfId="115" applyNumberFormat="1" applyFill="1"/>
    <xf numFmtId="174" fontId="79" fillId="88" borderId="0" xfId="115" applyNumberFormat="1" applyFont="1" applyFill="1" applyAlignment="1">
      <alignment horizontal="center" vertical="center"/>
    </xf>
    <xf numFmtId="174" fontId="74" fillId="88" borderId="0" xfId="0" applyNumberFormat="1" applyFont="1" applyFill="1" applyAlignment="1">
      <alignment horizontal="center"/>
    </xf>
    <xf numFmtId="174" fontId="0" fillId="52" borderId="0" xfId="0" applyNumberFormat="1" applyFill="1"/>
    <xf numFmtId="174" fontId="80" fillId="0" borderId="0" xfId="113" applyNumberFormat="1" applyFont="1" applyAlignment="1" applyProtection="1">
      <alignment horizontal="center" vertical="center"/>
    </xf>
    <xf numFmtId="174" fontId="72" fillId="35" borderId="0" xfId="172" applyNumberFormat="1" applyFont="1" applyFill="1" applyAlignment="1">
      <alignment horizontal="center" vertical="center"/>
    </xf>
    <xf numFmtId="174" fontId="81" fillId="0" borderId="0" xfId="115" applyNumberFormat="1" applyFont="1" applyAlignment="1">
      <alignment horizontal="center" vertical="center"/>
    </xf>
    <xf numFmtId="174" fontId="68" fillId="97" borderId="0" xfId="242" applyNumberFormat="1" applyFont="1" applyFill="1" applyAlignment="1">
      <alignment horizontal="center" vertical="center"/>
    </xf>
    <xf numFmtId="174" fontId="10" fillId="88" borderId="0" xfId="242" applyNumberFormat="1" applyFill="1"/>
    <xf numFmtId="174" fontId="82" fillId="88" borderId="0" xfId="242" applyNumberFormat="1" applyFont="1" applyFill="1" applyAlignment="1">
      <alignment horizontal="center" vertical="center"/>
    </xf>
    <xf numFmtId="174" fontId="57" fillId="88" borderId="0" xfId="115" applyNumberFormat="1" applyFont="1" applyFill="1" applyAlignment="1">
      <alignment horizontal="center" vertical="center"/>
    </xf>
    <xf numFmtId="174" fontId="57" fillId="88" borderId="0" xfId="0" applyNumberFormat="1" applyFont="1" applyFill="1" applyAlignment="1">
      <alignment horizontal="center" vertical="center"/>
    </xf>
    <xf numFmtId="174" fontId="62" fillId="0" borderId="0" xfId="0" applyNumberFormat="1" applyFont="1" applyAlignment="1">
      <alignment horizontal="center"/>
    </xf>
    <xf numFmtId="174" fontId="0" fillId="0" borderId="0" xfId="0" applyNumberFormat="1" applyAlignment="1" applyProtection="1">
      <alignment horizontal="right"/>
      <protection locked="0"/>
    </xf>
    <xf numFmtId="174" fontId="83" fillId="0" borderId="0" xfId="0" applyNumberFormat="1" applyFont="1" applyAlignment="1">
      <alignment horizontal="center" vertical="center"/>
    </xf>
    <xf numFmtId="174" fontId="84" fillId="0" borderId="0" xfId="243" applyNumberFormat="1" applyFont="1" applyAlignment="1" applyProtection="1">
      <alignment horizontal="center" vertical="center"/>
    </xf>
    <xf numFmtId="174" fontId="0" fillId="0" borderId="20" xfId="0" applyNumberFormat="1" applyBorder="1"/>
    <xf numFmtId="174" fontId="0" fillId="0" borderId="21" xfId="0" applyNumberFormat="1" applyBorder="1"/>
    <xf numFmtId="174" fontId="84" fillId="0" borderId="21" xfId="242" applyNumberFormat="1" applyFont="1" applyBorder="1" applyAlignment="1">
      <alignment horizontal="center" vertical="center"/>
    </xf>
    <xf numFmtId="174" fontId="68" fillId="97" borderId="21" xfId="242" applyNumberFormat="1" applyFont="1" applyFill="1" applyBorder="1" applyAlignment="1">
      <alignment horizontal="center" vertical="center"/>
    </xf>
    <xf numFmtId="174" fontId="53" fillId="116" borderId="21" xfId="0" applyNumberFormat="1" applyFont="1" applyFill="1" applyBorder="1" applyAlignment="1">
      <alignment horizontal="center" vertical="center"/>
    </xf>
    <xf numFmtId="174" fontId="58" fillId="0" borderId="0" xfId="242" applyNumberFormat="1" applyFont="1" applyAlignment="1">
      <alignment horizontal="center" vertical="center"/>
    </xf>
    <xf numFmtId="174" fontId="85" fillId="0" borderId="0" xfId="115" applyNumberFormat="1" applyFont="1" applyAlignment="1">
      <alignment horizontal="center"/>
    </xf>
    <xf numFmtId="174" fontId="0" fillId="0" borderId="0" xfId="0" applyNumberFormat="1" applyAlignment="1">
      <alignment horizontal="center" vertical="center"/>
    </xf>
    <xf numFmtId="174" fontId="0" fillId="0" borderId="0" xfId="0" applyNumberFormat="1" applyProtection="1">
      <protection locked="0"/>
    </xf>
    <xf numFmtId="174" fontId="29" fillId="0" borderId="0" xfId="0" applyNumberFormat="1" applyFont="1" applyAlignment="1">
      <alignment horizontal="center" vertical="center"/>
    </xf>
    <xf numFmtId="174" fontId="82" fillId="0" borderId="0" xfId="0" applyNumberFormat="1" applyFont="1"/>
    <xf numFmtId="174" fontId="29" fillId="52" borderId="0" xfId="0" applyNumberFormat="1" applyFont="1" applyFill="1" applyAlignment="1" applyProtection="1">
      <alignment horizontal="center" vertical="center"/>
      <protection locked="0"/>
    </xf>
    <xf numFmtId="174" fontId="84" fillId="119" borderId="0" xfId="242" applyNumberFormat="1" applyFont="1" applyFill="1" applyAlignment="1">
      <alignment horizontal="center" vertical="center"/>
    </xf>
    <xf numFmtId="174" fontId="86" fillId="35" borderId="0" xfId="242" applyNumberFormat="1" applyFont="1" applyFill="1" applyAlignment="1">
      <alignment horizontal="center" vertical="center"/>
    </xf>
    <xf numFmtId="174" fontId="84" fillId="119" borderId="35" xfId="242" applyNumberFormat="1" applyFont="1" applyFill="1" applyBorder="1" applyAlignment="1">
      <alignment horizontal="center" vertical="center"/>
    </xf>
    <xf numFmtId="174" fontId="0" fillId="0" borderId="36" xfId="0" applyNumberFormat="1" applyBorder="1" applyAlignment="1">
      <alignment horizontal="center"/>
    </xf>
    <xf numFmtId="174" fontId="83" fillId="88" borderId="0" xfId="0" applyNumberFormat="1" applyFont="1" applyFill="1" applyAlignment="1">
      <alignment horizontal="center" vertical="center"/>
    </xf>
    <xf numFmtId="174" fontId="60" fillId="88" borderId="0" xfId="172" applyNumberFormat="1" applyFont="1" applyFill="1" applyAlignment="1">
      <alignment horizontal="center" vertical="center"/>
    </xf>
    <xf numFmtId="174" fontId="30" fillId="35" borderId="0" xfId="0" applyNumberFormat="1" applyFont="1" applyFill="1" applyAlignment="1">
      <alignment horizontal="center" vertical="center"/>
    </xf>
    <xf numFmtId="174" fontId="87" fillId="120" borderId="0" xfId="245" applyNumberFormat="1" applyFont="1" applyFill="1" applyAlignment="1" applyProtection="1">
      <alignment horizontal="center" vertical="center"/>
    </xf>
    <xf numFmtId="174" fontId="88" fillId="121" borderId="0" xfId="245" applyNumberFormat="1" applyFont="1" applyFill="1" applyAlignment="1" applyProtection="1">
      <alignment horizontal="center" vertical="center"/>
    </xf>
    <xf numFmtId="174" fontId="60" fillId="0" borderId="0" xfId="172" applyNumberFormat="1" applyFont="1" applyAlignment="1">
      <alignment horizontal="center" vertical="center"/>
    </xf>
    <xf numFmtId="174" fontId="60" fillId="0" borderId="0" xfId="0" applyNumberFormat="1" applyFont="1" applyAlignment="1">
      <alignment horizontal="left"/>
    </xf>
    <xf numFmtId="174" fontId="84" fillId="0" borderId="24" xfId="242" applyNumberFormat="1" applyFont="1" applyBorder="1" applyAlignment="1">
      <alignment horizontal="center" vertical="center"/>
    </xf>
    <xf numFmtId="174" fontId="84" fillId="0" borderId="0" xfId="242" applyNumberFormat="1" applyFont="1" applyAlignment="1">
      <alignment horizontal="center" vertical="center"/>
    </xf>
    <xf numFmtId="174" fontId="70" fillId="0" borderId="0" xfId="242" applyNumberFormat="1" applyFont="1" applyAlignment="1">
      <alignment horizontal="center" vertical="center"/>
    </xf>
    <xf numFmtId="174" fontId="53" fillId="116" borderId="0" xfId="0" applyNumberFormat="1" applyFont="1" applyFill="1" applyAlignment="1">
      <alignment horizontal="center" vertical="center"/>
    </xf>
    <xf numFmtId="174" fontId="89" fillId="0" borderId="0" xfId="242" applyNumberFormat="1" applyFont="1" applyAlignment="1">
      <alignment horizontal="center" vertical="center"/>
    </xf>
    <xf numFmtId="174" fontId="21" fillId="0" borderId="0" xfId="0" applyNumberFormat="1" applyFont="1" applyAlignment="1">
      <alignment horizontal="center" vertical="center"/>
    </xf>
    <xf numFmtId="174" fontId="60" fillId="0" borderId="0" xfId="243" applyNumberFormat="1" applyFont="1" applyAlignment="1" applyProtection="1">
      <alignment horizontal="center" vertical="center"/>
    </xf>
    <xf numFmtId="174" fontId="90" fillId="0" borderId="0" xfId="242" applyNumberFormat="1" applyFont="1" applyAlignment="1">
      <alignment vertical="center"/>
    </xf>
    <xf numFmtId="174" fontId="91" fillId="0" borderId="0" xfId="0" applyNumberFormat="1" applyFont="1" applyAlignment="1">
      <alignment horizontal="center"/>
    </xf>
    <xf numFmtId="174" fontId="2" fillId="123" borderId="0" xfId="0" applyNumberFormat="1" applyFont="1" applyFill="1"/>
    <xf numFmtId="174" fontId="70" fillId="111" borderId="0" xfId="242" applyNumberFormat="1" applyFont="1" applyFill="1" applyAlignment="1">
      <alignment horizontal="center" vertical="center"/>
    </xf>
    <xf numFmtId="174" fontId="92" fillId="0" borderId="0" xfId="245" applyNumberFormat="1" applyFont="1" applyAlignment="1" applyProtection="1">
      <alignment horizontal="center" vertical="center"/>
    </xf>
    <xf numFmtId="174" fontId="76" fillId="125" borderId="0" xfId="246" applyNumberFormat="1" applyFont="1" applyFill="1" applyAlignment="1">
      <alignment horizontal="center" vertical="center" shrinkToFit="1"/>
    </xf>
    <xf numFmtId="174" fontId="80" fillId="126" borderId="106" xfId="132" applyNumberFormat="1" applyFont="1" applyFill="1" applyBorder="1" applyAlignment="1" applyProtection="1">
      <alignment horizontal="center" vertical="center" shrinkToFit="1"/>
    </xf>
    <xf numFmtId="174" fontId="77" fillId="127" borderId="106" xfId="132" applyNumberFormat="1" applyFont="1" applyFill="1" applyBorder="1" applyAlignment="1" applyProtection="1">
      <alignment horizontal="center" vertical="center" shrinkToFit="1"/>
    </xf>
    <xf numFmtId="174" fontId="93" fillId="128" borderId="106" xfId="132" applyNumberFormat="1" applyFont="1" applyFill="1" applyBorder="1" applyAlignment="1" applyProtection="1">
      <alignment horizontal="center" vertical="center" shrinkToFit="1"/>
    </xf>
    <xf numFmtId="174" fontId="71" fillId="88" borderId="0" xfId="243" applyNumberFormat="1" applyFont="1" applyFill="1" applyAlignment="1" applyProtection="1">
      <alignment horizontal="right"/>
    </xf>
    <xf numFmtId="174" fontId="76" fillId="0" borderId="0" xfId="246" applyNumberFormat="1" applyFont="1" applyAlignment="1">
      <alignment horizontal="center" vertical="center" shrinkToFit="1"/>
    </xf>
    <xf numFmtId="174" fontId="72" fillId="0" borderId="0" xfId="115" applyNumberFormat="1" applyFont="1" applyAlignment="1">
      <alignment horizontal="center"/>
    </xf>
    <xf numFmtId="174" fontId="72" fillId="0" borderId="37" xfId="115" applyNumberFormat="1" applyFont="1" applyBorder="1" applyAlignment="1">
      <alignment horizontal="center"/>
    </xf>
    <xf numFmtId="174" fontId="70" fillId="0" borderId="24" xfId="242" applyNumberFormat="1" applyFont="1" applyBorder="1" applyAlignment="1">
      <alignment horizontal="center" vertical="center"/>
    </xf>
    <xf numFmtId="174" fontId="53" fillId="116" borderId="25" xfId="0" applyNumberFormat="1" applyFont="1" applyFill="1" applyBorder="1" applyAlignment="1">
      <alignment horizontal="center" vertical="center"/>
    </xf>
    <xf numFmtId="174" fontId="60" fillId="0" borderId="29" xfId="244" applyNumberFormat="1" applyFont="1" applyBorder="1" applyAlignment="1">
      <alignment horizontal="center"/>
      <protection locked="0"/>
    </xf>
    <xf numFmtId="174" fontId="94" fillId="130" borderId="106" xfId="132" applyNumberFormat="1" applyFont="1" applyFill="1" applyBorder="1" applyAlignment="1" applyProtection="1">
      <alignment horizontal="center" vertical="center" shrinkToFit="1"/>
    </xf>
    <xf numFmtId="174" fontId="68" fillId="0" borderId="37" xfId="242" applyNumberFormat="1" applyFont="1" applyBorder="1" applyAlignment="1">
      <alignment horizontal="center" vertical="center"/>
    </xf>
    <xf numFmtId="174" fontId="29" fillId="52" borderId="0" xfId="242" applyNumberFormat="1" applyFont="1" applyFill="1" applyAlignment="1">
      <alignment horizontal="center" vertical="center"/>
    </xf>
    <xf numFmtId="174" fontId="68" fillId="52" borderId="38" xfId="242" applyNumberFormat="1" applyFont="1" applyFill="1" applyBorder="1" applyAlignment="1">
      <alignment horizontal="right" vertical="center"/>
    </xf>
    <xf numFmtId="174" fontId="0" fillId="0" borderId="32" xfId="0" applyNumberFormat="1" applyBorder="1" applyAlignment="1">
      <alignment horizontal="center"/>
    </xf>
    <xf numFmtId="174" fontId="73" fillId="0" borderId="39" xfId="148" applyNumberFormat="1" applyFont="1" applyBorder="1" applyAlignment="1">
      <alignment horizontal="center" vertical="center"/>
    </xf>
    <xf numFmtId="174" fontId="73" fillId="0" borderId="0" xfId="148" applyNumberFormat="1" applyFont="1" applyAlignment="1">
      <alignment horizontal="center" vertical="center"/>
    </xf>
    <xf numFmtId="174" fontId="87" fillId="88" borderId="0" xfId="245" applyNumberFormat="1" applyFont="1" applyFill="1" applyAlignment="1" applyProtection="1">
      <alignment horizontal="center" vertical="center"/>
    </xf>
    <xf numFmtId="174" fontId="88" fillId="88" borderId="0" xfId="245" applyNumberFormat="1" applyFont="1" applyFill="1" applyAlignment="1" applyProtection="1">
      <alignment horizontal="center" vertical="center"/>
    </xf>
    <xf numFmtId="174" fontId="30" fillId="131" borderId="40" xfId="115" applyNumberFormat="1" applyFont="1" applyFill="1" applyBorder="1" applyAlignment="1">
      <alignment horizontal="center" vertical="center" wrapText="1"/>
    </xf>
    <xf numFmtId="174" fontId="61" fillId="0" borderId="37" xfId="128" applyNumberFormat="1" applyFont="1" applyBorder="1" applyAlignment="1" applyProtection="1">
      <alignment horizontal="center" vertical="center" shrinkToFit="1"/>
      <protection locked="0"/>
    </xf>
    <xf numFmtId="174" fontId="95" fillId="0" borderId="0" xfId="0" applyNumberFormat="1" applyFont="1"/>
    <xf numFmtId="174" fontId="72" fillId="0" borderId="0" xfId="0" applyNumberFormat="1" applyFont="1" applyAlignment="1">
      <alignment horizontal="center"/>
    </xf>
    <xf numFmtId="174" fontId="70" fillId="88" borderId="0" xfId="243" applyNumberFormat="1" applyFont="1" applyFill="1" applyAlignment="1" applyProtection="1">
      <alignment horizontal="center" vertical="center"/>
    </xf>
    <xf numFmtId="174" fontId="68" fillId="88" borderId="0" xfId="242" applyNumberFormat="1" applyFont="1" applyFill="1" applyAlignment="1">
      <alignment horizontal="left" vertical="center"/>
    </xf>
    <xf numFmtId="174" fontId="68" fillId="88" borderId="0" xfId="242" applyNumberFormat="1" applyFont="1" applyFill="1" applyAlignment="1">
      <alignment horizontal="right" vertical="center"/>
    </xf>
    <xf numFmtId="174" fontId="92" fillId="132" borderId="0" xfId="245" applyNumberFormat="1" applyFont="1" applyFill="1" applyAlignment="1" applyProtection="1">
      <alignment horizontal="center" vertical="center"/>
    </xf>
    <xf numFmtId="174" fontId="73" fillId="35" borderId="0" xfId="148" applyNumberFormat="1" applyFont="1" applyFill="1" applyAlignment="1">
      <alignment horizontal="center" vertical="center"/>
    </xf>
    <xf numFmtId="174" fontId="53" fillId="133" borderId="0" xfId="245" applyNumberFormat="1" applyFont="1" applyFill="1" applyAlignment="1" applyProtection="1">
      <alignment horizontal="center"/>
    </xf>
    <xf numFmtId="174" fontId="92" fillId="88" borderId="0" xfId="245" applyNumberFormat="1" applyFont="1" applyFill="1" applyAlignment="1" applyProtection="1">
      <alignment horizontal="center" vertical="center"/>
    </xf>
    <xf numFmtId="174" fontId="68" fillId="88" borderId="0" xfId="243" applyNumberFormat="1" applyFont="1" applyFill="1" applyAlignment="1" applyProtection="1">
      <alignment horizontal="center" vertical="center"/>
    </xf>
    <xf numFmtId="174" fontId="30" fillId="88" borderId="0" xfId="0" applyNumberFormat="1" applyFont="1" applyFill="1" applyAlignment="1">
      <alignment horizontal="center" vertical="center"/>
    </xf>
    <xf numFmtId="174" fontId="21" fillId="0" borderId="0" xfId="172" applyNumberFormat="1" applyFont="1" applyAlignment="1"/>
    <xf numFmtId="174" fontId="30" fillId="131" borderId="41" xfId="115" applyNumberFormat="1" applyFont="1" applyFill="1" applyBorder="1" applyAlignment="1">
      <alignment horizontal="center" vertical="center" wrapText="1"/>
    </xf>
    <xf numFmtId="174" fontId="70" fillId="0" borderId="37" xfId="243" applyNumberFormat="1" applyFont="1" applyBorder="1" applyAlignment="1" applyProtection="1">
      <alignment horizontal="center" vertical="center"/>
    </xf>
    <xf numFmtId="174" fontId="53" fillId="0" borderId="25" xfId="0" applyNumberFormat="1" applyFont="1" applyBorder="1" applyAlignment="1">
      <alignment horizontal="center" vertical="center"/>
    </xf>
    <xf numFmtId="174" fontId="51" fillId="0" borderId="0" xfId="0" applyNumberFormat="1" applyFont="1" applyAlignment="1">
      <alignment horizontal="center" vertical="center" shrinkToFit="1"/>
    </xf>
    <xf numFmtId="174" fontId="70" fillId="0" borderId="0" xfId="243" applyNumberFormat="1" applyFont="1" applyAlignment="1" applyProtection="1">
      <alignment horizontal="center" vertical="center"/>
    </xf>
    <xf numFmtId="174" fontId="68" fillId="0" borderId="0" xfId="242" applyNumberFormat="1" applyFont="1" applyAlignment="1">
      <alignment horizontal="left" vertical="center"/>
    </xf>
    <xf numFmtId="174" fontId="68" fillId="0" borderId="0" xfId="242" applyNumberFormat="1" applyFont="1" applyAlignment="1">
      <alignment horizontal="right" vertical="center"/>
    </xf>
    <xf numFmtId="174" fontId="59" fillId="88" borderId="0" xfId="243" applyNumberFormat="1" applyFont="1" applyFill="1" applyAlignment="1" applyProtection="1">
      <alignment horizontal="right" vertical="center"/>
    </xf>
    <xf numFmtId="174" fontId="34" fillId="82" borderId="106" xfId="128" applyNumberFormat="1" applyFont="1" applyFill="1" applyBorder="1" applyAlignment="1">
      <alignment horizontal="center" vertical="center" shrinkToFit="1"/>
    </xf>
    <xf numFmtId="174" fontId="70" fillId="125" borderId="0" xfId="246" applyNumberFormat="1" applyFont="1" applyFill="1" applyAlignment="1">
      <alignment horizontal="left" vertical="center" shrinkToFit="1"/>
    </xf>
    <xf numFmtId="174" fontId="92" fillId="135" borderId="0" xfId="245" applyNumberFormat="1" applyFont="1" applyFill="1" applyAlignment="1" applyProtection="1">
      <alignment horizontal="center" vertical="center"/>
    </xf>
    <xf numFmtId="174" fontId="96" fillId="136" borderId="42" xfId="132" applyNumberFormat="1" applyFont="1" applyFill="1" applyBorder="1" applyAlignment="1" applyProtection="1">
      <alignment horizontal="center" vertical="center" shrinkToFit="1"/>
    </xf>
    <xf numFmtId="174" fontId="97" fillId="113" borderId="0" xfId="132" applyNumberFormat="1" applyFont="1" applyFill="1" applyAlignment="1" applyProtection="1">
      <alignment horizontal="right" vertical="center" shrinkToFit="1"/>
    </xf>
    <xf numFmtId="174" fontId="77" fillId="137" borderId="106" xfId="132" applyNumberFormat="1" applyFont="1" applyFill="1" applyBorder="1" applyAlignment="1" applyProtection="1">
      <alignment horizontal="center" vertical="center" shrinkToFit="1"/>
    </xf>
    <xf numFmtId="174" fontId="98" fillId="88" borderId="0" xfId="0" applyNumberFormat="1" applyFont="1" applyFill="1" applyAlignment="1">
      <alignment horizontal="left" vertical="center"/>
    </xf>
    <xf numFmtId="174" fontId="73" fillId="35" borderId="0" xfId="152" applyNumberFormat="1" applyFont="1" applyFill="1" applyAlignment="1">
      <alignment horizontal="center" vertical="center" wrapText="1"/>
    </xf>
    <xf numFmtId="174" fontId="10" fillId="0" borderId="24" xfId="242" applyNumberFormat="1" applyBorder="1" applyProtection="1">
      <protection locked="0"/>
    </xf>
    <xf numFmtId="174" fontId="71" fillId="0" borderId="0" xfId="243" applyNumberFormat="1" applyFont="1" applyAlignment="1" applyProtection="1">
      <alignment horizontal="right"/>
    </xf>
    <xf numFmtId="174" fontId="99" fillId="0" borderId="37" xfId="0" applyNumberFormat="1" applyFont="1" applyBorder="1" applyAlignment="1">
      <alignment horizontal="center" vertical="center"/>
    </xf>
    <xf numFmtId="174" fontId="83" fillId="88" borderId="0" xfId="242" applyNumberFormat="1" applyFont="1" applyFill="1" applyAlignment="1">
      <alignment horizontal="center"/>
    </xf>
    <xf numFmtId="174" fontId="10" fillId="0" borderId="0" xfId="242" applyNumberFormat="1" applyAlignment="1">
      <alignment horizontal="center" vertical="center"/>
    </xf>
    <xf numFmtId="174" fontId="60" fillId="0" borderId="0" xfId="115" applyNumberFormat="1" applyFont="1" applyAlignment="1">
      <alignment horizontal="center"/>
    </xf>
    <xf numFmtId="174" fontId="60" fillId="0" borderId="0" xfId="115" applyNumberFormat="1" applyFont="1" applyAlignment="1">
      <alignment horizontal="center" vertical="center"/>
    </xf>
    <xf numFmtId="174" fontId="100" fillId="138" borderId="0" xfId="128" applyNumberFormat="1" applyFont="1" applyFill="1" applyAlignment="1">
      <alignment horizontal="center" vertical="center" shrinkToFit="1"/>
    </xf>
    <xf numFmtId="174" fontId="51" fillId="134" borderId="0" xfId="0" applyNumberFormat="1" applyFont="1" applyFill="1" applyAlignment="1">
      <alignment horizontal="center" vertical="center" shrinkToFit="1"/>
    </xf>
    <xf numFmtId="174" fontId="101" fillId="0" borderId="106" xfId="0" applyNumberFormat="1" applyFont="1" applyBorder="1" applyAlignment="1">
      <alignment horizontal="center"/>
    </xf>
    <xf numFmtId="174" fontId="78" fillId="0" borderId="0" xfId="128" applyNumberFormat="1" applyFont="1" applyAlignment="1">
      <alignment horizontal="center" vertical="center" shrinkToFit="1"/>
    </xf>
    <xf numFmtId="174" fontId="71" fillId="88" borderId="0" xfId="148" applyNumberFormat="1" applyFont="1" applyFill="1" applyAlignment="1">
      <alignment horizontal="left" vertical="center"/>
    </xf>
    <xf numFmtId="174" fontId="73" fillId="88" borderId="0" xfId="148" applyNumberFormat="1" applyFont="1" applyFill="1" applyAlignment="1">
      <alignment vertical="center"/>
    </xf>
    <xf numFmtId="174" fontId="73" fillId="88" borderId="39" xfId="148" applyNumberFormat="1" applyFont="1" applyFill="1" applyBorder="1" applyAlignment="1">
      <alignment horizontal="center" vertical="center"/>
    </xf>
    <xf numFmtId="174" fontId="73" fillId="88" borderId="0" xfId="148" applyNumberFormat="1" applyFont="1" applyFill="1" applyAlignment="1">
      <alignment horizontal="center" vertical="center"/>
    </xf>
    <xf numFmtId="174" fontId="73" fillId="88" borderId="0" xfId="152" applyNumberFormat="1" applyFont="1" applyFill="1" applyAlignment="1">
      <alignment horizontal="center" vertical="center"/>
    </xf>
    <xf numFmtId="174" fontId="73" fillId="88" borderId="0" xfId="152" applyNumberFormat="1" applyFont="1" applyFill="1" applyAlignment="1">
      <alignment vertical="center"/>
    </xf>
    <xf numFmtId="174" fontId="72" fillId="88" borderId="0" xfId="172" applyNumberFormat="1" applyFont="1" applyFill="1" applyAlignment="1">
      <alignment horizontal="center" vertical="center"/>
    </xf>
    <xf numFmtId="174" fontId="102" fillId="0" borderId="0" xfId="0" applyNumberFormat="1" applyFont="1" applyAlignment="1">
      <alignment horizontal="center" vertical="center"/>
    </xf>
    <xf numFmtId="174" fontId="62" fillId="0" borderId="24" xfId="242" applyNumberFormat="1" applyFont="1" applyBorder="1" applyAlignment="1">
      <alignment vertical="center"/>
    </xf>
    <xf numFmtId="174" fontId="10" fillId="97" borderId="0" xfId="242" applyNumberFormat="1" applyFill="1" applyAlignment="1">
      <alignment horizontal="center" vertical="center"/>
    </xf>
    <xf numFmtId="174" fontId="103" fillId="88" borderId="0" xfId="242" applyNumberFormat="1" applyFont="1" applyFill="1" applyAlignment="1">
      <alignment horizontal="center" vertical="center"/>
    </xf>
    <xf numFmtId="174" fontId="104" fillId="88" borderId="0" xfId="242" applyNumberFormat="1" applyFont="1" applyFill="1" applyAlignment="1">
      <alignment horizontal="center" vertical="center"/>
    </xf>
    <xf numFmtId="174" fontId="68" fillId="0" borderId="17" xfId="242" applyNumberFormat="1" applyFont="1" applyBorder="1" applyAlignment="1">
      <alignment horizontal="center" vertical="center"/>
    </xf>
    <xf numFmtId="174" fontId="105" fillId="35" borderId="108" xfId="242" applyNumberFormat="1" applyFont="1" applyFill="1" applyBorder="1" applyAlignment="1">
      <alignment horizontal="center" vertical="center" wrapText="1"/>
    </xf>
    <xf numFmtId="174" fontId="105" fillId="35" borderId="32" xfId="242" applyNumberFormat="1" applyFont="1" applyFill="1" applyBorder="1" applyAlignment="1">
      <alignment horizontal="center" vertical="center" wrapText="1"/>
    </xf>
    <xf numFmtId="174" fontId="105" fillId="35" borderId="52" xfId="242" applyNumberFormat="1" applyFont="1" applyFill="1" applyBorder="1" applyAlignment="1">
      <alignment horizontal="center" vertical="center" wrapText="1"/>
    </xf>
    <xf numFmtId="174" fontId="68" fillId="139" borderId="45" xfId="242" applyNumberFormat="1" applyFont="1" applyFill="1" applyBorder="1" applyAlignment="1">
      <alignment horizontal="center" vertical="center"/>
    </xf>
    <xf numFmtId="174" fontId="10" fillId="0" borderId="0" xfId="242" applyNumberFormat="1" applyProtection="1">
      <protection locked="0"/>
    </xf>
    <xf numFmtId="174" fontId="78" fillId="140" borderId="0" xfId="128" applyNumberFormat="1" applyFont="1" applyFill="1" applyAlignment="1">
      <alignment horizontal="center" vertical="center" shrinkToFit="1"/>
    </xf>
    <xf numFmtId="174" fontId="98" fillId="88" borderId="0" xfId="0" applyNumberFormat="1" applyFont="1" applyFill="1" applyAlignment="1">
      <alignment horizontal="right" vertical="center"/>
    </xf>
    <xf numFmtId="174" fontId="70" fillId="88" borderId="0" xfId="242" applyNumberFormat="1" applyFont="1" applyFill="1" applyAlignment="1">
      <alignment horizontal="left" vertical="center"/>
    </xf>
    <xf numFmtId="174" fontId="104" fillId="35" borderId="4" xfId="242" applyNumberFormat="1" applyFont="1" applyFill="1" applyBorder="1" applyAlignment="1">
      <alignment horizontal="center" vertical="center"/>
    </xf>
    <xf numFmtId="174" fontId="104" fillId="35" borderId="5" xfId="242" applyNumberFormat="1" applyFont="1" applyFill="1" applyBorder="1" applyAlignment="1">
      <alignment horizontal="center" vertical="center"/>
    </xf>
    <xf numFmtId="174" fontId="106" fillId="0" borderId="0" xfId="112" applyNumberFormat="1" applyFont="1" applyAlignment="1">
      <alignment horizontal="center" vertical="center"/>
    </xf>
    <xf numFmtId="174" fontId="105" fillId="35" borderId="46" xfId="242" applyNumberFormat="1" applyFont="1" applyFill="1" applyBorder="1" applyAlignment="1">
      <alignment horizontal="center" vertical="center" wrapText="1"/>
    </xf>
    <xf numFmtId="174" fontId="105" fillId="35" borderId="36" xfId="242" applyNumberFormat="1" applyFont="1" applyFill="1" applyBorder="1" applyAlignment="1">
      <alignment horizontal="center" vertical="center" wrapText="1"/>
    </xf>
    <xf numFmtId="174" fontId="105" fillId="35" borderId="42" xfId="242" applyNumberFormat="1" applyFont="1" applyFill="1" applyBorder="1" applyAlignment="1">
      <alignment horizontal="center" vertical="center" wrapText="1"/>
    </xf>
    <xf numFmtId="174" fontId="68" fillId="139" borderId="105" xfId="242" applyNumberFormat="1" applyFont="1" applyFill="1" applyBorder="1" applyAlignment="1">
      <alignment horizontal="center" vertical="center"/>
    </xf>
    <xf numFmtId="174" fontId="68" fillId="139" borderId="48" xfId="242" applyNumberFormat="1" applyFont="1" applyFill="1" applyBorder="1" applyAlignment="1">
      <alignment horizontal="center" vertical="center"/>
    </xf>
    <xf numFmtId="174" fontId="75" fillId="141" borderId="0" xfId="128" applyNumberFormat="1" applyFont="1" applyFill="1" applyAlignment="1">
      <alignment horizontal="center" vertical="center" shrinkToFit="1"/>
    </xf>
    <xf numFmtId="174" fontId="60" fillId="88" borderId="0" xfId="115" applyNumberFormat="1" applyFont="1" applyFill="1" applyAlignment="1">
      <alignment horizontal="center" vertical="center"/>
    </xf>
    <xf numFmtId="174" fontId="59" fillId="0" borderId="1" xfId="128" applyNumberFormat="1" applyFont="1" applyBorder="1" applyAlignment="1">
      <alignment horizontal="center" vertical="center" shrinkToFit="1"/>
    </xf>
    <xf numFmtId="174" fontId="0" fillId="88" borderId="0" xfId="0" applyNumberFormat="1" applyFill="1" applyAlignment="1">
      <alignment horizontal="center" vertical="center"/>
    </xf>
    <xf numFmtId="174" fontId="10" fillId="88" borderId="0" xfId="242" applyNumberFormat="1" applyFill="1" applyAlignment="1">
      <alignment horizontal="center" vertical="center"/>
    </xf>
    <xf numFmtId="174" fontId="73" fillId="35" borderId="0" xfId="148" applyNumberFormat="1" applyFont="1" applyFill="1" applyAlignment="1">
      <alignment vertical="center"/>
    </xf>
    <xf numFmtId="174" fontId="74" fillId="0" borderId="109" xfId="0" applyNumberFormat="1" applyFont="1" applyBorder="1" applyAlignment="1">
      <alignment horizontal="center"/>
    </xf>
    <xf numFmtId="174" fontId="74" fillId="0" borderId="1" xfId="0" applyNumberFormat="1" applyFont="1" applyBorder="1" applyAlignment="1">
      <alignment horizontal="center"/>
    </xf>
    <xf numFmtId="174" fontId="68" fillId="97" borderId="0" xfId="243" applyNumberFormat="1" applyFont="1" applyFill="1" applyAlignment="1" applyProtection="1">
      <alignment horizontal="center" vertical="center"/>
    </xf>
    <xf numFmtId="174" fontId="63" fillId="0" borderId="0" xfId="0" applyNumberFormat="1" applyFont="1" applyAlignment="1">
      <alignment horizontal="center"/>
    </xf>
    <xf numFmtId="174" fontId="78" fillId="88" borderId="0" xfId="128" applyNumberFormat="1" applyFont="1" applyFill="1" applyAlignment="1">
      <alignment horizontal="center" vertical="center" shrinkToFit="1"/>
    </xf>
    <xf numFmtId="174" fontId="71" fillId="52" borderId="0" xfId="247" applyNumberFormat="1" applyFont="1" applyFill="1"/>
    <xf numFmtId="174" fontId="76" fillId="142" borderId="50" xfId="248" applyNumberFormat="1" applyFont="1" applyFill="1" applyBorder="1" applyAlignment="1" applyProtection="1">
      <alignment horizontal="center" vertical="center" shrinkToFit="1"/>
    </xf>
    <xf numFmtId="174" fontId="58" fillId="35" borderId="0" xfId="115" applyNumberFormat="1" applyFont="1" applyFill="1" applyAlignment="1">
      <alignment horizontal="center" vertical="center"/>
    </xf>
    <xf numFmtId="174" fontId="85" fillId="117" borderId="0" xfId="115" applyNumberFormat="1" applyFont="1" applyFill="1" applyAlignment="1">
      <alignment horizontal="center"/>
    </xf>
    <xf numFmtId="174" fontId="101" fillId="0" borderId="1" xfId="0" applyNumberFormat="1" applyFont="1" applyBorder="1" applyAlignment="1">
      <alignment horizontal="center"/>
    </xf>
    <xf numFmtId="174" fontId="60" fillId="0" borderId="0" xfId="244" applyNumberFormat="1" applyFont="1" applyAlignment="1">
      <alignment horizontal="center"/>
      <protection locked="0"/>
    </xf>
    <xf numFmtId="174" fontId="0" fillId="0" borderId="0" xfId="0" applyNumberFormat="1" applyAlignment="1">
      <alignment horizontal="left"/>
    </xf>
    <xf numFmtId="174" fontId="68" fillId="0" borderId="0" xfId="243" applyNumberFormat="1" applyFont="1" applyAlignment="1" applyProtection="1">
      <alignment horizontal="center" vertical="center"/>
    </xf>
    <xf numFmtId="174" fontId="71" fillId="52" borderId="0" xfId="247" applyNumberFormat="1" applyFont="1" applyFill="1" applyAlignment="1">
      <alignment horizontal="right"/>
    </xf>
    <xf numFmtId="174" fontId="86" fillId="35" borderId="0" xfId="242" applyNumberFormat="1" applyFont="1" applyFill="1" applyAlignment="1">
      <alignment vertical="center"/>
    </xf>
    <xf numFmtId="174" fontId="107" fillId="0" borderId="23" xfId="115" applyNumberFormat="1" applyFont="1" applyBorder="1" applyAlignment="1">
      <alignment horizontal="center" vertical="center"/>
    </xf>
    <xf numFmtId="174" fontId="83" fillId="88" borderId="0" xfId="0" applyNumberFormat="1" applyFont="1" applyFill="1" applyAlignment="1">
      <alignment horizontal="center"/>
    </xf>
    <xf numFmtId="174" fontId="74" fillId="88" borderId="0" xfId="242" applyNumberFormat="1" applyFont="1" applyFill="1" applyAlignment="1">
      <alignment horizontal="center"/>
    </xf>
    <xf numFmtId="174" fontId="74" fillId="0" borderId="42" xfId="242" applyNumberFormat="1" applyFont="1" applyBorder="1" applyAlignment="1">
      <alignment horizontal="center"/>
    </xf>
    <xf numFmtId="174" fontId="91" fillId="122" borderId="0" xfId="0" applyNumberFormat="1" applyFont="1" applyFill="1" applyAlignment="1">
      <alignment horizontal="center"/>
    </xf>
    <xf numFmtId="174" fontId="91" fillId="0" borderId="15" xfId="0" applyNumberFormat="1" applyFont="1" applyBorder="1" applyAlignment="1">
      <alignment horizontal="center"/>
    </xf>
    <xf numFmtId="174" fontId="91" fillId="0" borderId="16" xfId="0" applyNumberFormat="1" applyFont="1" applyBorder="1" applyAlignment="1">
      <alignment horizontal="center"/>
    </xf>
    <xf numFmtId="174" fontId="73" fillId="145" borderId="0" xfId="132" applyNumberFormat="1" applyFont="1" applyFill="1" applyAlignment="1" applyProtection="1">
      <alignment horizontal="center" vertical="center" shrinkToFit="1"/>
    </xf>
    <xf numFmtId="174" fontId="84" fillId="146" borderId="0" xfId="247" applyNumberFormat="1" applyFont="1" applyFill="1" applyAlignment="1">
      <alignment horizontal="center" vertical="center"/>
    </xf>
    <xf numFmtId="174" fontId="53" fillId="88" borderId="0" xfId="115" applyNumberFormat="1" applyFont="1" applyFill="1" applyAlignment="1">
      <alignment horizontal="center" vertical="center"/>
    </xf>
    <xf numFmtId="174" fontId="108" fillId="116" borderId="0" xfId="115" applyNumberFormat="1" applyFont="1" applyFill="1"/>
    <xf numFmtId="174" fontId="83" fillId="0" borderId="109" xfId="242" applyNumberFormat="1" applyFont="1" applyBorder="1" applyAlignment="1">
      <alignment horizontal="center"/>
    </xf>
    <xf numFmtId="174" fontId="94" fillId="147" borderId="109" xfId="132" applyNumberFormat="1" applyFont="1" applyFill="1" applyBorder="1" applyAlignment="1" applyProtection="1">
      <alignment horizontal="center" vertical="center" shrinkToFit="1"/>
    </xf>
    <xf numFmtId="174" fontId="73" fillId="148" borderId="109" xfId="132" applyNumberFormat="1" applyFont="1" applyFill="1" applyBorder="1" applyAlignment="1" applyProtection="1">
      <alignment horizontal="center" vertical="center" shrinkToFit="1"/>
    </xf>
    <xf numFmtId="174" fontId="104" fillId="0" borderId="0" xfId="0" applyNumberFormat="1" applyFont="1" applyAlignment="1">
      <alignment vertical="center"/>
    </xf>
    <xf numFmtId="174" fontId="94" fillId="149" borderId="0" xfId="132" applyNumberFormat="1" applyFont="1" applyFill="1" applyAlignment="1" applyProtection="1">
      <alignment horizontal="center" vertical="center" shrinkToFit="1"/>
    </xf>
    <xf numFmtId="174" fontId="71" fillId="0" borderId="0" xfId="242" applyNumberFormat="1" applyFont="1" applyAlignment="1">
      <alignment horizontal="center"/>
    </xf>
    <xf numFmtId="174" fontId="70" fillId="111" borderId="0" xfId="247" applyNumberFormat="1" applyFont="1" applyFill="1" applyAlignment="1">
      <alignment horizontal="center" vertical="center"/>
    </xf>
    <xf numFmtId="174" fontId="68" fillId="0" borderId="24" xfId="242" applyNumberFormat="1" applyFont="1" applyBorder="1" applyAlignment="1">
      <alignment horizontal="center" vertical="center"/>
    </xf>
    <xf numFmtId="174" fontId="109" fillId="0" borderId="0" xfId="128" applyNumberFormat="1" applyFont="1" applyAlignment="1">
      <alignment horizontal="center" vertical="center" shrinkToFit="1"/>
    </xf>
    <xf numFmtId="174" fontId="10" fillId="88" borderId="0" xfId="115" applyNumberFormat="1" applyFill="1" applyAlignment="1">
      <alignment horizontal="center" vertical="center"/>
    </xf>
    <xf numFmtId="174" fontId="53" fillId="0" borderId="0" xfId="115" applyNumberFormat="1" applyFont="1" applyAlignment="1">
      <alignment horizontal="center" vertical="center"/>
    </xf>
    <xf numFmtId="174" fontId="53" fillId="116" borderId="0" xfId="115" applyNumberFormat="1" applyFont="1" applyFill="1" applyAlignment="1">
      <alignment horizontal="center" vertical="center"/>
    </xf>
    <xf numFmtId="174" fontId="10" fillId="150" borderId="0" xfId="115" applyNumberFormat="1" applyFill="1" applyAlignment="1">
      <alignment horizontal="center" vertical="center"/>
    </xf>
    <xf numFmtId="174" fontId="80" fillId="151" borderId="0" xfId="132" applyNumberFormat="1" applyFont="1" applyFill="1" applyAlignment="1" applyProtection="1">
      <alignment horizontal="center" vertical="center" shrinkToFit="1"/>
    </xf>
    <xf numFmtId="174" fontId="29" fillId="88" borderId="0" xfId="0" applyNumberFormat="1" applyFont="1" applyFill="1"/>
    <xf numFmtId="174" fontId="90" fillId="35" borderId="20" xfId="243" applyNumberFormat="1" applyFont="1" applyFill="1" applyBorder="1" applyAlignment="1" applyProtection="1">
      <alignment horizontal="center" vertical="center"/>
    </xf>
    <xf numFmtId="174" fontId="90" fillId="35" borderId="21" xfId="243" applyNumberFormat="1" applyFont="1" applyFill="1" applyBorder="1" applyAlignment="1" applyProtection="1">
      <alignment horizontal="center" vertical="center"/>
    </xf>
    <xf numFmtId="174" fontId="90" fillId="35" borderId="22" xfId="243" applyNumberFormat="1" applyFont="1" applyFill="1" applyBorder="1" applyAlignment="1" applyProtection="1">
      <alignment horizontal="center" vertical="center"/>
    </xf>
    <xf numFmtId="174" fontId="68" fillId="97" borderId="24" xfId="242" applyNumberFormat="1" applyFont="1" applyFill="1" applyBorder="1" applyAlignment="1">
      <alignment horizontal="center" vertical="center"/>
    </xf>
    <xf numFmtId="174" fontId="68" fillId="0" borderId="17" xfId="244" applyNumberFormat="1" applyFont="1" applyBorder="1" applyAlignment="1" applyProtection="1">
      <alignment horizontal="center" vertical="center"/>
    </xf>
    <xf numFmtId="174" fontId="21" fillId="0" borderId="18" xfId="245" applyNumberFormat="1" applyBorder="1" applyAlignment="1" applyProtection="1">
      <alignment horizontal="center" vertical="center"/>
    </xf>
    <xf numFmtId="174" fontId="21" fillId="0" borderId="18" xfId="148" applyNumberFormat="1" applyFont="1" applyBorder="1" applyAlignment="1">
      <alignment horizontal="center" vertical="center"/>
    </xf>
    <xf numFmtId="174" fontId="60" fillId="0" borderId="18" xfId="245" applyNumberFormat="1" applyFont="1" applyBorder="1" applyAlignment="1" applyProtection="1">
      <alignment horizontal="center"/>
    </xf>
    <xf numFmtId="174" fontId="110" fillId="35" borderId="4" xfId="247" applyNumberFormat="1" applyFont="1" applyFill="1" applyBorder="1" applyAlignment="1">
      <alignment horizontal="center" vertical="center"/>
    </xf>
    <xf numFmtId="174" fontId="110" fillId="35" borderId="5" xfId="247" applyNumberFormat="1" applyFont="1" applyFill="1" applyBorder="1" applyAlignment="1">
      <alignment horizontal="center" vertical="center"/>
    </xf>
    <xf numFmtId="174" fontId="3" fillId="0" borderId="17" xfId="148" applyNumberFormat="1" applyBorder="1" applyAlignment="1">
      <alignment vertical="center"/>
    </xf>
    <xf numFmtId="174" fontId="21" fillId="0" borderId="18" xfId="148" applyNumberFormat="1" applyFont="1" applyBorder="1" applyAlignment="1" applyProtection="1">
      <protection locked="0"/>
    </xf>
    <xf numFmtId="174" fontId="104" fillId="35" borderId="0" xfId="244" applyNumberFormat="1" applyFont="1" applyFill="1" applyAlignment="1" applyProtection="1">
      <alignment horizontal="center" vertical="center"/>
    </xf>
    <xf numFmtId="174" fontId="0" fillId="88" borderId="0" xfId="0" applyNumberFormat="1" applyFill="1" applyProtection="1">
      <protection locked="0"/>
    </xf>
    <xf numFmtId="174" fontId="0" fillId="88" borderId="0" xfId="0" applyNumberFormat="1" applyFill="1" applyAlignment="1" applyProtection="1">
      <alignment horizontal="left" vertical="center"/>
      <protection locked="0"/>
    </xf>
    <xf numFmtId="174" fontId="73" fillId="152" borderId="1" xfId="132" applyNumberFormat="1" applyFont="1" applyFill="1" applyBorder="1" applyAlignment="1" applyProtection="1">
      <alignment horizontal="center" vertical="center" shrinkToFit="1"/>
    </xf>
    <xf numFmtId="174" fontId="29" fillId="88" borderId="0" xfId="0" applyNumberFormat="1" applyFont="1" applyFill="1" applyAlignment="1">
      <alignment horizontal="center"/>
    </xf>
    <xf numFmtId="174" fontId="96" fillId="0" borderId="0" xfId="132" applyNumberFormat="1" applyFont="1" applyAlignment="1" applyProtection="1">
      <alignment horizontal="center" vertical="center" shrinkToFit="1"/>
    </xf>
    <xf numFmtId="174" fontId="77" fillId="151" borderId="0" xfId="132" applyNumberFormat="1" applyFont="1" applyFill="1" applyAlignment="1" applyProtection="1">
      <alignment horizontal="center" vertical="center" shrinkToFit="1"/>
    </xf>
    <xf numFmtId="174" fontId="90" fillId="35" borderId="24" xfId="243" applyNumberFormat="1" applyFont="1" applyFill="1" applyBorder="1" applyAlignment="1" applyProtection="1">
      <alignment horizontal="center" vertical="center"/>
    </xf>
    <xf numFmtId="174" fontId="90" fillId="35" borderId="0" xfId="243" applyNumberFormat="1" applyFont="1" applyFill="1" applyAlignment="1" applyProtection="1">
      <alignment horizontal="center" vertical="center"/>
    </xf>
    <xf numFmtId="174" fontId="90" fillId="35" borderId="23" xfId="243" applyNumberFormat="1" applyFont="1" applyFill="1" applyBorder="1" applyAlignment="1" applyProtection="1">
      <alignment horizontal="center" vertical="center"/>
    </xf>
    <xf numFmtId="174" fontId="54" fillId="103" borderId="109" xfId="128" applyNumberFormat="1" applyFont="1" applyFill="1" applyBorder="1" applyAlignment="1">
      <alignment horizontal="center" vertical="center" shrinkToFit="1"/>
    </xf>
    <xf numFmtId="174" fontId="80" fillId="153" borderId="0" xfId="113" applyNumberFormat="1" applyFont="1" applyFill="1" applyAlignment="1" applyProtection="1">
      <alignment horizontal="center" vertical="center"/>
    </xf>
    <xf numFmtId="174" fontId="21" fillId="0" borderId="0" xfId="245" applyNumberFormat="1" applyProtection="1"/>
    <xf numFmtId="174" fontId="21" fillId="0" borderId="0" xfId="148" applyNumberFormat="1" applyFont="1" applyAlignment="1">
      <alignment horizontal="center" vertical="center"/>
    </xf>
    <xf numFmtId="174" fontId="0" fillId="0" borderId="22" xfId="0" applyNumberFormat="1" applyBorder="1"/>
    <xf numFmtId="174" fontId="53" fillId="0" borderId="0" xfId="245" applyNumberFormat="1" applyFont="1" applyAlignment="1">
      <alignment horizontal="center" vertical="center"/>
      <protection locked="0"/>
    </xf>
    <xf numFmtId="174" fontId="34" fillId="88" borderId="0" xfId="128" applyNumberFormat="1" applyFont="1" applyFill="1" applyAlignment="1">
      <alignment horizontal="center" vertical="center" shrinkToFit="1"/>
    </xf>
    <xf numFmtId="174" fontId="64" fillId="88" borderId="0" xfId="112" applyNumberFormat="1" applyFont="1" applyFill="1" applyAlignment="1">
      <alignment horizontal="center" vertical="center"/>
    </xf>
    <xf numFmtId="174" fontId="68" fillId="0" borderId="0" xfId="244" applyNumberFormat="1" applyFont="1" applyAlignment="1" applyProtection="1">
      <alignment horizontal="center" vertical="center"/>
    </xf>
    <xf numFmtId="174" fontId="32" fillId="88" borderId="0" xfId="0" applyNumberFormat="1" applyFont="1" applyFill="1" applyAlignment="1">
      <alignment vertical="center"/>
    </xf>
    <xf numFmtId="174" fontId="21" fillId="0" borderId="0" xfId="245" applyNumberFormat="1" applyAlignment="1" applyProtection="1">
      <alignment horizontal="center" vertical="center"/>
    </xf>
    <xf numFmtId="174" fontId="85" fillId="154" borderId="0" xfId="245" applyNumberFormat="1" applyFont="1" applyFill="1" applyAlignment="1" applyProtection="1">
      <alignment horizontal="center"/>
    </xf>
    <xf numFmtId="174" fontId="0" fillId="0" borderId="23" xfId="0" applyNumberFormat="1" applyBorder="1"/>
    <xf numFmtId="174" fontId="111" fillId="35" borderId="0" xfId="113" applyNumberFormat="1" applyFont="1" applyFill="1" applyAlignment="1" applyProtection="1">
      <alignment horizontal="center" vertical="center"/>
    </xf>
    <xf numFmtId="174" fontId="74" fillId="0" borderId="0" xfId="0" applyNumberFormat="1" applyFont="1" applyAlignment="1">
      <alignment horizontal="center"/>
    </xf>
    <xf numFmtId="174" fontId="112" fillId="80" borderId="0" xfId="245" applyNumberFormat="1" applyFont="1" applyFill="1" applyAlignment="1" applyProtection="1">
      <alignment horizontal="center" vertical="center"/>
    </xf>
    <xf numFmtId="174" fontId="62" fillId="35" borderId="0" xfId="0" applyNumberFormat="1" applyFont="1" applyFill="1" applyAlignment="1">
      <alignment horizontal="center" vertical="center"/>
    </xf>
    <xf numFmtId="174" fontId="29" fillId="88" borderId="0" xfId="0" applyNumberFormat="1" applyFont="1" applyFill="1" applyAlignment="1">
      <alignment horizontal="center" vertical="center"/>
    </xf>
    <xf numFmtId="174" fontId="53" fillId="88" borderId="0" xfId="243" applyNumberFormat="1" applyFont="1" applyFill="1" applyAlignment="1" applyProtection="1">
      <alignment horizontal="center" vertical="center"/>
    </xf>
    <xf numFmtId="174" fontId="29" fillId="88" borderId="0" xfId="0" applyNumberFormat="1" applyFont="1" applyFill="1" applyAlignment="1" applyProtection="1">
      <alignment horizontal="center" vertical="center"/>
      <protection locked="0"/>
    </xf>
    <xf numFmtId="174" fontId="113" fillId="59" borderId="0" xfId="126" applyNumberFormat="1" applyFont="1" applyFill="1" applyAlignment="1">
      <alignment horizontal="center" vertical="center"/>
    </xf>
    <xf numFmtId="174" fontId="33" fillId="86" borderId="1" xfId="128" applyNumberFormat="1" applyFont="1" applyFill="1" applyBorder="1" applyAlignment="1">
      <alignment horizontal="center" vertical="center" shrinkToFit="1"/>
    </xf>
    <xf numFmtId="174" fontId="101" fillId="0" borderId="2" xfId="0" applyNumberFormat="1" applyFont="1" applyBorder="1" applyAlignment="1">
      <alignment horizontal="center"/>
    </xf>
    <xf numFmtId="174" fontId="48" fillId="59" borderId="109" xfId="128" applyNumberFormat="1" applyFont="1" applyFill="1" applyBorder="1" applyAlignment="1">
      <alignment horizontal="center" vertical="center" shrinkToFit="1"/>
    </xf>
    <xf numFmtId="174" fontId="29" fillId="0" borderId="0" xfId="0" applyNumberFormat="1" applyFont="1" applyAlignment="1" applyProtection="1">
      <alignment horizontal="center" vertical="center"/>
      <protection locked="0"/>
    </xf>
    <xf numFmtId="174" fontId="78" fillId="0" borderId="2" xfId="128" applyNumberFormat="1" applyFont="1" applyBorder="1" applyAlignment="1">
      <alignment horizontal="center" vertical="center" shrinkToFit="1"/>
    </xf>
    <xf numFmtId="174" fontId="86" fillId="88" borderId="0" xfId="242" applyNumberFormat="1" applyFont="1" applyFill="1" applyAlignment="1">
      <alignment horizontal="center" vertical="center"/>
    </xf>
    <xf numFmtId="174" fontId="60" fillId="0" borderId="0" xfId="244" applyNumberFormat="1" applyFont="1" applyAlignment="1" applyProtection="1">
      <alignment horizontal="center" vertical="center"/>
    </xf>
    <xf numFmtId="174" fontId="84" fillId="88" borderId="0" xfId="242" applyNumberFormat="1" applyFont="1" applyFill="1" applyAlignment="1">
      <alignment horizontal="center" vertical="center"/>
    </xf>
    <xf numFmtId="174" fontId="2" fillId="0" borderId="0" xfId="0" applyNumberFormat="1" applyFont="1"/>
    <xf numFmtId="174" fontId="2" fillId="88" borderId="0" xfId="0" applyNumberFormat="1" applyFont="1" applyFill="1"/>
    <xf numFmtId="174" fontId="30" fillId="35" borderId="0" xfId="0" applyNumberFormat="1" applyFont="1" applyFill="1" applyAlignment="1">
      <alignment horizontal="center" vertical="center"/>
    </xf>
    <xf numFmtId="174" fontId="53" fillId="0" borderId="25" xfId="115" applyNumberFormat="1" applyFont="1" applyBorder="1" applyAlignment="1">
      <alignment horizontal="center" vertical="center"/>
    </xf>
    <xf numFmtId="174" fontId="3" fillId="108" borderId="0" xfId="148" applyNumberFormat="1" applyFill="1" applyAlignment="1">
      <alignment vertical="center"/>
    </xf>
    <xf numFmtId="174" fontId="0" fillId="0" borderId="17" xfId="0" applyNumberFormat="1" applyBorder="1"/>
    <xf numFmtId="174" fontId="0" fillId="0" borderId="18" xfId="0" applyNumberFormat="1" applyBorder="1"/>
    <xf numFmtId="174" fontId="53" fillId="0" borderId="18" xfId="245" applyNumberFormat="1" applyFont="1" applyBorder="1" applyAlignment="1">
      <alignment horizontal="center" vertical="center"/>
      <protection locked="0"/>
    </xf>
    <xf numFmtId="174" fontId="68" fillId="0" borderId="18" xfId="244" applyNumberFormat="1" applyFont="1" applyBorder="1" applyAlignment="1" applyProtection="1">
      <alignment horizontal="center" vertical="center"/>
    </xf>
    <xf numFmtId="174" fontId="21" fillId="88" borderId="18" xfId="243" applyNumberFormat="1" applyFill="1" applyBorder="1" applyProtection="1"/>
    <xf numFmtId="174" fontId="21" fillId="88" borderId="18" xfId="0" applyNumberFormat="1" applyFont="1" applyFill="1" applyBorder="1"/>
    <xf numFmtId="174" fontId="2" fillId="88" borderId="18" xfId="0" applyNumberFormat="1" applyFont="1" applyFill="1" applyBorder="1"/>
    <xf numFmtId="174" fontId="29" fillId="88" borderId="18" xfId="242" applyNumberFormat="1" applyFont="1" applyFill="1" applyBorder="1" applyAlignment="1">
      <alignment horizontal="center" vertical="center"/>
    </xf>
    <xf numFmtId="174" fontId="0" fillId="88" borderId="18" xfId="0" applyNumberFormat="1" applyFill="1" applyBorder="1"/>
    <xf numFmtId="174" fontId="84" fillId="88" borderId="18" xfId="242" applyNumberFormat="1" applyFont="1" applyFill="1" applyBorder="1" applyAlignment="1">
      <alignment horizontal="center" vertical="center"/>
    </xf>
    <xf numFmtId="174" fontId="90" fillId="35" borderId="17" xfId="243" applyNumberFormat="1" applyFont="1" applyFill="1" applyBorder="1" applyAlignment="1" applyProtection="1">
      <alignment horizontal="center" vertical="center"/>
    </xf>
    <xf numFmtId="174" fontId="90" fillId="35" borderId="18" xfId="243" applyNumberFormat="1" applyFont="1" applyFill="1" applyBorder="1" applyAlignment="1" applyProtection="1">
      <alignment horizontal="center" vertical="center"/>
    </xf>
    <xf numFmtId="174" fontId="90" fillId="35" borderId="26" xfId="243" applyNumberFormat="1" applyFont="1" applyFill="1" applyBorder="1" applyAlignment="1" applyProtection="1">
      <alignment horizontal="center" vertical="center"/>
    </xf>
    <xf numFmtId="174" fontId="1" fillId="0" borderId="26" xfId="244" applyNumberFormat="1" applyBorder="1" applyProtection="1"/>
    <xf numFmtId="174" fontId="68" fillId="0" borderId="18" xfId="115" applyNumberFormat="1" applyFont="1" applyBorder="1" applyAlignment="1">
      <alignment horizontal="center" vertical="center"/>
    </xf>
    <xf numFmtId="174" fontId="71" fillId="139" borderId="0" xfId="242" applyNumberFormat="1" applyFont="1" applyFill="1" applyAlignment="1">
      <alignment horizontal="center" vertical="center"/>
    </xf>
    <xf numFmtId="174" fontId="33" fillId="34" borderId="109" xfId="128" applyNumberFormat="1" applyFont="1" applyFill="1" applyBorder="1" applyAlignment="1">
      <alignment horizontal="center" vertical="center" shrinkToFit="1"/>
    </xf>
    <xf numFmtId="174" fontId="53" fillId="0" borderId="0" xfId="245" applyNumberFormat="1" applyFont="1" applyAlignment="1" applyProtection="1">
      <alignment horizontal="left"/>
    </xf>
    <xf numFmtId="174" fontId="114" fillId="88" borderId="0" xfId="245" applyNumberFormat="1" applyFont="1" applyFill="1" applyAlignment="1" applyProtection="1">
      <alignment vertical="center"/>
    </xf>
    <xf numFmtId="174" fontId="53" fillId="0" borderId="0" xfId="245" applyNumberFormat="1" applyFont="1" applyAlignment="1">
      <alignment horizontal="right" vertical="center"/>
      <protection locked="0"/>
    </xf>
    <xf numFmtId="174" fontId="77" fillId="127" borderId="1" xfId="132" applyNumberFormat="1" applyFont="1" applyFill="1" applyBorder="1" applyAlignment="1" applyProtection="1">
      <alignment horizontal="center" vertical="center" shrinkToFit="1"/>
    </xf>
    <xf numFmtId="174" fontId="83" fillId="0" borderId="0" xfId="0" applyNumberFormat="1" applyFont="1" applyAlignment="1">
      <alignment horizontal="left" vertical="center"/>
    </xf>
    <xf numFmtId="174" fontId="68" fillId="0" borderId="20" xfId="242" applyNumberFormat="1" applyFont="1" applyBorder="1" applyAlignment="1">
      <alignment horizontal="center" vertical="center"/>
    </xf>
    <xf numFmtId="174" fontId="68" fillId="0" borderId="0" xfId="242" applyNumberFormat="1" applyFont="1" applyAlignment="1">
      <alignment horizontal="center" vertical="center"/>
    </xf>
    <xf numFmtId="174" fontId="68" fillId="0" borderId="23" xfId="242" applyNumberFormat="1" applyFont="1" applyBorder="1" applyAlignment="1">
      <alignment horizontal="center" vertical="center"/>
    </xf>
    <xf numFmtId="174" fontId="104" fillId="35" borderId="21" xfId="148" applyNumberFormat="1" applyFont="1" applyFill="1" applyBorder="1" applyAlignment="1">
      <alignment horizontal="center" vertical="center"/>
    </xf>
    <xf numFmtId="174" fontId="68" fillId="0" borderId="21" xfId="115" applyNumberFormat="1" applyFont="1" applyBorder="1" applyAlignment="1">
      <alignment horizontal="center" vertical="center"/>
    </xf>
    <xf numFmtId="174" fontId="68" fillId="0" borderId="21" xfId="242" applyNumberFormat="1" applyFont="1" applyBorder="1" applyAlignment="1">
      <alignment horizontal="center" vertical="center"/>
    </xf>
    <xf numFmtId="174" fontId="84" fillId="35" borderId="4" xfId="242" applyNumberFormat="1" applyFont="1" applyFill="1" applyBorder="1" applyAlignment="1">
      <alignment horizontal="center" vertical="center"/>
    </xf>
    <xf numFmtId="174" fontId="84" fillId="35" borderId="5" xfId="242" applyNumberFormat="1" applyFont="1" applyFill="1" applyBorder="1" applyAlignment="1">
      <alignment horizontal="center" vertical="center"/>
    </xf>
    <xf numFmtId="174" fontId="68" fillId="0" borderId="22" xfId="242" applyNumberFormat="1" applyFont="1" applyBorder="1" applyAlignment="1">
      <alignment horizontal="center" vertical="center"/>
    </xf>
    <xf numFmtId="174" fontId="71" fillId="139" borderId="24" xfId="242" applyNumberFormat="1" applyFont="1" applyFill="1" applyBorder="1" applyAlignment="1">
      <alignment horizontal="center" vertical="center"/>
    </xf>
    <xf numFmtId="174" fontId="67" fillId="0" borderId="23" xfId="242" applyNumberFormat="1" applyFont="1" applyBorder="1"/>
    <xf numFmtId="174" fontId="3" fillId="0" borderId="0" xfId="148" applyNumberFormat="1" applyAlignment="1">
      <alignment vertical="center"/>
    </xf>
    <xf numFmtId="174" fontId="68" fillId="0" borderId="0" xfId="244" applyNumberFormat="1" applyFont="1" applyAlignment="1" applyProtection="1">
      <alignment horizontal="left" vertical="center"/>
    </xf>
    <xf numFmtId="174" fontId="68" fillId="0" borderId="0" xfId="244" applyNumberFormat="1" applyFont="1" applyAlignment="1" applyProtection="1">
      <alignment horizontal="right" vertical="center"/>
    </xf>
    <xf numFmtId="174" fontId="0" fillId="0" borderId="0" xfId="0" applyNumberFormat="1" applyAlignment="1">
      <alignment horizontal="right"/>
    </xf>
    <xf numFmtId="174" fontId="68" fillId="0" borderId="24" xfId="242" applyNumberFormat="1" applyFont="1" applyBorder="1" applyAlignment="1">
      <alignment horizontal="center" vertical="center"/>
    </xf>
    <xf numFmtId="174" fontId="68" fillId="0" borderId="0" xfId="115" applyNumberFormat="1" applyFont="1" applyAlignment="1">
      <alignment horizontal="center" vertical="center"/>
    </xf>
    <xf numFmtId="174" fontId="84" fillId="88" borderId="0" xfId="242" applyNumberFormat="1" applyFont="1" applyFill="1" applyAlignment="1">
      <alignment vertical="center"/>
    </xf>
    <xf numFmtId="174" fontId="68" fillId="0" borderId="23" xfId="242" applyNumberFormat="1" applyFont="1" applyBorder="1" applyAlignment="1">
      <alignment horizontal="center" vertical="center"/>
    </xf>
    <xf numFmtId="174" fontId="53" fillId="52" borderId="0" xfId="243" applyNumberFormat="1" applyFont="1" applyFill="1" applyAlignment="1" applyProtection="1">
      <alignment horizontal="center" vertical="center"/>
    </xf>
    <xf numFmtId="174" fontId="80" fillId="126" borderId="1" xfId="132" applyNumberFormat="1" applyFont="1" applyFill="1" applyBorder="1" applyAlignment="1" applyProtection="1">
      <alignment horizontal="center" vertical="center" shrinkToFit="1"/>
    </xf>
    <xf numFmtId="174" fontId="111" fillId="0" borderId="0" xfId="242" applyNumberFormat="1" applyFont="1" applyAlignment="1">
      <alignment vertical="center"/>
    </xf>
    <xf numFmtId="174" fontId="10" fillId="0" borderId="0" xfId="242" applyNumberFormat="1" applyAlignment="1" applyProtection="1">
      <alignment horizontal="left" vertical="center"/>
      <protection locked="0"/>
    </xf>
    <xf numFmtId="174" fontId="10" fillId="0" borderId="23" xfId="115" applyNumberFormat="1" applyBorder="1"/>
    <xf numFmtId="174" fontId="106" fillId="52" borderId="0" xfId="112" applyNumberFormat="1" applyFont="1" applyFill="1" applyAlignment="1">
      <alignment horizontal="center" vertical="center"/>
    </xf>
    <xf numFmtId="174" fontId="70" fillId="105" borderId="0" xfId="242" applyNumberFormat="1" applyFont="1" applyFill="1" applyAlignment="1">
      <alignment horizontal="center" vertical="center"/>
    </xf>
    <xf numFmtId="174" fontId="21" fillId="52" borderId="0" xfId="243" applyNumberFormat="1" applyFill="1" applyProtection="1"/>
    <xf numFmtId="174" fontId="87" fillId="0" borderId="0" xfId="245" applyNumberFormat="1" applyFont="1" applyAlignment="1" applyProtection="1">
      <alignment horizontal="center" vertical="center"/>
    </xf>
    <xf numFmtId="174" fontId="83" fillId="0" borderId="0" xfId="0" applyNumberFormat="1" applyFont="1" applyAlignment="1">
      <alignment horizontal="right" vertical="center"/>
    </xf>
    <xf numFmtId="174" fontId="111" fillId="0" borderId="0" xfId="244" applyNumberFormat="1" applyFont="1" applyAlignment="1" applyProtection="1">
      <alignment vertical="center"/>
    </xf>
    <xf numFmtId="174" fontId="76" fillId="142" borderId="0" xfId="246" applyNumberFormat="1" applyFont="1" applyFill="1" applyAlignment="1">
      <alignment horizontal="center" vertical="center" shrinkToFit="1"/>
    </xf>
    <xf numFmtId="174" fontId="87" fillId="35" borderId="20" xfId="243" applyNumberFormat="1" applyFont="1" applyFill="1" applyBorder="1" applyAlignment="1" applyProtection="1">
      <alignment horizontal="center" vertical="center"/>
    </xf>
    <xf numFmtId="174" fontId="87" fillId="35" borderId="21" xfId="243" applyNumberFormat="1" applyFont="1" applyFill="1" applyBorder="1" applyAlignment="1" applyProtection="1">
      <alignment horizontal="center" vertical="center"/>
    </xf>
    <xf numFmtId="174" fontId="87" fillId="35" borderId="22" xfId="243" applyNumberFormat="1" applyFont="1" applyFill="1" applyBorder="1" applyAlignment="1" applyProtection="1">
      <alignment horizontal="center" vertical="center"/>
    </xf>
    <xf numFmtId="174" fontId="21" fillId="0" borderId="0" xfId="243" applyNumberFormat="1" applyAlignment="1">
      <alignment horizontal="left" vertical="center"/>
      <protection locked="0"/>
    </xf>
    <xf numFmtId="174" fontId="71" fillId="0" borderId="0" xfId="243" applyNumberFormat="1" applyFont="1" applyAlignment="1" applyProtection="1">
      <alignment horizontal="center"/>
    </xf>
    <xf numFmtId="174" fontId="70" fillId="105" borderId="53" xfId="242" applyNumberFormat="1" applyFont="1" applyFill="1" applyBorder="1" applyAlignment="1">
      <alignment horizontal="center" vertical="center"/>
    </xf>
    <xf numFmtId="174" fontId="68" fillId="97" borderId="0" xfId="243" applyNumberFormat="1" applyFont="1" applyFill="1" applyAlignment="1" applyProtection="1">
      <alignment horizontal="right" vertical="center"/>
    </xf>
    <xf numFmtId="174" fontId="87" fillId="35" borderId="24" xfId="243" applyNumberFormat="1" applyFont="1" applyFill="1" applyBorder="1" applyAlignment="1" applyProtection="1">
      <alignment horizontal="center" vertical="center"/>
    </xf>
    <xf numFmtId="174" fontId="87" fillId="35" borderId="0" xfId="243" applyNumberFormat="1" applyFont="1" applyFill="1" applyAlignment="1" applyProtection="1">
      <alignment horizontal="center" vertical="center"/>
    </xf>
    <xf numFmtId="174" fontId="87" fillId="35" borderId="23" xfId="243" applyNumberFormat="1" applyFont="1" applyFill="1" applyBorder="1" applyAlignment="1" applyProtection="1">
      <alignment horizontal="center" vertical="center"/>
    </xf>
    <xf numFmtId="174" fontId="21" fillId="0" borderId="0" xfId="243" applyNumberFormat="1" applyAlignment="1" applyProtection="1">
      <alignment horizontal="center" vertical="center"/>
    </xf>
    <xf numFmtId="174" fontId="68" fillId="97" borderId="17" xfId="242" applyNumberFormat="1" applyFont="1" applyFill="1" applyBorder="1" applyAlignment="1">
      <alignment horizontal="center" vertical="center"/>
    </xf>
    <xf numFmtId="174" fontId="68" fillId="97" borderId="26" xfId="242" applyNumberFormat="1" applyFont="1" applyFill="1" applyBorder="1" applyAlignment="1">
      <alignment horizontal="center" vertical="center"/>
    </xf>
    <xf numFmtId="174" fontId="21" fillId="52" borderId="38" xfId="243" applyNumberFormat="1" applyFill="1" applyBorder="1" applyProtection="1"/>
    <xf numFmtId="174" fontId="21" fillId="0" borderId="0" xfId="245" applyNumberFormat="1" applyAlignment="1">
      <alignment horizontal="left" vertical="center"/>
      <protection locked="0"/>
    </xf>
    <xf numFmtId="174" fontId="68" fillId="97" borderId="32" xfId="243" applyNumberFormat="1" applyFont="1" applyFill="1" applyBorder="1" applyAlignment="1" applyProtection="1">
      <alignment horizontal="center" vertical="center"/>
    </xf>
    <xf numFmtId="174" fontId="68" fillId="0" borderId="110" xfId="243" applyNumberFormat="1" applyFont="1" applyBorder="1" applyAlignment="1" applyProtection="1">
      <alignment horizontal="center" vertical="center"/>
    </xf>
    <xf numFmtId="174" fontId="90" fillId="35" borderId="111" xfId="243" applyNumberFormat="1" applyFont="1" applyFill="1" applyBorder="1" applyAlignment="1" applyProtection="1">
      <alignment horizontal="center" vertical="center"/>
    </xf>
    <xf numFmtId="174" fontId="90" fillId="35" borderId="112" xfId="243" applyNumberFormat="1" applyFont="1" applyFill="1" applyBorder="1" applyAlignment="1" applyProtection="1">
      <alignment horizontal="center" vertical="center"/>
    </xf>
    <xf numFmtId="174" fontId="90" fillId="35" borderId="113" xfId="243" applyNumberFormat="1" applyFont="1" applyFill="1" applyBorder="1" applyAlignment="1" applyProtection="1">
      <alignment horizontal="center" vertical="center"/>
    </xf>
    <xf numFmtId="174" fontId="90" fillId="0" borderId="0" xfId="242" applyNumberFormat="1" applyFont="1" applyAlignment="1">
      <alignment horizontal="left" vertical="center"/>
    </xf>
    <xf numFmtId="174" fontId="90" fillId="0" borderId="0" xfId="242" applyNumberFormat="1" applyFont="1" applyAlignment="1">
      <alignment horizontal="center" vertical="center"/>
    </xf>
    <xf numFmtId="174" fontId="90" fillId="35" borderId="58" xfId="243" applyNumberFormat="1" applyFont="1" applyFill="1" applyBorder="1" applyAlignment="1" applyProtection="1">
      <alignment horizontal="center" vertical="center"/>
    </xf>
    <xf numFmtId="174" fontId="90" fillId="35" borderId="59" xfId="243" applyNumberFormat="1" applyFont="1" applyFill="1" applyBorder="1" applyAlignment="1" applyProtection="1">
      <alignment horizontal="center" vertical="center"/>
    </xf>
    <xf numFmtId="174" fontId="61" fillId="35" borderId="24" xfId="148" applyNumberFormat="1" applyFont="1" applyFill="1" applyBorder="1" applyAlignment="1">
      <alignment horizontal="center" vertical="center"/>
    </xf>
    <xf numFmtId="174" fontId="61" fillId="35" borderId="0" xfId="148" applyNumberFormat="1" applyFont="1" applyFill="1" applyAlignment="1">
      <alignment horizontal="center" vertical="center"/>
    </xf>
    <xf numFmtId="174" fontId="68" fillId="88" borderId="0" xfId="244" applyNumberFormat="1" applyFont="1" applyFill="1" applyAlignment="1" applyProtection="1">
      <alignment horizontal="center" vertical="center"/>
    </xf>
    <xf numFmtId="174" fontId="90" fillId="35" borderId="60" xfId="243" applyNumberFormat="1" applyFont="1" applyFill="1" applyBorder="1" applyAlignment="1" applyProtection="1">
      <alignment horizontal="center" vertical="center"/>
    </xf>
    <xf numFmtId="174" fontId="90" fillId="35" borderId="45" xfId="243" applyNumberFormat="1" applyFont="1" applyFill="1" applyBorder="1" applyAlignment="1" applyProtection="1">
      <alignment horizontal="center" vertical="center"/>
    </xf>
    <xf numFmtId="174" fontId="90" fillId="35" borderId="61" xfId="243" applyNumberFormat="1" applyFont="1" applyFill="1" applyBorder="1" applyAlignment="1" applyProtection="1">
      <alignment horizontal="center" vertical="center"/>
    </xf>
    <xf numFmtId="174" fontId="90" fillId="35" borderId="114" xfId="243" applyNumberFormat="1" applyFont="1" applyFill="1" applyBorder="1" applyAlignment="1" applyProtection="1">
      <alignment horizontal="center" vertical="center"/>
    </xf>
    <xf numFmtId="174" fontId="90" fillId="35" borderId="115" xfId="243" applyNumberFormat="1" applyFont="1" applyFill="1" applyBorder="1" applyAlignment="1" applyProtection="1">
      <alignment horizontal="center" vertical="center"/>
    </xf>
    <xf numFmtId="174" fontId="114" fillId="35" borderId="0" xfId="245" applyNumberFormat="1" applyFont="1" applyFill="1" applyAlignment="1" applyProtection="1">
      <alignment vertical="center"/>
    </xf>
    <xf numFmtId="174" fontId="114" fillId="0" borderId="0" xfId="245" applyNumberFormat="1" applyFont="1" applyAlignment="1" applyProtection="1">
      <alignment vertical="center"/>
    </xf>
    <xf numFmtId="174" fontId="90" fillId="35" borderId="31" xfId="243" applyNumberFormat="1" applyFont="1" applyFill="1" applyBorder="1" applyAlignment="1" applyProtection="1">
      <alignment horizontal="center" vertical="center"/>
    </xf>
    <xf numFmtId="174" fontId="90" fillId="35" borderId="37" xfId="243" applyNumberFormat="1" applyFont="1" applyFill="1" applyBorder="1" applyAlignment="1" applyProtection="1">
      <alignment horizontal="center" vertical="center"/>
    </xf>
    <xf numFmtId="174" fontId="87" fillId="35" borderId="116" xfId="243" applyNumberFormat="1" applyFont="1" applyFill="1" applyBorder="1" applyAlignment="1" applyProtection="1">
      <alignment horizontal="center" vertical="center"/>
    </xf>
    <xf numFmtId="174" fontId="87" fillId="35" borderId="32" xfId="243" applyNumberFormat="1" applyFont="1" applyFill="1" applyBorder="1" applyAlignment="1" applyProtection="1">
      <alignment horizontal="center" vertical="center"/>
    </xf>
    <xf numFmtId="174" fontId="87" fillId="35" borderId="52" xfId="243" applyNumberFormat="1" applyFont="1" applyFill="1" applyBorder="1" applyAlignment="1" applyProtection="1">
      <alignment horizontal="center" vertical="center"/>
    </xf>
    <xf numFmtId="174" fontId="68" fillId="0" borderId="23" xfId="242" applyNumberFormat="1" applyFont="1" applyBorder="1"/>
    <xf numFmtId="174" fontId="74" fillId="156" borderId="0" xfId="0" applyNumberFormat="1" applyFont="1" applyFill="1" applyAlignment="1">
      <alignment horizontal="center"/>
    </xf>
    <xf numFmtId="174" fontId="87" fillId="35" borderId="37" xfId="243" applyNumberFormat="1" applyFont="1" applyFill="1" applyBorder="1" applyAlignment="1" applyProtection="1">
      <alignment horizontal="center" vertical="center"/>
    </xf>
    <xf numFmtId="174" fontId="90" fillId="35" borderId="65" xfId="243" applyNumberFormat="1" applyFont="1" applyFill="1" applyBorder="1" applyAlignment="1" applyProtection="1">
      <alignment horizontal="center" vertical="center"/>
    </xf>
    <xf numFmtId="174" fontId="90" fillId="35" borderId="66" xfId="243" applyNumberFormat="1" applyFont="1" applyFill="1" applyBorder="1" applyAlignment="1" applyProtection="1">
      <alignment horizontal="center" vertical="center"/>
    </xf>
    <xf numFmtId="174" fontId="68" fillId="156" borderId="0" xfId="244" applyNumberFormat="1" applyFont="1" applyFill="1" applyAlignment="1" applyProtection="1">
      <alignment horizontal="left" vertical="center"/>
    </xf>
    <xf numFmtId="174" fontId="48" fillId="100" borderId="117" xfId="128" applyNumberFormat="1" applyFont="1" applyFill="1" applyBorder="1" applyAlignment="1">
      <alignment horizontal="center" vertical="center" shrinkToFit="1"/>
    </xf>
    <xf numFmtId="174" fontId="0" fillId="156" borderId="0" xfId="0" applyNumberFormat="1" applyFill="1"/>
    <xf numFmtId="174" fontId="53" fillId="35" borderId="114" xfId="243" applyNumberFormat="1" applyFont="1" applyFill="1" applyBorder="1" applyAlignment="1" applyProtection="1">
      <alignment horizontal="center" vertical="center"/>
    </xf>
    <xf numFmtId="174" fontId="53" fillId="35" borderId="112" xfId="243" applyNumberFormat="1" applyFont="1" applyFill="1" applyBorder="1" applyAlignment="1" applyProtection="1">
      <alignment horizontal="center" vertical="center"/>
    </xf>
    <xf numFmtId="174" fontId="53" fillId="35" borderId="115" xfId="243" applyNumberFormat="1" applyFont="1" applyFill="1" applyBorder="1" applyAlignment="1" applyProtection="1">
      <alignment horizontal="center" vertical="center"/>
    </xf>
    <xf numFmtId="174" fontId="53" fillId="156" borderId="0" xfId="245" applyNumberFormat="1" applyFont="1" applyFill="1" applyAlignment="1" applyProtection="1">
      <alignment horizontal="left"/>
    </xf>
    <xf numFmtId="174" fontId="87" fillId="35" borderId="17" xfId="243" applyNumberFormat="1" applyFont="1" applyFill="1" applyBorder="1" applyAlignment="1" applyProtection="1">
      <alignment horizontal="center" vertical="center"/>
    </xf>
    <xf numFmtId="174" fontId="87" fillId="35" borderId="18" xfId="243" applyNumberFormat="1" applyFont="1" applyFill="1" applyBorder="1" applyAlignment="1" applyProtection="1">
      <alignment horizontal="center" vertical="center"/>
    </xf>
    <xf numFmtId="174" fontId="87" fillId="35" borderId="26" xfId="243" applyNumberFormat="1" applyFont="1" applyFill="1" applyBorder="1" applyAlignment="1" applyProtection="1">
      <alignment horizontal="center" vertical="center"/>
    </xf>
    <xf numFmtId="174" fontId="87" fillId="35" borderId="68" xfId="243" applyNumberFormat="1" applyFont="1" applyFill="1" applyBorder="1" applyAlignment="1" applyProtection="1">
      <alignment horizontal="center" vertical="center"/>
    </xf>
    <xf numFmtId="174" fontId="53" fillId="35" borderId="69" xfId="243" applyNumberFormat="1" applyFont="1" applyFill="1" applyBorder="1" applyAlignment="1" applyProtection="1">
      <alignment horizontal="center" vertical="center"/>
    </xf>
    <xf numFmtId="174" fontId="53" fillId="35" borderId="18" xfId="243" applyNumberFormat="1" applyFont="1" applyFill="1" applyBorder="1" applyAlignment="1" applyProtection="1">
      <alignment horizontal="center" vertical="center"/>
    </xf>
    <xf numFmtId="174" fontId="53" fillId="35" borderId="68" xfId="243" applyNumberFormat="1" applyFont="1" applyFill="1" applyBorder="1" applyAlignment="1" applyProtection="1">
      <alignment horizontal="center" vertical="center"/>
    </xf>
    <xf numFmtId="174" fontId="66" fillId="0" borderId="118" xfId="242" applyNumberFormat="1" applyFont="1" applyBorder="1" applyAlignment="1">
      <alignment horizontal="center"/>
    </xf>
    <xf numFmtId="174" fontId="21" fillId="0" borderId="21" xfId="0" applyNumberFormat="1" applyFont="1" applyBorder="1" applyProtection="1">
      <protection locked="0"/>
    </xf>
    <xf numFmtId="174" fontId="111" fillId="97" borderId="0" xfId="245" applyNumberFormat="1" applyFont="1" applyFill="1" applyAlignment="1" applyProtection="1">
      <alignment horizontal="left" vertical="center" wrapText="1"/>
    </xf>
    <xf numFmtId="174" fontId="10" fillId="0" borderId="0" xfId="0" applyNumberFormat="1" applyFont="1" applyAlignment="1">
      <alignment horizontal="left"/>
    </xf>
    <xf numFmtId="174" fontId="10" fillId="0" borderId="0" xfId="115" applyNumberFormat="1" applyProtection="1">
      <protection locked="0"/>
    </xf>
    <xf numFmtId="174" fontId="21" fillId="0" borderId="0" xfId="245" applyNumberFormat="1">
      <protection locked="0"/>
    </xf>
    <xf numFmtId="174" fontId="10" fillId="0" borderId="0" xfId="115" applyNumberFormat="1" applyAlignment="1" applyProtection="1">
      <alignment horizontal="left" vertical="center"/>
      <protection locked="0"/>
    </xf>
    <xf numFmtId="174" fontId="104" fillId="88" borderId="0" xfId="244" applyNumberFormat="1" applyFont="1" applyFill="1" applyAlignment="1" applyProtection="1">
      <alignment vertical="center"/>
    </xf>
    <xf numFmtId="174" fontId="74" fillId="0" borderId="118" xfId="0" applyNumberFormat="1" applyFont="1" applyBorder="1" applyAlignment="1">
      <alignment horizontal="center"/>
    </xf>
    <xf numFmtId="174" fontId="104" fillId="35" borderId="0" xfId="244" applyNumberFormat="1" applyFont="1" applyFill="1" applyAlignment="1" applyProtection="1">
      <alignment vertical="center"/>
    </xf>
    <xf numFmtId="174" fontId="104" fillId="0" borderId="0" xfId="244" applyNumberFormat="1" applyFont="1" applyAlignment="1" applyProtection="1">
      <alignment vertical="center"/>
    </xf>
    <xf numFmtId="174" fontId="114" fillId="35" borderId="24" xfId="245" applyNumberFormat="1" applyFont="1" applyFill="1" applyBorder="1" applyAlignment="1" applyProtection="1">
      <alignment horizontal="center" vertical="center"/>
    </xf>
    <xf numFmtId="174" fontId="114" fillId="35" borderId="0" xfId="245" applyNumberFormat="1" applyFont="1" applyFill="1" applyAlignment="1" applyProtection="1">
      <alignment horizontal="center" vertical="center"/>
    </xf>
    <xf numFmtId="174" fontId="21" fillId="146" borderId="0" xfId="0" applyNumberFormat="1" applyFont="1" applyFill="1"/>
    <xf numFmtId="174" fontId="73" fillId="152" borderId="117" xfId="132" applyNumberFormat="1" applyFont="1" applyFill="1" applyBorder="1" applyAlignment="1" applyProtection="1">
      <alignment horizontal="center" vertical="center" shrinkToFit="1"/>
    </xf>
    <xf numFmtId="174" fontId="73" fillId="152" borderId="119" xfId="132" applyNumberFormat="1" applyFont="1" applyFill="1" applyBorder="1" applyAlignment="1" applyProtection="1">
      <alignment horizontal="center" vertical="center" shrinkToFit="1"/>
    </xf>
    <xf numFmtId="174" fontId="73" fillId="148" borderId="117" xfId="132" applyNumberFormat="1" applyFont="1" applyFill="1" applyBorder="1" applyAlignment="1" applyProtection="1">
      <alignment horizontal="center" vertical="center" shrinkToFit="1"/>
    </xf>
    <xf numFmtId="174" fontId="84" fillId="146" borderId="0" xfId="243" applyNumberFormat="1" applyFont="1" applyFill="1" applyAlignment="1" applyProtection="1">
      <alignment horizontal="center" vertical="center"/>
    </xf>
    <xf numFmtId="174" fontId="77" fillId="137" borderId="72" xfId="132" applyNumberFormat="1" applyFont="1" applyFill="1" applyBorder="1" applyAlignment="1" applyProtection="1">
      <alignment horizontal="center" vertical="center" shrinkToFit="1"/>
    </xf>
    <xf numFmtId="174" fontId="94" fillId="147" borderId="117" xfId="132" applyNumberFormat="1" applyFont="1" applyFill="1" applyBorder="1" applyAlignment="1" applyProtection="1">
      <alignment horizontal="center" vertical="center" shrinkToFit="1"/>
    </xf>
    <xf numFmtId="174" fontId="53" fillId="133" borderId="24" xfId="245" applyNumberFormat="1" applyFont="1" applyFill="1" applyBorder="1" applyAlignment="1" applyProtection="1">
      <alignment horizontal="center"/>
    </xf>
    <xf numFmtId="174" fontId="104" fillId="35" borderId="0" xfId="148" applyNumberFormat="1" applyFont="1" applyFill="1" applyAlignment="1">
      <alignment horizontal="center" vertical="center"/>
    </xf>
    <xf numFmtId="174" fontId="3" fillId="0" borderId="0" xfId="148" applyNumberFormat="1" applyAlignment="1">
      <alignment horizontal="left" vertical="center"/>
    </xf>
    <xf numFmtId="174" fontId="115" fillId="0" borderId="0" xfId="245" applyNumberFormat="1" applyFont="1">
      <protection locked="0"/>
    </xf>
    <xf numFmtId="174" fontId="9" fillId="0" borderId="0" xfId="245" applyNumberFormat="1" applyFont="1">
      <protection locked="0"/>
    </xf>
    <xf numFmtId="174" fontId="53" fillId="133" borderId="73" xfId="245" applyNumberFormat="1" applyFont="1" applyFill="1" applyBorder="1" applyAlignment="1" applyProtection="1">
      <alignment horizontal="center"/>
    </xf>
    <xf numFmtId="174" fontId="21" fillId="0" borderId="18" xfId="245" applyNumberFormat="1" applyBorder="1">
      <protection locked="0"/>
    </xf>
    <xf numFmtId="174" fontId="73" fillId="0" borderId="74" xfId="148" applyNumberFormat="1" applyFont="1" applyBorder="1" applyAlignment="1">
      <alignment vertical="center"/>
    </xf>
    <xf numFmtId="174" fontId="73" fillId="0" borderId="75" xfId="148" applyNumberFormat="1" applyFont="1" applyBorder="1" applyAlignment="1">
      <alignment vertical="center"/>
    </xf>
    <xf numFmtId="174" fontId="115" fillId="0" borderId="18" xfId="245" applyNumberFormat="1" applyFont="1" applyBorder="1">
      <protection locked="0"/>
    </xf>
    <xf numFmtId="174" fontId="68" fillId="0" borderId="17" xfId="242" applyNumberFormat="1" applyFont="1" applyBorder="1" applyAlignment="1">
      <alignment horizontal="center" vertical="center"/>
    </xf>
    <xf numFmtId="174" fontId="68" fillId="0" borderId="18" xfId="242" applyNumberFormat="1" applyFont="1" applyBorder="1" applyAlignment="1">
      <alignment horizontal="center" vertical="center"/>
    </xf>
    <xf numFmtId="174" fontId="68" fillId="0" borderId="26" xfId="242" applyNumberFormat="1" applyFont="1" applyBorder="1" applyAlignment="1">
      <alignment horizontal="center" vertical="center"/>
    </xf>
    <xf numFmtId="174" fontId="29" fillId="0" borderId="0" xfId="115" applyNumberFormat="1" applyFont="1" applyProtection="1">
      <protection locked="0"/>
    </xf>
    <xf numFmtId="174" fontId="10" fillId="0" borderId="21" xfId="115" quotePrefix="1" applyNumberFormat="1" applyBorder="1" applyProtection="1">
      <protection locked="0"/>
    </xf>
    <xf numFmtId="174" fontId="10" fillId="0" borderId="21" xfId="115" applyNumberFormat="1" applyBorder="1"/>
    <xf numFmtId="174" fontId="31" fillId="0" borderId="0" xfId="115" applyNumberFormat="1" applyFont="1" applyProtection="1">
      <protection locked="0"/>
    </xf>
    <xf numFmtId="174" fontId="10" fillId="0" borderId="0" xfId="115" quotePrefix="1" applyNumberFormat="1" applyProtection="1">
      <protection locked="0"/>
    </xf>
  </cellXfs>
  <cellStyles count="2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0" xfId="114" xr:uid="{00000000-0005-0000-0000-000076000000}"/>
    <cellStyle name="Normal 2 100 2" xfId="115" xr:uid="{00000000-0005-0000-0000-000077000000}"/>
    <cellStyle name="Normal 2 100 2 2" xfId="245" xr:uid="{A5467178-EDC0-4E27-8A4A-95C6257832AD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2 2" xfId="242" xr:uid="{63C98600-D228-4F66-B42E-BC5ACDB91AC2}"/>
    <cellStyle name="Normal 2 2 4 2 2 2" xfId="244" xr:uid="{BB00439D-6EBE-4347-A4DB-5A0A36C53C07}"/>
    <cellStyle name="Normal 2 2 4 3" xfId="126" xr:uid="{00000000-0005-0000-0000-000082000000}"/>
    <cellStyle name="Normal 2 2 4 5" xfId="237" xr:uid="{00000000-0005-0000-0000-000083000000}"/>
    <cellStyle name="Normal 2 2 4 5 2" xfId="243" xr:uid="{CFFD1B7F-8DFB-4B6E-A10F-567907001F0D}"/>
    <cellStyle name="Normal 2 2 4 5 2 2" xfId="247" xr:uid="{465AE658-21AE-401B-B841-4D267A958786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6 2 2 2" xfId="246" xr:uid="{8A8E2549-58EA-47CA-AF75-4E8FDC6FC918}"/>
    <cellStyle name="Normal 2 6 2 2 2 2" xfId="248" xr:uid="{D65B8396-168C-4153-955F-FED8BEFF04CD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 2" xfId="249" xr:uid="{156C84B0-4991-4CFD-84FE-829CBEA9BFFA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342900</xdr:colOff>
      <xdr:row>21</xdr:row>
      <xdr:rowOff>282291</xdr:rowOff>
    </xdr:from>
    <xdr:to>
      <xdr:col>75</xdr:col>
      <xdr:colOff>573449</xdr:colOff>
      <xdr:row>68</xdr:row>
      <xdr:rowOff>57151</xdr:rowOff>
    </xdr:to>
    <xdr:pic>
      <xdr:nvPicPr>
        <xdr:cNvPr id="2" name="Imagen 17">
          <a:extLst>
            <a:ext uri="{FF2B5EF4-FFF2-40B4-BE49-F238E27FC236}">
              <a16:creationId xmlns:a16="http://schemas.microsoft.com/office/drawing/2014/main" id="{04BB579F-92DD-4055-9B20-7BF99910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0" y="5844891"/>
          <a:ext cx="2516549" cy="8823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705556</xdr:colOff>
      <xdr:row>30</xdr:row>
      <xdr:rowOff>130897</xdr:rowOff>
    </xdr:from>
    <xdr:to>
      <xdr:col>58</xdr:col>
      <xdr:colOff>0</xdr:colOff>
      <xdr:row>35</xdr:row>
      <xdr:rowOff>38100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CDCA545C-41DA-4F23-896D-B6214DF5C2B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113356" y="8389072"/>
          <a:ext cx="1523294" cy="14121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70</xdr:col>
      <xdr:colOff>1016000</xdr:colOff>
      <xdr:row>22</xdr:row>
      <xdr:rowOff>63500</xdr:rowOff>
    </xdr:from>
    <xdr:to>
      <xdr:col>75</xdr:col>
      <xdr:colOff>31750</xdr:colOff>
      <xdr:row>23</xdr:row>
      <xdr:rowOff>254000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CFBAC03B-9D96-4AF8-BB57-AC4675BA0FDA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9025750" y="5930900"/>
          <a:ext cx="4587875" cy="4857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 FUMAR</a:t>
          </a:r>
        </a:p>
      </xdr:txBody>
    </xdr:sp>
    <xdr:clientData/>
  </xdr:twoCellAnchor>
  <xdr:twoCellAnchor>
    <xdr:from>
      <xdr:col>55</xdr:col>
      <xdr:colOff>371475</xdr:colOff>
      <xdr:row>28</xdr:row>
      <xdr:rowOff>28575</xdr:rowOff>
    </xdr:from>
    <xdr:to>
      <xdr:col>59</xdr:col>
      <xdr:colOff>92220</xdr:colOff>
      <xdr:row>30</xdr:row>
      <xdr:rowOff>138113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22503600-2770-4178-9E9F-23D828468F5C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1664850" y="7696200"/>
          <a:ext cx="4178445" cy="7000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10</xdr:col>
      <xdr:colOff>454731</xdr:colOff>
      <xdr:row>52</xdr:row>
      <xdr:rowOff>172172</xdr:rowOff>
    </xdr:from>
    <xdr:to>
      <xdr:col>12</xdr:col>
      <xdr:colOff>30691</xdr:colOff>
      <xdr:row>59</xdr:row>
      <xdr:rowOff>76200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CD9170A8-A9EA-4AEA-905C-2F1AE76374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598981" y="14421572"/>
          <a:ext cx="1804810" cy="14851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</xdr:col>
      <xdr:colOff>349250</xdr:colOff>
      <xdr:row>49</xdr:row>
      <xdr:rowOff>146050</xdr:rowOff>
    </xdr:from>
    <xdr:to>
      <xdr:col>13</xdr:col>
      <xdr:colOff>69995</xdr:colOff>
      <xdr:row>52</xdr:row>
      <xdr:rowOff>141288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1F2062B7-AF63-4F20-8DD1-CDBD64B15449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379075" y="13709650"/>
          <a:ext cx="4178445" cy="68103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25</xdr:col>
      <xdr:colOff>723900</xdr:colOff>
      <xdr:row>27</xdr:row>
      <xdr:rowOff>266700</xdr:rowOff>
    </xdr:from>
    <xdr:to>
      <xdr:col>27</xdr:col>
      <xdr:colOff>18344</xdr:colOff>
      <xdr:row>32</xdr:row>
      <xdr:rowOff>173903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7BF2B9B9-4056-456E-91DD-909E02ABF0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8584525" y="7639050"/>
          <a:ext cx="1523294" cy="14026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69</xdr:col>
      <xdr:colOff>95250</xdr:colOff>
      <xdr:row>16</xdr:row>
      <xdr:rowOff>95250</xdr:rowOff>
    </xdr:from>
    <xdr:to>
      <xdr:col>71</xdr:col>
      <xdr:colOff>317500</xdr:colOff>
      <xdr:row>21</xdr:row>
      <xdr:rowOff>127000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0D1E6CE-3217-410F-B144-F7B0A12B7E7E}"/>
            </a:ext>
          </a:extLst>
        </xdr:cNvPr>
        <xdr:cNvSpPr txBox="1"/>
      </xdr:nvSpPr>
      <xdr:spPr>
        <a:xfrm>
          <a:off x="76990575" y="4171950"/>
          <a:ext cx="2451100" cy="15176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INGRESO DE 6 FUSION  CON MKING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342900</xdr:colOff>
      <xdr:row>21</xdr:row>
      <xdr:rowOff>282291</xdr:rowOff>
    </xdr:from>
    <xdr:to>
      <xdr:col>73</xdr:col>
      <xdr:colOff>1040174</xdr:colOff>
      <xdr:row>35</xdr:row>
      <xdr:rowOff>9525</xdr:rowOff>
    </xdr:to>
    <xdr:pic>
      <xdr:nvPicPr>
        <xdr:cNvPr id="2" name="Imagen 17">
          <a:extLst>
            <a:ext uri="{FF2B5EF4-FFF2-40B4-BE49-F238E27FC236}">
              <a16:creationId xmlns:a16="http://schemas.microsoft.com/office/drawing/2014/main" id="{1BFA1248-0481-4150-879A-B5773B5A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0" y="5844891"/>
          <a:ext cx="1811699" cy="2489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705556</xdr:colOff>
      <xdr:row>30</xdr:row>
      <xdr:rowOff>130897</xdr:rowOff>
    </xdr:from>
    <xdr:to>
      <xdr:col>58</xdr:col>
      <xdr:colOff>0</xdr:colOff>
      <xdr:row>35</xdr:row>
      <xdr:rowOff>38100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4C20ACF8-04CB-494B-9AA7-AD46942CB7C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113356" y="8389072"/>
          <a:ext cx="1523294" cy="14121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70</xdr:col>
      <xdr:colOff>1016000</xdr:colOff>
      <xdr:row>22</xdr:row>
      <xdr:rowOff>63500</xdr:rowOff>
    </xdr:from>
    <xdr:to>
      <xdr:col>75</xdr:col>
      <xdr:colOff>31750</xdr:colOff>
      <xdr:row>23</xdr:row>
      <xdr:rowOff>254000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6428CE27-E6EC-44D3-B4FA-AA0FB7DF2267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9025750" y="5930900"/>
          <a:ext cx="4587875" cy="4857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 FUMAR</a:t>
          </a:r>
        </a:p>
      </xdr:txBody>
    </xdr:sp>
    <xdr:clientData/>
  </xdr:twoCellAnchor>
  <xdr:twoCellAnchor>
    <xdr:from>
      <xdr:col>55</xdr:col>
      <xdr:colOff>371475</xdr:colOff>
      <xdr:row>28</xdr:row>
      <xdr:rowOff>28575</xdr:rowOff>
    </xdr:from>
    <xdr:to>
      <xdr:col>59</xdr:col>
      <xdr:colOff>92220</xdr:colOff>
      <xdr:row>30</xdr:row>
      <xdr:rowOff>138113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695F4146-A8CE-47F4-B655-2A4E85EEBAB1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1664850" y="7696200"/>
          <a:ext cx="4178445" cy="7000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10</xdr:col>
      <xdr:colOff>454731</xdr:colOff>
      <xdr:row>52</xdr:row>
      <xdr:rowOff>172172</xdr:rowOff>
    </xdr:from>
    <xdr:to>
      <xdr:col>12</xdr:col>
      <xdr:colOff>30691</xdr:colOff>
      <xdr:row>59</xdr:row>
      <xdr:rowOff>76200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FB125610-FAFC-4181-BFDE-C5B8102A5DF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598981" y="14421572"/>
          <a:ext cx="1804810" cy="14851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</xdr:col>
      <xdr:colOff>349250</xdr:colOff>
      <xdr:row>49</xdr:row>
      <xdr:rowOff>146050</xdr:rowOff>
    </xdr:from>
    <xdr:to>
      <xdr:col>13</xdr:col>
      <xdr:colOff>69995</xdr:colOff>
      <xdr:row>52</xdr:row>
      <xdr:rowOff>141288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82B385CB-5203-4E19-BAF4-7114E36D6D8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379075" y="13709650"/>
          <a:ext cx="4178445" cy="68103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25</xdr:col>
      <xdr:colOff>723900</xdr:colOff>
      <xdr:row>27</xdr:row>
      <xdr:rowOff>266700</xdr:rowOff>
    </xdr:from>
    <xdr:to>
      <xdr:col>27</xdr:col>
      <xdr:colOff>18344</xdr:colOff>
      <xdr:row>32</xdr:row>
      <xdr:rowOff>173903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FCE54765-2B6A-410F-B790-EC11ADCAC94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8584525" y="7639050"/>
          <a:ext cx="1523294" cy="14026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69</xdr:col>
      <xdr:colOff>95250</xdr:colOff>
      <xdr:row>16</xdr:row>
      <xdr:rowOff>95250</xdr:rowOff>
    </xdr:from>
    <xdr:to>
      <xdr:col>71</xdr:col>
      <xdr:colOff>317500</xdr:colOff>
      <xdr:row>21</xdr:row>
      <xdr:rowOff>127000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887FFA2-D9D5-4BFC-9427-5DBC4A0D911D}"/>
            </a:ext>
          </a:extLst>
        </xdr:cNvPr>
        <xdr:cNvSpPr txBox="1"/>
      </xdr:nvSpPr>
      <xdr:spPr>
        <a:xfrm>
          <a:off x="76990575" y="4171950"/>
          <a:ext cx="2451100" cy="15176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INGRESO DE 6 FUSION  CON MKING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342900</xdr:colOff>
      <xdr:row>21</xdr:row>
      <xdr:rowOff>282291</xdr:rowOff>
    </xdr:from>
    <xdr:to>
      <xdr:col>73</xdr:col>
      <xdr:colOff>1040174</xdr:colOff>
      <xdr:row>35</xdr:row>
      <xdr:rowOff>9525</xdr:rowOff>
    </xdr:to>
    <xdr:pic>
      <xdr:nvPicPr>
        <xdr:cNvPr id="2" name="Imagen 17">
          <a:extLst>
            <a:ext uri="{FF2B5EF4-FFF2-40B4-BE49-F238E27FC236}">
              <a16:creationId xmlns:a16="http://schemas.microsoft.com/office/drawing/2014/main" id="{570C3ADA-DBBE-44E2-B58A-5FFB38CC1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0" y="5844891"/>
          <a:ext cx="1811699" cy="2489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705556</xdr:colOff>
      <xdr:row>30</xdr:row>
      <xdr:rowOff>130897</xdr:rowOff>
    </xdr:from>
    <xdr:to>
      <xdr:col>58</xdr:col>
      <xdr:colOff>0</xdr:colOff>
      <xdr:row>35</xdr:row>
      <xdr:rowOff>38100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9DCF83B9-315B-4986-9726-AAF36519653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113356" y="8389072"/>
          <a:ext cx="1523294" cy="14121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70</xdr:col>
      <xdr:colOff>1016000</xdr:colOff>
      <xdr:row>22</xdr:row>
      <xdr:rowOff>63500</xdr:rowOff>
    </xdr:from>
    <xdr:to>
      <xdr:col>75</xdr:col>
      <xdr:colOff>31750</xdr:colOff>
      <xdr:row>23</xdr:row>
      <xdr:rowOff>254000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8AA21923-E8C9-44E9-A67D-4D314FC176C3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9025750" y="5930900"/>
          <a:ext cx="4587875" cy="4857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 FUMAR</a:t>
          </a:r>
        </a:p>
      </xdr:txBody>
    </xdr:sp>
    <xdr:clientData/>
  </xdr:twoCellAnchor>
  <xdr:twoCellAnchor>
    <xdr:from>
      <xdr:col>55</xdr:col>
      <xdr:colOff>371475</xdr:colOff>
      <xdr:row>28</xdr:row>
      <xdr:rowOff>28575</xdr:rowOff>
    </xdr:from>
    <xdr:to>
      <xdr:col>59</xdr:col>
      <xdr:colOff>92220</xdr:colOff>
      <xdr:row>30</xdr:row>
      <xdr:rowOff>138113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F779B3FC-A7D1-477B-ABDE-1E350B6408F2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1664850" y="7696200"/>
          <a:ext cx="4178445" cy="7000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10</xdr:col>
      <xdr:colOff>454731</xdr:colOff>
      <xdr:row>52</xdr:row>
      <xdr:rowOff>172172</xdr:rowOff>
    </xdr:from>
    <xdr:to>
      <xdr:col>12</xdr:col>
      <xdr:colOff>30691</xdr:colOff>
      <xdr:row>59</xdr:row>
      <xdr:rowOff>76200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F4B54FDD-65B0-4DCC-B925-B3C9979EFD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598981" y="14421572"/>
          <a:ext cx="1804810" cy="14851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</xdr:col>
      <xdr:colOff>349250</xdr:colOff>
      <xdr:row>49</xdr:row>
      <xdr:rowOff>146050</xdr:rowOff>
    </xdr:from>
    <xdr:to>
      <xdr:col>13</xdr:col>
      <xdr:colOff>69995</xdr:colOff>
      <xdr:row>52</xdr:row>
      <xdr:rowOff>141288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B9083EA4-FCE2-4AC7-A341-F75C4DA19E88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379075" y="13709650"/>
          <a:ext cx="4178445" cy="68103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25</xdr:col>
      <xdr:colOff>723900</xdr:colOff>
      <xdr:row>27</xdr:row>
      <xdr:rowOff>266700</xdr:rowOff>
    </xdr:from>
    <xdr:to>
      <xdr:col>27</xdr:col>
      <xdr:colOff>18344</xdr:colOff>
      <xdr:row>32</xdr:row>
      <xdr:rowOff>173903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9A67956-CDF5-48C3-8512-2167A3D9AE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8584525" y="7639050"/>
          <a:ext cx="1523294" cy="14026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69</xdr:col>
      <xdr:colOff>95250</xdr:colOff>
      <xdr:row>16</xdr:row>
      <xdr:rowOff>95250</xdr:rowOff>
    </xdr:from>
    <xdr:to>
      <xdr:col>71</xdr:col>
      <xdr:colOff>317500</xdr:colOff>
      <xdr:row>21</xdr:row>
      <xdr:rowOff>127000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6BFDE43-2D4C-478F-9E78-23A04D4AA13A}"/>
            </a:ext>
          </a:extLst>
        </xdr:cNvPr>
        <xdr:cNvSpPr txBox="1"/>
      </xdr:nvSpPr>
      <xdr:spPr>
        <a:xfrm>
          <a:off x="76990575" y="4171950"/>
          <a:ext cx="2451100" cy="15176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INGRESO DE 6 FUSION  CON MKING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342900</xdr:colOff>
      <xdr:row>21</xdr:row>
      <xdr:rowOff>282291</xdr:rowOff>
    </xdr:from>
    <xdr:to>
      <xdr:col>73</xdr:col>
      <xdr:colOff>1040174</xdr:colOff>
      <xdr:row>42</xdr:row>
      <xdr:rowOff>114300</xdr:rowOff>
    </xdr:to>
    <xdr:pic>
      <xdr:nvPicPr>
        <xdr:cNvPr id="2" name="Imagen 17">
          <a:extLst>
            <a:ext uri="{FF2B5EF4-FFF2-40B4-BE49-F238E27FC236}">
              <a16:creationId xmlns:a16="http://schemas.microsoft.com/office/drawing/2014/main" id="{39BE9F63-3032-4D68-A0F7-D6AA2A9D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0" y="5844891"/>
          <a:ext cx="1811699" cy="3927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705556</xdr:colOff>
      <xdr:row>30</xdr:row>
      <xdr:rowOff>130897</xdr:rowOff>
    </xdr:from>
    <xdr:to>
      <xdr:col>58</xdr:col>
      <xdr:colOff>0</xdr:colOff>
      <xdr:row>35</xdr:row>
      <xdr:rowOff>38100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FC73AE1C-DEDD-452D-9FF5-E086B0002B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113356" y="8389072"/>
          <a:ext cx="1523294" cy="14121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70</xdr:col>
      <xdr:colOff>1016000</xdr:colOff>
      <xdr:row>22</xdr:row>
      <xdr:rowOff>63500</xdr:rowOff>
    </xdr:from>
    <xdr:to>
      <xdr:col>75</xdr:col>
      <xdr:colOff>31750</xdr:colOff>
      <xdr:row>23</xdr:row>
      <xdr:rowOff>254000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1F7D87F5-C332-4143-9DBC-D4D29D54F221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9025750" y="5930900"/>
          <a:ext cx="4587875" cy="4857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 FUMAR</a:t>
          </a:r>
        </a:p>
      </xdr:txBody>
    </xdr:sp>
    <xdr:clientData/>
  </xdr:twoCellAnchor>
  <xdr:twoCellAnchor>
    <xdr:from>
      <xdr:col>55</xdr:col>
      <xdr:colOff>371475</xdr:colOff>
      <xdr:row>28</xdr:row>
      <xdr:rowOff>28575</xdr:rowOff>
    </xdr:from>
    <xdr:to>
      <xdr:col>59</xdr:col>
      <xdr:colOff>92220</xdr:colOff>
      <xdr:row>30</xdr:row>
      <xdr:rowOff>138113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4D220E04-1DE5-451E-8F45-4061342AD398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1664850" y="7696200"/>
          <a:ext cx="4178445" cy="7000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10</xdr:col>
      <xdr:colOff>454731</xdr:colOff>
      <xdr:row>52</xdr:row>
      <xdr:rowOff>172172</xdr:rowOff>
    </xdr:from>
    <xdr:to>
      <xdr:col>12</xdr:col>
      <xdr:colOff>30691</xdr:colOff>
      <xdr:row>59</xdr:row>
      <xdr:rowOff>76200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F274C0B6-7BFA-4484-B6DC-D433819FD5C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598981" y="14421572"/>
          <a:ext cx="1804810" cy="14851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</xdr:col>
      <xdr:colOff>349250</xdr:colOff>
      <xdr:row>49</xdr:row>
      <xdr:rowOff>146050</xdr:rowOff>
    </xdr:from>
    <xdr:to>
      <xdr:col>13</xdr:col>
      <xdr:colOff>69995</xdr:colOff>
      <xdr:row>52</xdr:row>
      <xdr:rowOff>141288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B294133C-47F7-4A3D-B598-9E46CB232827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0379075" y="13709650"/>
          <a:ext cx="4178445" cy="68103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25</xdr:col>
      <xdr:colOff>723900</xdr:colOff>
      <xdr:row>27</xdr:row>
      <xdr:rowOff>266700</xdr:rowOff>
    </xdr:from>
    <xdr:to>
      <xdr:col>27</xdr:col>
      <xdr:colOff>18344</xdr:colOff>
      <xdr:row>32</xdr:row>
      <xdr:rowOff>173903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63F53663-9FDB-4DF6-AA45-081BB735EF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8584525" y="7639050"/>
          <a:ext cx="1523294" cy="14026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69</xdr:col>
      <xdr:colOff>95250</xdr:colOff>
      <xdr:row>16</xdr:row>
      <xdr:rowOff>95250</xdr:rowOff>
    </xdr:from>
    <xdr:to>
      <xdr:col>71</xdr:col>
      <xdr:colOff>317500</xdr:colOff>
      <xdr:row>21</xdr:row>
      <xdr:rowOff>127000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F6B6B2C-9CA7-41BD-801D-7FC37B2E2BCB}"/>
            </a:ext>
          </a:extLst>
        </xdr:cNvPr>
        <xdr:cNvSpPr txBox="1"/>
      </xdr:nvSpPr>
      <xdr:spPr>
        <a:xfrm>
          <a:off x="76990575" y="4171950"/>
          <a:ext cx="2451100" cy="15176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INGRESO DE 6 FUSION  CON MKING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vacio.ceron\Documents\MIX\Big%20Bola%20Atizapan\35506\35506Z-SLOTS-24-08-23-BIG-BOLA-208-BIG-BOLA-ATIZAPAN-.xlsx" TargetMode="External"/><Relationship Id="rId1" Type="http://schemas.openxmlformats.org/officeDocument/2006/relationships/externalLinkPath" Target="/Users/gervacio.ceron/Documents/MIX/Big%20Bola%20Atizapan/35506/35506Z-SLOTS-24-08-23-BIG-BOLA-208-BIG-BOLA-ATIZAPAN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"/>
      <sheetName val="TAM"/>
      <sheetName val="VarDash"/>
      <sheetName val="Lic Backup"/>
      <sheetName val="Licencias"/>
      <sheetName val="Propuesta"/>
      <sheetName val="LayoutAct Mix 10-07-23"/>
      <sheetName val="Licencias Comercial"/>
      <sheetName val="RANGOS"/>
      <sheetName val="Posicion"/>
      <sheetName val="Hoja1"/>
      <sheetName val="Verif Layout"/>
      <sheetName val="Portal"/>
      <sheetName val="Licencias Anterior"/>
      <sheetName val="Datos_actualizados"/>
      <sheetName val="Denominacion"/>
      <sheetName val="Ap minima"/>
      <sheetName val="BD Rankings"/>
    </sheetNames>
    <sheetDataSet>
      <sheetData sheetId="0" refreshError="1"/>
      <sheetData sheetId="1">
        <row r="1">
          <cell r="AQ1" t="str">
            <v>evlutivo</v>
          </cell>
          <cell r="AR1" t="str">
            <v>X</v>
          </cell>
        </row>
        <row r="2">
          <cell r="AR2" t="str">
            <v>x</v>
          </cell>
        </row>
        <row r="3">
          <cell r="AR3" t="str">
            <v>x</v>
          </cell>
        </row>
        <row r="4">
          <cell r="AR4" t="str">
            <v>x</v>
          </cell>
        </row>
        <row r="5">
          <cell r="AR5" t="str">
            <v>x</v>
          </cell>
        </row>
        <row r="6">
          <cell r="AR6" t="str">
            <v>x</v>
          </cell>
        </row>
        <row r="7">
          <cell r="AR7" t="str">
            <v>x</v>
          </cell>
        </row>
        <row r="8">
          <cell r="AR8" t="str">
            <v>x</v>
          </cell>
        </row>
        <row r="9">
          <cell r="AR9" t="str">
            <v>x</v>
          </cell>
        </row>
        <row r="10">
          <cell r="AR10" t="str">
            <v>x</v>
          </cell>
        </row>
        <row r="11">
          <cell r="AR11" t="str">
            <v>x</v>
          </cell>
        </row>
        <row r="12">
          <cell r="AR12" t="str">
            <v>x</v>
          </cell>
        </row>
        <row r="13">
          <cell r="AR13" t="str">
            <v>x</v>
          </cell>
        </row>
        <row r="14">
          <cell r="AR14" t="str">
            <v>x</v>
          </cell>
        </row>
        <row r="15">
          <cell r="AR15" t="str">
            <v>x</v>
          </cell>
        </row>
        <row r="16">
          <cell r="AR16" t="str">
            <v>x</v>
          </cell>
        </row>
        <row r="17">
          <cell r="AR17" t="str">
            <v>x</v>
          </cell>
        </row>
        <row r="18">
          <cell r="AR18" t="str">
            <v>x</v>
          </cell>
        </row>
        <row r="19">
          <cell r="AR19" t="str">
            <v>x</v>
          </cell>
        </row>
        <row r="20">
          <cell r="AR20" t="str">
            <v>x</v>
          </cell>
        </row>
        <row r="21">
          <cell r="AR21" t="str">
            <v>x</v>
          </cell>
        </row>
        <row r="22">
          <cell r="AR22" t="str">
            <v>x</v>
          </cell>
        </row>
        <row r="23">
          <cell r="AR23" t="str">
            <v>x</v>
          </cell>
        </row>
        <row r="24">
          <cell r="AR24" t="str">
            <v>x</v>
          </cell>
        </row>
        <row r="25">
          <cell r="AR25" t="str">
            <v>x</v>
          </cell>
        </row>
        <row r="26">
          <cell r="AR26" t="str">
            <v>x</v>
          </cell>
        </row>
        <row r="27">
          <cell r="AR27" t="str">
            <v>x</v>
          </cell>
        </row>
        <row r="28">
          <cell r="AR28" t="str">
            <v>x</v>
          </cell>
        </row>
        <row r="29">
          <cell r="AR29" t="str">
            <v>x</v>
          </cell>
        </row>
        <row r="30">
          <cell r="AR30" t="str">
            <v>x</v>
          </cell>
        </row>
        <row r="31">
          <cell r="AR31" t="str">
            <v>x</v>
          </cell>
        </row>
        <row r="32">
          <cell r="AR32" t="str">
            <v>x</v>
          </cell>
        </row>
        <row r="33">
          <cell r="AR33" t="str">
            <v>x</v>
          </cell>
        </row>
        <row r="34">
          <cell r="AR34" t="str">
            <v>x</v>
          </cell>
        </row>
        <row r="35">
          <cell r="AR35" t="str">
            <v>x</v>
          </cell>
        </row>
        <row r="36">
          <cell r="AR36" t="str">
            <v>x</v>
          </cell>
        </row>
        <row r="37">
          <cell r="AR37" t="str">
            <v>x</v>
          </cell>
        </row>
        <row r="38">
          <cell r="AR38" t="str">
            <v>x</v>
          </cell>
        </row>
        <row r="39">
          <cell r="AR39" t="str">
            <v>x</v>
          </cell>
        </row>
        <row r="40">
          <cell r="AR40" t="str">
            <v>x</v>
          </cell>
        </row>
        <row r="41">
          <cell r="AR41" t="str">
            <v>x</v>
          </cell>
        </row>
        <row r="42">
          <cell r="AR42" t="str">
            <v>x</v>
          </cell>
        </row>
        <row r="43">
          <cell r="AR43" t="str">
            <v>x</v>
          </cell>
        </row>
        <row r="44">
          <cell r="AR44" t="str">
            <v>x</v>
          </cell>
        </row>
        <row r="45">
          <cell r="AR45" t="str">
            <v>x</v>
          </cell>
        </row>
        <row r="46">
          <cell r="AR46" t="str">
            <v>x</v>
          </cell>
        </row>
        <row r="47">
          <cell r="AR47" t="str">
            <v>x</v>
          </cell>
        </row>
        <row r="48">
          <cell r="AR48" t="str">
            <v>x</v>
          </cell>
        </row>
        <row r="49">
          <cell r="AR49" t="str">
            <v>x</v>
          </cell>
        </row>
        <row r="50">
          <cell r="AR50" t="str">
            <v>x</v>
          </cell>
        </row>
        <row r="51">
          <cell r="AR51" t="str">
            <v>x</v>
          </cell>
        </row>
        <row r="52">
          <cell r="AR52" t="str">
            <v>x</v>
          </cell>
        </row>
        <row r="53">
          <cell r="AR53" t="str">
            <v>x</v>
          </cell>
        </row>
        <row r="54">
          <cell r="AR54" t="str">
            <v>x</v>
          </cell>
        </row>
        <row r="55">
          <cell r="AR55" t="str">
            <v>x</v>
          </cell>
        </row>
        <row r="56">
          <cell r="AR56" t="str">
            <v>x</v>
          </cell>
        </row>
        <row r="57">
          <cell r="AR57" t="str">
            <v>x</v>
          </cell>
        </row>
        <row r="58">
          <cell r="AR58" t="str">
            <v>x</v>
          </cell>
        </row>
        <row r="59">
          <cell r="AR59" t="str">
            <v>x</v>
          </cell>
        </row>
        <row r="60">
          <cell r="AR60" t="str">
            <v>x</v>
          </cell>
        </row>
        <row r="61">
          <cell r="AR61" t="str">
            <v>x</v>
          </cell>
        </row>
        <row r="62">
          <cell r="AR62" t="str">
            <v>x</v>
          </cell>
        </row>
        <row r="63">
          <cell r="AR63" t="str">
            <v>x</v>
          </cell>
        </row>
        <row r="64">
          <cell r="AR64" t="str">
            <v>x</v>
          </cell>
        </row>
        <row r="65">
          <cell r="AR65" t="str">
            <v>x</v>
          </cell>
        </row>
        <row r="66">
          <cell r="AR66" t="str">
            <v>x</v>
          </cell>
        </row>
        <row r="67">
          <cell r="AR67" t="str">
            <v>x</v>
          </cell>
        </row>
        <row r="68">
          <cell r="AR68" t="str">
            <v>x</v>
          </cell>
        </row>
        <row r="69">
          <cell r="AR69" t="str">
            <v>x</v>
          </cell>
        </row>
        <row r="70">
          <cell r="AR70" t="str">
            <v>x</v>
          </cell>
        </row>
        <row r="71">
          <cell r="AR71" t="str">
            <v>x</v>
          </cell>
        </row>
        <row r="72">
          <cell r="AR72" t="str">
            <v>x</v>
          </cell>
        </row>
        <row r="73">
          <cell r="AR73" t="str">
            <v>x</v>
          </cell>
        </row>
        <row r="74">
          <cell r="AR74" t="str">
            <v>x</v>
          </cell>
        </row>
        <row r="75">
          <cell r="AR75" t="str">
            <v>x</v>
          </cell>
        </row>
        <row r="76">
          <cell r="AR76" t="str">
            <v>x</v>
          </cell>
        </row>
        <row r="77">
          <cell r="AR77" t="str">
            <v>x</v>
          </cell>
        </row>
        <row r="78">
          <cell r="AR78" t="str">
            <v>x</v>
          </cell>
        </row>
        <row r="79">
          <cell r="AR79" t="str">
            <v>x</v>
          </cell>
        </row>
        <row r="80">
          <cell r="AR80" t="str">
            <v>x</v>
          </cell>
        </row>
        <row r="81">
          <cell r="AR81" t="str">
            <v>x</v>
          </cell>
        </row>
        <row r="82">
          <cell r="AR82" t="str">
            <v>x</v>
          </cell>
        </row>
        <row r="83">
          <cell r="AR83" t="str">
            <v>x</v>
          </cell>
        </row>
        <row r="84">
          <cell r="AR84" t="str">
            <v>x</v>
          </cell>
        </row>
        <row r="85">
          <cell r="AR85" t="str">
            <v>x</v>
          </cell>
        </row>
        <row r="86">
          <cell r="AR86" t="str">
            <v>x</v>
          </cell>
        </row>
        <row r="87">
          <cell r="AR87" t="str">
            <v>x</v>
          </cell>
        </row>
        <row r="88">
          <cell r="AR88" t="str">
            <v>x</v>
          </cell>
        </row>
        <row r="89">
          <cell r="AR89" t="str">
            <v>x</v>
          </cell>
        </row>
        <row r="90">
          <cell r="AR90" t="str">
            <v>x</v>
          </cell>
        </row>
        <row r="91">
          <cell r="AR91" t="str">
            <v>x</v>
          </cell>
        </row>
        <row r="92">
          <cell r="AR92" t="str">
            <v>x</v>
          </cell>
        </row>
        <row r="93">
          <cell r="AR93" t="str">
            <v>x</v>
          </cell>
        </row>
        <row r="94">
          <cell r="AR94" t="str">
            <v>x</v>
          </cell>
        </row>
        <row r="95">
          <cell r="AR95" t="str">
            <v>x</v>
          </cell>
        </row>
        <row r="96">
          <cell r="AR96" t="str">
            <v>x</v>
          </cell>
        </row>
        <row r="97">
          <cell r="AR97" t="str">
            <v>x</v>
          </cell>
        </row>
        <row r="98">
          <cell r="AR98" t="str">
            <v>x</v>
          </cell>
        </row>
        <row r="99">
          <cell r="AR99" t="str">
            <v>x</v>
          </cell>
        </row>
        <row r="100">
          <cell r="AR100" t="str">
            <v>x</v>
          </cell>
        </row>
        <row r="101">
          <cell r="AR101" t="str">
            <v>x</v>
          </cell>
        </row>
        <row r="102">
          <cell r="AR102" t="str">
            <v>x</v>
          </cell>
        </row>
        <row r="103">
          <cell r="AR103" t="str">
            <v>x</v>
          </cell>
        </row>
        <row r="104">
          <cell r="AR104" t="str">
            <v>x</v>
          </cell>
        </row>
        <row r="105">
          <cell r="AR105" t="str">
            <v>x</v>
          </cell>
        </row>
        <row r="106">
          <cell r="AR106" t="str">
            <v>x</v>
          </cell>
        </row>
        <row r="107">
          <cell r="AR107" t="str">
            <v>x</v>
          </cell>
        </row>
        <row r="108">
          <cell r="AR108" t="str">
            <v>x</v>
          </cell>
        </row>
        <row r="109">
          <cell r="AR109" t="str">
            <v>x</v>
          </cell>
        </row>
        <row r="110">
          <cell r="AR110" t="str">
            <v>x</v>
          </cell>
        </row>
        <row r="111">
          <cell r="AR111" t="str">
            <v>x</v>
          </cell>
        </row>
        <row r="112">
          <cell r="AR112" t="str">
            <v>x</v>
          </cell>
        </row>
        <row r="113">
          <cell r="AR113" t="str">
            <v>x</v>
          </cell>
        </row>
        <row r="114">
          <cell r="AR114" t="str">
            <v>x</v>
          </cell>
        </row>
        <row r="115">
          <cell r="AR115" t="str">
            <v>x</v>
          </cell>
        </row>
        <row r="116">
          <cell r="AR116" t="str">
            <v>x</v>
          </cell>
        </row>
        <row r="117">
          <cell r="AR117" t="str">
            <v>x</v>
          </cell>
        </row>
        <row r="118">
          <cell r="AR118" t="str">
            <v>x</v>
          </cell>
        </row>
        <row r="119">
          <cell r="AR119" t="str">
            <v>x</v>
          </cell>
        </row>
        <row r="120">
          <cell r="AR120" t="str">
            <v>x</v>
          </cell>
        </row>
        <row r="121">
          <cell r="AR121" t="str">
            <v>x</v>
          </cell>
        </row>
        <row r="122">
          <cell r="AR122" t="str">
            <v>x</v>
          </cell>
        </row>
        <row r="123">
          <cell r="AR123" t="str">
            <v>x</v>
          </cell>
        </row>
        <row r="124">
          <cell r="AR124" t="str">
            <v>x</v>
          </cell>
        </row>
        <row r="125">
          <cell r="AR125" t="str">
            <v>x</v>
          </cell>
        </row>
        <row r="126">
          <cell r="AR126" t="str">
            <v>x</v>
          </cell>
        </row>
        <row r="127">
          <cell r="AR127" t="str">
            <v>x</v>
          </cell>
        </row>
        <row r="128">
          <cell r="AR128" t="str">
            <v>x</v>
          </cell>
        </row>
        <row r="129">
          <cell r="AR129" t="str">
            <v>x</v>
          </cell>
        </row>
        <row r="130">
          <cell r="AR130" t="str">
            <v>x</v>
          </cell>
        </row>
        <row r="131">
          <cell r="AR131" t="str">
            <v>x</v>
          </cell>
        </row>
        <row r="132">
          <cell r="AR132" t="str">
            <v>x</v>
          </cell>
        </row>
        <row r="133">
          <cell r="AR133" t="str">
            <v>x</v>
          </cell>
        </row>
        <row r="134">
          <cell r="AR134" t="str">
            <v>x</v>
          </cell>
        </row>
        <row r="135">
          <cell r="AR135" t="str">
            <v>x</v>
          </cell>
        </row>
        <row r="136">
          <cell r="AR136" t="str">
            <v>x</v>
          </cell>
        </row>
        <row r="137">
          <cell r="AR137" t="str">
            <v>x</v>
          </cell>
        </row>
        <row r="138">
          <cell r="AR138" t="str">
            <v>x</v>
          </cell>
        </row>
        <row r="139">
          <cell r="AR139" t="str">
            <v>x</v>
          </cell>
        </row>
        <row r="140">
          <cell r="AR140" t="str">
            <v>x</v>
          </cell>
        </row>
        <row r="141">
          <cell r="AR141" t="str">
            <v>x</v>
          </cell>
        </row>
        <row r="142">
          <cell r="AR142" t="str">
            <v>x</v>
          </cell>
        </row>
        <row r="143">
          <cell r="AR143" t="str">
            <v>x</v>
          </cell>
        </row>
        <row r="144">
          <cell r="AR144" t="str">
            <v>x</v>
          </cell>
        </row>
        <row r="145">
          <cell r="AR145" t="str">
            <v>x</v>
          </cell>
        </row>
        <row r="146">
          <cell r="AR146" t="str">
            <v>x</v>
          </cell>
        </row>
        <row r="147">
          <cell r="AR147" t="str">
            <v>x</v>
          </cell>
        </row>
        <row r="148">
          <cell r="AR148" t="str">
            <v>x</v>
          </cell>
        </row>
        <row r="149">
          <cell r="AR149" t="str">
            <v>x</v>
          </cell>
        </row>
        <row r="150">
          <cell r="AR150" t="str">
            <v>x</v>
          </cell>
        </row>
        <row r="151">
          <cell r="AR151" t="str">
            <v>x</v>
          </cell>
        </row>
        <row r="152">
          <cell r="AR152" t="str">
            <v>x</v>
          </cell>
        </row>
        <row r="153">
          <cell r="AR153" t="str">
            <v>x</v>
          </cell>
        </row>
        <row r="154">
          <cell r="AR154" t="str">
            <v>x</v>
          </cell>
        </row>
        <row r="155">
          <cell r="AR155" t="str">
            <v>x</v>
          </cell>
        </row>
        <row r="156">
          <cell r="AR156" t="str">
            <v>x</v>
          </cell>
        </row>
        <row r="157">
          <cell r="AR157" t="str">
            <v>x</v>
          </cell>
        </row>
        <row r="158">
          <cell r="AR158" t="str">
            <v>x</v>
          </cell>
        </row>
        <row r="159">
          <cell r="AR159" t="str">
            <v>x</v>
          </cell>
        </row>
        <row r="160">
          <cell r="AR160" t="str">
            <v>x</v>
          </cell>
        </row>
        <row r="161">
          <cell r="AR161" t="str">
            <v>x</v>
          </cell>
        </row>
        <row r="162">
          <cell r="AR162" t="str">
            <v>x</v>
          </cell>
        </row>
        <row r="163">
          <cell r="AR163" t="str">
            <v>x</v>
          </cell>
        </row>
        <row r="164">
          <cell r="AR164" t="str">
            <v>x</v>
          </cell>
        </row>
        <row r="165">
          <cell r="AR165" t="str">
            <v>x</v>
          </cell>
        </row>
        <row r="166">
          <cell r="AR166" t="str">
            <v>x</v>
          </cell>
        </row>
        <row r="167">
          <cell r="AR167" t="str">
            <v>x</v>
          </cell>
        </row>
        <row r="168">
          <cell r="AR168" t="str">
            <v>x</v>
          </cell>
        </row>
        <row r="169">
          <cell r="AR169" t="str">
            <v>x</v>
          </cell>
        </row>
        <row r="170">
          <cell r="AR170" t="str">
            <v>x</v>
          </cell>
        </row>
        <row r="171">
          <cell r="AR171" t="str">
            <v>x</v>
          </cell>
        </row>
        <row r="172">
          <cell r="AR172" t="str">
            <v>x</v>
          </cell>
        </row>
        <row r="173">
          <cell r="AR173" t="str">
            <v>x</v>
          </cell>
        </row>
        <row r="174">
          <cell r="AR174" t="str">
            <v>x</v>
          </cell>
        </row>
        <row r="175">
          <cell r="AR175" t="str">
            <v>x</v>
          </cell>
        </row>
        <row r="176">
          <cell r="AR176" t="str">
            <v>x</v>
          </cell>
        </row>
        <row r="177">
          <cell r="AR177" t="str">
            <v>x</v>
          </cell>
        </row>
        <row r="178">
          <cell r="AR178" t="str">
            <v>x</v>
          </cell>
        </row>
        <row r="179">
          <cell r="AR179" t="str">
            <v>x</v>
          </cell>
        </row>
        <row r="180">
          <cell r="AR180" t="str">
            <v>x</v>
          </cell>
        </row>
        <row r="181">
          <cell r="AR181" t="str">
            <v>x</v>
          </cell>
        </row>
        <row r="182">
          <cell r="AR182" t="str">
            <v>x</v>
          </cell>
        </row>
        <row r="183">
          <cell r="AR183" t="str">
            <v>x</v>
          </cell>
        </row>
        <row r="184">
          <cell r="AR184" t="str">
            <v>x</v>
          </cell>
        </row>
        <row r="185">
          <cell r="AR185" t="str">
            <v>x</v>
          </cell>
        </row>
        <row r="186">
          <cell r="AR186" t="str">
            <v>x</v>
          </cell>
        </row>
        <row r="187">
          <cell r="AR187" t="str">
            <v>x</v>
          </cell>
        </row>
        <row r="188">
          <cell r="AR188" t="str">
            <v>x</v>
          </cell>
        </row>
        <row r="189">
          <cell r="AR189" t="str">
            <v>x</v>
          </cell>
        </row>
        <row r="190">
          <cell r="AR190" t="str">
            <v>x</v>
          </cell>
        </row>
        <row r="191">
          <cell r="AR191" t="str">
            <v>x</v>
          </cell>
        </row>
        <row r="192">
          <cell r="AR192" t="str">
            <v>x</v>
          </cell>
        </row>
        <row r="193">
          <cell r="AR193" t="str">
            <v>x</v>
          </cell>
        </row>
        <row r="194">
          <cell r="AR194" t="str">
            <v>x</v>
          </cell>
        </row>
        <row r="195">
          <cell r="AR195" t="str">
            <v>x</v>
          </cell>
        </row>
        <row r="196">
          <cell r="AR196" t="str">
            <v>x</v>
          </cell>
        </row>
        <row r="197">
          <cell r="AR197" t="str">
            <v>x</v>
          </cell>
        </row>
        <row r="198">
          <cell r="AR198" t="str">
            <v>x</v>
          </cell>
        </row>
        <row r="199">
          <cell r="AR199" t="str">
            <v>x</v>
          </cell>
        </row>
        <row r="200">
          <cell r="AR200" t="str">
            <v>x</v>
          </cell>
        </row>
        <row r="201">
          <cell r="AR201" t="str">
            <v>x</v>
          </cell>
        </row>
        <row r="202">
          <cell r="AR202" t="str">
            <v>x</v>
          </cell>
        </row>
        <row r="203">
          <cell r="AR203" t="str">
            <v>x</v>
          </cell>
        </row>
        <row r="204">
          <cell r="AR204" t="str">
            <v>x</v>
          </cell>
        </row>
        <row r="205">
          <cell r="AR205" t="str">
            <v>x</v>
          </cell>
        </row>
        <row r="206">
          <cell r="AR206" t="str">
            <v>x</v>
          </cell>
        </row>
        <row r="207">
          <cell r="AR207" t="str">
            <v>x</v>
          </cell>
        </row>
        <row r="208">
          <cell r="AR208" t="str">
            <v>x</v>
          </cell>
        </row>
        <row r="209">
          <cell r="AR209" t="str">
            <v>x</v>
          </cell>
        </row>
        <row r="210">
          <cell r="AR210" t="str">
            <v>x</v>
          </cell>
        </row>
        <row r="211">
          <cell r="AR211" t="str">
            <v>x</v>
          </cell>
        </row>
        <row r="212">
          <cell r="AR212" t="str">
            <v>x</v>
          </cell>
        </row>
        <row r="213">
          <cell r="AR213" t="str">
            <v>x</v>
          </cell>
        </row>
        <row r="214">
          <cell r="AR214" t="str">
            <v>x</v>
          </cell>
        </row>
        <row r="215">
          <cell r="AR215" t="str">
            <v>x</v>
          </cell>
        </row>
        <row r="216">
          <cell r="AR216" t="str">
            <v>x</v>
          </cell>
        </row>
        <row r="217">
          <cell r="AR217" t="str">
            <v>x</v>
          </cell>
        </row>
        <row r="218">
          <cell r="AR218" t="str">
            <v>x</v>
          </cell>
        </row>
        <row r="219">
          <cell r="AR219" t="str">
            <v>x</v>
          </cell>
        </row>
        <row r="220">
          <cell r="AR220" t="str">
            <v>x</v>
          </cell>
        </row>
        <row r="221">
          <cell r="AR221" t="str">
            <v>x</v>
          </cell>
        </row>
        <row r="222">
          <cell r="AR222" t="str">
            <v>x</v>
          </cell>
        </row>
        <row r="223">
          <cell r="AR223" t="str">
            <v>x</v>
          </cell>
        </row>
        <row r="224">
          <cell r="AR224" t="str">
            <v>x</v>
          </cell>
        </row>
        <row r="225">
          <cell r="AR225" t="str">
            <v>x</v>
          </cell>
        </row>
        <row r="226">
          <cell r="AR226" t="str">
            <v>x</v>
          </cell>
        </row>
        <row r="227">
          <cell r="AR227" t="str">
            <v>x</v>
          </cell>
        </row>
        <row r="228">
          <cell r="AR228" t="str">
            <v>x</v>
          </cell>
        </row>
        <row r="229">
          <cell r="AR229" t="str">
            <v>x</v>
          </cell>
        </row>
        <row r="230">
          <cell r="AR230" t="str">
            <v>x</v>
          </cell>
        </row>
        <row r="231">
          <cell r="AR231" t="str">
            <v>x</v>
          </cell>
        </row>
        <row r="232">
          <cell r="AR232" t="str">
            <v>x</v>
          </cell>
        </row>
        <row r="233">
          <cell r="AR233" t="str">
            <v>x</v>
          </cell>
        </row>
        <row r="234">
          <cell r="AR234" t="str">
            <v>x</v>
          </cell>
        </row>
        <row r="235">
          <cell r="AR235" t="str">
            <v>x</v>
          </cell>
        </row>
        <row r="236">
          <cell r="AR236" t="str">
            <v>x</v>
          </cell>
        </row>
        <row r="237">
          <cell r="AR237" t="str">
            <v>x</v>
          </cell>
        </row>
        <row r="238">
          <cell r="AR238" t="str">
            <v>x</v>
          </cell>
        </row>
        <row r="239">
          <cell r="AR239" t="str">
            <v>x</v>
          </cell>
        </row>
        <row r="240">
          <cell r="AR240" t="str">
            <v>x</v>
          </cell>
        </row>
        <row r="241">
          <cell r="AR241" t="str">
            <v>x</v>
          </cell>
        </row>
        <row r="242">
          <cell r="AR242" t="str">
            <v>x</v>
          </cell>
        </row>
        <row r="243">
          <cell r="AR243" t="str">
            <v>x</v>
          </cell>
        </row>
        <row r="244">
          <cell r="AR244" t="str">
            <v>x</v>
          </cell>
        </row>
        <row r="245">
          <cell r="AR245" t="str">
            <v>x</v>
          </cell>
        </row>
        <row r="246">
          <cell r="AR246" t="str">
            <v>x</v>
          </cell>
        </row>
        <row r="247">
          <cell r="AR247" t="str">
            <v>x</v>
          </cell>
        </row>
        <row r="248">
          <cell r="AR248" t="str">
            <v>x</v>
          </cell>
        </row>
        <row r="249">
          <cell r="AR249" t="str">
            <v>x</v>
          </cell>
        </row>
        <row r="250">
          <cell r="AR250" t="str">
            <v>x</v>
          </cell>
        </row>
        <row r="251">
          <cell r="AR251" t="str">
            <v>x</v>
          </cell>
        </row>
        <row r="252">
          <cell r="AR252" t="str">
            <v>x</v>
          </cell>
        </row>
        <row r="253">
          <cell r="AR253" t="str">
            <v>x</v>
          </cell>
        </row>
        <row r="254">
          <cell r="AR254" t="str">
            <v>x</v>
          </cell>
        </row>
        <row r="255">
          <cell r="AR255" t="str">
            <v>x</v>
          </cell>
        </row>
        <row r="256">
          <cell r="AR256" t="str">
            <v>x</v>
          </cell>
        </row>
        <row r="257">
          <cell r="AR257" t="str">
            <v>x</v>
          </cell>
        </row>
        <row r="258">
          <cell r="AR258" t="str">
            <v>x</v>
          </cell>
        </row>
        <row r="259">
          <cell r="AR259" t="str">
            <v>x</v>
          </cell>
        </row>
        <row r="260">
          <cell r="AR260" t="str">
            <v>x</v>
          </cell>
        </row>
        <row r="261">
          <cell r="AR261" t="str">
            <v>x</v>
          </cell>
        </row>
        <row r="262">
          <cell r="AR262" t="str">
            <v>x</v>
          </cell>
        </row>
        <row r="263">
          <cell r="AR263" t="str">
            <v>x</v>
          </cell>
        </row>
        <row r="264">
          <cell r="AR264" t="str">
            <v>x</v>
          </cell>
        </row>
        <row r="265">
          <cell r="AR265" t="str">
            <v>x</v>
          </cell>
        </row>
        <row r="266">
          <cell r="AR266" t="str">
            <v>x</v>
          </cell>
        </row>
        <row r="267">
          <cell r="AR267" t="str">
            <v>x</v>
          </cell>
        </row>
        <row r="268">
          <cell r="AR268" t="str">
            <v>x</v>
          </cell>
        </row>
        <row r="269">
          <cell r="AR269" t="str">
            <v>x</v>
          </cell>
        </row>
        <row r="270">
          <cell r="AR270" t="str">
            <v>x</v>
          </cell>
        </row>
        <row r="271">
          <cell r="AR271" t="str">
            <v>x</v>
          </cell>
        </row>
        <row r="272">
          <cell r="AR272" t="str">
            <v>x</v>
          </cell>
        </row>
        <row r="273">
          <cell r="AR273" t="str">
            <v>x</v>
          </cell>
        </row>
        <row r="274">
          <cell r="AR274" t="str">
            <v>x</v>
          </cell>
        </row>
        <row r="275">
          <cell r="AR275" t="str">
            <v>x</v>
          </cell>
        </row>
        <row r="276">
          <cell r="AR276" t="str">
            <v>x</v>
          </cell>
        </row>
        <row r="277">
          <cell r="AR277" t="str">
            <v>x</v>
          </cell>
        </row>
        <row r="278">
          <cell r="AR278" t="str">
            <v>x</v>
          </cell>
        </row>
        <row r="279">
          <cell r="AR279" t="str">
            <v>x</v>
          </cell>
        </row>
        <row r="280">
          <cell r="AR280" t="str">
            <v>x</v>
          </cell>
        </row>
        <row r="281">
          <cell r="AR281" t="str">
            <v>x</v>
          </cell>
        </row>
        <row r="282">
          <cell r="AR282" t="str">
            <v>x</v>
          </cell>
        </row>
        <row r="283">
          <cell r="AR283" t="str">
            <v>x</v>
          </cell>
        </row>
        <row r="284">
          <cell r="AR284" t="str">
            <v>x</v>
          </cell>
        </row>
        <row r="285">
          <cell r="AR285" t="str">
            <v>x</v>
          </cell>
        </row>
        <row r="286">
          <cell r="AR286" t="str">
            <v>x</v>
          </cell>
        </row>
        <row r="287">
          <cell r="AR287" t="str">
            <v>x</v>
          </cell>
        </row>
        <row r="288">
          <cell r="AR288" t="str">
            <v>x</v>
          </cell>
        </row>
        <row r="289">
          <cell r="AR289" t="str">
            <v>x</v>
          </cell>
        </row>
        <row r="290">
          <cell r="AR290" t="str">
            <v>x</v>
          </cell>
        </row>
        <row r="291">
          <cell r="AR291" t="str">
            <v>x</v>
          </cell>
        </row>
        <row r="292">
          <cell r="AR292" t="str">
            <v>x</v>
          </cell>
        </row>
        <row r="293">
          <cell r="AR293" t="str">
            <v>x</v>
          </cell>
        </row>
        <row r="294">
          <cell r="AR294" t="str">
            <v>x</v>
          </cell>
        </row>
        <row r="295">
          <cell r="AR295" t="str">
            <v>x</v>
          </cell>
        </row>
        <row r="296">
          <cell r="AR296" t="str">
            <v>x</v>
          </cell>
        </row>
        <row r="297">
          <cell r="AR297" t="str">
            <v>x</v>
          </cell>
        </row>
        <row r="298">
          <cell r="AR298" t="str">
            <v>x</v>
          </cell>
        </row>
        <row r="299">
          <cell r="AR299" t="str">
            <v>x</v>
          </cell>
        </row>
        <row r="300">
          <cell r="AR300" t="str">
            <v>x</v>
          </cell>
        </row>
        <row r="301">
          <cell r="AR301" t="str">
            <v>x</v>
          </cell>
        </row>
        <row r="302">
          <cell r="AR302" t="str">
            <v>x</v>
          </cell>
        </row>
        <row r="303">
          <cell r="AR303" t="str">
            <v>x</v>
          </cell>
        </row>
        <row r="304">
          <cell r="AR304" t="str">
            <v>x</v>
          </cell>
        </row>
        <row r="305">
          <cell r="AR305" t="str">
            <v>x</v>
          </cell>
        </row>
        <row r="306">
          <cell r="AR306" t="str">
            <v>x</v>
          </cell>
        </row>
        <row r="307">
          <cell r="AR307" t="str">
            <v>x</v>
          </cell>
        </row>
        <row r="308">
          <cell r="AR308" t="str">
            <v>x</v>
          </cell>
        </row>
        <row r="309">
          <cell r="AR309" t="str">
            <v>x</v>
          </cell>
        </row>
        <row r="310">
          <cell r="AR310" t="str">
            <v>x</v>
          </cell>
        </row>
        <row r="311">
          <cell r="AR311" t="str">
            <v>x</v>
          </cell>
        </row>
        <row r="312">
          <cell r="AR312" t="str">
            <v>x</v>
          </cell>
        </row>
        <row r="313">
          <cell r="AR313" t="str">
            <v>x</v>
          </cell>
        </row>
        <row r="314">
          <cell r="AR314" t="str">
            <v>x</v>
          </cell>
        </row>
        <row r="315">
          <cell r="AR315" t="str">
            <v>x</v>
          </cell>
        </row>
        <row r="316">
          <cell r="AR316" t="str">
            <v>x</v>
          </cell>
        </row>
        <row r="317">
          <cell r="AR317" t="str">
            <v>x</v>
          </cell>
        </row>
        <row r="318">
          <cell r="AR318" t="str">
            <v>x</v>
          </cell>
        </row>
        <row r="319">
          <cell r="AR319" t="str">
            <v>x</v>
          </cell>
        </row>
        <row r="320">
          <cell r="AR320" t="str">
            <v>x</v>
          </cell>
        </row>
        <row r="321">
          <cell r="AR321" t="str">
            <v>x</v>
          </cell>
        </row>
        <row r="322">
          <cell r="AR322" t="str">
            <v>x</v>
          </cell>
        </row>
        <row r="323">
          <cell r="AR323" t="str">
            <v>x</v>
          </cell>
        </row>
        <row r="324">
          <cell r="AR324" t="str">
            <v>x</v>
          </cell>
        </row>
        <row r="325">
          <cell r="AR325" t="str">
            <v>x</v>
          </cell>
        </row>
        <row r="326">
          <cell r="AR326" t="str">
            <v>x</v>
          </cell>
        </row>
        <row r="327">
          <cell r="AR327" t="str">
            <v>x</v>
          </cell>
        </row>
        <row r="328">
          <cell r="AR328" t="str">
            <v>x</v>
          </cell>
        </row>
        <row r="329">
          <cell r="AR329" t="str">
            <v>x</v>
          </cell>
        </row>
        <row r="330">
          <cell r="AR330" t="str">
            <v>x</v>
          </cell>
        </row>
        <row r="331">
          <cell r="AR331" t="str">
            <v>x</v>
          </cell>
        </row>
        <row r="332">
          <cell r="AR332" t="str">
            <v>x</v>
          </cell>
        </row>
        <row r="333">
          <cell r="AR333" t="str">
            <v>x</v>
          </cell>
        </row>
        <row r="334">
          <cell r="AR334" t="str">
            <v>x</v>
          </cell>
        </row>
        <row r="335">
          <cell r="AR335" t="str">
            <v>x</v>
          </cell>
        </row>
        <row r="336">
          <cell r="AR336" t="str">
            <v>x</v>
          </cell>
        </row>
        <row r="337">
          <cell r="AR337" t="str">
            <v>x</v>
          </cell>
        </row>
        <row r="338">
          <cell r="AR338" t="str">
            <v>x</v>
          </cell>
        </row>
        <row r="339">
          <cell r="AR339" t="str">
            <v>x</v>
          </cell>
        </row>
        <row r="340">
          <cell r="AR340" t="str">
            <v>x</v>
          </cell>
        </row>
        <row r="341">
          <cell r="AR341" t="str">
            <v>x</v>
          </cell>
        </row>
        <row r="342">
          <cell r="AR342" t="str">
            <v>x</v>
          </cell>
        </row>
        <row r="343">
          <cell r="AR343" t="str">
            <v>x</v>
          </cell>
        </row>
        <row r="344">
          <cell r="AR344" t="str">
            <v>x</v>
          </cell>
        </row>
        <row r="345">
          <cell r="AR345" t="str">
            <v>x</v>
          </cell>
        </row>
        <row r="346">
          <cell r="AR346" t="str">
            <v>x</v>
          </cell>
        </row>
        <row r="347">
          <cell r="AR347" t="str">
            <v>x</v>
          </cell>
        </row>
        <row r="348">
          <cell r="AR348" t="str">
            <v>x</v>
          </cell>
        </row>
        <row r="349">
          <cell r="AR349" t="str">
            <v>x</v>
          </cell>
        </row>
        <row r="350">
          <cell r="AR350" t="str">
            <v>x</v>
          </cell>
        </row>
        <row r="351">
          <cell r="AR351" t="str">
            <v>x</v>
          </cell>
        </row>
        <row r="352">
          <cell r="AR352" t="str">
            <v>x</v>
          </cell>
        </row>
        <row r="353">
          <cell r="AR353" t="str">
            <v>x</v>
          </cell>
        </row>
        <row r="354">
          <cell r="AR354" t="str">
            <v>x</v>
          </cell>
        </row>
        <row r="355">
          <cell r="AR355" t="str">
            <v>x</v>
          </cell>
        </row>
        <row r="356">
          <cell r="AR356" t="str">
            <v>x</v>
          </cell>
        </row>
        <row r="357">
          <cell r="AR357" t="str">
            <v>x</v>
          </cell>
        </row>
        <row r="358">
          <cell r="AR358" t="str">
            <v>x</v>
          </cell>
        </row>
        <row r="359">
          <cell r="AR359" t="str">
            <v>x</v>
          </cell>
        </row>
        <row r="360">
          <cell r="AR360" t="str">
            <v>x</v>
          </cell>
        </row>
        <row r="361">
          <cell r="AR361" t="str">
            <v>x</v>
          </cell>
        </row>
        <row r="362">
          <cell r="AR362" t="str">
            <v>x</v>
          </cell>
        </row>
        <row r="363">
          <cell r="AR363" t="str">
            <v>x</v>
          </cell>
        </row>
        <row r="364">
          <cell r="AR364" t="str">
            <v>x</v>
          </cell>
        </row>
        <row r="365">
          <cell r="AR365" t="str">
            <v>x</v>
          </cell>
        </row>
        <row r="366">
          <cell r="AR366" t="str">
            <v>x</v>
          </cell>
        </row>
        <row r="367">
          <cell r="AR367" t="str">
            <v>x</v>
          </cell>
        </row>
        <row r="368">
          <cell r="AR368" t="str">
            <v>x</v>
          </cell>
        </row>
        <row r="369">
          <cell r="AR369" t="str">
            <v>x</v>
          </cell>
        </row>
        <row r="370">
          <cell r="AR370" t="str">
            <v>x</v>
          </cell>
        </row>
        <row r="371">
          <cell r="AR371" t="str">
            <v>x</v>
          </cell>
        </row>
        <row r="372">
          <cell r="AR372" t="str">
            <v>x</v>
          </cell>
        </row>
        <row r="373">
          <cell r="AR373" t="str">
            <v>x</v>
          </cell>
        </row>
        <row r="374">
          <cell r="AR374" t="str">
            <v>x</v>
          </cell>
        </row>
        <row r="375">
          <cell r="AR375" t="str">
            <v>x</v>
          </cell>
        </row>
        <row r="376">
          <cell r="AR376" t="str">
            <v>x</v>
          </cell>
        </row>
        <row r="377">
          <cell r="AR377" t="str">
            <v>x</v>
          </cell>
        </row>
        <row r="378">
          <cell r="AR378" t="str">
            <v>x</v>
          </cell>
        </row>
        <row r="379">
          <cell r="AR379" t="str">
            <v>x</v>
          </cell>
        </row>
        <row r="380">
          <cell r="AR380" t="str">
            <v>x</v>
          </cell>
        </row>
        <row r="381">
          <cell r="AR381" t="str">
            <v>x</v>
          </cell>
        </row>
        <row r="382">
          <cell r="AR382" t="str">
            <v>x</v>
          </cell>
        </row>
        <row r="383">
          <cell r="AR383" t="str">
            <v>x</v>
          </cell>
        </row>
        <row r="384">
          <cell r="AR384" t="str">
            <v>x</v>
          </cell>
        </row>
        <row r="385">
          <cell r="AR385" t="str">
            <v>x</v>
          </cell>
        </row>
        <row r="386">
          <cell r="AR386" t="str">
            <v>x</v>
          </cell>
        </row>
        <row r="387">
          <cell r="AR387" t="str">
            <v>x</v>
          </cell>
        </row>
        <row r="388">
          <cell r="AR388" t="str">
            <v>x</v>
          </cell>
        </row>
        <row r="389">
          <cell r="AR389" t="str">
            <v>x</v>
          </cell>
        </row>
        <row r="390">
          <cell r="AR390" t="str">
            <v>x</v>
          </cell>
        </row>
        <row r="391">
          <cell r="AR391" t="str">
            <v>x</v>
          </cell>
        </row>
        <row r="392">
          <cell r="AR392" t="str">
            <v>x</v>
          </cell>
        </row>
        <row r="393">
          <cell r="AR393" t="str">
            <v>x</v>
          </cell>
        </row>
        <row r="394">
          <cell r="AR394" t="str">
            <v>x</v>
          </cell>
        </row>
        <row r="395">
          <cell r="AR395" t="str">
            <v>x</v>
          </cell>
        </row>
        <row r="396">
          <cell r="AR396" t="str">
            <v>x</v>
          </cell>
        </row>
        <row r="397">
          <cell r="AR397" t="str">
            <v>x</v>
          </cell>
        </row>
        <row r="398">
          <cell r="AR398" t="str">
            <v>x</v>
          </cell>
        </row>
        <row r="399">
          <cell r="AR399" t="str">
            <v>x</v>
          </cell>
        </row>
        <row r="400">
          <cell r="AR400" t="str">
            <v>x</v>
          </cell>
        </row>
        <row r="401">
          <cell r="AR401" t="str">
            <v>x</v>
          </cell>
        </row>
        <row r="402">
          <cell r="AR402" t="str">
            <v>x</v>
          </cell>
        </row>
        <row r="403">
          <cell r="AR403" t="str">
            <v>x</v>
          </cell>
        </row>
        <row r="404">
          <cell r="AR404" t="str">
            <v>x</v>
          </cell>
        </row>
        <row r="405">
          <cell r="AR405" t="str">
            <v>x</v>
          </cell>
        </row>
        <row r="406">
          <cell r="AR406" t="str">
            <v>x</v>
          </cell>
        </row>
        <row r="407">
          <cell r="AR407" t="str">
            <v>x</v>
          </cell>
        </row>
        <row r="408">
          <cell r="AR408" t="str">
            <v>x</v>
          </cell>
        </row>
        <row r="409">
          <cell r="AR409" t="str">
            <v>x</v>
          </cell>
        </row>
        <row r="410">
          <cell r="AR410" t="str">
            <v>x</v>
          </cell>
        </row>
        <row r="411">
          <cell r="AR411" t="str">
            <v>x</v>
          </cell>
        </row>
        <row r="412">
          <cell r="AR412" t="str">
            <v>x</v>
          </cell>
        </row>
        <row r="413">
          <cell r="AR413" t="str">
            <v>x</v>
          </cell>
        </row>
        <row r="414">
          <cell r="AR414" t="str">
            <v>x</v>
          </cell>
        </row>
        <row r="415">
          <cell r="AR415" t="str">
            <v>x</v>
          </cell>
        </row>
        <row r="416">
          <cell r="AR416" t="str">
            <v>x</v>
          </cell>
        </row>
        <row r="417">
          <cell r="AR417" t="str">
            <v>x</v>
          </cell>
        </row>
        <row r="418">
          <cell r="AR418" t="str">
            <v>x</v>
          </cell>
        </row>
        <row r="419">
          <cell r="AR419" t="str">
            <v>x</v>
          </cell>
        </row>
        <row r="420">
          <cell r="AR420" t="str">
            <v>x</v>
          </cell>
        </row>
        <row r="421">
          <cell r="AR421" t="str">
            <v>x</v>
          </cell>
        </row>
        <row r="422">
          <cell r="AR422" t="str">
            <v>x</v>
          </cell>
        </row>
        <row r="423">
          <cell r="AR423" t="str">
            <v>x</v>
          </cell>
        </row>
        <row r="424">
          <cell r="AR424" t="str">
            <v>x</v>
          </cell>
        </row>
        <row r="425">
          <cell r="AR425" t="str">
            <v>x</v>
          </cell>
        </row>
        <row r="426">
          <cell r="AR426" t="str">
            <v>x</v>
          </cell>
        </row>
        <row r="427">
          <cell r="AR427" t="str">
            <v>x</v>
          </cell>
        </row>
        <row r="428">
          <cell r="AR428" t="str">
            <v>x</v>
          </cell>
        </row>
        <row r="429">
          <cell r="AR429" t="str">
            <v>x</v>
          </cell>
        </row>
        <row r="430">
          <cell r="AR430" t="str">
            <v>x</v>
          </cell>
        </row>
        <row r="431">
          <cell r="AR431" t="str">
            <v>x</v>
          </cell>
        </row>
        <row r="432">
          <cell r="AR432" t="str">
            <v>x</v>
          </cell>
        </row>
        <row r="433">
          <cell r="AR433" t="str">
            <v>x</v>
          </cell>
        </row>
        <row r="434">
          <cell r="AR434" t="str">
            <v>x</v>
          </cell>
        </row>
        <row r="435">
          <cell r="AR435" t="str">
            <v>x</v>
          </cell>
        </row>
        <row r="436">
          <cell r="AR436" t="str">
            <v>x</v>
          </cell>
        </row>
        <row r="437">
          <cell r="AR437" t="str">
            <v>x</v>
          </cell>
        </row>
        <row r="438">
          <cell r="AR438" t="str">
            <v>x</v>
          </cell>
        </row>
        <row r="439">
          <cell r="AR439" t="str">
            <v>x</v>
          </cell>
        </row>
        <row r="440">
          <cell r="AR440" t="str">
            <v>x</v>
          </cell>
        </row>
        <row r="441">
          <cell r="AR441" t="str">
            <v>x</v>
          </cell>
        </row>
        <row r="442">
          <cell r="AR442" t="str">
            <v>x</v>
          </cell>
        </row>
        <row r="443">
          <cell r="AR443" t="str">
            <v>x</v>
          </cell>
        </row>
        <row r="444">
          <cell r="AR444" t="str">
            <v>x</v>
          </cell>
        </row>
        <row r="445">
          <cell r="AR445" t="str">
            <v>x</v>
          </cell>
        </row>
        <row r="446">
          <cell r="AR446" t="str">
            <v>x</v>
          </cell>
        </row>
        <row r="447">
          <cell r="AR447" t="str">
            <v>x</v>
          </cell>
        </row>
        <row r="448">
          <cell r="AR448" t="str">
            <v>x</v>
          </cell>
        </row>
        <row r="449">
          <cell r="AR449" t="str">
            <v>x</v>
          </cell>
        </row>
        <row r="450">
          <cell r="AR450" t="str">
            <v>x</v>
          </cell>
        </row>
        <row r="451">
          <cell r="AR451" t="str">
            <v>x</v>
          </cell>
        </row>
        <row r="452">
          <cell r="AR452" t="str">
            <v>x</v>
          </cell>
        </row>
        <row r="453">
          <cell r="AR453" t="str">
            <v>x</v>
          </cell>
        </row>
        <row r="454">
          <cell r="AR454" t="str">
            <v>x</v>
          </cell>
        </row>
        <row r="455">
          <cell r="AR455" t="str">
            <v>x</v>
          </cell>
        </row>
        <row r="456">
          <cell r="AR456" t="str">
            <v>x</v>
          </cell>
        </row>
        <row r="457">
          <cell r="AR457" t="str">
            <v>x</v>
          </cell>
        </row>
        <row r="458">
          <cell r="AR458" t="str">
            <v>x</v>
          </cell>
        </row>
        <row r="459">
          <cell r="AR459" t="str">
            <v>x</v>
          </cell>
        </row>
        <row r="460">
          <cell r="AR460" t="str">
            <v>x</v>
          </cell>
        </row>
        <row r="461">
          <cell r="AR461" t="str">
            <v>x</v>
          </cell>
        </row>
        <row r="462">
          <cell r="AR462" t="str">
            <v>x</v>
          </cell>
        </row>
        <row r="463">
          <cell r="AR463" t="str">
            <v>x</v>
          </cell>
        </row>
        <row r="464">
          <cell r="AR464" t="str">
            <v>x</v>
          </cell>
        </row>
        <row r="465">
          <cell r="AR465" t="str">
            <v>x</v>
          </cell>
        </row>
        <row r="466">
          <cell r="AR466" t="str">
            <v>x</v>
          </cell>
        </row>
        <row r="467">
          <cell r="AR467" t="str">
            <v>x</v>
          </cell>
        </row>
        <row r="468">
          <cell r="AR468" t="str">
            <v>x</v>
          </cell>
        </row>
        <row r="469">
          <cell r="AR469" t="str">
            <v>x</v>
          </cell>
        </row>
        <row r="470">
          <cell r="AR470" t="str">
            <v>x</v>
          </cell>
        </row>
        <row r="471">
          <cell r="AR471" t="str">
            <v>x</v>
          </cell>
        </row>
        <row r="472">
          <cell r="AR472" t="str">
            <v>x</v>
          </cell>
        </row>
        <row r="473">
          <cell r="AR473" t="str">
            <v>x</v>
          </cell>
        </row>
        <row r="474">
          <cell r="AR474" t="str">
            <v>x</v>
          </cell>
        </row>
        <row r="475">
          <cell r="AR475" t="str">
            <v>x</v>
          </cell>
        </row>
        <row r="476">
          <cell r="AR476" t="str">
            <v>x</v>
          </cell>
        </row>
        <row r="477">
          <cell r="AR477" t="str">
            <v>x</v>
          </cell>
        </row>
        <row r="478">
          <cell r="AR478" t="str">
            <v>x</v>
          </cell>
        </row>
        <row r="479">
          <cell r="AR479" t="str">
            <v>x</v>
          </cell>
        </row>
        <row r="480">
          <cell r="AR480" t="str">
            <v>x</v>
          </cell>
        </row>
        <row r="481">
          <cell r="AR481" t="str">
            <v>x</v>
          </cell>
        </row>
        <row r="482">
          <cell r="AR482" t="str">
            <v>x</v>
          </cell>
        </row>
        <row r="483">
          <cell r="AR483" t="str">
            <v>x</v>
          </cell>
        </row>
        <row r="484">
          <cell r="AR484" t="str">
            <v>x</v>
          </cell>
        </row>
        <row r="485">
          <cell r="AR485" t="str">
            <v>x</v>
          </cell>
        </row>
        <row r="486">
          <cell r="AR486" t="str">
            <v>x</v>
          </cell>
        </row>
        <row r="487">
          <cell r="AR487" t="str">
            <v>x</v>
          </cell>
        </row>
        <row r="488">
          <cell r="AR488" t="str">
            <v>x</v>
          </cell>
        </row>
        <row r="489">
          <cell r="AR489" t="str">
            <v>x</v>
          </cell>
        </row>
        <row r="490">
          <cell r="AR490" t="str">
            <v>x</v>
          </cell>
        </row>
        <row r="491">
          <cell r="AR491" t="str">
            <v>x</v>
          </cell>
        </row>
        <row r="492">
          <cell r="AR492" t="str">
            <v>x</v>
          </cell>
        </row>
        <row r="493">
          <cell r="AR493" t="str">
            <v>x</v>
          </cell>
        </row>
        <row r="494">
          <cell r="AR494" t="str">
            <v>x</v>
          </cell>
        </row>
        <row r="495">
          <cell r="AR495" t="str">
            <v>x</v>
          </cell>
        </row>
        <row r="496">
          <cell r="AR496" t="str">
            <v>x</v>
          </cell>
        </row>
        <row r="497">
          <cell r="AR497" t="str">
            <v>x</v>
          </cell>
        </row>
        <row r="498">
          <cell r="AR498" t="str">
            <v>x</v>
          </cell>
        </row>
        <row r="499">
          <cell r="AR499" t="str">
            <v>x</v>
          </cell>
        </row>
        <row r="500">
          <cell r="AR500" t="str">
            <v>x</v>
          </cell>
        </row>
        <row r="501">
          <cell r="AR501" t="str">
            <v>x</v>
          </cell>
        </row>
        <row r="502">
          <cell r="AR502" t="str">
            <v>x</v>
          </cell>
        </row>
        <row r="503">
          <cell r="AR503" t="str">
            <v>x</v>
          </cell>
        </row>
        <row r="504">
          <cell r="AR504" t="str">
            <v>x</v>
          </cell>
        </row>
        <row r="505">
          <cell r="AR505" t="str">
            <v>x</v>
          </cell>
        </row>
        <row r="506">
          <cell r="AR506" t="str">
            <v>x</v>
          </cell>
        </row>
        <row r="507">
          <cell r="AR507" t="str">
            <v>x</v>
          </cell>
        </row>
        <row r="508">
          <cell r="AR508" t="str">
            <v>x</v>
          </cell>
        </row>
        <row r="509">
          <cell r="AR509" t="str">
            <v>x</v>
          </cell>
        </row>
        <row r="510">
          <cell r="AR510" t="str">
            <v>x</v>
          </cell>
        </row>
        <row r="511">
          <cell r="AR511" t="str">
            <v>x</v>
          </cell>
        </row>
        <row r="512">
          <cell r="AR512" t="str">
            <v>x</v>
          </cell>
        </row>
        <row r="513">
          <cell r="AR513" t="str">
            <v>x</v>
          </cell>
        </row>
        <row r="514">
          <cell r="AR514" t="str">
            <v>x</v>
          </cell>
        </row>
        <row r="515">
          <cell r="AR515" t="str">
            <v>x</v>
          </cell>
        </row>
        <row r="516">
          <cell r="AR516" t="str">
            <v>x</v>
          </cell>
        </row>
        <row r="517">
          <cell r="AR517" t="str">
            <v>x</v>
          </cell>
        </row>
        <row r="518">
          <cell r="AR518" t="str">
            <v>x</v>
          </cell>
        </row>
        <row r="519">
          <cell r="AR519" t="str">
            <v>x</v>
          </cell>
        </row>
        <row r="520">
          <cell r="AR520" t="str">
            <v>x</v>
          </cell>
        </row>
        <row r="521">
          <cell r="AR521" t="str">
            <v>x</v>
          </cell>
        </row>
        <row r="522">
          <cell r="AR522" t="str">
            <v>x</v>
          </cell>
        </row>
        <row r="523">
          <cell r="AR523" t="str">
            <v>x</v>
          </cell>
        </row>
        <row r="524">
          <cell r="AR524" t="str">
            <v>x</v>
          </cell>
        </row>
        <row r="525">
          <cell r="AR525" t="str">
            <v>x</v>
          </cell>
        </row>
        <row r="526">
          <cell r="AR526" t="str">
            <v>x</v>
          </cell>
        </row>
        <row r="527">
          <cell r="AR527" t="str">
            <v>x</v>
          </cell>
        </row>
        <row r="528">
          <cell r="AR528" t="str">
            <v>x</v>
          </cell>
        </row>
        <row r="529">
          <cell r="AR529" t="str">
            <v>x</v>
          </cell>
        </row>
        <row r="530">
          <cell r="AR530" t="str">
            <v>x</v>
          </cell>
        </row>
        <row r="531">
          <cell r="AR531" t="str">
            <v>x</v>
          </cell>
        </row>
        <row r="532">
          <cell r="AR532" t="str">
            <v>x</v>
          </cell>
        </row>
        <row r="533">
          <cell r="AR533" t="str">
            <v>x</v>
          </cell>
        </row>
        <row r="534">
          <cell r="AR534" t="str">
            <v>x</v>
          </cell>
        </row>
        <row r="535">
          <cell r="AR535" t="str">
            <v>x</v>
          </cell>
        </row>
        <row r="536">
          <cell r="AR536" t="str">
            <v>x</v>
          </cell>
        </row>
        <row r="537">
          <cell r="AR537" t="str">
            <v>x</v>
          </cell>
        </row>
        <row r="538">
          <cell r="AR538" t="str">
            <v>x</v>
          </cell>
        </row>
        <row r="539">
          <cell r="AR539" t="str">
            <v>x</v>
          </cell>
        </row>
        <row r="540">
          <cell r="AR540" t="str">
            <v>x</v>
          </cell>
        </row>
        <row r="541">
          <cell r="AR541" t="str">
            <v>x</v>
          </cell>
        </row>
        <row r="542">
          <cell r="AR542" t="str">
            <v>x</v>
          </cell>
        </row>
        <row r="543">
          <cell r="AR543" t="str">
            <v>x</v>
          </cell>
        </row>
        <row r="544">
          <cell r="AR544" t="str">
            <v>x</v>
          </cell>
        </row>
        <row r="545">
          <cell r="AR545" t="str">
            <v>x</v>
          </cell>
        </row>
        <row r="546">
          <cell r="AR546" t="str">
            <v>x</v>
          </cell>
        </row>
        <row r="547">
          <cell r="AR547" t="str">
            <v>x</v>
          </cell>
        </row>
        <row r="548">
          <cell r="AR548" t="str">
            <v>x</v>
          </cell>
        </row>
        <row r="549">
          <cell r="AR549" t="str">
            <v>x</v>
          </cell>
        </row>
        <row r="550">
          <cell r="AR550" t="str">
            <v>x</v>
          </cell>
        </row>
        <row r="551">
          <cell r="AR551" t="str">
            <v>x</v>
          </cell>
        </row>
        <row r="552">
          <cell r="AR552" t="str">
            <v>x</v>
          </cell>
        </row>
        <row r="553">
          <cell r="AR553" t="str">
            <v>x</v>
          </cell>
        </row>
        <row r="554">
          <cell r="AR554" t="str">
            <v>x</v>
          </cell>
        </row>
        <row r="555">
          <cell r="AR555" t="str">
            <v>x</v>
          </cell>
        </row>
        <row r="556">
          <cell r="AR556" t="str">
            <v>x</v>
          </cell>
        </row>
        <row r="557">
          <cell r="AR557" t="str">
            <v>x</v>
          </cell>
        </row>
        <row r="558">
          <cell r="AR558" t="str">
            <v>x</v>
          </cell>
        </row>
        <row r="559">
          <cell r="AR559" t="str">
            <v>x</v>
          </cell>
        </row>
        <row r="560">
          <cell r="AR560" t="str">
            <v>x</v>
          </cell>
        </row>
        <row r="561">
          <cell r="AR561" t="str">
            <v>x</v>
          </cell>
        </row>
        <row r="562">
          <cell r="AR562" t="str">
            <v>x</v>
          </cell>
        </row>
        <row r="563">
          <cell r="AR563" t="str">
            <v>x</v>
          </cell>
        </row>
        <row r="564">
          <cell r="AR564" t="str">
            <v>x</v>
          </cell>
        </row>
        <row r="565">
          <cell r="AR565" t="str">
            <v>x</v>
          </cell>
        </row>
        <row r="566">
          <cell r="AR566" t="str">
            <v>x</v>
          </cell>
        </row>
        <row r="567">
          <cell r="AR567" t="str">
            <v>x</v>
          </cell>
        </row>
        <row r="568">
          <cell r="AR568" t="str">
            <v>x</v>
          </cell>
        </row>
        <row r="569">
          <cell r="AR569" t="str">
            <v>x</v>
          </cell>
        </row>
        <row r="570">
          <cell r="AR570" t="str">
            <v>x</v>
          </cell>
        </row>
        <row r="571">
          <cell r="AR571" t="str">
            <v>x</v>
          </cell>
        </row>
        <row r="572">
          <cell r="AR572" t="str">
            <v>x</v>
          </cell>
        </row>
        <row r="573">
          <cell r="AR573" t="str">
            <v>x</v>
          </cell>
        </row>
        <row r="574">
          <cell r="AR574" t="str">
            <v>x</v>
          </cell>
        </row>
        <row r="575">
          <cell r="AR575" t="str">
            <v>x</v>
          </cell>
        </row>
        <row r="576">
          <cell r="AR576" t="str">
            <v>x</v>
          </cell>
        </row>
        <row r="577">
          <cell r="AR577" t="str">
            <v>x</v>
          </cell>
        </row>
        <row r="578">
          <cell r="AR578" t="str">
            <v>x</v>
          </cell>
        </row>
        <row r="579">
          <cell r="AR579" t="str">
            <v>x</v>
          </cell>
        </row>
        <row r="580">
          <cell r="AR580" t="str">
            <v>x</v>
          </cell>
        </row>
        <row r="581">
          <cell r="AR581" t="str">
            <v>x</v>
          </cell>
        </row>
        <row r="582">
          <cell r="AR582" t="str">
            <v>x</v>
          </cell>
        </row>
        <row r="583">
          <cell r="AR583" t="str">
            <v>x</v>
          </cell>
        </row>
        <row r="584">
          <cell r="AR584" t="str">
            <v>x</v>
          </cell>
        </row>
        <row r="585">
          <cell r="AR585" t="str">
            <v>x</v>
          </cell>
        </row>
        <row r="586">
          <cell r="AR586" t="str">
            <v>x</v>
          </cell>
        </row>
        <row r="587">
          <cell r="AR587" t="str">
            <v>x</v>
          </cell>
        </row>
        <row r="588">
          <cell r="AR588" t="str">
            <v>x</v>
          </cell>
        </row>
        <row r="589">
          <cell r="AR589" t="str">
            <v>x</v>
          </cell>
        </row>
        <row r="590">
          <cell r="AR590" t="str">
            <v>x</v>
          </cell>
        </row>
        <row r="591">
          <cell r="AR591" t="str">
            <v>x</v>
          </cell>
        </row>
        <row r="592">
          <cell r="AR592" t="str">
            <v>x</v>
          </cell>
        </row>
        <row r="593">
          <cell r="AR593" t="str">
            <v>x</v>
          </cell>
        </row>
        <row r="594">
          <cell r="AR594" t="str">
            <v>x</v>
          </cell>
        </row>
        <row r="595">
          <cell r="AR595" t="str">
            <v>x</v>
          </cell>
        </row>
        <row r="596">
          <cell r="AR596" t="str">
            <v>x</v>
          </cell>
        </row>
        <row r="597">
          <cell r="AR597" t="str">
            <v>x</v>
          </cell>
        </row>
        <row r="598">
          <cell r="AR598" t="str">
            <v>x</v>
          </cell>
        </row>
        <row r="599">
          <cell r="AR599" t="str">
            <v>x</v>
          </cell>
        </row>
        <row r="600">
          <cell r="AR600" t="str">
            <v>x</v>
          </cell>
        </row>
        <row r="601">
          <cell r="AR601" t="str">
            <v>x</v>
          </cell>
        </row>
        <row r="602">
          <cell r="AR602" t="str">
            <v>x</v>
          </cell>
        </row>
        <row r="603">
          <cell r="AR603" t="str">
            <v>x</v>
          </cell>
        </row>
        <row r="604">
          <cell r="AR604" t="str">
            <v>x</v>
          </cell>
        </row>
        <row r="605">
          <cell r="AR605" t="str">
            <v>x</v>
          </cell>
        </row>
        <row r="606">
          <cell r="AR606" t="str">
            <v>x</v>
          </cell>
        </row>
        <row r="607">
          <cell r="AR607" t="str">
            <v>x</v>
          </cell>
        </row>
        <row r="608">
          <cell r="AR608" t="str">
            <v>x</v>
          </cell>
        </row>
        <row r="609">
          <cell r="AR609" t="str">
            <v>x</v>
          </cell>
        </row>
        <row r="610">
          <cell r="AR610" t="str">
            <v>x</v>
          </cell>
        </row>
        <row r="611">
          <cell r="AR611" t="str">
            <v>x</v>
          </cell>
        </row>
        <row r="612">
          <cell r="AR612" t="str">
            <v>x</v>
          </cell>
        </row>
        <row r="613">
          <cell r="AR613" t="str">
            <v>x</v>
          </cell>
        </row>
        <row r="614">
          <cell r="AR614" t="str">
            <v>x</v>
          </cell>
        </row>
        <row r="615">
          <cell r="AR615" t="str">
            <v>x</v>
          </cell>
        </row>
        <row r="616">
          <cell r="AR616" t="str">
            <v>x</v>
          </cell>
        </row>
        <row r="617">
          <cell r="AR617" t="str">
            <v>x</v>
          </cell>
        </row>
        <row r="618">
          <cell r="AR618" t="str">
            <v>x</v>
          </cell>
        </row>
        <row r="619">
          <cell r="AR619" t="str">
            <v>x</v>
          </cell>
        </row>
        <row r="620">
          <cell r="AR620" t="str">
            <v>x</v>
          </cell>
        </row>
        <row r="621">
          <cell r="AR621" t="str">
            <v>x</v>
          </cell>
        </row>
        <row r="622">
          <cell r="AR622" t="str">
            <v>x</v>
          </cell>
        </row>
        <row r="623">
          <cell r="AR623" t="str">
            <v>x</v>
          </cell>
        </row>
        <row r="624">
          <cell r="AR624" t="str">
            <v>x</v>
          </cell>
        </row>
        <row r="625">
          <cell r="AR625" t="str">
            <v>x</v>
          </cell>
        </row>
        <row r="626">
          <cell r="AR626" t="str">
            <v>x</v>
          </cell>
        </row>
        <row r="627">
          <cell r="AR627" t="str">
            <v>x</v>
          </cell>
        </row>
        <row r="628">
          <cell r="AR628" t="str">
            <v>x</v>
          </cell>
        </row>
        <row r="629">
          <cell r="AR629" t="str">
            <v>x</v>
          </cell>
        </row>
        <row r="630">
          <cell r="AR630" t="str">
            <v>x</v>
          </cell>
        </row>
        <row r="631">
          <cell r="AR631" t="str">
            <v>x</v>
          </cell>
        </row>
        <row r="632">
          <cell r="AR632" t="str">
            <v>x</v>
          </cell>
        </row>
        <row r="633">
          <cell r="AR633" t="str">
            <v>x</v>
          </cell>
        </row>
        <row r="634">
          <cell r="AR634" t="str">
            <v>x</v>
          </cell>
        </row>
        <row r="635">
          <cell r="AR635" t="str">
            <v>x</v>
          </cell>
        </row>
        <row r="636">
          <cell r="AR636" t="str">
            <v>x</v>
          </cell>
        </row>
        <row r="637">
          <cell r="AR637" t="str">
            <v>x</v>
          </cell>
        </row>
        <row r="638">
          <cell r="AR638" t="str">
            <v>x</v>
          </cell>
        </row>
        <row r="639">
          <cell r="AR639" t="str">
            <v>x</v>
          </cell>
        </row>
        <row r="640">
          <cell r="AR640" t="str">
            <v>x</v>
          </cell>
        </row>
        <row r="641">
          <cell r="AR641" t="str">
            <v>x</v>
          </cell>
        </row>
        <row r="642">
          <cell r="AR642" t="str">
            <v>x</v>
          </cell>
        </row>
        <row r="643">
          <cell r="AR643" t="str">
            <v>x</v>
          </cell>
        </row>
        <row r="644">
          <cell r="AR644" t="str">
            <v>x</v>
          </cell>
        </row>
        <row r="645">
          <cell r="AR645" t="str">
            <v>x</v>
          </cell>
        </row>
        <row r="646">
          <cell r="AR646" t="str">
            <v>x</v>
          </cell>
        </row>
        <row r="647">
          <cell r="AR647" t="str">
            <v>x</v>
          </cell>
        </row>
        <row r="648">
          <cell r="AR648" t="str">
            <v>x</v>
          </cell>
        </row>
        <row r="649">
          <cell r="AR649" t="str">
            <v>x</v>
          </cell>
        </row>
        <row r="650">
          <cell r="AR650" t="str">
            <v>x</v>
          </cell>
        </row>
        <row r="651">
          <cell r="AR651" t="str">
            <v>x</v>
          </cell>
        </row>
        <row r="652">
          <cell r="AR652" t="str">
            <v>x</v>
          </cell>
        </row>
        <row r="653">
          <cell r="AR653" t="str">
            <v>x</v>
          </cell>
        </row>
        <row r="654">
          <cell r="AR654" t="str">
            <v>x</v>
          </cell>
        </row>
        <row r="655">
          <cell r="AR655" t="str">
            <v>x</v>
          </cell>
        </row>
        <row r="656">
          <cell r="AR656" t="str">
            <v>x</v>
          </cell>
        </row>
        <row r="657">
          <cell r="AR657" t="str">
            <v>x</v>
          </cell>
        </row>
        <row r="658">
          <cell r="AR658" t="str">
            <v>x</v>
          </cell>
        </row>
        <row r="659">
          <cell r="AR659" t="str">
            <v>x</v>
          </cell>
        </row>
        <row r="660">
          <cell r="AR660" t="str">
            <v>x</v>
          </cell>
        </row>
        <row r="661">
          <cell r="AR661" t="str">
            <v>x</v>
          </cell>
        </row>
        <row r="662">
          <cell r="AR662" t="str">
            <v>x</v>
          </cell>
        </row>
        <row r="663">
          <cell r="AR663" t="str">
            <v>x</v>
          </cell>
        </row>
        <row r="664">
          <cell r="AR664" t="str">
            <v>x</v>
          </cell>
        </row>
        <row r="665">
          <cell r="AR665" t="str">
            <v>x</v>
          </cell>
        </row>
        <row r="666">
          <cell r="AR666" t="str">
            <v>x</v>
          </cell>
        </row>
        <row r="667">
          <cell r="AR667" t="str">
            <v>x</v>
          </cell>
        </row>
        <row r="668">
          <cell r="AR668" t="str">
            <v>x</v>
          </cell>
        </row>
        <row r="669">
          <cell r="AR669" t="str">
            <v>x</v>
          </cell>
        </row>
        <row r="670">
          <cell r="AR670" t="str">
            <v>x</v>
          </cell>
        </row>
        <row r="671">
          <cell r="AR671" t="str">
            <v>x</v>
          </cell>
        </row>
        <row r="672">
          <cell r="AR672" t="str">
            <v>x</v>
          </cell>
        </row>
        <row r="673">
          <cell r="AR673" t="str">
            <v>x</v>
          </cell>
        </row>
        <row r="674">
          <cell r="AR674" t="str">
            <v>x</v>
          </cell>
        </row>
        <row r="675">
          <cell r="AR675" t="str">
            <v>x</v>
          </cell>
        </row>
        <row r="676">
          <cell r="AR676" t="str">
            <v>x</v>
          </cell>
        </row>
        <row r="677">
          <cell r="AR677" t="str">
            <v>x</v>
          </cell>
        </row>
        <row r="678">
          <cell r="AR678" t="str">
            <v>x</v>
          </cell>
        </row>
        <row r="679">
          <cell r="AR679" t="str">
            <v>x</v>
          </cell>
        </row>
        <row r="680">
          <cell r="AR680" t="str">
            <v>x</v>
          </cell>
        </row>
        <row r="681">
          <cell r="AR681" t="str">
            <v>x</v>
          </cell>
        </row>
        <row r="682">
          <cell r="AR682" t="str">
            <v>x</v>
          </cell>
        </row>
        <row r="683">
          <cell r="AR683" t="str">
            <v>x</v>
          </cell>
        </row>
        <row r="684">
          <cell r="AR684" t="str">
            <v>x</v>
          </cell>
        </row>
        <row r="685">
          <cell r="AR685" t="str">
            <v>x</v>
          </cell>
        </row>
        <row r="686">
          <cell r="AR686" t="str">
            <v>x</v>
          </cell>
        </row>
        <row r="687">
          <cell r="AR687" t="str">
            <v>x</v>
          </cell>
        </row>
        <row r="688">
          <cell r="AR688" t="str">
            <v>x</v>
          </cell>
        </row>
        <row r="689">
          <cell r="AR689" t="str">
            <v>x</v>
          </cell>
        </row>
        <row r="690">
          <cell r="AR690" t="str">
            <v>x</v>
          </cell>
        </row>
        <row r="691">
          <cell r="AR691" t="str">
            <v>x</v>
          </cell>
        </row>
        <row r="692">
          <cell r="AR692" t="str">
            <v>x</v>
          </cell>
        </row>
        <row r="693">
          <cell r="AR693" t="str">
            <v>x</v>
          </cell>
        </row>
        <row r="694">
          <cell r="AR694" t="str">
            <v>x</v>
          </cell>
        </row>
        <row r="695">
          <cell r="AR695" t="str">
            <v>x</v>
          </cell>
        </row>
        <row r="696">
          <cell r="AR696" t="str">
            <v>x</v>
          </cell>
        </row>
        <row r="697">
          <cell r="AR697" t="str">
            <v>x</v>
          </cell>
        </row>
        <row r="698">
          <cell r="AR698" t="str">
            <v>x</v>
          </cell>
        </row>
        <row r="699">
          <cell r="AR699" t="str">
            <v>x</v>
          </cell>
        </row>
        <row r="700">
          <cell r="AR700" t="str">
            <v>x</v>
          </cell>
        </row>
        <row r="701">
          <cell r="AR701" t="str">
            <v>x</v>
          </cell>
        </row>
        <row r="702">
          <cell r="AR702" t="str">
            <v>x</v>
          </cell>
        </row>
        <row r="703">
          <cell r="AR703" t="str">
            <v>x</v>
          </cell>
        </row>
        <row r="704">
          <cell r="AR704" t="str">
            <v>x</v>
          </cell>
        </row>
        <row r="705">
          <cell r="AR705" t="str">
            <v>x</v>
          </cell>
        </row>
        <row r="706">
          <cell r="AR706" t="str">
            <v>x</v>
          </cell>
        </row>
        <row r="707">
          <cell r="AR707" t="str">
            <v>x</v>
          </cell>
        </row>
        <row r="708">
          <cell r="AR708" t="str">
            <v>x</v>
          </cell>
        </row>
        <row r="709">
          <cell r="AR709" t="str">
            <v>x</v>
          </cell>
        </row>
        <row r="710">
          <cell r="AR710" t="str">
            <v>x</v>
          </cell>
        </row>
        <row r="711">
          <cell r="AR711" t="str">
            <v>x</v>
          </cell>
        </row>
        <row r="712">
          <cell r="AR712" t="str">
            <v>x</v>
          </cell>
        </row>
        <row r="713">
          <cell r="AR713" t="str">
            <v>x</v>
          </cell>
        </row>
        <row r="714">
          <cell r="AR714" t="str">
            <v>x</v>
          </cell>
        </row>
        <row r="715">
          <cell r="AR715" t="str">
            <v>x</v>
          </cell>
        </row>
        <row r="716">
          <cell r="AR716" t="str">
            <v>x</v>
          </cell>
        </row>
        <row r="717">
          <cell r="AR717" t="str">
            <v>x</v>
          </cell>
        </row>
        <row r="718">
          <cell r="AR718" t="str">
            <v>x</v>
          </cell>
        </row>
        <row r="719">
          <cell r="AR719" t="str">
            <v>x</v>
          </cell>
        </row>
        <row r="720">
          <cell r="AR720" t="str">
            <v>x</v>
          </cell>
        </row>
        <row r="721">
          <cell r="AR721" t="str">
            <v>x</v>
          </cell>
        </row>
        <row r="722">
          <cell r="AR722" t="str">
            <v>x</v>
          </cell>
        </row>
        <row r="723">
          <cell r="AR723" t="str">
            <v>x</v>
          </cell>
        </row>
        <row r="724">
          <cell r="AR724" t="str">
            <v>x</v>
          </cell>
        </row>
        <row r="725">
          <cell r="AR725" t="str">
            <v>x</v>
          </cell>
        </row>
        <row r="726">
          <cell r="AR726" t="str">
            <v>x</v>
          </cell>
        </row>
        <row r="727">
          <cell r="AR727" t="str">
            <v>x</v>
          </cell>
        </row>
        <row r="728">
          <cell r="AR728" t="str">
            <v>x</v>
          </cell>
        </row>
        <row r="729">
          <cell r="AR729" t="str">
            <v>x</v>
          </cell>
        </row>
        <row r="730">
          <cell r="AR730" t="str">
            <v>x</v>
          </cell>
        </row>
        <row r="731">
          <cell r="AR731" t="str">
            <v>x</v>
          </cell>
        </row>
        <row r="732">
          <cell r="AR732" t="str">
            <v>x</v>
          </cell>
        </row>
        <row r="733">
          <cell r="AR733" t="str">
            <v>x</v>
          </cell>
        </row>
        <row r="734">
          <cell r="AR734" t="str">
            <v>x</v>
          </cell>
        </row>
        <row r="735">
          <cell r="AR735" t="str">
            <v>x</v>
          </cell>
        </row>
        <row r="736">
          <cell r="AR736" t="str">
            <v>x</v>
          </cell>
        </row>
        <row r="737">
          <cell r="AR737" t="str">
            <v>x</v>
          </cell>
        </row>
        <row r="738">
          <cell r="AR738" t="str">
            <v>x</v>
          </cell>
        </row>
        <row r="739">
          <cell r="AR739" t="str">
            <v>x</v>
          </cell>
        </row>
        <row r="740">
          <cell r="AR740" t="str">
            <v>x</v>
          </cell>
        </row>
        <row r="741">
          <cell r="AR741" t="str">
            <v>x</v>
          </cell>
        </row>
        <row r="742">
          <cell r="AR742" t="str">
            <v>x</v>
          </cell>
        </row>
        <row r="743">
          <cell r="AR743" t="str">
            <v>x</v>
          </cell>
        </row>
        <row r="744">
          <cell r="AR744" t="str">
            <v>x</v>
          </cell>
        </row>
        <row r="745">
          <cell r="AR745" t="str">
            <v>x</v>
          </cell>
        </row>
        <row r="746">
          <cell r="AR746" t="str">
            <v>x</v>
          </cell>
        </row>
        <row r="747">
          <cell r="AR747" t="str">
            <v>x</v>
          </cell>
        </row>
        <row r="748">
          <cell r="AR748" t="str">
            <v>x</v>
          </cell>
        </row>
        <row r="749">
          <cell r="AR749" t="str">
            <v>x</v>
          </cell>
        </row>
        <row r="750">
          <cell r="AR750" t="str">
            <v>x</v>
          </cell>
        </row>
        <row r="751">
          <cell r="AR751" t="str">
            <v>x</v>
          </cell>
        </row>
        <row r="752">
          <cell r="AR752" t="str">
            <v>x</v>
          </cell>
        </row>
        <row r="753">
          <cell r="AR753" t="str">
            <v>x</v>
          </cell>
        </row>
        <row r="754">
          <cell r="AR754" t="str">
            <v>x</v>
          </cell>
        </row>
        <row r="755">
          <cell r="AR755" t="str">
            <v>x</v>
          </cell>
        </row>
        <row r="756">
          <cell r="AR756" t="str">
            <v>x</v>
          </cell>
        </row>
        <row r="757">
          <cell r="AR757" t="str">
            <v>x</v>
          </cell>
        </row>
        <row r="758">
          <cell r="AR758" t="str">
            <v>x</v>
          </cell>
        </row>
        <row r="759">
          <cell r="AR759" t="str">
            <v>x</v>
          </cell>
        </row>
        <row r="760">
          <cell r="AR760" t="str">
            <v>x</v>
          </cell>
        </row>
        <row r="761">
          <cell r="AR761" t="str">
            <v>x</v>
          </cell>
        </row>
        <row r="762">
          <cell r="AR762" t="str">
            <v>x</v>
          </cell>
        </row>
        <row r="763">
          <cell r="AR763" t="str">
            <v>x</v>
          </cell>
        </row>
        <row r="764">
          <cell r="AR764" t="str">
            <v>x</v>
          </cell>
        </row>
        <row r="765">
          <cell r="AR765" t="str">
            <v>x</v>
          </cell>
        </row>
        <row r="766">
          <cell r="AR766" t="str">
            <v>x</v>
          </cell>
        </row>
        <row r="767">
          <cell r="AR767" t="str">
            <v>x</v>
          </cell>
        </row>
        <row r="768">
          <cell r="AR768" t="str">
            <v>x</v>
          </cell>
        </row>
        <row r="769">
          <cell r="AR769" t="str">
            <v>x</v>
          </cell>
        </row>
        <row r="770">
          <cell r="AR770" t="str">
            <v>x</v>
          </cell>
        </row>
        <row r="771">
          <cell r="AR771" t="str">
            <v>x</v>
          </cell>
        </row>
        <row r="772">
          <cell r="AR772" t="str">
            <v>x</v>
          </cell>
        </row>
        <row r="773">
          <cell r="AR773" t="str">
            <v>x</v>
          </cell>
        </row>
        <row r="774">
          <cell r="AR774" t="str">
            <v>x</v>
          </cell>
        </row>
        <row r="775">
          <cell r="AR775" t="str">
            <v>x</v>
          </cell>
        </row>
        <row r="776">
          <cell r="AR776" t="str">
            <v>x</v>
          </cell>
        </row>
        <row r="777">
          <cell r="AR777" t="str">
            <v>x</v>
          </cell>
        </row>
        <row r="778">
          <cell r="AR778" t="str">
            <v>x</v>
          </cell>
        </row>
        <row r="779">
          <cell r="AR779" t="str">
            <v>x</v>
          </cell>
        </row>
        <row r="780">
          <cell r="AR780" t="str">
            <v>x</v>
          </cell>
        </row>
        <row r="781">
          <cell r="AR781" t="str">
            <v>x</v>
          </cell>
        </row>
        <row r="782">
          <cell r="AR782" t="str">
            <v>x</v>
          </cell>
        </row>
        <row r="783">
          <cell r="AR783" t="str">
            <v>x</v>
          </cell>
        </row>
        <row r="784">
          <cell r="AR784" t="str">
            <v>x</v>
          </cell>
        </row>
        <row r="785">
          <cell r="AR785" t="str">
            <v>x</v>
          </cell>
        </row>
        <row r="786">
          <cell r="AR786" t="str">
            <v>x</v>
          </cell>
        </row>
        <row r="787">
          <cell r="AR787" t="str">
            <v>x</v>
          </cell>
        </row>
        <row r="788">
          <cell r="AR788" t="str">
            <v>x</v>
          </cell>
        </row>
        <row r="789">
          <cell r="AR789" t="str">
            <v>x</v>
          </cell>
        </row>
        <row r="790">
          <cell r="AR790" t="str">
            <v>x</v>
          </cell>
        </row>
        <row r="791">
          <cell r="AR791" t="str">
            <v>x</v>
          </cell>
        </row>
        <row r="792">
          <cell r="AR792" t="str">
            <v>x</v>
          </cell>
        </row>
        <row r="793">
          <cell r="AR793" t="str">
            <v>x</v>
          </cell>
        </row>
        <row r="794">
          <cell r="AR794" t="str">
            <v>x</v>
          </cell>
        </row>
        <row r="795">
          <cell r="AR795" t="str">
            <v>x</v>
          </cell>
        </row>
        <row r="796">
          <cell r="AR796" t="str">
            <v>x</v>
          </cell>
        </row>
        <row r="797">
          <cell r="AR797" t="str">
            <v>x</v>
          </cell>
        </row>
        <row r="798">
          <cell r="AR798" t="str">
            <v>x</v>
          </cell>
        </row>
        <row r="799">
          <cell r="AR799" t="str">
            <v>x</v>
          </cell>
        </row>
        <row r="800">
          <cell r="AR800" t="str">
            <v>x</v>
          </cell>
        </row>
        <row r="801">
          <cell r="AR801" t="str">
            <v>x</v>
          </cell>
        </row>
        <row r="802">
          <cell r="AR802" t="str">
            <v>x</v>
          </cell>
        </row>
        <row r="803">
          <cell r="AR803" t="str">
            <v>x</v>
          </cell>
        </row>
        <row r="804">
          <cell r="AR804" t="str">
            <v>x</v>
          </cell>
        </row>
        <row r="805">
          <cell r="AR805" t="str">
            <v>x</v>
          </cell>
        </row>
        <row r="806">
          <cell r="AR806" t="str">
            <v>x</v>
          </cell>
        </row>
        <row r="807">
          <cell r="AR807" t="str">
            <v>x</v>
          </cell>
        </row>
        <row r="808">
          <cell r="AR808" t="str">
            <v>x</v>
          </cell>
        </row>
        <row r="809">
          <cell r="AR809" t="str">
            <v>x</v>
          </cell>
        </row>
        <row r="810">
          <cell r="AR810" t="str">
            <v>x</v>
          </cell>
        </row>
        <row r="811">
          <cell r="AR811" t="str">
            <v>x</v>
          </cell>
        </row>
        <row r="812">
          <cell r="AR812" t="str">
            <v>x</v>
          </cell>
        </row>
        <row r="813">
          <cell r="AR813" t="str">
            <v>x</v>
          </cell>
        </row>
        <row r="814">
          <cell r="AR814" t="str">
            <v>x</v>
          </cell>
        </row>
        <row r="815">
          <cell r="AR815" t="str">
            <v>x</v>
          </cell>
        </row>
        <row r="816">
          <cell r="AR816" t="str">
            <v>x</v>
          </cell>
        </row>
        <row r="817">
          <cell r="AR817" t="str">
            <v>x</v>
          </cell>
        </row>
        <row r="818">
          <cell r="AR818" t="str">
            <v>x</v>
          </cell>
        </row>
        <row r="819">
          <cell r="AR819" t="str">
            <v>x</v>
          </cell>
        </row>
        <row r="820">
          <cell r="AR820" t="str">
            <v>x</v>
          </cell>
        </row>
        <row r="821">
          <cell r="AR821" t="str">
            <v>x</v>
          </cell>
        </row>
        <row r="822">
          <cell r="AR822" t="str">
            <v>x</v>
          </cell>
        </row>
        <row r="823">
          <cell r="AR823" t="str">
            <v>x</v>
          </cell>
        </row>
        <row r="824">
          <cell r="AR824" t="str">
            <v>x</v>
          </cell>
        </row>
        <row r="825">
          <cell r="AR825" t="str">
            <v>x</v>
          </cell>
        </row>
        <row r="826">
          <cell r="AR826" t="str">
            <v>x</v>
          </cell>
        </row>
        <row r="827">
          <cell r="AR827" t="str">
            <v>x</v>
          </cell>
        </row>
        <row r="828">
          <cell r="AR828" t="str">
            <v>x</v>
          </cell>
        </row>
        <row r="829">
          <cell r="AR829" t="str">
            <v>x</v>
          </cell>
        </row>
        <row r="830">
          <cell r="AR830" t="str">
            <v>x</v>
          </cell>
        </row>
        <row r="831">
          <cell r="AR831" t="str">
            <v>x</v>
          </cell>
        </row>
        <row r="832">
          <cell r="AR832" t="str">
            <v>x</v>
          </cell>
        </row>
        <row r="833">
          <cell r="AR833" t="str">
            <v>x</v>
          </cell>
        </row>
        <row r="834">
          <cell r="AR834" t="str">
            <v>x</v>
          </cell>
        </row>
        <row r="835">
          <cell r="AR835" t="str">
            <v>x</v>
          </cell>
        </row>
        <row r="836">
          <cell r="AR836" t="str">
            <v>x</v>
          </cell>
        </row>
        <row r="837">
          <cell r="AR837" t="str">
            <v>x</v>
          </cell>
        </row>
        <row r="838">
          <cell r="AR838" t="str">
            <v>x</v>
          </cell>
        </row>
        <row r="839">
          <cell r="AR839" t="str">
            <v>x</v>
          </cell>
        </row>
        <row r="840">
          <cell r="AR840" t="str">
            <v>x</v>
          </cell>
        </row>
        <row r="841">
          <cell r="AR841" t="str">
            <v>x</v>
          </cell>
        </row>
        <row r="842">
          <cell r="AR842" t="str">
            <v>x</v>
          </cell>
        </row>
        <row r="843">
          <cell r="AR843" t="str">
            <v>x</v>
          </cell>
        </row>
        <row r="844">
          <cell r="AR844" t="str">
            <v>x</v>
          </cell>
        </row>
        <row r="845">
          <cell r="AR845" t="str">
            <v>x</v>
          </cell>
        </row>
        <row r="846">
          <cell r="AR846" t="str">
            <v>x</v>
          </cell>
        </row>
        <row r="847">
          <cell r="AR847" t="str">
            <v>x</v>
          </cell>
        </row>
        <row r="848">
          <cell r="AR848" t="str">
            <v>x</v>
          </cell>
        </row>
        <row r="849">
          <cell r="AR849" t="str">
            <v>x</v>
          </cell>
        </row>
        <row r="850">
          <cell r="AR850" t="str">
            <v>x</v>
          </cell>
        </row>
        <row r="851">
          <cell r="AR851" t="str">
            <v>x</v>
          </cell>
        </row>
        <row r="852">
          <cell r="AR852" t="str">
            <v>x</v>
          </cell>
        </row>
        <row r="853">
          <cell r="AR853" t="str">
            <v>x</v>
          </cell>
        </row>
        <row r="854">
          <cell r="AR854" t="str">
            <v>x</v>
          </cell>
        </row>
        <row r="855">
          <cell r="AR855" t="str">
            <v>x</v>
          </cell>
        </row>
        <row r="856">
          <cell r="AR856" t="str">
            <v>x</v>
          </cell>
        </row>
        <row r="857">
          <cell r="AR857" t="str">
            <v>x</v>
          </cell>
        </row>
        <row r="858">
          <cell r="AR858" t="str">
            <v>x</v>
          </cell>
        </row>
        <row r="859">
          <cell r="AR859" t="str">
            <v>x</v>
          </cell>
        </row>
        <row r="860">
          <cell r="AR860" t="str">
            <v>x</v>
          </cell>
        </row>
        <row r="861">
          <cell r="AR861" t="str">
            <v>x</v>
          </cell>
        </row>
        <row r="862">
          <cell r="AR862" t="str">
            <v>x</v>
          </cell>
        </row>
        <row r="863">
          <cell r="AR863" t="str">
            <v>x</v>
          </cell>
        </row>
        <row r="864">
          <cell r="AR864" t="str">
            <v>x</v>
          </cell>
        </row>
        <row r="865">
          <cell r="AR865" t="str">
            <v>x</v>
          </cell>
        </row>
        <row r="866">
          <cell r="AR866" t="str">
            <v>x</v>
          </cell>
        </row>
        <row r="867">
          <cell r="AR867" t="str">
            <v>x</v>
          </cell>
        </row>
        <row r="868">
          <cell r="AR868" t="str">
            <v>x</v>
          </cell>
        </row>
        <row r="869">
          <cell r="AR869" t="str">
            <v>x</v>
          </cell>
        </row>
        <row r="870">
          <cell r="AR870" t="str">
            <v>x</v>
          </cell>
        </row>
        <row r="871">
          <cell r="AR871" t="str">
            <v>x</v>
          </cell>
        </row>
        <row r="872">
          <cell r="AR872" t="str">
            <v>x</v>
          </cell>
        </row>
        <row r="873">
          <cell r="AR873" t="str">
            <v>x</v>
          </cell>
        </row>
        <row r="874">
          <cell r="AR874" t="str">
            <v>x</v>
          </cell>
        </row>
        <row r="875">
          <cell r="AR875" t="str">
            <v>x</v>
          </cell>
        </row>
        <row r="876">
          <cell r="AR876" t="str">
            <v>x</v>
          </cell>
        </row>
        <row r="877">
          <cell r="AR877" t="str">
            <v>x</v>
          </cell>
        </row>
        <row r="878">
          <cell r="AR878" t="str">
            <v>x</v>
          </cell>
        </row>
        <row r="879">
          <cell r="AR879" t="str">
            <v>x</v>
          </cell>
        </row>
        <row r="880">
          <cell r="AR880" t="str">
            <v>x</v>
          </cell>
        </row>
        <row r="881">
          <cell r="AR881" t="str">
            <v>x</v>
          </cell>
        </row>
        <row r="882">
          <cell r="AR882" t="str">
            <v>x</v>
          </cell>
        </row>
        <row r="883">
          <cell r="AR883" t="str">
            <v>x</v>
          </cell>
        </row>
        <row r="884">
          <cell r="AR884" t="str">
            <v>x</v>
          </cell>
        </row>
        <row r="885">
          <cell r="AR885" t="str">
            <v>x</v>
          </cell>
        </row>
        <row r="886">
          <cell r="AR886" t="str">
            <v>x</v>
          </cell>
        </row>
        <row r="887">
          <cell r="AR887" t="str">
            <v>x</v>
          </cell>
        </row>
        <row r="888">
          <cell r="AR888" t="str">
            <v>x</v>
          </cell>
        </row>
        <row r="889">
          <cell r="AR889" t="str">
            <v>x</v>
          </cell>
        </row>
        <row r="890">
          <cell r="AR890" t="str">
            <v>x</v>
          </cell>
        </row>
        <row r="891">
          <cell r="AR891" t="str">
            <v>x</v>
          </cell>
        </row>
        <row r="892">
          <cell r="AR892" t="str">
            <v>x</v>
          </cell>
        </row>
        <row r="893">
          <cell r="AR893" t="str">
            <v>x</v>
          </cell>
        </row>
        <row r="894">
          <cell r="AR894" t="str">
            <v>x</v>
          </cell>
        </row>
        <row r="895">
          <cell r="AR895" t="str">
            <v>x</v>
          </cell>
        </row>
        <row r="896">
          <cell r="AR896" t="str">
            <v>x</v>
          </cell>
        </row>
        <row r="897">
          <cell r="AR897" t="str">
            <v>x</v>
          </cell>
        </row>
        <row r="898">
          <cell r="AR898" t="str">
            <v>x</v>
          </cell>
        </row>
        <row r="899">
          <cell r="AR899" t="str">
            <v>x</v>
          </cell>
        </row>
        <row r="900">
          <cell r="AR900" t="str">
            <v>x</v>
          </cell>
        </row>
        <row r="901">
          <cell r="AR901" t="str">
            <v>x</v>
          </cell>
        </row>
        <row r="902">
          <cell r="AR902" t="str">
            <v>x</v>
          </cell>
        </row>
        <row r="903">
          <cell r="AR903" t="str">
            <v>x</v>
          </cell>
        </row>
        <row r="904">
          <cell r="AR904" t="str">
            <v>x</v>
          </cell>
        </row>
        <row r="905">
          <cell r="AR905" t="str">
            <v>x</v>
          </cell>
        </row>
        <row r="906">
          <cell r="AR906" t="str">
            <v>x</v>
          </cell>
        </row>
        <row r="907">
          <cell r="AR907" t="str">
            <v>x</v>
          </cell>
        </row>
        <row r="908">
          <cell r="AR908" t="str">
            <v>x</v>
          </cell>
        </row>
        <row r="909">
          <cell r="AR909" t="str">
            <v>x</v>
          </cell>
        </row>
        <row r="910">
          <cell r="AR910" t="str">
            <v>x</v>
          </cell>
        </row>
        <row r="911">
          <cell r="AR911" t="str">
            <v>x</v>
          </cell>
        </row>
        <row r="912">
          <cell r="AR912" t="str">
            <v>x</v>
          </cell>
        </row>
        <row r="913">
          <cell r="AR913" t="str">
            <v>x</v>
          </cell>
        </row>
        <row r="914">
          <cell r="AR914" t="str">
            <v>x</v>
          </cell>
        </row>
        <row r="915">
          <cell r="AR915" t="str">
            <v>x</v>
          </cell>
        </row>
        <row r="916">
          <cell r="AR916" t="str">
            <v>x</v>
          </cell>
        </row>
        <row r="917">
          <cell r="AR917" t="str">
            <v>x</v>
          </cell>
        </row>
        <row r="918">
          <cell r="AR918" t="str">
            <v>x</v>
          </cell>
        </row>
        <row r="919">
          <cell r="AR919" t="str">
            <v>x</v>
          </cell>
        </row>
        <row r="920">
          <cell r="AR920" t="str">
            <v>x</v>
          </cell>
        </row>
        <row r="921">
          <cell r="AR921" t="str">
            <v>x</v>
          </cell>
        </row>
        <row r="922">
          <cell r="AR922" t="str">
            <v>x</v>
          </cell>
        </row>
        <row r="923">
          <cell r="AR923" t="str">
            <v>x</v>
          </cell>
        </row>
        <row r="924">
          <cell r="AR924" t="str">
            <v>x</v>
          </cell>
        </row>
        <row r="925">
          <cell r="AR925" t="str">
            <v>x</v>
          </cell>
        </row>
        <row r="926">
          <cell r="AR926" t="str">
            <v>x</v>
          </cell>
        </row>
        <row r="927">
          <cell r="AR927" t="str">
            <v>x</v>
          </cell>
        </row>
        <row r="928">
          <cell r="AR928" t="str">
            <v>x</v>
          </cell>
        </row>
        <row r="929">
          <cell r="AR929" t="str">
            <v>x</v>
          </cell>
        </row>
        <row r="930">
          <cell r="AR930" t="str">
            <v>x</v>
          </cell>
        </row>
        <row r="931">
          <cell r="AR931" t="str">
            <v>x</v>
          </cell>
        </row>
        <row r="932">
          <cell r="AR932" t="str">
            <v>x</v>
          </cell>
        </row>
        <row r="933">
          <cell r="AR933" t="str">
            <v>x</v>
          </cell>
        </row>
        <row r="934">
          <cell r="AR934" t="str">
            <v>x</v>
          </cell>
        </row>
        <row r="935">
          <cell r="AR935" t="str">
            <v>x</v>
          </cell>
        </row>
        <row r="936">
          <cell r="AR936" t="str">
            <v>x</v>
          </cell>
        </row>
        <row r="937">
          <cell r="AR937" t="str">
            <v>x</v>
          </cell>
        </row>
        <row r="938">
          <cell r="AR938" t="str">
            <v>x</v>
          </cell>
        </row>
        <row r="939">
          <cell r="AR939" t="str">
            <v>x</v>
          </cell>
        </row>
        <row r="940">
          <cell r="AR940" t="str">
            <v>x</v>
          </cell>
        </row>
        <row r="941">
          <cell r="AR941" t="str">
            <v>x</v>
          </cell>
        </row>
        <row r="942">
          <cell r="AR942" t="str">
            <v>x</v>
          </cell>
        </row>
        <row r="943">
          <cell r="AR943" t="str">
            <v>x</v>
          </cell>
        </row>
        <row r="944">
          <cell r="AR944" t="str">
            <v>x</v>
          </cell>
        </row>
        <row r="945">
          <cell r="AR945" t="str">
            <v>x</v>
          </cell>
        </row>
        <row r="946">
          <cell r="AR946" t="str">
            <v>x</v>
          </cell>
        </row>
        <row r="947">
          <cell r="AR947" t="str">
            <v>x</v>
          </cell>
        </row>
        <row r="948">
          <cell r="AR948" t="str">
            <v>x</v>
          </cell>
        </row>
        <row r="949">
          <cell r="AR949" t="str">
            <v>x</v>
          </cell>
        </row>
        <row r="950">
          <cell r="AR950" t="str">
            <v>x</v>
          </cell>
        </row>
        <row r="951">
          <cell r="AR951" t="str">
            <v>x</v>
          </cell>
        </row>
        <row r="952">
          <cell r="AR952" t="str">
            <v>x</v>
          </cell>
        </row>
        <row r="953">
          <cell r="AR953" t="str">
            <v>x</v>
          </cell>
        </row>
        <row r="954">
          <cell r="AR954" t="str">
            <v>x</v>
          </cell>
        </row>
        <row r="955">
          <cell r="AR955" t="str">
            <v>x</v>
          </cell>
        </row>
        <row r="956">
          <cell r="AR956" t="str">
            <v>x</v>
          </cell>
        </row>
        <row r="957">
          <cell r="AR957" t="str">
            <v>x</v>
          </cell>
        </row>
        <row r="958">
          <cell r="AR958" t="str">
            <v>x</v>
          </cell>
        </row>
        <row r="959">
          <cell r="AR959" t="str">
            <v>x</v>
          </cell>
        </row>
        <row r="960">
          <cell r="AR960" t="str">
            <v>x</v>
          </cell>
        </row>
        <row r="961">
          <cell r="AR961" t="str">
            <v>x</v>
          </cell>
        </row>
        <row r="962">
          <cell r="AR962" t="str">
            <v>x</v>
          </cell>
        </row>
        <row r="963">
          <cell r="AR963" t="str">
            <v>x</v>
          </cell>
        </row>
        <row r="964">
          <cell r="AR964" t="str">
            <v>x</v>
          </cell>
        </row>
        <row r="965">
          <cell r="AR965" t="str">
            <v>x</v>
          </cell>
        </row>
        <row r="966">
          <cell r="AR966" t="str">
            <v>x</v>
          </cell>
        </row>
        <row r="967">
          <cell r="AR967" t="str">
            <v>x</v>
          </cell>
        </row>
        <row r="968">
          <cell r="AR968" t="str">
            <v>x</v>
          </cell>
        </row>
        <row r="969">
          <cell r="AR969" t="str">
            <v>x</v>
          </cell>
        </row>
        <row r="970">
          <cell r="AR970" t="str">
            <v>x</v>
          </cell>
        </row>
        <row r="971">
          <cell r="AR971" t="str">
            <v>x</v>
          </cell>
        </row>
        <row r="972">
          <cell r="AR972" t="str">
            <v>x</v>
          </cell>
        </row>
        <row r="973">
          <cell r="AR973" t="str">
            <v>x</v>
          </cell>
        </row>
        <row r="974">
          <cell r="AR974" t="str">
            <v>x</v>
          </cell>
        </row>
        <row r="975">
          <cell r="AR975" t="str">
            <v>x</v>
          </cell>
        </row>
        <row r="976">
          <cell r="AR976" t="str">
            <v>x</v>
          </cell>
        </row>
        <row r="977">
          <cell r="AR977" t="str">
            <v>x</v>
          </cell>
        </row>
        <row r="978">
          <cell r="AR978" t="str">
            <v>x</v>
          </cell>
        </row>
        <row r="979">
          <cell r="AR979" t="str">
            <v>x</v>
          </cell>
        </row>
        <row r="980">
          <cell r="AR980" t="str">
            <v>x</v>
          </cell>
        </row>
        <row r="981">
          <cell r="AR981" t="str">
            <v>x</v>
          </cell>
        </row>
        <row r="982">
          <cell r="AR982" t="str">
            <v>x</v>
          </cell>
        </row>
        <row r="983">
          <cell r="AR983" t="str">
            <v>x</v>
          </cell>
        </row>
        <row r="984">
          <cell r="AR984" t="str">
            <v>x</v>
          </cell>
        </row>
        <row r="985">
          <cell r="AR985" t="str">
            <v>x</v>
          </cell>
        </row>
        <row r="986">
          <cell r="AR986" t="str">
            <v>x</v>
          </cell>
        </row>
        <row r="987">
          <cell r="AR987" t="str">
            <v>x</v>
          </cell>
        </row>
        <row r="988">
          <cell r="AR988" t="str">
            <v>x</v>
          </cell>
        </row>
        <row r="989">
          <cell r="AR989" t="str">
            <v>x</v>
          </cell>
        </row>
        <row r="990">
          <cell r="AR990" t="str">
            <v>x</v>
          </cell>
        </row>
        <row r="991">
          <cell r="AR991" t="str">
            <v>x</v>
          </cell>
        </row>
        <row r="992">
          <cell r="AR992" t="str">
            <v>x</v>
          </cell>
        </row>
        <row r="993">
          <cell r="AR993" t="str">
            <v>x</v>
          </cell>
        </row>
        <row r="994">
          <cell r="AR994" t="str">
            <v>x</v>
          </cell>
        </row>
        <row r="995">
          <cell r="AR995" t="str">
            <v>x</v>
          </cell>
        </row>
        <row r="996">
          <cell r="AR996" t="str">
            <v>x</v>
          </cell>
        </row>
        <row r="997">
          <cell r="AR997" t="str">
            <v>x</v>
          </cell>
        </row>
        <row r="998">
          <cell r="AR998" t="str">
            <v>x</v>
          </cell>
        </row>
        <row r="999">
          <cell r="AR999" t="str">
            <v>x</v>
          </cell>
        </row>
        <row r="1000">
          <cell r="AR1000" t="str">
            <v>x</v>
          </cell>
        </row>
        <row r="1001">
          <cell r="AR1001" t="str">
            <v>x</v>
          </cell>
        </row>
        <row r="1002">
          <cell r="AR1002" t="str">
            <v>x</v>
          </cell>
        </row>
        <row r="1003">
          <cell r="AR1003" t="str">
            <v>x</v>
          </cell>
        </row>
        <row r="1004">
          <cell r="AR1004" t="str">
            <v>x</v>
          </cell>
        </row>
        <row r="1005">
          <cell r="AR1005" t="str">
            <v>x</v>
          </cell>
        </row>
        <row r="1006">
          <cell r="AR1006" t="str">
            <v>x</v>
          </cell>
        </row>
        <row r="1007">
          <cell r="AR1007" t="str">
            <v>x</v>
          </cell>
        </row>
        <row r="1008">
          <cell r="AR1008" t="str">
            <v>x</v>
          </cell>
        </row>
        <row r="1009">
          <cell r="AR1009" t="str">
            <v>x</v>
          </cell>
        </row>
        <row r="1010">
          <cell r="AR1010" t="str">
            <v>x</v>
          </cell>
        </row>
        <row r="1011">
          <cell r="AR1011" t="str">
            <v>x</v>
          </cell>
        </row>
        <row r="1012">
          <cell r="AR1012" t="str">
            <v>x</v>
          </cell>
        </row>
        <row r="1013">
          <cell r="AR1013" t="str">
            <v>x</v>
          </cell>
        </row>
        <row r="1014">
          <cell r="AR1014" t="str">
            <v>x</v>
          </cell>
        </row>
        <row r="1015">
          <cell r="AR1015" t="str">
            <v>x</v>
          </cell>
        </row>
        <row r="1016">
          <cell r="AR1016" t="str">
            <v>x</v>
          </cell>
        </row>
        <row r="1017">
          <cell r="AR1017" t="str">
            <v>x</v>
          </cell>
        </row>
        <row r="1018">
          <cell r="AR1018" t="str">
            <v>x</v>
          </cell>
        </row>
        <row r="1019">
          <cell r="AR1019" t="str">
            <v>x</v>
          </cell>
        </row>
        <row r="1020">
          <cell r="AR1020" t="str">
            <v>x</v>
          </cell>
        </row>
        <row r="1021">
          <cell r="AR1021" t="str">
            <v>x</v>
          </cell>
        </row>
        <row r="1022">
          <cell r="AR1022" t="str">
            <v>x</v>
          </cell>
        </row>
        <row r="1023">
          <cell r="AR1023" t="str">
            <v>x</v>
          </cell>
        </row>
        <row r="1024">
          <cell r="AR1024" t="str">
            <v>x</v>
          </cell>
        </row>
        <row r="1025">
          <cell r="AR1025" t="str">
            <v>x</v>
          </cell>
        </row>
        <row r="1026">
          <cell r="AR1026" t="str">
            <v>x</v>
          </cell>
        </row>
        <row r="1027">
          <cell r="AR1027" t="str">
            <v>x</v>
          </cell>
        </row>
        <row r="1028">
          <cell r="AR1028" t="str">
            <v>x</v>
          </cell>
        </row>
        <row r="1029">
          <cell r="AR1029" t="str">
            <v>x</v>
          </cell>
        </row>
        <row r="1030">
          <cell r="AR1030" t="str">
            <v>x</v>
          </cell>
        </row>
        <row r="1031">
          <cell r="AR1031" t="str">
            <v>x</v>
          </cell>
        </row>
        <row r="1032">
          <cell r="AR1032" t="str">
            <v>x</v>
          </cell>
        </row>
        <row r="1033">
          <cell r="AR1033" t="str">
            <v>x</v>
          </cell>
        </row>
        <row r="1034">
          <cell r="AR1034" t="str">
            <v>x</v>
          </cell>
        </row>
        <row r="1035">
          <cell r="AR1035" t="str">
            <v>x</v>
          </cell>
        </row>
        <row r="1036">
          <cell r="AR1036" t="str">
            <v>x</v>
          </cell>
        </row>
        <row r="1037">
          <cell r="AR1037" t="str">
            <v>x</v>
          </cell>
        </row>
        <row r="1038">
          <cell r="AR1038" t="str">
            <v>x</v>
          </cell>
        </row>
        <row r="1039">
          <cell r="AR1039" t="str">
            <v>x</v>
          </cell>
        </row>
        <row r="1040">
          <cell r="AR1040" t="str">
            <v>x</v>
          </cell>
        </row>
        <row r="1041">
          <cell r="AR1041" t="str">
            <v>x</v>
          </cell>
        </row>
        <row r="1042">
          <cell r="AR1042" t="str">
            <v>x</v>
          </cell>
        </row>
        <row r="1043">
          <cell r="AR1043" t="str">
            <v>x</v>
          </cell>
        </row>
        <row r="1044">
          <cell r="AR1044" t="str">
            <v>x</v>
          </cell>
        </row>
        <row r="1045">
          <cell r="AR1045" t="str">
            <v>x</v>
          </cell>
        </row>
        <row r="1046">
          <cell r="AR1046" t="str">
            <v>x</v>
          </cell>
        </row>
        <row r="1047">
          <cell r="AR1047" t="str">
            <v>x</v>
          </cell>
        </row>
        <row r="1048">
          <cell r="AR1048" t="str">
            <v>x</v>
          </cell>
        </row>
        <row r="1049">
          <cell r="AR1049" t="str">
            <v>x</v>
          </cell>
        </row>
        <row r="1050">
          <cell r="AR1050" t="str">
            <v>x</v>
          </cell>
        </row>
        <row r="1051">
          <cell r="AR1051" t="str">
            <v>x</v>
          </cell>
        </row>
        <row r="1052">
          <cell r="AR1052" t="str">
            <v>x</v>
          </cell>
        </row>
        <row r="1053">
          <cell r="AR1053" t="str">
            <v>x</v>
          </cell>
        </row>
        <row r="1054">
          <cell r="AR1054" t="str">
            <v>x</v>
          </cell>
        </row>
        <row r="1055">
          <cell r="AR1055" t="str">
            <v>x</v>
          </cell>
        </row>
        <row r="1056">
          <cell r="AR1056" t="str">
            <v>x</v>
          </cell>
        </row>
        <row r="1057">
          <cell r="AR1057" t="str">
            <v>x</v>
          </cell>
        </row>
        <row r="1058">
          <cell r="AR1058" t="str">
            <v>x</v>
          </cell>
        </row>
        <row r="1059">
          <cell r="AR1059" t="str">
            <v>x</v>
          </cell>
        </row>
        <row r="1060">
          <cell r="AR1060" t="str">
            <v>x</v>
          </cell>
        </row>
        <row r="1061">
          <cell r="AR1061" t="str">
            <v>x</v>
          </cell>
        </row>
        <row r="1062">
          <cell r="AR1062" t="str">
            <v>x</v>
          </cell>
        </row>
        <row r="1063">
          <cell r="AR1063" t="str">
            <v>x</v>
          </cell>
        </row>
        <row r="1064">
          <cell r="AR1064" t="str">
            <v>x</v>
          </cell>
        </row>
        <row r="1065">
          <cell r="AR1065" t="str">
            <v>x</v>
          </cell>
        </row>
        <row r="1066">
          <cell r="AR1066" t="str">
            <v>x</v>
          </cell>
        </row>
        <row r="1067">
          <cell r="AR1067" t="str">
            <v>x</v>
          </cell>
        </row>
        <row r="1068">
          <cell r="AR1068" t="str">
            <v>x</v>
          </cell>
        </row>
        <row r="1069">
          <cell r="AR1069" t="str">
            <v>x</v>
          </cell>
        </row>
        <row r="1070">
          <cell r="AR1070" t="str">
            <v>x</v>
          </cell>
        </row>
        <row r="1071">
          <cell r="AR1071" t="str">
            <v>x</v>
          </cell>
        </row>
        <row r="1072">
          <cell r="AR1072" t="str">
            <v>x</v>
          </cell>
        </row>
        <row r="1073">
          <cell r="AR1073" t="str">
            <v>x</v>
          </cell>
        </row>
        <row r="1074">
          <cell r="AR1074" t="str">
            <v>x</v>
          </cell>
        </row>
        <row r="1075">
          <cell r="AR1075" t="str">
            <v>x</v>
          </cell>
        </row>
        <row r="1076">
          <cell r="AR1076" t="str">
            <v>x</v>
          </cell>
        </row>
        <row r="1077">
          <cell r="AR1077" t="str">
            <v>x</v>
          </cell>
        </row>
        <row r="1078">
          <cell r="AR1078" t="str">
            <v>x</v>
          </cell>
        </row>
        <row r="1079">
          <cell r="AR1079" t="str">
            <v>x</v>
          </cell>
        </row>
        <row r="1080">
          <cell r="AR1080" t="str">
            <v>x</v>
          </cell>
        </row>
        <row r="1081">
          <cell r="AR1081" t="str">
            <v>x</v>
          </cell>
        </row>
        <row r="1082">
          <cell r="AR1082" t="str">
            <v>x</v>
          </cell>
        </row>
        <row r="1083">
          <cell r="AR1083" t="str">
            <v>x</v>
          </cell>
        </row>
        <row r="1084">
          <cell r="AR1084" t="str">
            <v>x</v>
          </cell>
        </row>
        <row r="1085">
          <cell r="AR1085" t="str">
            <v>x</v>
          </cell>
        </row>
        <row r="1086">
          <cell r="AR1086" t="str">
            <v>x</v>
          </cell>
        </row>
        <row r="1087">
          <cell r="AR1087" t="str">
            <v>x</v>
          </cell>
        </row>
        <row r="1088">
          <cell r="AR1088" t="str">
            <v>x</v>
          </cell>
        </row>
        <row r="1089">
          <cell r="AR1089" t="str">
            <v>x</v>
          </cell>
        </row>
        <row r="1090">
          <cell r="AR1090" t="str">
            <v>x</v>
          </cell>
        </row>
        <row r="1091">
          <cell r="AR1091" t="str">
            <v>x</v>
          </cell>
        </row>
        <row r="1092">
          <cell r="AR1092" t="str">
            <v>x</v>
          </cell>
        </row>
        <row r="1093">
          <cell r="AR1093" t="str">
            <v>x</v>
          </cell>
        </row>
        <row r="1094">
          <cell r="AR1094" t="str">
            <v>x</v>
          </cell>
        </row>
        <row r="1095">
          <cell r="AR1095" t="str">
            <v>x</v>
          </cell>
        </row>
        <row r="1096">
          <cell r="AR1096" t="str">
            <v>x</v>
          </cell>
        </row>
        <row r="1097">
          <cell r="AR1097" t="str">
            <v>x</v>
          </cell>
        </row>
        <row r="1098">
          <cell r="AR1098" t="str">
            <v>x</v>
          </cell>
        </row>
        <row r="1099">
          <cell r="AR1099" t="str">
            <v>x</v>
          </cell>
        </row>
        <row r="1100">
          <cell r="AR1100" t="str">
            <v>x</v>
          </cell>
        </row>
        <row r="1101">
          <cell r="AR1101" t="str">
            <v>x</v>
          </cell>
        </row>
        <row r="1102">
          <cell r="AR1102" t="str">
            <v>x</v>
          </cell>
        </row>
        <row r="1103">
          <cell r="AR1103" t="str">
            <v>x</v>
          </cell>
        </row>
        <row r="1104">
          <cell r="AR1104" t="str">
            <v>x</v>
          </cell>
        </row>
        <row r="1105">
          <cell r="AR1105" t="str">
            <v>x</v>
          </cell>
        </row>
        <row r="1106">
          <cell r="AR1106" t="str">
            <v>x</v>
          </cell>
        </row>
        <row r="1107">
          <cell r="AR1107" t="str">
            <v>x</v>
          </cell>
        </row>
        <row r="1108">
          <cell r="AR1108" t="str">
            <v>x</v>
          </cell>
        </row>
        <row r="1109">
          <cell r="AR1109" t="str">
            <v>x</v>
          </cell>
        </row>
        <row r="1110">
          <cell r="AR1110" t="str">
            <v>x</v>
          </cell>
        </row>
        <row r="1111">
          <cell r="AR1111" t="str">
            <v>x</v>
          </cell>
        </row>
        <row r="1112">
          <cell r="AR1112" t="str">
            <v>x</v>
          </cell>
        </row>
        <row r="1113">
          <cell r="AR1113" t="str">
            <v>x</v>
          </cell>
        </row>
        <row r="1114">
          <cell r="AR1114" t="str">
            <v>x</v>
          </cell>
        </row>
        <row r="1115">
          <cell r="AR1115" t="str">
            <v>x</v>
          </cell>
        </row>
        <row r="1116">
          <cell r="AR1116" t="str">
            <v>x</v>
          </cell>
        </row>
        <row r="1117">
          <cell r="AR1117" t="str">
            <v>x</v>
          </cell>
        </row>
        <row r="1118">
          <cell r="AR1118" t="str">
            <v>x</v>
          </cell>
        </row>
        <row r="1119">
          <cell r="AR1119" t="str">
            <v>x</v>
          </cell>
        </row>
        <row r="1120">
          <cell r="AR1120" t="str">
            <v>x</v>
          </cell>
        </row>
        <row r="1121">
          <cell r="AR1121" t="str">
            <v>x</v>
          </cell>
        </row>
        <row r="1122">
          <cell r="AR1122" t="str">
            <v>x</v>
          </cell>
        </row>
        <row r="1123">
          <cell r="AR1123" t="str">
            <v>x</v>
          </cell>
        </row>
        <row r="1124">
          <cell r="AR1124" t="str">
            <v>x</v>
          </cell>
        </row>
        <row r="1125">
          <cell r="AR1125" t="str">
            <v>x</v>
          </cell>
        </row>
        <row r="1126">
          <cell r="AR1126" t="str">
            <v>x</v>
          </cell>
        </row>
        <row r="1127">
          <cell r="AR1127" t="str">
            <v>x</v>
          </cell>
        </row>
        <row r="1128">
          <cell r="AR1128" t="str">
            <v>x</v>
          </cell>
        </row>
        <row r="1129">
          <cell r="AR1129" t="str">
            <v>x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idgame_type</v>
          </cell>
          <cell r="B1" t="str">
            <v>Sala</v>
          </cell>
          <cell r="C1" t="str">
            <v>Monday</v>
          </cell>
          <cell r="D1" t="str">
            <v>game_name</v>
          </cell>
          <cell r="E1" t="str">
            <v>days</v>
          </cell>
          <cell r="F1" t="str">
            <v>cash_in</v>
          </cell>
          <cell r="G1" t="str">
            <v>cash_out</v>
          </cell>
          <cell r="H1" t="str">
            <v>coinin</v>
          </cell>
          <cell r="I1" t="str">
            <v>seconds</v>
          </cell>
        </row>
        <row r="2">
          <cell r="A2">
            <v>2</v>
          </cell>
        </row>
        <row r="3">
          <cell r="A3">
            <v>2</v>
          </cell>
        </row>
        <row r="4">
          <cell r="A4">
            <v>2</v>
          </cell>
        </row>
        <row r="5">
          <cell r="A5">
            <v>2</v>
          </cell>
        </row>
        <row r="6">
          <cell r="A6">
            <v>2</v>
          </cell>
        </row>
        <row r="7">
          <cell r="A7">
            <v>2</v>
          </cell>
        </row>
        <row r="8">
          <cell r="A8">
            <v>2</v>
          </cell>
        </row>
        <row r="9">
          <cell r="A9">
            <v>2</v>
          </cell>
        </row>
        <row r="10">
          <cell r="A10">
            <v>2</v>
          </cell>
        </row>
        <row r="11">
          <cell r="A11">
            <v>2</v>
          </cell>
        </row>
        <row r="12">
          <cell r="A12">
            <v>2</v>
          </cell>
        </row>
        <row r="13">
          <cell r="A13">
            <v>2</v>
          </cell>
        </row>
        <row r="14">
          <cell r="A14">
            <v>2</v>
          </cell>
        </row>
        <row r="15">
          <cell r="A15">
            <v>2</v>
          </cell>
        </row>
        <row r="16">
          <cell r="A16">
            <v>2</v>
          </cell>
        </row>
        <row r="17">
          <cell r="A17">
            <v>2</v>
          </cell>
        </row>
        <row r="18">
          <cell r="A18">
            <v>2</v>
          </cell>
        </row>
        <row r="19">
          <cell r="A19">
            <v>2</v>
          </cell>
        </row>
        <row r="20">
          <cell r="A20">
            <v>2</v>
          </cell>
        </row>
        <row r="21">
          <cell r="A21">
            <v>2</v>
          </cell>
        </row>
        <row r="22">
          <cell r="A22">
            <v>2</v>
          </cell>
        </row>
        <row r="23">
          <cell r="A23">
            <v>2</v>
          </cell>
        </row>
        <row r="24">
          <cell r="A24">
            <v>2</v>
          </cell>
        </row>
        <row r="25">
          <cell r="A25">
            <v>2</v>
          </cell>
        </row>
        <row r="26">
          <cell r="A26">
            <v>2</v>
          </cell>
        </row>
        <row r="27">
          <cell r="A27">
            <v>2</v>
          </cell>
        </row>
        <row r="28">
          <cell r="A28">
            <v>2</v>
          </cell>
        </row>
        <row r="29">
          <cell r="A29">
            <v>2</v>
          </cell>
        </row>
        <row r="30">
          <cell r="A30">
            <v>2</v>
          </cell>
        </row>
        <row r="31">
          <cell r="A31">
            <v>2</v>
          </cell>
        </row>
        <row r="32">
          <cell r="A32">
            <v>2</v>
          </cell>
        </row>
        <row r="33">
          <cell r="A33">
            <v>2</v>
          </cell>
        </row>
        <row r="34">
          <cell r="A34">
            <v>2</v>
          </cell>
        </row>
        <row r="35">
          <cell r="A35">
            <v>2</v>
          </cell>
        </row>
        <row r="36">
          <cell r="A36">
            <v>2</v>
          </cell>
        </row>
        <row r="37">
          <cell r="A37">
            <v>2</v>
          </cell>
        </row>
        <row r="38">
          <cell r="A38">
            <v>2</v>
          </cell>
        </row>
        <row r="39">
          <cell r="A39">
            <v>2</v>
          </cell>
        </row>
        <row r="40">
          <cell r="A40">
            <v>2</v>
          </cell>
        </row>
        <row r="41">
          <cell r="A41">
            <v>2</v>
          </cell>
        </row>
        <row r="42">
          <cell r="A42">
            <v>2</v>
          </cell>
        </row>
        <row r="43">
          <cell r="A43">
            <v>2</v>
          </cell>
        </row>
        <row r="44">
          <cell r="A44">
            <v>2</v>
          </cell>
        </row>
        <row r="45">
          <cell r="A45">
            <v>2</v>
          </cell>
        </row>
        <row r="46">
          <cell r="A46">
            <v>2</v>
          </cell>
        </row>
        <row r="47">
          <cell r="A47">
            <v>2</v>
          </cell>
        </row>
        <row r="48">
          <cell r="A48">
            <v>2</v>
          </cell>
        </row>
        <row r="49">
          <cell r="A49">
            <v>2</v>
          </cell>
        </row>
        <row r="50">
          <cell r="A50">
            <v>2</v>
          </cell>
        </row>
        <row r="51">
          <cell r="A51">
            <v>2</v>
          </cell>
        </row>
        <row r="52">
          <cell r="A52">
            <v>2</v>
          </cell>
        </row>
        <row r="53">
          <cell r="A53">
            <v>2</v>
          </cell>
        </row>
        <row r="54">
          <cell r="A54">
            <v>2</v>
          </cell>
        </row>
        <row r="55">
          <cell r="A55">
            <v>2</v>
          </cell>
        </row>
        <row r="56">
          <cell r="A56">
            <v>2</v>
          </cell>
        </row>
        <row r="57">
          <cell r="A57">
            <v>2</v>
          </cell>
        </row>
        <row r="58">
          <cell r="A58">
            <v>2</v>
          </cell>
        </row>
        <row r="59">
          <cell r="A59">
            <v>2</v>
          </cell>
        </row>
        <row r="60">
          <cell r="A60">
            <v>2</v>
          </cell>
        </row>
        <row r="61">
          <cell r="A61">
            <v>2</v>
          </cell>
        </row>
        <row r="62">
          <cell r="A62">
            <v>2</v>
          </cell>
        </row>
        <row r="63">
          <cell r="A63">
            <v>2</v>
          </cell>
        </row>
        <row r="64">
          <cell r="A64">
            <v>2</v>
          </cell>
        </row>
        <row r="65">
          <cell r="A65">
            <v>2</v>
          </cell>
        </row>
        <row r="66">
          <cell r="A66">
            <v>2</v>
          </cell>
        </row>
        <row r="67">
          <cell r="A67">
            <v>2</v>
          </cell>
        </row>
        <row r="68">
          <cell r="A68">
            <v>2</v>
          </cell>
        </row>
        <row r="69">
          <cell r="A69">
            <v>2</v>
          </cell>
        </row>
        <row r="70">
          <cell r="A70">
            <v>2</v>
          </cell>
        </row>
        <row r="71">
          <cell r="A71">
            <v>2</v>
          </cell>
        </row>
        <row r="72">
          <cell r="A72">
            <v>2</v>
          </cell>
        </row>
        <row r="73">
          <cell r="A73">
            <v>2</v>
          </cell>
        </row>
        <row r="74">
          <cell r="A74">
            <v>2</v>
          </cell>
        </row>
        <row r="75">
          <cell r="A75">
            <v>2</v>
          </cell>
        </row>
        <row r="76">
          <cell r="A76">
            <v>2</v>
          </cell>
        </row>
        <row r="77">
          <cell r="A77">
            <v>2</v>
          </cell>
        </row>
        <row r="78">
          <cell r="A78">
            <v>2</v>
          </cell>
        </row>
        <row r="79">
          <cell r="A79">
            <v>2</v>
          </cell>
        </row>
        <row r="80">
          <cell r="A80">
            <v>2</v>
          </cell>
        </row>
        <row r="81">
          <cell r="A81">
            <v>2</v>
          </cell>
        </row>
        <row r="82">
          <cell r="A82">
            <v>2</v>
          </cell>
        </row>
        <row r="83">
          <cell r="A83">
            <v>2</v>
          </cell>
        </row>
        <row r="84">
          <cell r="A84">
            <v>2</v>
          </cell>
        </row>
        <row r="85">
          <cell r="A85">
            <v>2</v>
          </cell>
        </row>
        <row r="86">
          <cell r="A86">
            <v>2</v>
          </cell>
        </row>
        <row r="87">
          <cell r="A87">
            <v>2</v>
          </cell>
        </row>
        <row r="88">
          <cell r="A88">
            <v>2</v>
          </cell>
        </row>
        <row r="89">
          <cell r="A89">
            <v>2</v>
          </cell>
        </row>
        <row r="90">
          <cell r="A90">
            <v>2</v>
          </cell>
        </row>
        <row r="91">
          <cell r="A91">
            <v>2</v>
          </cell>
        </row>
        <row r="92">
          <cell r="A92">
            <v>2</v>
          </cell>
        </row>
        <row r="93">
          <cell r="A93">
            <v>2</v>
          </cell>
        </row>
        <row r="94">
          <cell r="A94">
            <v>2</v>
          </cell>
        </row>
        <row r="95">
          <cell r="A95">
            <v>2</v>
          </cell>
        </row>
        <row r="96">
          <cell r="A96">
            <v>2</v>
          </cell>
        </row>
        <row r="97">
          <cell r="A97">
            <v>2</v>
          </cell>
        </row>
        <row r="98">
          <cell r="A98">
            <v>2</v>
          </cell>
        </row>
        <row r="99">
          <cell r="A99">
            <v>2</v>
          </cell>
        </row>
        <row r="100">
          <cell r="A100">
            <v>2</v>
          </cell>
        </row>
        <row r="101">
          <cell r="A101">
            <v>2</v>
          </cell>
        </row>
        <row r="102">
          <cell r="A102">
            <v>2</v>
          </cell>
        </row>
        <row r="103">
          <cell r="A103">
            <v>2</v>
          </cell>
        </row>
        <row r="104">
          <cell r="A104">
            <v>2</v>
          </cell>
        </row>
        <row r="105">
          <cell r="A105">
            <v>2</v>
          </cell>
        </row>
        <row r="106">
          <cell r="A106">
            <v>2</v>
          </cell>
        </row>
        <row r="107">
          <cell r="A107">
            <v>2</v>
          </cell>
        </row>
        <row r="108">
          <cell r="A108">
            <v>2</v>
          </cell>
        </row>
        <row r="109">
          <cell r="A109">
            <v>2</v>
          </cell>
        </row>
        <row r="110">
          <cell r="A110">
            <v>2</v>
          </cell>
        </row>
        <row r="111">
          <cell r="A111">
            <v>2</v>
          </cell>
        </row>
        <row r="112">
          <cell r="A112">
            <v>2</v>
          </cell>
        </row>
        <row r="113">
          <cell r="A113">
            <v>2</v>
          </cell>
        </row>
        <row r="114">
          <cell r="A114">
            <v>2</v>
          </cell>
        </row>
        <row r="115">
          <cell r="A115">
            <v>2</v>
          </cell>
        </row>
        <row r="116">
          <cell r="A116">
            <v>2</v>
          </cell>
        </row>
        <row r="117">
          <cell r="A117">
            <v>2</v>
          </cell>
        </row>
        <row r="118">
          <cell r="A118">
            <v>2</v>
          </cell>
        </row>
        <row r="119">
          <cell r="A119">
            <v>2</v>
          </cell>
        </row>
        <row r="120">
          <cell r="A120">
            <v>2</v>
          </cell>
        </row>
        <row r="121">
          <cell r="A121">
            <v>2</v>
          </cell>
        </row>
        <row r="122">
          <cell r="A122">
            <v>2</v>
          </cell>
        </row>
        <row r="123">
          <cell r="A123">
            <v>2</v>
          </cell>
        </row>
        <row r="124">
          <cell r="A124">
            <v>2</v>
          </cell>
        </row>
        <row r="125">
          <cell r="A125">
            <v>2</v>
          </cell>
        </row>
        <row r="126">
          <cell r="A126">
            <v>2</v>
          </cell>
        </row>
        <row r="127">
          <cell r="A127">
            <v>2</v>
          </cell>
        </row>
        <row r="128">
          <cell r="A128">
            <v>2</v>
          </cell>
        </row>
        <row r="129">
          <cell r="A129">
            <v>2</v>
          </cell>
        </row>
        <row r="130">
          <cell r="A130">
            <v>2</v>
          </cell>
        </row>
        <row r="131">
          <cell r="A131">
            <v>2</v>
          </cell>
        </row>
        <row r="132">
          <cell r="A132">
            <v>2</v>
          </cell>
        </row>
        <row r="133">
          <cell r="A133">
            <v>2</v>
          </cell>
        </row>
        <row r="134">
          <cell r="A134">
            <v>2</v>
          </cell>
        </row>
        <row r="135">
          <cell r="A135">
            <v>2</v>
          </cell>
        </row>
        <row r="136">
          <cell r="A136">
            <v>2</v>
          </cell>
        </row>
        <row r="137">
          <cell r="A137">
            <v>2</v>
          </cell>
        </row>
        <row r="138">
          <cell r="A138">
            <v>2</v>
          </cell>
        </row>
        <row r="139">
          <cell r="A139">
            <v>2</v>
          </cell>
        </row>
        <row r="140">
          <cell r="A140">
            <v>2</v>
          </cell>
        </row>
        <row r="141">
          <cell r="A141">
            <v>2</v>
          </cell>
        </row>
        <row r="142">
          <cell r="A142">
            <v>2</v>
          </cell>
        </row>
        <row r="143">
          <cell r="A143">
            <v>2</v>
          </cell>
        </row>
        <row r="144">
          <cell r="A144">
            <v>2</v>
          </cell>
        </row>
        <row r="145">
          <cell r="A145">
            <v>2</v>
          </cell>
        </row>
        <row r="146">
          <cell r="A146">
            <v>2</v>
          </cell>
        </row>
        <row r="147">
          <cell r="A147">
            <v>2</v>
          </cell>
        </row>
        <row r="148">
          <cell r="A148">
            <v>2</v>
          </cell>
        </row>
        <row r="149">
          <cell r="A149">
            <v>2</v>
          </cell>
        </row>
        <row r="150">
          <cell r="A150">
            <v>2</v>
          </cell>
        </row>
        <row r="151">
          <cell r="A151">
            <v>2</v>
          </cell>
        </row>
        <row r="152">
          <cell r="A152">
            <v>2</v>
          </cell>
        </row>
        <row r="153">
          <cell r="A153">
            <v>2</v>
          </cell>
        </row>
        <row r="154">
          <cell r="A154">
            <v>2</v>
          </cell>
        </row>
        <row r="155">
          <cell r="A155">
            <v>2</v>
          </cell>
        </row>
        <row r="156">
          <cell r="A156">
            <v>2</v>
          </cell>
        </row>
        <row r="157">
          <cell r="A157">
            <v>2</v>
          </cell>
        </row>
        <row r="158">
          <cell r="A158">
            <v>2</v>
          </cell>
        </row>
        <row r="159">
          <cell r="A159">
            <v>2</v>
          </cell>
        </row>
        <row r="160">
          <cell r="A160">
            <v>2</v>
          </cell>
        </row>
        <row r="161">
          <cell r="A161">
            <v>2</v>
          </cell>
        </row>
        <row r="162">
          <cell r="A162">
            <v>2</v>
          </cell>
        </row>
        <row r="163">
          <cell r="A163">
            <v>2</v>
          </cell>
        </row>
        <row r="164">
          <cell r="A164">
            <v>2</v>
          </cell>
        </row>
        <row r="165">
          <cell r="A165">
            <v>2</v>
          </cell>
        </row>
        <row r="166">
          <cell r="A166">
            <v>2</v>
          </cell>
        </row>
        <row r="167">
          <cell r="A167">
            <v>2</v>
          </cell>
        </row>
        <row r="168">
          <cell r="A168">
            <v>2</v>
          </cell>
        </row>
        <row r="169">
          <cell r="A169">
            <v>2</v>
          </cell>
        </row>
        <row r="170">
          <cell r="A170">
            <v>2</v>
          </cell>
        </row>
        <row r="171">
          <cell r="A171">
            <v>2</v>
          </cell>
        </row>
        <row r="172">
          <cell r="A172">
            <v>2</v>
          </cell>
        </row>
        <row r="173">
          <cell r="A173">
            <v>2</v>
          </cell>
        </row>
        <row r="174">
          <cell r="A174">
            <v>2</v>
          </cell>
        </row>
        <row r="175">
          <cell r="A175">
            <v>2</v>
          </cell>
        </row>
        <row r="176">
          <cell r="A176">
            <v>2</v>
          </cell>
        </row>
        <row r="177">
          <cell r="A177">
            <v>2</v>
          </cell>
        </row>
        <row r="178">
          <cell r="A178">
            <v>2</v>
          </cell>
        </row>
        <row r="179">
          <cell r="A179">
            <v>2</v>
          </cell>
        </row>
        <row r="180">
          <cell r="A180">
            <v>2</v>
          </cell>
        </row>
        <row r="181">
          <cell r="A181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O75"/>
  <sheetViews>
    <sheetView tabSelected="1" zoomScale="40" zoomScaleNormal="40" workbookViewId="0">
      <selection sqref="A1:XFD1048576"/>
    </sheetView>
  </sheetViews>
  <sheetFormatPr baseColWidth="10" defaultColWidth="16.7109375" defaultRowHeight="15" x14ac:dyDescent="0.25"/>
  <cols>
    <col min="1" max="16384" width="16.7109375" style="834"/>
  </cols>
  <sheetData>
    <row r="1" spans="1:93" ht="47.25" thickBot="1" x14ac:dyDescent="0.3">
      <c r="A1" s="832" t="s">
        <v>161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  <c r="AO1" s="833"/>
      <c r="AP1" s="833"/>
      <c r="AQ1" s="833"/>
      <c r="AR1" s="833"/>
      <c r="AS1" s="833"/>
      <c r="AT1" s="833"/>
      <c r="AU1" s="833"/>
      <c r="AV1" s="833"/>
      <c r="AW1" s="833"/>
      <c r="AX1" s="833"/>
      <c r="AY1" s="833"/>
      <c r="AZ1" s="833"/>
      <c r="BA1" s="833"/>
      <c r="BB1" s="833"/>
      <c r="BC1" s="833"/>
      <c r="BD1" s="833"/>
      <c r="BE1" s="833"/>
      <c r="BF1" s="833"/>
      <c r="BG1" s="833"/>
      <c r="BH1" s="833"/>
      <c r="BI1" s="833"/>
      <c r="BJ1" s="833"/>
      <c r="BK1" s="833"/>
      <c r="BL1" s="833"/>
      <c r="BM1" s="833"/>
      <c r="BN1" s="833"/>
      <c r="BO1" s="833"/>
      <c r="BP1" s="833"/>
      <c r="BQ1" s="833"/>
      <c r="BR1" s="833"/>
      <c r="BS1" s="833"/>
      <c r="BT1" s="833"/>
      <c r="BU1" s="833"/>
      <c r="BV1" s="833"/>
      <c r="BW1" s="833"/>
      <c r="BX1" s="833"/>
      <c r="BY1" s="833"/>
      <c r="BZ1" s="833"/>
      <c r="CA1" s="833"/>
      <c r="CB1" s="833"/>
      <c r="CC1" s="833"/>
      <c r="CD1" s="833"/>
      <c r="CE1" s="833"/>
      <c r="CF1" s="833"/>
      <c r="CG1" s="833"/>
      <c r="CH1" s="833"/>
      <c r="CI1" s="833"/>
      <c r="CJ1" s="833"/>
      <c r="CK1" s="833"/>
      <c r="CL1" s="833"/>
      <c r="CM1" s="833"/>
      <c r="CN1" s="833"/>
    </row>
    <row r="2" spans="1:93" ht="15.75" thickBot="1" x14ac:dyDescent="0.3">
      <c r="A2" s="835"/>
      <c r="B2" s="835"/>
      <c r="C2" s="835"/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  <c r="AE2" s="835"/>
      <c r="AF2" s="835"/>
      <c r="AG2" s="835"/>
      <c r="AH2" s="835"/>
      <c r="AI2" s="835"/>
      <c r="AJ2" s="835"/>
      <c r="AK2" s="835"/>
      <c r="AL2" s="835"/>
      <c r="AM2" s="835"/>
      <c r="AN2" s="835"/>
      <c r="AO2" s="835"/>
      <c r="AP2" s="835"/>
      <c r="AQ2" s="835"/>
      <c r="AR2" s="835"/>
      <c r="AS2" s="835"/>
      <c r="AT2" s="835"/>
      <c r="AU2" s="835"/>
      <c r="AV2" s="835"/>
      <c r="AW2" s="835"/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6"/>
      <c r="BM2" s="836"/>
      <c r="BN2" s="836"/>
      <c r="BO2" s="836"/>
      <c r="BP2" s="836"/>
      <c r="BQ2" s="836"/>
      <c r="BR2" s="836"/>
      <c r="BS2" s="836"/>
      <c r="BT2" s="836"/>
      <c r="BU2" s="836"/>
      <c r="BV2" s="836"/>
      <c r="BW2" s="836"/>
      <c r="BX2" s="836"/>
      <c r="BY2" s="836"/>
      <c r="BZ2" s="836"/>
      <c r="CA2" s="836"/>
      <c r="CB2" s="836"/>
      <c r="CC2" s="836"/>
      <c r="CD2" s="836"/>
      <c r="CE2" s="836"/>
      <c r="CF2" s="836"/>
      <c r="CG2" s="836"/>
      <c r="CH2" s="836"/>
      <c r="CI2" s="836"/>
      <c r="CJ2" s="836"/>
      <c r="CK2" s="836"/>
      <c r="CL2" s="836"/>
      <c r="CM2" s="836"/>
      <c r="CN2" s="837"/>
    </row>
    <row r="3" spans="1:93" ht="16.5" thickBot="1" x14ac:dyDescent="0.3">
      <c r="A3" s="835"/>
      <c r="B3" s="835"/>
      <c r="C3" s="835"/>
      <c r="D3" s="835"/>
      <c r="E3" s="835"/>
      <c r="F3" s="835"/>
      <c r="G3" s="835"/>
      <c r="H3" s="835"/>
      <c r="I3" s="835"/>
      <c r="J3" s="835"/>
      <c r="K3" s="835"/>
      <c r="L3" s="835"/>
      <c r="M3" s="835"/>
      <c r="N3" s="835"/>
      <c r="O3" s="835"/>
      <c r="P3" s="835"/>
      <c r="Q3" s="835"/>
      <c r="R3" s="835"/>
      <c r="S3" s="835"/>
      <c r="T3" s="835"/>
      <c r="U3" s="835"/>
      <c r="V3" s="835"/>
      <c r="W3" s="835"/>
      <c r="X3" s="835"/>
      <c r="Y3" s="835"/>
      <c r="Z3" s="835"/>
      <c r="AA3" s="835"/>
      <c r="AB3" s="835"/>
      <c r="AC3" s="835"/>
      <c r="AD3" s="835"/>
      <c r="AE3" s="835"/>
      <c r="AF3" s="835"/>
      <c r="AG3" s="835"/>
      <c r="AH3" s="835"/>
      <c r="AI3" s="835"/>
      <c r="AJ3" s="835"/>
      <c r="AK3" s="835"/>
      <c r="AL3" s="835"/>
      <c r="AM3" s="835"/>
      <c r="AN3" s="835"/>
      <c r="AO3" s="835"/>
      <c r="AP3" s="835"/>
      <c r="AQ3" s="835"/>
      <c r="AR3" s="835"/>
      <c r="AS3" s="835"/>
      <c r="AT3" s="835"/>
      <c r="AU3" s="835"/>
      <c r="AV3" s="835"/>
      <c r="AW3" s="835"/>
      <c r="AX3" s="835"/>
      <c r="AY3" s="835"/>
      <c r="AZ3" s="835"/>
      <c r="BA3" s="835"/>
      <c r="BB3" s="835"/>
      <c r="BC3" s="835"/>
      <c r="BD3" s="835"/>
      <c r="BE3" s="835"/>
      <c r="BF3" s="835"/>
      <c r="BG3" s="835"/>
      <c r="BH3" s="835"/>
      <c r="BI3" s="835"/>
      <c r="BJ3" s="835"/>
      <c r="BK3" s="835"/>
      <c r="BL3" s="838" t="s">
        <v>162</v>
      </c>
      <c r="BM3" s="839"/>
      <c r="BN3" s="839"/>
      <c r="BO3" s="840"/>
      <c r="BP3" s="841"/>
      <c r="BQ3" s="841"/>
      <c r="BR3" s="841"/>
      <c r="BS3" s="841"/>
      <c r="BT3" s="841"/>
      <c r="BU3" s="841"/>
      <c r="BV3" s="841"/>
      <c r="BW3" s="841"/>
      <c r="BX3" s="841"/>
      <c r="BY3" s="841"/>
      <c r="BZ3" s="841"/>
      <c r="CA3" s="841"/>
      <c r="CB3" s="841"/>
      <c r="CC3" s="841"/>
      <c r="CD3" s="841"/>
      <c r="CE3" s="841"/>
      <c r="CF3" s="841"/>
      <c r="CG3" s="841"/>
      <c r="CH3" s="841"/>
      <c r="CI3" s="841"/>
      <c r="CJ3" s="841"/>
      <c r="CK3" s="842" t="s">
        <v>163</v>
      </c>
      <c r="CL3" s="843"/>
      <c r="CM3" s="841"/>
      <c r="CN3" s="844"/>
    </row>
    <row r="4" spans="1:93" x14ac:dyDescent="0.25">
      <c r="A4" s="835"/>
      <c r="B4" s="835"/>
      <c r="C4" s="835"/>
      <c r="D4" s="835"/>
      <c r="E4" s="835"/>
      <c r="F4" s="835"/>
      <c r="G4" s="835"/>
      <c r="H4" s="835"/>
      <c r="I4" s="835"/>
      <c r="J4" s="835"/>
      <c r="K4" s="835"/>
      <c r="L4" s="835"/>
      <c r="M4" s="835"/>
      <c r="N4" s="835"/>
      <c r="O4" s="835"/>
      <c r="P4" s="835"/>
      <c r="Q4" s="835"/>
      <c r="R4" s="835"/>
      <c r="S4" s="835"/>
      <c r="T4" s="835"/>
      <c r="U4" s="835"/>
      <c r="V4" s="835"/>
      <c r="W4" s="835"/>
      <c r="X4" s="835"/>
      <c r="Y4" s="835"/>
      <c r="Z4" s="835"/>
      <c r="AA4" s="835"/>
      <c r="AB4" s="835"/>
      <c r="AC4" s="835"/>
      <c r="AD4" s="835"/>
      <c r="AE4" s="835"/>
      <c r="AF4" s="835"/>
      <c r="AG4" s="835"/>
      <c r="AH4" s="835"/>
      <c r="AI4" s="835"/>
      <c r="AJ4" s="835"/>
      <c r="AK4" s="835"/>
      <c r="AL4" s="835"/>
      <c r="AM4" s="835"/>
      <c r="AN4" s="835"/>
      <c r="AO4" s="835"/>
      <c r="AP4" s="835"/>
      <c r="AQ4" s="835"/>
      <c r="AR4" s="835"/>
      <c r="AS4" s="835"/>
      <c r="AT4" s="835"/>
      <c r="AU4" s="835"/>
      <c r="AV4" s="835"/>
      <c r="AW4" s="835"/>
      <c r="AX4" s="835"/>
      <c r="AY4" s="835"/>
      <c r="AZ4" s="835"/>
      <c r="BA4" s="835"/>
      <c r="BB4" s="835"/>
      <c r="BC4" s="835"/>
      <c r="BD4" s="835"/>
      <c r="BE4" s="835"/>
      <c r="BF4" s="835"/>
      <c r="BG4" s="835"/>
      <c r="BH4" s="835"/>
      <c r="BI4" s="835"/>
      <c r="BJ4" s="835"/>
      <c r="BK4" s="835"/>
      <c r="BL4" s="845"/>
      <c r="BM4" s="846"/>
      <c r="BN4" s="846"/>
      <c r="BO4" s="847"/>
      <c r="BP4" s="835"/>
      <c r="BQ4" s="835"/>
      <c r="BR4" s="835"/>
      <c r="BS4" s="835"/>
      <c r="BT4" s="835"/>
      <c r="BU4" s="835"/>
      <c r="BV4" s="835"/>
      <c r="BW4" s="835"/>
      <c r="BX4" s="835"/>
      <c r="BY4" s="835"/>
      <c r="BZ4" s="835"/>
      <c r="CA4" s="835"/>
      <c r="CB4" s="835"/>
      <c r="CC4" s="835"/>
      <c r="CD4" s="835"/>
      <c r="CE4" s="835"/>
      <c r="CF4" s="835"/>
      <c r="CG4" s="835"/>
      <c r="CH4" s="835"/>
      <c r="CI4" s="835"/>
      <c r="CJ4" s="835"/>
      <c r="CK4" s="835"/>
      <c r="CL4" s="835"/>
      <c r="CM4" s="835"/>
      <c r="CN4" s="848"/>
    </row>
    <row r="5" spans="1:93" ht="15.75" x14ac:dyDescent="0.25">
      <c r="A5" s="835"/>
      <c r="B5" s="835"/>
      <c r="C5" s="835"/>
      <c r="D5" s="835"/>
      <c r="E5" s="835"/>
      <c r="F5" s="835"/>
      <c r="G5" s="835"/>
      <c r="H5" s="835"/>
      <c r="I5" s="835"/>
      <c r="J5" s="835"/>
      <c r="K5" s="835"/>
      <c r="L5" s="835"/>
      <c r="M5" s="835"/>
      <c r="N5" s="835"/>
      <c r="O5" s="835"/>
      <c r="P5" s="835"/>
      <c r="Q5" s="835"/>
      <c r="R5" s="835"/>
      <c r="S5" s="835"/>
      <c r="T5" s="835"/>
      <c r="U5" s="835"/>
      <c r="V5" s="835"/>
      <c r="W5" s="835"/>
      <c r="X5" s="835"/>
      <c r="Y5" s="835"/>
      <c r="Z5" s="835"/>
      <c r="AA5" s="835"/>
      <c r="AB5" s="835"/>
      <c r="AC5" s="835"/>
      <c r="AD5" s="835"/>
      <c r="AE5" s="835"/>
      <c r="AF5" s="835"/>
      <c r="AG5" s="835"/>
      <c r="AH5" s="835"/>
      <c r="AI5" s="835"/>
      <c r="AJ5" s="835"/>
      <c r="AK5" s="835"/>
      <c r="AL5" s="835"/>
      <c r="AM5" s="835"/>
      <c r="AN5" s="835"/>
      <c r="AO5" s="835"/>
      <c r="AP5" s="835"/>
      <c r="AQ5" s="835"/>
      <c r="AR5" s="835"/>
      <c r="AS5" s="835"/>
      <c r="AT5" s="835"/>
      <c r="AU5" s="835"/>
      <c r="AV5" s="835"/>
      <c r="AW5" s="835"/>
      <c r="AX5" s="835"/>
      <c r="AY5" s="835"/>
      <c r="AZ5" s="835"/>
      <c r="BA5" s="835"/>
      <c r="BB5" s="835"/>
      <c r="BC5" s="835"/>
      <c r="BD5" s="835"/>
      <c r="BE5" s="835"/>
      <c r="BF5" s="835"/>
      <c r="BG5" s="835"/>
      <c r="BH5" s="835"/>
      <c r="BI5" s="835"/>
      <c r="BJ5" s="835"/>
      <c r="BK5" s="835"/>
      <c r="BL5" s="845"/>
      <c r="BM5" s="846"/>
      <c r="BN5" s="846"/>
      <c r="BO5" s="847"/>
      <c r="BP5" s="835"/>
      <c r="BQ5" s="835"/>
      <c r="BR5" s="835"/>
      <c r="BS5" s="835"/>
      <c r="BT5" s="835"/>
      <c r="BZ5" s="849"/>
      <c r="CA5" s="849"/>
      <c r="CB5" s="849"/>
      <c r="CC5" s="835"/>
      <c r="CD5" s="835"/>
      <c r="CE5" s="835"/>
      <c r="CF5" s="835"/>
      <c r="CG5" s="835"/>
      <c r="CH5" s="835"/>
      <c r="CI5" s="835"/>
      <c r="CJ5" s="835"/>
      <c r="CK5" s="835"/>
      <c r="CL5" s="835"/>
      <c r="CM5" s="835"/>
      <c r="CN5" s="850"/>
    </row>
    <row r="6" spans="1:93" ht="15.75" x14ac:dyDescent="0.25">
      <c r="A6" s="835"/>
      <c r="B6" s="835"/>
      <c r="C6" s="835"/>
      <c r="D6" s="835"/>
      <c r="E6" s="835"/>
      <c r="F6" s="835"/>
      <c r="G6" s="835"/>
      <c r="H6" s="835"/>
      <c r="I6" s="835"/>
      <c r="J6" s="835"/>
      <c r="K6" s="835"/>
      <c r="L6" s="835"/>
      <c r="M6" s="835"/>
      <c r="N6" s="835"/>
      <c r="O6" s="835"/>
      <c r="P6" s="835"/>
      <c r="Q6" s="835"/>
      <c r="R6" s="835"/>
      <c r="S6" s="835"/>
      <c r="T6" s="835"/>
      <c r="U6" s="835"/>
      <c r="V6" s="835"/>
      <c r="W6" s="835"/>
      <c r="X6" s="835"/>
      <c r="Y6" s="835"/>
      <c r="Z6" s="835"/>
      <c r="AA6" s="835"/>
      <c r="AB6" s="835"/>
      <c r="AC6" s="835"/>
      <c r="AD6" s="835"/>
      <c r="AE6" s="835"/>
      <c r="AF6" s="835"/>
      <c r="AG6" s="835"/>
      <c r="AH6" s="835"/>
      <c r="AI6" s="835"/>
      <c r="AJ6" s="835"/>
      <c r="AK6" s="835"/>
      <c r="AL6" s="835"/>
      <c r="AM6" s="835"/>
      <c r="AN6" s="835"/>
      <c r="AO6" s="835"/>
      <c r="AP6" s="835"/>
      <c r="AQ6" s="835"/>
      <c r="AR6" s="835"/>
      <c r="AS6" s="835"/>
      <c r="AT6" s="835"/>
      <c r="AU6" s="835"/>
      <c r="AV6" s="835"/>
      <c r="AW6" s="835"/>
      <c r="AX6" s="835"/>
      <c r="AY6" s="835"/>
      <c r="AZ6" s="835"/>
      <c r="BA6" s="835"/>
      <c r="BB6" s="835"/>
      <c r="BC6" s="835"/>
      <c r="BD6" s="835"/>
      <c r="BE6" s="835"/>
      <c r="BF6" s="835"/>
      <c r="BG6" s="835"/>
      <c r="BH6" s="835"/>
      <c r="BI6" s="835"/>
      <c r="BJ6" s="835"/>
      <c r="BK6" s="835"/>
      <c r="BL6" s="845"/>
      <c r="BM6" s="846"/>
      <c r="BN6" s="846"/>
      <c r="BO6" s="847"/>
      <c r="BP6" s="835"/>
      <c r="BQ6" s="835"/>
      <c r="BR6" s="835"/>
      <c r="BS6" s="835"/>
      <c r="BT6" s="835"/>
      <c r="BZ6" s="849"/>
      <c r="CA6" s="849"/>
      <c r="CB6" s="849"/>
      <c r="CC6" s="849"/>
      <c r="CD6" s="849"/>
      <c r="CE6" s="849"/>
      <c r="CF6" s="849"/>
      <c r="CG6" s="849"/>
      <c r="CH6" s="849"/>
      <c r="CI6" s="849"/>
      <c r="CJ6" s="849"/>
      <c r="CK6" s="835"/>
      <c r="CL6" s="835"/>
      <c r="CM6" s="835"/>
      <c r="CN6" s="850"/>
      <c r="CO6" s="851"/>
    </row>
    <row r="7" spans="1:93" ht="16.5" thickBot="1" x14ac:dyDescent="0.3">
      <c r="A7" s="835"/>
      <c r="B7" s="835"/>
      <c r="C7" s="835"/>
      <c r="D7" s="835"/>
      <c r="E7" s="835"/>
      <c r="F7" s="835"/>
      <c r="G7" s="835"/>
      <c r="H7" s="835"/>
      <c r="I7" s="835"/>
      <c r="J7" s="835"/>
      <c r="K7" s="835"/>
      <c r="L7" s="835"/>
      <c r="M7" s="835"/>
      <c r="N7" s="835"/>
      <c r="O7" s="835"/>
      <c r="P7" s="835"/>
      <c r="Q7" s="835"/>
      <c r="R7" s="835"/>
      <c r="S7" s="835"/>
      <c r="T7" s="835"/>
      <c r="U7" s="835"/>
      <c r="V7" s="835"/>
      <c r="W7" s="835"/>
      <c r="X7" s="835"/>
      <c r="Y7" s="835"/>
      <c r="Z7" s="835"/>
      <c r="AA7" s="835"/>
      <c r="AB7" s="835"/>
      <c r="AC7" s="835"/>
      <c r="AD7" s="835"/>
      <c r="AE7" s="835"/>
      <c r="AF7" s="835"/>
      <c r="AG7" s="835"/>
      <c r="AH7" s="835"/>
      <c r="AI7" s="835"/>
      <c r="AJ7" s="835"/>
      <c r="AK7" s="835"/>
      <c r="AL7" s="835"/>
      <c r="AM7" s="835"/>
      <c r="AN7" s="835"/>
      <c r="AO7" s="835"/>
      <c r="AP7" s="835"/>
      <c r="AQ7" s="835"/>
      <c r="AR7" s="835"/>
      <c r="AS7" s="835"/>
      <c r="AT7" s="835"/>
      <c r="AU7" s="835"/>
      <c r="AV7" s="835"/>
      <c r="AW7" s="835"/>
      <c r="AX7" s="835"/>
      <c r="AY7" s="835"/>
      <c r="AZ7" s="835"/>
      <c r="BA7" s="835"/>
      <c r="BB7" s="835"/>
      <c r="BC7" s="835"/>
      <c r="BD7" s="835"/>
      <c r="BE7" s="835"/>
      <c r="BF7" s="835"/>
      <c r="BG7" s="835"/>
      <c r="BH7" s="835"/>
      <c r="BI7" s="835"/>
      <c r="BJ7" s="835"/>
      <c r="BK7" s="835"/>
      <c r="BL7" s="852"/>
      <c r="BM7" s="853"/>
      <c r="BN7" s="853"/>
      <c r="BO7" s="854"/>
      <c r="BP7" s="835"/>
      <c r="BQ7" s="835"/>
      <c r="BR7" s="835"/>
      <c r="BS7" s="835"/>
      <c r="BT7" s="855"/>
      <c r="BY7" s="856"/>
      <c r="BZ7" s="835"/>
      <c r="CA7" s="835"/>
      <c r="CB7" s="857"/>
      <c r="CC7" s="857"/>
      <c r="CD7" s="857"/>
      <c r="CE7" s="849"/>
      <c r="CF7" s="849"/>
      <c r="CG7" s="849"/>
      <c r="CH7" s="849"/>
      <c r="CI7" s="849"/>
      <c r="CJ7" s="849"/>
      <c r="CK7" s="858"/>
      <c r="CL7" s="858"/>
      <c r="CM7" s="858"/>
      <c r="CN7" s="850"/>
      <c r="CO7" s="851"/>
    </row>
    <row r="8" spans="1:93" ht="15.75" x14ac:dyDescent="0.25">
      <c r="A8" s="835"/>
      <c r="B8" s="835"/>
      <c r="C8" s="835"/>
      <c r="D8" s="835"/>
      <c r="E8" s="835"/>
      <c r="F8" s="835"/>
      <c r="G8" s="835"/>
      <c r="H8" s="835"/>
      <c r="I8" s="835"/>
      <c r="J8" s="835"/>
      <c r="K8" s="835"/>
      <c r="L8" s="835"/>
      <c r="M8" s="835"/>
      <c r="N8" s="835"/>
      <c r="O8" s="835"/>
      <c r="P8" s="835"/>
      <c r="Q8" s="835"/>
      <c r="R8" s="835"/>
      <c r="S8" s="835"/>
      <c r="T8" s="835"/>
      <c r="U8" s="835"/>
      <c r="V8" s="835"/>
      <c r="W8" s="835"/>
      <c r="X8" s="835"/>
      <c r="Y8" s="835"/>
      <c r="Z8" s="835"/>
      <c r="AA8" s="835"/>
      <c r="AB8" s="835"/>
      <c r="AC8" s="835"/>
      <c r="AD8" s="835"/>
      <c r="AE8" s="835"/>
      <c r="AF8" s="835"/>
      <c r="AG8" s="835"/>
      <c r="AH8" s="835"/>
      <c r="AI8" s="835"/>
      <c r="AJ8" s="835"/>
      <c r="AK8" s="835"/>
      <c r="AL8" s="835"/>
      <c r="AM8" s="835"/>
      <c r="AN8" s="835"/>
      <c r="AO8" s="835"/>
      <c r="AP8" s="835"/>
      <c r="AQ8" s="835"/>
      <c r="AR8" s="835"/>
      <c r="AS8" s="835"/>
      <c r="AT8" s="835"/>
      <c r="AU8" s="835"/>
      <c r="AV8" s="835"/>
      <c r="AW8" s="835"/>
      <c r="AX8" s="835"/>
      <c r="AY8" s="835"/>
      <c r="AZ8" s="835"/>
      <c r="BA8" s="835"/>
      <c r="BB8" s="835"/>
      <c r="BC8" s="835"/>
      <c r="BD8" s="835"/>
      <c r="BE8" s="835"/>
      <c r="BF8" s="835"/>
      <c r="BG8" s="835"/>
      <c r="BH8" s="835"/>
      <c r="BI8" s="835"/>
      <c r="BJ8" s="835"/>
      <c r="BK8" s="859"/>
      <c r="BL8" s="855"/>
      <c r="BM8" s="835"/>
      <c r="BN8" s="835"/>
      <c r="BO8" s="835"/>
      <c r="BP8" s="835"/>
      <c r="BQ8" s="835"/>
      <c r="BR8" s="835"/>
      <c r="BS8" s="835"/>
      <c r="BT8" s="856"/>
      <c r="BU8" s="860"/>
      <c r="BV8" s="860"/>
      <c r="BW8" s="855"/>
      <c r="BX8" s="855"/>
      <c r="BY8" s="856"/>
      <c r="BZ8" s="835"/>
      <c r="CA8" s="835"/>
      <c r="CB8" s="857"/>
      <c r="CC8" s="849"/>
      <c r="CD8" s="857"/>
      <c r="CE8" s="849"/>
      <c r="CF8" s="849"/>
      <c r="CG8" s="849"/>
      <c r="CH8" s="849"/>
      <c r="CI8" s="849"/>
      <c r="CJ8" s="849"/>
      <c r="CK8" s="858"/>
      <c r="CL8" s="858"/>
      <c r="CM8" s="858"/>
      <c r="CN8" s="850"/>
      <c r="CO8" s="851"/>
    </row>
    <row r="9" spans="1:93" ht="18.75" x14ac:dyDescent="0.25">
      <c r="A9" s="835"/>
      <c r="B9" s="835"/>
      <c r="C9" s="835"/>
      <c r="D9" s="835"/>
      <c r="E9" s="835"/>
      <c r="F9" s="835"/>
      <c r="G9" s="835"/>
      <c r="H9" s="835"/>
      <c r="I9" s="835"/>
      <c r="J9" s="835"/>
      <c r="K9" s="835"/>
      <c r="L9" s="835"/>
      <c r="M9" s="835"/>
      <c r="N9" s="835"/>
      <c r="O9" s="835"/>
      <c r="P9" s="835"/>
      <c r="Q9" s="835"/>
      <c r="R9" s="835"/>
      <c r="S9" s="835"/>
      <c r="T9" s="835"/>
      <c r="U9" s="835"/>
      <c r="V9" s="835"/>
      <c r="W9" s="849"/>
      <c r="X9" s="835"/>
      <c r="Y9" s="835"/>
      <c r="Z9" s="835"/>
      <c r="AA9" s="835"/>
      <c r="AB9" s="835"/>
      <c r="AC9" s="835"/>
      <c r="AD9" s="835"/>
      <c r="AE9" s="835"/>
      <c r="AF9" s="835"/>
      <c r="AG9" s="835"/>
      <c r="AH9" s="835"/>
      <c r="AI9" s="835"/>
      <c r="AJ9" s="835"/>
      <c r="AK9" s="835"/>
      <c r="AL9" s="835"/>
      <c r="AM9" s="835"/>
      <c r="AN9" s="835"/>
      <c r="AO9" s="835"/>
      <c r="AP9" s="835"/>
      <c r="AQ9" s="835"/>
      <c r="AR9" s="835"/>
      <c r="AS9" s="835"/>
      <c r="AT9" s="835"/>
      <c r="AU9" s="835"/>
      <c r="AV9" s="835"/>
      <c r="AW9" s="835"/>
      <c r="AX9" s="835"/>
      <c r="AY9" s="835"/>
      <c r="AZ9" s="835"/>
      <c r="BA9" s="835"/>
      <c r="BB9" s="835"/>
      <c r="BC9" s="835"/>
      <c r="BD9" s="835"/>
      <c r="BE9" s="835"/>
      <c r="BF9" s="835"/>
      <c r="BG9" s="835"/>
      <c r="BH9" s="835"/>
      <c r="BI9" s="835"/>
      <c r="BJ9" s="835"/>
      <c r="BK9" s="859"/>
      <c r="BL9" s="855"/>
      <c r="BM9" s="861"/>
      <c r="BN9" s="861"/>
      <c r="BO9" s="835"/>
      <c r="BP9" s="835"/>
      <c r="BQ9" s="835"/>
      <c r="BT9" s="835"/>
      <c r="BU9" s="862"/>
      <c r="BV9" s="862"/>
      <c r="BZ9" s="835"/>
      <c r="CB9" s="857"/>
      <c r="CC9" s="849"/>
      <c r="CD9" s="857"/>
      <c r="CE9" s="849"/>
      <c r="CF9" s="849"/>
      <c r="CG9" s="849"/>
      <c r="CH9" s="849"/>
      <c r="CI9" s="849"/>
      <c r="CJ9" s="849"/>
      <c r="CK9" s="858"/>
      <c r="CL9" s="858"/>
      <c r="CM9" s="858"/>
      <c r="CN9" s="863"/>
      <c r="CO9" s="851"/>
    </row>
    <row r="10" spans="1:93" ht="18.75" x14ac:dyDescent="0.25">
      <c r="A10" s="835"/>
      <c r="B10" s="835"/>
      <c r="C10" s="835"/>
      <c r="D10" s="835"/>
      <c r="E10" s="835"/>
      <c r="F10" s="835"/>
      <c r="G10" s="835"/>
      <c r="H10" s="835"/>
      <c r="I10" s="835"/>
      <c r="J10" s="835"/>
      <c r="K10" s="835"/>
      <c r="L10" s="835"/>
      <c r="M10" s="835"/>
      <c r="N10" s="835"/>
      <c r="O10" s="835"/>
      <c r="P10" s="835"/>
      <c r="Q10" s="835"/>
      <c r="R10" s="835"/>
      <c r="S10" s="835"/>
      <c r="T10" s="835"/>
      <c r="U10" s="835"/>
      <c r="V10" s="835"/>
      <c r="W10" s="849"/>
      <c r="X10" s="835"/>
      <c r="Y10" s="835"/>
      <c r="Z10" s="835"/>
      <c r="AA10" s="835"/>
      <c r="AB10" s="835"/>
      <c r="AC10" s="835"/>
      <c r="AD10" s="835"/>
      <c r="AE10" s="835"/>
      <c r="AF10" s="835"/>
      <c r="AG10" s="835"/>
      <c r="AH10" s="835"/>
      <c r="AI10" s="835"/>
      <c r="AJ10" s="835"/>
      <c r="AK10" s="835"/>
      <c r="AL10" s="835"/>
      <c r="AM10" s="835"/>
      <c r="AN10" s="835"/>
      <c r="AO10" s="835"/>
      <c r="AP10" s="835"/>
      <c r="AQ10" s="835"/>
      <c r="AR10" s="835"/>
      <c r="AS10" s="835"/>
      <c r="AT10" s="835"/>
      <c r="AU10" s="835"/>
      <c r="AV10" s="835"/>
      <c r="AW10" s="835"/>
      <c r="AX10" s="835"/>
      <c r="AY10" s="835"/>
      <c r="AZ10" s="835"/>
      <c r="BA10" s="835"/>
      <c r="BB10" s="835"/>
      <c r="BC10" s="835"/>
      <c r="BD10" s="835"/>
      <c r="BE10" s="835"/>
      <c r="BF10" s="835"/>
      <c r="BG10" s="835"/>
      <c r="BH10" s="835"/>
      <c r="BI10" s="835"/>
      <c r="BJ10" s="835"/>
      <c r="BK10" s="859"/>
      <c r="BL10" s="855"/>
      <c r="BM10" s="864"/>
      <c r="BN10" s="864"/>
      <c r="BO10" s="835"/>
      <c r="BP10" s="835"/>
      <c r="BQ10" s="835"/>
      <c r="BT10" s="865"/>
      <c r="BU10" s="866"/>
      <c r="BV10" s="866"/>
      <c r="BZ10" s="849"/>
      <c r="CC10" s="857"/>
      <c r="CD10" s="857"/>
      <c r="CE10" s="849"/>
      <c r="CF10" s="849"/>
      <c r="CG10" s="849"/>
      <c r="CH10" s="849"/>
      <c r="CI10" s="849"/>
      <c r="CJ10" s="849"/>
      <c r="CK10" s="858"/>
      <c r="CL10" s="858"/>
      <c r="CM10" s="858"/>
      <c r="CN10" s="863"/>
      <c r="CO10" s="851"/>
    </row>
    <row r="11" spans="1:93" ht="23.25" x14ac:dyDescent="0.25">
      <c r="A11" s="835"/>
      <c r="B11" s="835"/>
      <c r="C11" s="835"/>
      <c r="D11" s="835"/>
      <c r="E11" s="835"/>
      <c r="F11" s="835"/>
      <c r="G11" s="835"/>
      <c r="H11" s="835"/>
      <c r="I11" s="835"/>
      <c r="J11" s="835"/>
      <c r="K11" s="835"/>
      <c r="L11" s="835"/>
      <c r="M11" s="835"/>
      <c r="N11" s="835"/>
      <c r="O11" s="835"/>
      <c r="P11" s="835"/>
      <c r="Q11" s="835"/>
      <c r="R11" s="835"/>
      <c r="S11" s="835"/>
      <c r="T11" s="835"/>
      <c r="U11" s="835"/>
      <c r="V11" s="835"/>
      <c r="W11" s="849"/>
      <c r="X11" s="835"/>
      <c r="Y11" s="835"/>
      <c r="Z11" s="835"/>
      <c r="AA11" s="835"/>
      <c r="AB11" s="835"/>
      <c r="AC11" s="835"/>
      <c r="AD11" s="835"/>
      <c r="AE11" s="835"/>
      <c r="AF11" s="835"/>
      <c r="AG11" s="835"/>
      <c r="AH11" s="835"/>
      <c r="AI11" s="835"/>
      <c r="AJ11" s="835"/>
      <c r="AK11" s="835"/>
      <c r="AL11" s="835"/>
      <c r="AM11" s="835"/>
      <c r="AN11" s="835"/>
      <c r="AO11" s="835"/>
      <c r="AP11" s="835"/>
      <c r="AQ11" s="835"/>
      <c r="AR11" s="835"/>
      <c r="AS11" s="835"/>
      <c r="AT11" s="835"/>
      <c r="AU11" s="835"/>
      <c r="AV11" s="835"/>
      <c r="AW11" s="835"/>
      <c r="AX11" s="835"/>
      <c r="AY11" s="835"/>
      <c r="AZ11" s="835"/>
      <c r="BA11" s="835"/>
      <c r="BB11" s="835"/>
      <c r="BC11" s="835"/>
      <c r="BD11" s="835"/>
      <c r="BE11" s="835"/>
      <c r="BF11" s="835"/>
      <c r="BG11" s="835"/>
      <c r="BH11" s="835"/>
      <c r="BI11" s="835"/>
      <c r="BJ11" s="835"/>
      <c r="BK11" s="859"/>
      <c r="BL11" s="855"/>
      <c r="BM11" s="864"/>
      <c r="BN11" s="864"/>
      <c r="BO11" s="835"/>
      <c r="BP11" s="867"/>
      <c r="BQ11" s="867"/>
      <c r="BT11" s="866"/>
      <c r="BU11" s="868">
        <v>7055497</v>
      </c>
      <c r="BV11" s="868">
        <v>7055503</v>
      </c>
      <c r="BW11" s="866"/>
      <c r="BZ11" s="849"/>
      <c r="CA11" s="849"/>
      <c r="CB11" s="849"/>
      <c r="CC11" s="849"/>
      <c r="CD11" s="849"/>
      <c r="CE11" s="849"/>
      <c r="CF11" s="849"/>
      <c r="CG11" s="849"/>
      <c r="CH11" s="849"/>
      <c r="CI11" s="849"/>
      <c r="CJ11" s="850"/>
      <c r="CK11" s="858"/>
      <c r="CL11" s="858"/>
      <c r="CM11" s="858"/>
      <c r="CN11" s="863"/>
      <c r="CO11" s="851"/>
    </row>
    <row r="12" spans="1:93" ht="23.25" x14ac:dyDescent="0.25">
      <c r="A12" s="835"/>
      <c r="B12" s="835"/>
      <c r="C12" s="835"/>
      <c r="D12" s="835"/>
      <c r="E12" s="835"/>
      <c r="F12" s="835"/>
      <c r="G12" s="835"/>
      <c r="H12" s="835"/>
      <c r="I12" s="835"/>
      <c r="J12" s="835"/>
      <c r="K12" s="835"/>
      <c r="L12" s="835"/>
      <c r="M12" s="835"/>
      <c r="N12" s="835"/>
      <c r="O12" s="835"/>
      <c r="P12" s="835"/>
      <c r="Q12" s="835"/>
      <c r="R12" s="835"/>
      <c r="S12" s="835"/>
      <c r="T12" s="835"/>
      <c r="U12" s="849"/>
      <c r="V12" s="835"/>
      <c r="W12" s="849"/>
      <c r="X12" s="835"/>
      <c r="Y12" s="835"/>
      <c r="Z12" s="835"/>
      <c r="AA12" s="835"/>
      <c r="AB12" s="835"/>
      <c r="AC12" s="835"/>
      <c r="AD12" s="835"/>
      <c r="AE12" s="835"/>
      <c r="AF12" s="835"/>
      <c r="AG12" s="835"/>
      <c r="AH12" s="835"/>
      <c r="AI12" s="835"/>
      <c r="AJ12" s="835"/>
      <c r="AK12" s="835"/>
      <c r="AL12" s="835"/>
      <c r="AM12" s="835"/>
      <c r="AN12" s="835"/>
      <c r="AO12" s="835"/>
      <c r="AP12" s="835"/>
      <c r="AQ12" s="835"/>
      <c r="AR12" s="835"/>
      <c r="AS12" s="835"/>
      <c r="AT12" s="835"/>
      <c r="AU12" s="835"/>
      <c r="AV12" s="835"/>
      <c r="AW12" s="835"/>
      <c r="AX12" s="835"/>
      <c r="AY12" s="835"/>
      <c r="AZ12" s="835"/>
      <c r="BA12" s="835"/>
      <c r="BB12" s="835"/>
      <c r="BC12" s="835"/>
      <c r="BD12" s="835"/>
      <c r="BE12" s="835"/>
      <c r="BF12" s="835"/>
      <c r="BG12" s="835"/>
      <c r="BH12" s="835"/>
      <c r="BI12" s="835"/>
      <c r="BJ12" s="835"/>
      <c r="BK12" s="859"/>
      <c r="BL12" s="855"/>
      <c r="BM12" s="864"/>
      <c r="BN12" s="864"/>
      <c r="BO12" s="835"/>
      <c r="BP12" s="867"/>
      <c r="BQ12" s="867"/>
      <c r="BT12" s="866"/>
      <c r="BU12" s="868">
        <v>7055507</v>
      </c>
      <c r="BV12" s="868">
        <v>7055517</v>
      </c>
      <c r="BW12" s="866"/>
      <c r="BX12" s="856"/>
      <c r="BY12" s="856"/>
      <c r="BZ12" s="849"/>
      <c r="CA12" s="849"/>
      <c r="CB12" s="849"/>
      <c r="CC12" s="849"/>
      <c r="CD12" s="849"/>
      <c r="CE12" s="849"/>
      <c r="CF12" s="849"/>
      <c r="CG12" s="849"/>
      <c r="CH12" s="849"/>
      <c r="CI12" s="850"/>
      <c r="CJ12" s="849"/>
      <c r="CK12" s="850"/>
      <c r="CL12" s="858"/>
      <c r="CM12" s="858"/>
      <c r="CN12" s="850"/>
      <c r="CO12" s="851"/>
    </row>
    <row r="13" spans="1:93" ht="18.75" x14ac:dyDescent="0.25">
      <c r="A13" s="835"/>
      <c r="B13" s="835"/>
      <c r="C13" s="835"/>
      <c r="D13" s="835"/>
      <c r="E13" s="835"/>
      <c r="F13" s="835"/>
      <c r="G13" s="835"/>
      <c r="H13" s="835"/>
      <c r="I13" s="835"/>
      <c r="J13" s="835"/>
      <c r="K13" s="835"/>
      <c r="L13" s="835"/>
      <c r="M13" s="835"/>
      <c r="N13" s="835"/>
      <c r="O13" s="835"/>
      <c r="P13" s="835"/>
      <c r="Q13" s="835"/>
      <c r="R13" s="835"/>
      <c r="S13" s="835"/>
      <c r="T13" s="835"/>
      <c r="U13" s="849"/>
      <c r="AU13" s="835"/>
      <c r="AV13" s="835"/>
      <c r="AW13" s="835"/>
      <c r="AX13" s="835"/>
      <c r="AY13" s="835"/>
      <c r="AZ13" s="835"/>
      <c r="BA13" s="835"/>
      <c r="BB13" s="835"/>
      <c r="BC13" s="835"/>
      <c r="BD13" s="835"/>
      <c r="BE13" s="835"/>
      <c r="BF13" s="835"/>
      <c r="BG13" s="835"/>
      <c r="BH13" s="835"/>
      <c r="BI13" s="835"/>
      <c r="BJ13" s="835"/>
      <c r="BK13" s="859"/>
      <c r="BL13" s="855"/>
      <c r="BM13" s="861"/>
      <c r="BN13" s="861"/>
      <c r="BO13" s="835"/>
      <c r="BP13" s="835"/>
      <c r="BQ13" s="835"/>
      <c r="BT13" s="835"/>
      <c r="BU13" s="866"/>
      <c r="BV13" s="866"/>
      <c r="BW13" s="835"/>
      <c r="BX13" s="835"/>
      <c r="BY13" s="835"/>
      <c r="BZ13" s="849"/>
      <c r="CA13" s="849"/>
      <c r="CB13" s="849"/>
      <c r="CC13" s="849"/>
      <c r="CD13" s="849"/>
      <c r="CE13" s="849"/>
      <c r="CF13" s="849"/>
      <c r="CG13" s="849"/>
      <c r="CH13" s="850"/>
      <c r="CI13" s="849"/>
      <c r="CL13" s="850"/>
      <c r="CM13" s="858"/>
      <c r="CN13" s="850"/>
      <c r="CO13" s="851"/>
    </row>
    <row r="14" spans="1:93" ht="18.75" x14ac:dyDescent="0.25">
      <c r="A14" s="835"/>
      <c r="B14" s="835"/>
      <c r="C14" s="835"/>
      <c r="D14" s="835"/>
      <c r="E14" s="835"/>
      <c r="F14" s="835"/>
      <c r="G14" s="835"/>
      <c r="H14" s="835"/>
      <c r="I14" s="835"/>
      <c r="J14" s="835"/>
      <c r="K14" s="835"/>
      <c r="L14" s="835"/>
      <c r="M14" s="835"/>
      <c r="N14" s="835"/>
      <c r="O14" s="835"/>
      <c r="P14" s="835"/>
      <c r="Q14" s="835"/>
      <c r="R14" s="835"/>
      <c r="S14" s="835"/>
      <c r="T14" s="835"/>
      <c r="U14" s="849"/>
      <c r="V14" s="849"/>
      <c r="W14" s="849"/>
      <c r="X14" s="835"/>
      <c r="Y14" s="835"/>
      <c r="Z14" s="835"/>
      <c r="AA14" s="835"/>
      <c r="AB14" s="835"/>
      <c r="AC14" s="835"/>
      <c r="AD14" s="835"/>
      <c r="AE14" s="835"/>
      <c r="AF14" s="835"/>
      <c r="AG14" s="835"/>
      <c r="AH14" s="835"/>
      <c r="AI14" s="835"/>
      <c r="AJ14" s="835"/>
      <c r="AK14" s="835"/>
      <c r="AL14" s="835"/>
      <c r="AM14" s="835"/>
      <c r="AN14" s="835"/>
      <c r="AO14" s="835"/>
      <c r="AP14" s="835"/>
      <c r="AQ14" s="835"/>
      <c r="AR14" s="835"/>
      <c r="AS14" s="835"/>
      <c r="AT14" s="835"/>
      <c r="AU14" s="835"/>
      <c r="AV14" s="835"/>
      <c r="AW14" s="835"/>
      <c r="AX14" s="835"/>
      <c r="AY14" s="835"/>
      <c r="AZ14" s="835"/>
      <c r="BA14" s="835"/>
      <c r="BB14" s="835"/>
      <c r="BC14" s="835"/>
      <c r="BD14" s="835"/>
      <c r="BE14" s="835"/>
      <c r="BF14" s="835"/>
      <c r="BG14" s="835"/>
      <c r="BH14" s="835"/>
      <c r="BI14" s="835"/>
      <c r="BJ14" s="835"/>
      <c r="BK14" s="859"/>
      <c r="BL14" s="855"/>
      <c r="BM14" s="864"/>
      <c r="BN14" s="864"/>
      <c r="BO14" s="835"/>
      <c r="BP14" s="835"/>
      <c r="BQ14" s="835"/>
      <c r="BT14" s="835"/>
      <c r="BU14" s="862"/>
      <c r="BV14" s="862"/>
      <c r="BY14" s="869"/>
      <c r="CA14" s="849"/>
      <c r="CB14" s="849"/>
      <c r="CC14" s="849"/>
      <c r="CD14" s="849"/>
      <c r="CE14" s="849"/>
      <c r="CF14" s="849"/>
      <c r="CG14" s="849"/>
      <c r="CH14" s="849"/>
      <c r="CI14" s="850"/>
      <c r="CK14" s="850"/>
      <c r="CL14" s="858"/>
      <c r="CM14" s="858"/>
      <c r="CN14" s="850"/>
      <c r="CO14" s="851"/>
    </row>
    <row r="15" spans="1:93" ht="18.75" x14ac:dyDescent="0.25">
      <c r="A15" s="870"/>
      <c r="B15" s="871"/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2"/>
      <c r="O15" s="872"/>
      <c r="P15" s="872"/>
      <c r="Q15" s="872"/>
      <c r="R15" s="872"/>
      <c r="S15" s="872"/>
      <c r="T15" s="872"/>
      <c r="U15" s="872"/>
      <c r="V15" s="872"/>
      <c r="W15" s="872"/>
      <c r="X15" s="872"/>
      <c r="Y15" s="872"/>
      <c r="Z15" s="872"/>
      <c r="AA15" s="872"/>
      <c r="AB15" s="872"/>
      <c r="AC15" s="872"/>
      <c r="AD15" s="871"/>
      <c r="AE15" s="871"/>
      <c r="AF15" s="871"/>
      <c r="AG15" s="871"/>
      <c r="AH15" s="871"/>
      <c r="AI15" s="871"/>
      <c r="AJ15" s="871"/>
      <c r="AK15" s="871"/>
      <c r="AL15" s="871"/>
      <c r="AM15" s="871"/>
      <c r="AN15" s="871"/>
      <c r="AO15" s="871"/>
      <c r="AP15" s="871"/>
      <c r="AQ15" s="871"/>
      <c r="AR15" s="871"/>
      <c r="AS15" s="871"/>
      <c r="AT15" s="871"/>
      <c r="AU15" s="871"/>
      <c r="AV15" s="871"/>
      <c r="AW15" s="871"/>
      <c r="AX15" s="871"/>
      <c r="AY15" s="871"/>
      <c r="AZ15" s="871"/>
      <c r="BA15" s="871"/>
      <c r="BB15" s="835"/>
      <c r="BC15" s="835"/>
      <c r="BD15" s="835"/>
      <c r="BE15" s="835"/>
      <c r="BF15" s="835"/>
      <c r="BG15" s="835"/>
      <c r="BH15" s="835"/>
      <c r="BI15" s="835"/>
      <c r="BJ15" s="835"/>
      <c r="BK15" s="859"/>
      <c r="BL15" s="873"/>
      <c r="BM15" s="864"/>
      <c r="BN15" s="864"/>
      <c r="BO15" s="835"/>
      <c r="BP15" s="861"/>
      <c r="BQ15" s="861"/>
      <c r="BT15" s="861"/>
      <c r="BU15" s="874"/>
      <c r="BV15" s="874"/>
      <c r="BW15" s="875"/>
      <c r="BX15" s="876"/>
      <c r="BY15" s="877"/>
      <c r="CE15" s="849"/>
      <c r="CF15" s="849"/>
      <c r="CG15" s="849"/>
      <c r="CH15" s="849"/>
      <c r="CI15" s="849"/>
      <c r="CJ15" s="850"/>
      <c r="CL15" s="858"/>
      <c r="CM15" s="858"/>
      <c r="CN15" s="878"/>
      <c r="CO15" s="851"/>
    </row>
    <row r="16" spans="1:93" ht="24" thickBot="1" x14ac:dyDescent="0.3">
      <c r="A16" s="870"/>
      <c r="B16" s="879"/>
      <c r="C16" s="879"/>
      <c r="D16" s="879"/>
      <c r="E16" s="879"/>
      <c r="F16" s="879"/>
      <c r="G16" s="879"/>
      <c r="H16" s="879"/>
      <c r="I16" s="880"/>
      <c r="J16" s="879"/>
      <c r="K16" s="881"/>
      <c r="L16" s="882"/>
      <c r="M16" s="882"/>
      <c r="N16" s="882"/>
      <c r="O16" s="882"/>
      <c r="P16" s="882"/>
      <c r="Q16" s="882"/>
      <c r="R16" s="882"/>
      <c r="S16" s="882"/>
      <c r="T16" s="882"/>
      <c r="U16" s="882"/>
      <c r="V16" s="882"/>
      <c r="W16" s="882"/>
      <c r="X16" s="882"/>
      <c r="Y16" s="882"/>
      <c r="Z16" s="882"/>
      <c r="AA16" s="882"/>
      <c r="AB16" s="882"/>
      <c r="AC16" s="882"/>
      <c r="AD16" s="882"/>
      <c r="AE16" s="882"/>
      <c r="AF16" s="882"/>
      <c r="AG16" s="882"/>
      <c r="AH16" s="882"/>
      <c r="AI16" s="882"/>
      <c r="AJ16" s="882"/>
      <c r="AK16" s="882"/>
      <c r="AL16" s="882"/>
      <c r="AM16" s="882"/>
      <c r="AN16" s="882"/>
      <c r="AO16" s="882"/>
      <c r="AP16" s="882"/>
      <c r="AQ16" s="882"/>
      <c r="AR16" s="882"/>
      <c r="AS16" s="882"/>
      <c r="AT16" s="882"/>
      <c r="AU16" s="882"/>
      <c r="AV16" s="882"/>
      <c r="AW16" s="882"/>
      <c r="AX16" s="882"/>
      <c r="AY16" s="882"/>
      <c r="AZ16" s="882"/>
      <c r="BA16" s="882"/>
      <c r="BB16" s="882"/>
      <c r="BC16" s="882"/>
      <c r="BD16" s="882"/>
      <c r="BE16" s="882"/>
      <c r="BF16" s="883"/>
      <c r="BG16" s="883"/>
      <c r="BH16" s="883"/>
      <c r="BI16" s="883"/>
      <c r="BJ16" s="883"/>
      <c r="BK16" s="884"/>
      <c r="BL16" s="885"/>
      <c r="BM16" s="864"/>
      <c r="BN16" s="864"/>
      <c r="BO16" s="871"/>
      <c r="BP16" s="861"/>
      <c r="BQ16" s="861"/>
      <c r="BS16" s="862"/>
      <c r="BT16" s="874"/>
      <c r="BU16" s="886">
        <v>9267998</v>
      </c>
      <c r="BV16" s="886">
        <v>9268097</v>
      </c>
      <c r="BW16" s="874"/>
      <c r="BX16" s="862"/>
      <c r="BY16" s="887"/>
      <c r="CA16" s="850"/>
      <c r="CB16" s="850"/>
      <c r="CC16" s="850"/>
      <c r="CD16" s="850"/>
      <c r="CE16" s="850"/>
      <c r="CF16" s="849"/>
      <c r="CG16" s="849"/>
      <c r="CH16" s="849"/>
      <c r="CI16" s="849"/>
      <c r="CJ16" s="849"/>
      <c r="CK16" s="858"/>
      <c r="CL16" s="858"/>
      <c r="CM16" s="888"/>
      <c r="CN16" s="878"/>
      <c r="CO16" s="851"/>
    </row>
    <row r="17" spans="1:93" ht="23.25" x14ac:dyDescent="0.25">
      <c r="A17" s="889"/>
      <c r="B17" s="890"/>
      <c r="C17" s="890"/>
      <c r="D17" s="890"/>
      <c r="E17" s="890"/>
      <c r="F17" s="890"/>
      <c r="G17" s="835"/>
      <c r="H17" s="890"/>
      <c r="I17" s="890"/>
      <c r="J17" s="891"/>
      <c r="K17" s="891"/>
      <c r="L17" s="891"/>
      <c r="M17" s="891"/>
      <c r="N17" s="891"/>
      <c r="O17" s="891"/>
      <c r="P17" s="891"/>
      <c r="Q17" s="891"/>
      <c r="R17" s="891"/>
      <c r="S17" s="891"/>
      <c r="T17" s="891"/>
      <c r="U17" s="891"/>
      <c r="V17" s="891"/>
      <c r="W17" s="891"/>
      <c r="X17" s="891"/>
      <c r="Y17" s="891"/>
      <c r="Z17" s="891"/>
      <c r="AA17" s="891"/>
      <c r="AB17" s="891"/>
      <c r="AC17" s="891"/>
      <c r="AD17" s="891"/>
      <c r="AE17" s="892"/>
      <c r="AF17" s="892"/>
      <c r="AG17" s="893"/>
      <c r="AH17" s="894"/>
      <c r="AI17" s="895"/>
      <c r="AJ17" s="895"/>
      <c r="AK17" s="895"/>
      <c r="AL17" s="895"/>
      <c r="AM17" s="895"/>
      <c r="AN17" s="895"/>
      <c r="AO17" s="895"/>
      <c r="AP17" s="895"/>
      <c r="AQ17" s="895"/>
      <c r="AR17" s="895"/>
      <c r="AS17" s="895"/>
      <c r="AT17" s="895"/>
      <c r="AU17" s="895"/>
      <c r="AV17" s="895"/>
      <c r="AW17" s="895"/>
      <c r="AX17" s="895"/>
      <c r="AY17" s="895"/>
      <c r="AZ17" s="894"/>
      <c r="BA17" s="896"/>
      <c r="BB17" s="896"/>
      <c r="BC17" s="896"/>
      <c r="BD17" s="896"/>
      <c r="BE17" s="897"/>
      <c r="BF17" s="898"/>
      <c r="BG17" s="898"/>
      <c r="BH17" s="898"/>
      <c r="BI17" s="898"/>
      <c r="BL17" s="899"/>
      <c r="BM17" s="864"/>
      <c r="BN17" s="864"/>
      <c r="BO17" s="861"/>
      <c r="BP17" s="900"/>
      <c r="BQ17" s="900"/>
      <c r="BS17" s="862"/>
      <c r="BT17" s="874"/>
      <c r="BU17" s="886">
        <v>9268095</v>
      </c>
      <c r="BV17" s="886">
        <v>9268092</v>
      </c>
      <c r="BW17" s="874"/>
      <c r="BX17" s="862"/>
      <c r="BY17" s="877"/>
      <c r="CA17" s="850"/>
      <c r="CB17" s="850"/>
      <c r="CC17" s="850"/>
      <c r="CD17" s="850"/>
      <c r="CE17" s="850"/>
      <c r="CF17" s="849"/>
      <c r="CG17" s="849"/>
      <c r="CH17" s="849"/>
      <c r="CI17" s="849"/>
      <c r="CJ17" s="849"/>
      <c r="CK17" s="858"/>
      <c r="CL17" s="858"/>
      <c r="CM17" s="888"/>
      <c r="CN17" s="878"/>
      <c r="CO17" s="851"/>
    </row>
    <row r="18" spans="1:93" ht="24" thickBot="1" x14ac:dyDescent="0.3">
      <c r="A18" s="889"/>
      <c r="B18" s="901"/>
      <c r="C18" s="902"/>
      <c r="D18" s="902"/>
      <c r="E18" s="903"/>
      <c r="F18" s="904"/>
      <c r="T18" s="849"/>
      <c r="U18" s="905"/>
      <c r="V18" s="906"/>
      <c r="W18" s="906"/>
      <c r="X18" s="906"/>
      <c r="Y18" s="906"/>
      <c r="Z18" s="906"/>
      <c r="AA18" s="849"/>
      <c r="AB18" s="907"/>
      <c r="AC18" s="907"/>
      <c r="AD18" s="907"/>
      <c r="AE18" s="907"/>
      <c r="AF18" s="907"/>
      <c r="AH18" s="908"/>
      <c r="AI18" s="894"/>
      <c r="AJ18" s="894"/>
      <c r="AK18" s="894"/>
      <c r="AL18" s="894"/>
      <c r="AM18" s="894"/>
      <c r="AN18" s="894"/>
      <c r="AO18" s="894"/>
      <c r="AP18" s="894"/>
      <c r="AQ18" s="894"/>
      <c r="AR18" s="894"/>
      <c r="AS18" s="894"/>
      <c r="AT18" s="894"/>
      <c r="AU18" s="894"/>
      <c r="AV18" s="894"/>
      <c r="AW18" s="894"/>
      <c r="AX18" s="894"/>
      <c r="AY18" s="894"/>
      <c r="AZ18" s="908"/>
      <c r="BA18" s="897"/>
      <c r="BB18" s="897"/>
      <c r="BC18" s="897"/>
      <c r="BD18" s="897"/>
      <c r="BE18" s="887"/>
      <c r="BG18" s="909"/>
      <c r="BI18" s="910"/>
      <c r="BJ18" s="910"/>
      <c r="BK18" s="909"/>
      <c r="BL18" s="899"/>
      <c r="BM18" s="861"/>
      <c r="BN18" s="861"/>
      <c r="BO18" s="861"/>
      <c r="BP18" s="900"/>
      <c r="BQ18" s="900"/>
      <c r="BS18" s="862"/>
      <c r="BT18" s="874"/>
      <c r="BU18" s="886">
        <v>9268077</v>
      </c>
      <c r="BV18" s="886">
        <v>9268093</v>
      </c>
      <c r="BW18" s="874"/>
      <c r="BX18" s="862"/>
      <c r="BY18" s="887"/>
      <c r="CA18" s="911"/>
      <c r="CB18" s="911"/>
      <c r="CC18" s="911"/>
      <c r="CD18" s="911"/>
      <c r="CF18" s="858"/>
      <c r="CG18" s="858"/>
      <c r="CH18" s="912"/>
      <c r="CI18" s="858"/>
      <c r="CJ18" s="858"/>
      <c r="CK18" s="858"/>
      <c r="CL18" s="858"/>
      <c r="CM18" s="835"/>
      <c r="CN18" s="848"/>
      <c r="CO18" s="851"/>
    </row>
    <row r="19" spans="1:93" ht="23.25" x14ac:dyDescent="0.3">
      <c r="A19" s="889"/>
      <c r="B19" s="858"/>
      <c r="C19" s="858"/>
      <c r="D19" s="835"/>
      <c r="E19" s="835"/>
      <c r="T19" s="835"/>
      <c r="U19" s="913"/>
      <c r="V19" s="914"/>
      <c r="W19" s="915"/>
      <c r="X19" s="916"/>
      <c r="Y19" s="915"/>
      <c r="Z19" s="915"/>
      <c r="AA19" s="913"/>
      <c r="AB19" s="914"/>
      <c r="AC19" s="915"/>
      <c r="AD19" s="916"/>
      <c r="AE19" s="915"/>
      <c r="AF19" s="915"/>
      <c r="AH19" s="917"/>
      <c r="AI19" s="918"/>
      <c r="AJ19" s="918"/>
      <c r="AK19" s="918"/>
      <c r="AL19" s="918"/>
      <c r="AM19" s="918"/>
      <c r="AN19" s="918"/>
      <c r="AO19" s="918"/>
      <c r="AP19" s="918"/>
      <c r="AQ19" s="918"/>
      <c r="AR19" s="918"/>
      <c r="AS19" s="918"/>
      <c r="AT19" s="918"/>
      <c r="AU19" s="918"/>
      <c r="AV19" s="918"/>
      <c r="AW19" s="918"/>
      <c r="AX19" s="918"/>
      <c r="AY19" s="918"/>
      <c r="AZ19" s="917"/>
      <c r="BA19" s="919"/>
      <c r="BB19" s="919"/>
      <c r="BC19" s="919"/>
      <c r="BE19" s="919"/>
      <c r="BF19" s="919"/>
      <c r="BG19" s="919"/>
      <c r="BH19" s="919"/>
      <c r="BI19" s="919"/>
      <c r="BJ19" s="919"/>
      <c r="BK19" s="909"/>
      <c r="BL19" s="899"/>
      <c r="BM19" s="861"/>
      <c r="BN19" s="861"/>
      <c r="BO19" s="861"/>
      <c r="BP19" s="900"/>
      <c r="BQ19" s="900"/>
      <c r="BS19" s="862"/>
      <c r="BU19" s="874"/>
      <c r="BV19" s="874"/>
      <c r="BW19" s="920"/>
      <c r="BX19" s="862"/>
      <c r="BZ19" s="891"/>
      <c r="CA19" s="891"/>
      <c r="CB19" s="891"/>
      <c r="CC19" s="891"/>
      <c r="CD19" s="891"/>
      <c r="CE19" s="921"/>
      <c r="CF19" s="922"/>
      <c r="CG19" s="922"/>
      <c r="CH19" s="922"/>
      <c r="CI19" s="923"/>
      <c r="CJ19" s="924"/>
      <c r="CK19" s="924"/>
      <c r="CL19" s="924"/>
      <c r="CM19" s="925"/>
      <c r="CN19" s="925"/>
      <c r="CO19" s="851"/>
    </row>
    <row r="20" spans="1:93" ht="23.25" x14ac:dyDescent="0.35">
      <c r="A20" s="889"/>
      <c r="B20" s="835"/>
      <c r="C20" s="871"/>
      <c r="D20" s="926"/>
      <c r="E20" s="871"/>
      <c r="F20" s="927"/>
      <c r="G20" s="927"/>
      <c r="H20" s="928"/>
      <c r="K20" s="929"/>
      <c r="L20" s="849"/>
      <c r="M20" s="849"/>
      <c r="N20" s="849"/>
      <c r="O20" s="858"/>
      <c r="P20" s="928"/>
      <c r="Q20" s="858"/>
      <c r="R20" s="858"/>
      <c r="S20" s="930"/>
      <c r="T20" s="931"/>
      <c r="U20" s="932"/>
      <c r="V20" s="933"/>
      <c r="W20" s="933"/>
      <c r="X20" s="933"/>
      <c r="Y20" s="933"/>
      <c r="Z20" s="917"/>
      <c r="AA20" s="933"/>
      <c r="AB20" s="933"/>
      <c r="AC20" s="933"/>
      <c r="AD20" s="933"/>
      <c r="AE20" s="934"/>
      <c r="AF20" s="933"/>
      <c r="AG20" s="935"/>
      <c r="AH20" s="935"/>
      <c r="AI20" s="935"/>
      <c r="AJ20" s="932"/>
      <c r="AK20" s="917"/>
      <c r="AL20" s="894"/>
      <c r="AM20" s="894"/>
      <c r="AN20" s="894"/>
      <c r="AO20" s="894"/>
      <c r="AP20" s="894"/>
      <c r="AQ20" s="917"/>
      <c r="AR20" s="936"/>
      <c r="AS20" s="936"/>
      <c r="AT20" s="936"/>
      <c r="AU20" s="936"/>
      <c r="AW20" s="919"/>
      <c r="AX20" s="919"/>
      <c r="AZ20" s="937"/>
      <c r="BB20" s="887"/>
      <c r="BC20" s="938"/>
      <c r="BD20" s="939"/>
      <c r="BE20" s="940"/>
      <c r="BF20" s="940"/>
      <c r="BG20" s="940"/>
      <c r="BH20" s="865"/>
      <c r="BI20" s="941"/>
      <c r="BJ20" s="942"/>
      <c r="BK20" s="909"/>
      <c r="BL20" s="899"/>
      <c r="BM20" s="861"/>
      <c r="BN20" s="861"/>
      <c r="BO20" s="861"/>
      <c r="BP20" s="861"/>
      <c r="BQ20" s="861"/>
      <c r="BR20" s="861"/>
      <c r="BS20" s="835"/>
      <c r="BT20" s="887"/>
      <c r="BU20" s="860"/>
      <c r="BV20" s="860"/>
      <c r="BX20" s="920"/>
      <c r="BY20" s="943"/>
      <c r="BZ20" s="891"/>
      <c r="CA20" s="891"/>
      <c r="CB20" s="891"/>
      <c r="CC20" s="891"/>
      <c r="CD20" s="891"/>
      <c r="CE20" s="944"/>
      <c r="CF20" s="945"/>
      <c r="CG20" s="945"/>
      <c r="CH20" s="945"/>
      <c r="CI20" s="946"/>
      <c r="CJ20" s="912"/>
      <c r="CK20" s="912"/>
      <c r="CL20" s="912"/>
      <c r="CM20" s="947"/>
      <c r="CN20" s="947"/>
      <c r="CO20" s="851"/>
    </row>
    <row r="21" spans="1:93" ht="23.25" x14ac:dyDescent="0.35">
      <c r="A21" s="889"/>
      <c r="B21" s="835"/>
      <c r="C21" s="871"/>
      <c r="D21" s="926"/>
      <c r="F21" s="948"/>
      <c r="G21" s="948"/>
      <c r="H21" s="949"/>
      <c r="I21" s="950"/>
      <c r="J21" s="951"/>
      <c r="K21" s="951"/>
      <c r="L21" s="951"/>
      <c r="M21" s="951"/>
      <c r="N21" s="951"/>
      <c r="O21" s="858"/>
      <c r="P21" s="931"/>
      <c r="Q21" s="931"/>
      <c r="R21" s="931"/>
      <c r="S21" s="855"/>
      <c r="T21" s="952"/>
      <c r="U21" s="953"/>
      <c r="V21" s="895"/>
      <c r="W21" s="895"/>
      <c r="X21" s="895"/>
      <c r="Y21" s="895"/>
      <c r="Z21" s="953"/>
      <c r="AA21" s="895"/>
      <c r="AB21" s="895"/>
      <c r="AC21" s="895"/>
      <c r="AD21" s="895"/>
      <c r="AE21" s="953"/>
      <c r="AF21" s="895"/>
      <c r="AG21" s="895"/>
      <c r="AH21" s="895"/>
      <c r="AI21" s="895"/>
      <c r="AJ21" s="953"/>
      <c r="AK21" s="953"/>
      <c r="AL21" s="895"/>
      <c r="AM21" s="895"/>
      <c r="AN21" s="895"/>
      <c r="AO21" s="895"/>
      <c r="AP21" s="895"/>
      <c r="AQ21" s="954"/>
      <c r="AR21" s="890"/>
      <c r="AS21" s="890"/>
      <c r="AT21" s="890"/>
      <c r="AU21" s="890"/>
      <c r="AV21" s="955"/>
      <c r="AW21" s="900"/>
      <c r="AX21" s="900"/>
      <c r="AY21" s="900"/>
      <c r="AZ21" s="937"/>
      <c r="BB21" s="956"/>
      <c r="BC21" s="956"/>
      <c r="BD21" s="940"/>
      <c r="BE21" s="957">
        <v>3124010</v>
      </c>
      <c r="BF21" s="957">
        <v>3125019</v>
      </c>
      <c r="BG21" s="958">
        <v>3122188</v>
      </c>
      <c r="BH21" s="941"/>
      <c r="BI21" s="959">
        <v>3121330</v>
      </c>
      <c r="BJ21" s="941"/>
      <c r="BK21" s="909"/>
      <c r="BL21" s="899"/>
      <c r="BM21" s="861"/>
      <c r="BN21" s="861"/>
      <c r="BO21" s="861"/>
      <c r="BP21" s="861"/>
      <c r="BQ21" s="861"/>
      <c r="BR21" s="861"/>
      <c r="BS21" s="835"/>
      <c r="BT21" s="960"/>
      <c r="BU21" s="876"/>
      <c r="BV21" s="956"/>
      <c r="BW21" s="961"/>
      <c r="BX21" s="946"/>
      <c r="BY21" s="943"/>
      <c r="BZ21" s="962"/>
      <c r="CA21" s="962"/>
      <c r="CB21" s="962"/>
      <c r="CC21" s="962"/>
      <c r="CD21" s="963"/>
      <c r="CE21" s="964"/>
      <c r="CF21" s="946"/>
      <c r="CG21" s="946"/>
      <c r="CH21" s="946"/>
      <c r="CJ21" s="912"/>
      <c r="CK21" s="912"/>
      <c r="CL21" s="912"/>
      <c r="CM21" s="947"/>
      <c r="CN21" s="965"/>
    </row>
    <row r="22" spans="1:93" ht="24" thickBot="1" x14ac:dyDescent="0.3">
      <c r="A22" s="889"/>
      <c r="B22" s="835"/>
      <c r="C22" s="871"/>
      <c r="D22" s="926"/>
      <c r="E22" s="966"/>
      <c r="F22" s="966"/>
      <c r="G22" s="966"/>
      <c r="H22" s="966"/>
      <c r="J22" s="966"/>
      <c r="K22" s="966"/>
      <c r="L22" s="966"/>
      <c r="M22" s="966"/>
      <c r="P22" s="966"/>
      <c r="Q22" s="966"/>
      <c r="R22" s="966"/>
      <c r="S22" s="966"/>
      <c r="T22" s="952"/>
      <c r="U22" s="953"/>
      <c r="V22" s="895"/>
      <c r="W22" s="895"/>
      <c r="X22" s="895"/>
      <c r="Y22" s="895"/>
      <c r="Z22" s="953"/>
      <c r="AA22" s="895"/>
      <c r="AB22" s="895"/>
      <c r="AC22" s="895"/>
      <c r="AD22" s="895"/>
      <c r="AE22" s="953"/>
      <c r="AF22" s="895"/>
      <c r="AG22" s="895"/>
      <c r="AH22" s="895"/>
      <c r="AI22" s="895"/>
      <c r="AJ22" s="953"/>
      <c r="AK22" s="953"/>
      <c r="AL22" s="895"/>
      <c r="AM22" s="895"/>
      <c r="AN22" s="895"/>
      <c r="AO22" s="895"/>
      <c r="AP22" s="895"/>
      <c r="AQ22" s="954"/>
      <c r="AR22" s="890"/>
      <c r="AS22" s="890"/>
      <c r="AT22" s="890"/>
      <c r="AU22" s="890"/>
      <c r="AV22" s="955"/>
      <c r="AW22" s="900"/>
      <c r="AX22" s="900"/>
      <c r="AY22" s="900"/>
      <c r="AZ22" s="937"/>
      <c r="BB22" s="956"/>
      <c r="BC22" s="956"/>
      <c r="BD22" s="940"/>
      <c r="BE22" s="958">
        <v>3123899</v>
      </c>
      <c r="BF22" s="958">
        <v>3123981</v>
      </c>
      <c r="BG22" s="958">
        <v>3125644</v>
      </c>
      <c r="BH22" s="941"/>
      <c r="BI22" s="967">
        <v>3121331</v>
      </c>
      <c r="BJ22" s="941"/>
      <c r="BK22" s="909"/>
      <c r="BL22" s="899"/>
      <c r="BM22" s="861"/>
      <c r="BN22" s="861"/>
      <c r="BO22" s="861"/>
      <c r="BP22" s="861"/>
      <c r="BQ22" s="861"/>
      <c r="BR22" s="861"/>
      <c r="BS22" s="835"/>
      <c r="BT22" s="887"/>
      <c r="BU22" s="887"/>
      <c r="BV22" s="875"/>
      <c r="CA22" s="871"/>
      <c r="CB22" s="871"/>
      <c r="CC22" s="871"/>
      <c r="CD22" s="968"/>
      <c r="CE22" s="964"/>
      <c r="CF22" s="946"/>
      <c r="CG22" s="946"/>
      <c r="CH22" s="946"/>
      <c r="CJ22" s="912"/>
      <c r="CK22" s="912"/>
      <c r="CL22" s="912"/>
      <c r="CM22" s="947"/>
      <c r="CN22" s="965"/>
    </row>
    <row r="23" spans="1:93" ht="23.25" x14ac:dyDescent="0.25">
      <c r="A23" s="889"/>
      <c r="B23" s="835"/>
      <c r="C23" s="871"/>
      <c r="D23" s="926"/>
      <c r="E23" s="966"/>
      <c r="F23" s="966"/>
      <c r="G23" s="966"/>
      <c r="H23" s="966"/>
      <c r="J23" s="966"/>
      <c r="K23" s="966"/>
      <c r="L23" s="966"/>
      <c r="M23" s="966"/>
      <c r="P23" s="966"/>
      <c r="Q23" s="966"/>
      <c r="R23" s="966"/>
      <c r="S23" s="966"/>
      <c r="T23" s="946"/>
      <c r="U23" s="969"/>
      <c r="V23" s="933"/>
      <c r="W23" s="933"/>
      <c r="X23" s="933"/>
      <c r="Y23" s="933"/>
      <c r="Z23" s="969"/>
      <c r="AA23" s="933"/>
      <c r="AB23" s="933"/>
      <c r="AC23" s="933"/>
      <c r="AD23" s="933"/>
      <c r="AE23" s="969"/>
      <c r="AF23" s="933"/>
      <c r="AG23" s="935"/>
      <c r="AH23" s="935"/>
      <c r="AI23" s="935"/>
      <c r="AJ23" s="969"/>
      <c r="AK23" s="969"/>
      <c r="AL23" s="894"/>
      <c r="AM23" s="894"/>
      <c r="AN23" s="894"/>
      <c r="AO23" s="894"/>
      <c r="AP23" s="894"/>
      <c r="AQ23" s="970"/>
      <c r="AR23" s="971"/>
      <c r="AS23" s="971"/>
      <c r="AT23" s="971"/>
      <c r="AU23" s="971"/>
      <c r="AW23" s="972"/>
      <c r="AX23" s="973"/>
      <c r="AY23" s="973"/>
      <c r="AZ23" s="937"/>
      <c r="BB23" s="974"/>
      <c r="BC23" s="956"/>
      <c r="BD23" s="956"/>
      <c r="BE23" s="940"/>
      <c r="BF23" s="940"/>
      <c r="BG23" s="940"/>
      <c r="BH23" s="974"/>
      <c r="BI23" s="941"/>
      <c r="BK23" s="975"/>
      <c r="BL23" s="976" t="s">
        <v>196</v>
      </c>
      <c r="BM23" s="835"/>
      <c r="BN23" s="835"/>
      <c r="BO23" s="835"/>
      <c r="BP23" s="861"/>
      <c r="BQ23" s="861"/>
      <c r="BR23" s="861"/>
      <c r="BS23" s="835"/>
      <c r="BT23" s="960"/>
      <c r="BU23" s="876"/>
      <c r="BV23" s="956"/>
      <c r="BW23" s="961"/>
      <c r="BX23" s="891"/>
      <c r="BY23" s="891"/>
      <c r="CA23" s="966"/>
      <c r="CB23" s="966"/>
      <c r="CC23" s="966"/>
      <c r="CD23" s="977"/>
      <c r="CE23" s="964"/>
      <c r="CF23" s="946"/>
      <c r="CG23" s="946"/>
      <c r="CH23" s="946"/>
      <c r="CJ23" s="912"/>
      <c r="CK23" s="912"/>
      <c r="CL23" s="912"/>
      <c r="CM23" s="947"/>
      <c r="CN23" s="965"/>
    </row>
    <row r="24" spans="1:93" ht="24" thickBot="1" x14ac:dyDescent="0.3">
      <c r="A24" s="889"/>
      <c r="B24" s="835"/>
      <c r="C24" s="849"/>
      <c r="D24" s="849"/>
      <c r="E24" s="849"/>
      <c r="J24" s="928"/>
      <c r="K24" s="871"/>
      <c r="L24" s="978"/>
      <c r="M24" s="978"/>
      <c r="N24" s="979"/>
      <c r="O24" s="979"/>
      <c r="P24" s="979"/>
      <c r="R24" s="918"/>
      <c r="S24" s="855"/>
      <c r="T24" s="961"/>
      <c r="U24" s="956"/>
      <c r="V24" s="980"/>
      <c r="W24" s="981"/>
      <c r="X24" s="982"/>
      <c r="Y24" s="980"/>
      <c r="Z24" s="956"/>
      <c r="AA24" s="956"/>
      <c r="AB24" s="980"/>
      <c r="AC24" s="865"/>
      <c r="AD24" s="983"/>
      <c r="AE24" s="983"/>
      <c r="AG24" s="956"/>
      <c r="AH24" s="865"/>
      <c r="AI24" s="984"/>
      <c r="AJ24" s="984"/>
      <c r="AK24" s="984"/>
      <c r="AL24" s="956"/>
      <c r="AM24" s="956"/>
      <c r="AN24" s="865"/>
      <c r="AO24" s="985"/>
      <c r="AP24" s="985"/>
      <c r="AQ24" s="986" t="s">
        <v>200</v>
      </c>
      <c r="AR24" s="955"/>
      <c r="AS24" s="955"/>
      <c r="AW24" s="955"/>
      <c r="AX24" s="955"/>
      <c r="AY24" s="955"/>
      <c r="AZ24" s="987"/>
      <c r="BB24" s="988"/>
      <c r="BC24" s="974"/>
      <c r="BD24" s="974"/>
      <c r="BE24" s="919"/>
      <c r="BF24" s="919"/>
      <c r="BG24" s="919"/>
      <c r="BH24" s="919"/>
      <c r="BI24" s="919"/>
      <c r="BJ24" s="989"/>
      <c r="BK24" s="909"/>
      <c r="BL24" s="990"/>
      <c r="BM24" s="835"/>
      <c r="BN24" s="835"/>
      <c r="BO24" s="835"/>
      <c r="BP24" s="861"/>
      <c r="BQ24" s="861"/>
      <c r="BR24" s="861"/>
      <c r="BS24" s="835"/>
      <c r="BT24" s="887"/>
      <c r="BU24" s="887"/>
      <c r="BV24" s="876"/>
      <c r="BW24" s="946"/>
      <c r="BX24" s="891"/>
      <c r="BY24" s="891"/>
      <c r="CA24" s="966"/>
      <c r="CB24" s="966"/>
      <c r="CC24" s="966"/>
      <c r="CD24" s="991"/>
      <c r="CE24" s="964"/>
      <c r="CI24" s="946"/>
      <c r="CJ24" s="912"/>
      <c r="CK24" s="912"/>
      <c r="CL24" s="912"/>
      <c r="CM24" s="947"/>
      <c r="CN24" s="992"/>
    </row>
    <row r="25" spans="1:93" ht="23.25" x14ac:dyDescent="0.25">
      <c r="A25" s="889"/>
      <c r="B25" s="835"/>
      <c r="C25" s="912"/>
      <c r="D25" s="912"/>
      <c r="E25" s="912"/>
      <c r="F25" s="912"/>
      <c r="H25" s="912"/>
      <c r="I25" s="928"/>
      <c r="P25" s="993"/>
      <c r="Q25" s="993"/>
      <c r="R25" s="918"/>
      <c r="S25" s="930"/>
      <c r="T25" s="961"/>
      <c r="U25" s="961"/>
      <c r="V25" s="994"/>
      <c r="W25" s="995"/>
      <c r="X25" s="996"/>
      <c r="Y25" s="994"/>
      <c r="Z25" s="956"/>
      <c r="AA25" s="956"/>
      <c r="AB25" s="997"/>
      <c r="AC25" s="983"/>
      <c r="AD25" s="998">
        <v>9058615</v>
      </c>
      <c r="AE25" s="998">
        <v>9058638</v>
      </c>
      <c r="AF25" s="983"/>
      <c r="AG25" s="999"/>
      <c r="AH25" s="1000"/>
      <c r="AI25" s="1001">
        <v>6046241</v>
      </c>
      <c r="AJ25" s="1001">
        <v>6046261</v>
      </c>
      <c r="AK25" s="1000"/>
      <c r="AL25" s="999"/>
      <c r="AM25" s="1002"/>
      <c r="AN25" s="985"/>
      <c r="AO25" s="1003">
        <v>6447401</v>
      </c>
      <c r="AP25" s="1003">
        <v>6447435</v>
      </c>
      <c r="AQ25" s="985"/>
      <c r="AR25" s="1004"/>
      <c r="AS25" s="937"/>
      <c r="AT25" s="887"/>
      <c r="AU25" s="919"/>
      <c r="AV25" s="937"/>
      <c r="AW25" s="937"/>
      <c r="AX25" s="937"/>
      <c r="AY25" s="887"/>
      <c r="AZ25" s="937"/>
      <c r="BA25" s="919"/>
      <c r="BB25" s="937"/>
      <c r="BC25" s="938"/>
      <c r="BD25" s="938"/>
      <c r="BE25" s="1005"/>
      <c r="BF25" s="1005"/>
      <c r="BG25" s="1005"/>
      <c r="BH25" s="938"/>
      <c r="BI25" s="887"/>
      <c r="BJ25" s="942"/>
      <c r="BK25" s="909"/>
      <c r="BL25" s="1006"/>
      <c r="BM25" s="861"/>
      <c r="BN25" s="861"/>
      <c r="BO25" s="861"/>
      <c r="BP25" s="861"/>
      <c r="BQ25" s="861"/>
      <c r="BR25" s="861"/>
      <c r="BS25" s="835"/>
      <c r="BU25" s="835"/>
      <c r="BV25" s="835"/>
      <c r="BX25" s="891"/>
      <c r="BY25" s="891"/>
      <c r="BZ25" s="835"/>
      <c r="CA25" s="871"/>
      <c r="CB25" s="1007"/>
      <c r="CC25" s="946"/>
      <c r="CD25" s="1008"/>
      <c r="CE25" s="964"/>
      <c r="CF25" s="946"/>
      <c r="CG25" s="946"/>
      <c r="CH25" s="946"/>
      <c r="CJ25" s="912"/>
      <c r="CL25" s="912"/>
      <c r="CM25" s="947"/>
      <c r="CN25" s="965"/>
    </row>
    <row r="26" spans="1:93" ht="24" thickBot="1" x14ac:dyDescent="0.3">
      <c r="A26" s="889"/>
      <c r="B26" s="835"/>
      <c r="C26" s="912"/>
      <c r="D26" s="912"/>
      <c r="E26" s="1009"/>
      <c r="F26" s="858"/>
      <c r="G26" s="1010"/>
      <c r="H26" s="858"/>
      <c r="I26" s="858"/>
      <c r="J26" s="1011"/>
      <c r="K26" s="1012"/>
      <c r="M26" s="1013"/>
      <c r="N26" s="1014"/>
      <c r="P26" s="867"/>
      <c r="Q26" s="993"/>
      <c r="R26" s="867"/>
      <c r="S26" s="918"/>
      <c r="T26" s="1015"/>
      <c r="U26" s="1015"/>
      <c r="V26" s="1016"/>
      <c r="W26" s="995"/>
      <c r="X26" s="850"/>
      <c r="Y26" s="850"/>
      <c r="Z26" s="956"/>
      <c r="AA26" s="956"/>
      <c r="AB26" s="997"/>
      <c r="AC26" s="983"/>
      <c r="AD26" s="998">
        <v>9058600</v>
      </c>
      <c r="AE26" s="998">
        <v>9058597</v>
      </c>
      <c r="AF26" s="983"/>
      <c r="AG26" s="999"/>
      <c r="AH26" s="1000"/>
      <c r="AI26" s="1001">
        <v>6046214</v>
      </c>
      <c r="AJ26" s="1001">
        <v>6046230</v>
      </c>
      <c r="AK26" s="1000"/>
      <c r="AL26" s="999"/>
      <c r="AM26" s="1002"/>
      <c r="AN26" s="985"/>
      <c r="AO26" s="1003">
        <v>6447432</v>
      </c>
      <c r="AP26" s="1003">
        <v>6447438</v>
      </c>
      <c r="AQ26" s="985"/>
      <c r="AR26" s="1017"/>
      <c r="AS26" s="1018"/>
      <c r="AU26" s="919"/>
      <c r="AW26" s="1019"/>
      <c r="AX26" s="1020"/>
      <c r="AY26" s="1020"/>
      <c r="AZ26" s="919"/>
      <c r="BA26" s="919"/>
      <c r="BC26" s="1021"/>
      <c r="BD26" s="1021"/>
      <c r="BE26" s="1021"/>
      <c r="BF26" s="1021"/>
      <c r="BG26" s="1021"/>
      <c r="BH26" s="1022"/>
      <c r="BI26" s="1023"/>
      <c r="BJ26" s="989"/>
      <c r="BK26" s="1024"/>
      <c r="BL26" s="1025"/>
      <c r="BM26" s="861"/>
      <c r="BN26" s="861"/>
      <c r="BO26" s="861"/>
      <c r="BP26" s="835"/>
      <c r="BQ26" s="861"/>
      <c r="BR26" s="861"/>
      <c r="BS26" s="835"/>
      <c r="BT26" s="835"/>
      <c r="BU26" s="835"/>
      <c r="BV26" s="835"/>
      <c r="BW26" s="835"/>
      <c r="BX26" s="835"/>
      <c r="BY26" s="835"/>
      <c r="CA26" s="1026"/>
      <c r="CB26" s="1026"/>
      <c r="CC26" s="1027"/>
      <c r="CD26" s="1028"/>
      <c r="CE26" s="1029"/>
      <c r="CH26" s="1030" t="s">
        <v>204</v>
      </c>
      <c r="CI26" s="1031"/>
      <c r="CJ26" s="1032"/>
      <c r="CL26" s="912"/>
      <c r="CM26" s="947"/>
      <c r="CN26" s="992"/>
    </row>
    <row r="27" spans="1:93" ht="24" thickBot="1" x14ac:dyDescent="0.3">
      <c r="A27" s="889"/>
      <c r="B27" s="835"/>
      <c r="C27" s="1033"/>
      <c r="D27" s="912"/>
      <c r="E27" s="1009"/>
      <c r="F27" s="858"/>
      <c r="G27" s="1034"/>
      <c r="H27" s="849"/>
      <c r="I27" s="849"/>
      <c r="J27" s="849"/>
      <c r="K27" s="1012"/>
      <c r="M27" s="1035"/>
      <c r="N27" s="1014"/>
      <c r="P27" s="993"/>
      <c r="Q27" s="867"/>
      <c r="R27" s="918"/>
      <c r="S27" s="918"/>
      <c r="T27" s="1015"/>
      <c r="U27" s="1015"/>
      <c r="X27" s="850"/>
      <c r="Y27" s="850"/>
      <c r="Z27" s="876"/>
      <c r="AA27" s="876"/>
      <c r="AB27" s="1036"/>
      <c r="AC27" s="983"/>
      <c r="AD27" s="998">
        <v>9058618</v>
      </c>
      <c r="AE27" s="998">
        <v>9058616</v>
      </c>
      <c r="AF27" s="983"/>
      <c r="AG27" s="1037"/>
      <c r="AH27" s="1000"/>
      <c r="AI27" s="1001">
        <v>6046235</v>
      </c>
      <c r="AJ27" s="1001">
        <v>6046227</v>
      </c>
      <c r="AK27" s="1000"/>
      <c r="AL27" s="1037"/>
      <c r="AM27" s="887"/>
      <c r="AO27" s="985"/>
      <c r="AP27" s="985"/>
      <c r="AT27" s="1020"/>
      <c r="AU27" s="1020"/>
      <c r="AV27" s="1020"/>
      <c r="AW27" s="1020"/>
      <c r="AX27" s="947"/>
      <c r="AY27" s="949"/>
      <c r="AZ27" s="835"/>
      <c r="BK27" s="859"/>
      <c r="BL27" s="861"/>
      <c r="BM27" s="861"/>
      <c r="BN27" s="861"/>
      <c r="BO27" s="861"/>
      <c r="BP27" s="835"/>
      <c r="BQ27" s="835"/>
      <c r="BV27" s="864"/>
      <c r="BW27" s="864"/>
      <c r="BZ27" s="835"/>
      <c r="CA27" s="835"/>
      <c r="CD27" s="1038" t="s">
        <v>205</v>
      </c>
      <c r="CE27" s="1039"/>
      <c r="CF27" s="1040"/>
      <c r="CH27" s="1041"/>
      <c r="CI27" s="1042"/>
      <c r="CJ27" s="1043"/>
      <c r="CL27" s="912"/>
      <c r="CM27" s="947"/>
      <c r="CN27" s="965"/>
    </row>
    <row r="28" spans="1:93" ht="23.25" x14ac:dyDescent="0.3">
      <c r="A28" s="889"/>
      <c r="B28" s="1044"/>
      <c r="C28" s="858"/>
      <c r="D28" s="1045"/>
      <c r="E28" s="1009"/>
      <c r="F28" s="858"/>
      <c r="G28" s="858"/>
      <c r="H28" s="1046"/>
      <c r="I28" s="1046"/>
      <c r="J28" s="1046"/>
      <c r="K28" s="1047"/>
      <c r="L28" s="887"/>
      <c r="M28" s="887"/>
      <c r="N28" s="1047"/>
      <c r="X28" s="1048"/>
      <c r="Y28" s="1048"/>
      <c r="Z28" s="1049"/>
      <c r="AA28" s="1049"/>
      <c r="AB28" s="1036"/>
      <c r="AD28" s="983"/>
      <c r="AE28" s="983"/>
      <c r="AF28" s="939"/>
      <c r="AG28" s="1049"/>
      <c r="AH28" s="887"/>
      <c r="AI28" s="1000"/>
      <c r="AJ28" s="1000"/>
      <c r="AK28" s="887"/>
      <c r="AL28" s="1050"/>
      <c r="AM28" s="1050"/>
      <c r="AN28" s="887"/>
      <c r="AO28" s="1051"/>
      <c r="AP28" s="1051"/>
      <c r="AQ28" s="907"/>
      <c r="AR28" s="907"/>
      <c r="AS28" s="1052"/>
      <c r="AT28" s="1053"/>
      <c r="AU28" s="1054"/>
      <c r="AV28" s="947"/>
      <c r="AW28" s="947"/>
      <c r="AX28" s="947"/>
      <c r="AY28" s="949"/>
      <c r="AZ28" s="1034"/>
      <c r="BK28" s="859"/>
      <c r="BL28" s="1055"/>
      <c r="BM28" s="1055"/>
      <c r="BN28" s="1055"/>
      <c r="BO28" s="1055"/>
      <c r="BP28" s="1055"/>
      <c r="BQ28" s="1055"/>
      <c r="BR28" s="1055"/>
      <c r="BS28" s="1055"/>
      <c r="BT28" s="1055"/>
      <c r="BV28" s="864"/>
      <c r="BW28" s="864"/>
      <c r="BX28" s="1056"/>
      <c r="BZ28" s="835"/>
      <c r="CA28" s="835"/>
      <c r="CB28" s="1057"/>
      <c r="CC28" s="954"/>
      <c r="CD28" s="1058"/>
      <c r="CE28" s="921"/>
      <c r="CH28" s="871"/>
      <c r="CI28" s="871"/>
      <c r="CM28" s="947"/>
      <c r="CN28" s="992"/>
    </row>
    <row r="29" spans="1:93" ht="23.25" x14ac:dyDescent="0.25">
      <c r="A29" s="1059" t="s">
        <v>208</v>
      </c>
      <c r="B29" s="1059"/>
      <c r="C29" s="858"/>
      <c r="D29" s="858"/>
      <c r="E29" s="1045"/>
      <c r="F29" s="858"/>
      <c r="G29" s="858"/>
      <c r="H29" s="905"/>
      <c r="I29" s="905"/>
      <c r="J29" s="1060"/>
      <c r="K29" s="1047"/>
      <c r="L29" s="864"/>
      <c r="M29" s="864"/>
      <c r="N29" s="1047"/>
      <c r="P29" s="1061"/>
      <c r="Q29" s="1061"/>
      <c r="R29" s="918"/>
      <c r="T29" s="1062"/>
      <c r="U29" s="1062"/>
      <c r="W29" s="1063"/>
      <c r="X29" s="1048"/>
      <c r="Y29" s="1048"/>
      <c r="Z29" s="1049"/>
      <c r="AA29" s="1049"/>
      <c r="AB29" s="875"/>
      <c r="AC29" s="984"/>
      <c r="AD29" s="984"/>
      <c r="AE29" s="984"/>
      <c r="AF29" s="984"/>
      <c r="AG29" s="1049"/>
      <c r="AH29" s="984"/>
      <c r="AI29" s="984"/>
      <c r="AJ29" s="984"/>
      <c r="AK29" s="984"/>
      <c r="AL29" s="1050"/>
      <c r="AM29" s="1050"/>
      <c r="AN29" s="887"/>
      <c r="AO29" s="1063"/>
      <c r="AQ29" s="907"/>
      <c r="AR29" s="907"/>
      <c r="AS29" s="1052"/>
      <c r="AT29" s="1053"/>
      <c r="AU29" s="1054"/>
      <c r="AV29" s="1064"/>
      <c r="AW29" s="1064"/>
      <c r="AX29" s="1054"/>
      <c r="AY29" s="949"/>
      <c r="AZ29" s="858"/>
      <c r="BA29" s="1034"/>
      <c r="BB29" s="849"/>
      <c r="BC29" s="849"/>
      <c r="BD29" s="849"/>
      <c r="BE29" s="849"/>
      <c r="BF29" s="849"/>
      <c r="BG29" s="849"/>
      <c r="BH29" s="849"/>
      <c r="BI29" s="849"/>
      <c r="BJ29" s="849"/>
      <c r="BK29" s="859"/>
      <c r="BM29" s="861"/>
      <c r="BN29" s="1053"/>
      <c r="BO29" s="1053"/>
      <c r="BP29" s="835"/>
      <c r="BQ29" s="835"/>
      <c r="BR29" s="1053"/>
      <c r="BS29" s="1053"/>
      <c r="BT29" s="835"/>
      <c r="BU29" s="835"/>
      <c r="BV29" s="1065"/>
      <c r="BW29" s="1065"/>
      <c r="BX29" s="1065"/>
      <c r="BY29" s="1065"/>
      <c r="BZ29" s="1066"/>
      <c r="CA29" s="835"/>
      <c r="CB29" s="1057"/>
      <c r="CC29" s="954"/>
      <c r="CD29" s="1058"/>
      <c r="CE29" s="964"/>
      <c r="CF29" s="1040"/>
      <c r="CH29" s="871"/>
      <c r="CI29" s="871"/>
      <c r="CJ29" s="912"/>
      <c r="CM29" s="947"/>
      <c r="CN29" s="965"/>
    </row>
    <row r="30" spans="1:93" ht="23.25" x14ac:dyDescent="0.25">
      <c r="A30" s="1067"/>
      <c r="B30" s="871"/>
      <c r="C30" s="858"/>
      <c r="D30" s="858"/>
      <c r="E30" s="858"/>
      <c r="F30" s="1045"/>
      <c r="G30" s="858"/>
      <c r="H30" s="1068"/>
      <c r="I30" s="1068"/>
      <c r="J30" s="905"/>
      <c r="K30" s="905"/>
      <c r="L30" s="1069"/>
      <c r="M30" s="1069"/>
      <c r="N30" s="1047"/>
      <c r="P30" s="1061"/>
      <c r="Q30" s="1061"/>
      <c r="R30" s="918"/>
      <c r="S30" s="994"/>
      <c r="T30" s="1070"/>
      <c r="U30" s="1070"/>
      <c r="V30" s="994"/>
      <c r="W30" s="995"/>
      <c r="X30" s="1048"/>
      <c r="Y30" s="1048"/>
      <c r="Z30" s="956"/>
      <c r="AA30" s="956"/>
      <c r="AB30" s="980"/>
      <c r="AC30" s="982"/>
      <c r="AD30" s="996"/>
      <c r="AE30" s="946"/>
      <c r="AF30" s="956"/>
      <c r="AG30" s="956"/>
      <c r="AI30" s="983"/>
      <c r="AJ30" s="983"/>
      <c r="AK30" s="865"/>
      <c r="AL30" s="956"/>
      <c r="AM30" s="1071"/>
      <c r="AN30" s="1071"/>
      <c r="AO30" s="1072"/>
      <c r="AP30" s="1073"/>
      <c r="AQ30" s="907"/>
      <c r="AR30" s="907"/>
      <c r="AS30" s="1052"/>
      <c r="AT30" s="1053"/>
      <c r="AU30" s="1074"/>
      <c r="AV30" s="887"/>
      <c r="AX30" s="1054"/>
      <c r="AY30" s="1054"/>
      <c r="AZ30" s="912"/>
      <c r="BA30" s="1034"/>
      <c r="BB30" s="849"/>
      <c r="BC30" s="849"/>
      <c r="BD30" s="849"/>
      <c r="BE30" s="849"/>
      <c r="BF30" s="849"/>
      <c r="BG30" s="849"/>
      <c r="BH30" s="849"/>
      <c r="BI30" s="849"/>
      <c r="BJ30" s="849"/>
      <c r="BK30" s="859"/>
      <c r="BL30" s="1034"/>
      <c r="BM30" s="861"/>
      <c r="BN30" s="1053"/>
      <c r="BO30" s="1053"/>
      <c r="BQ30" s="835"/>
      <c r="BR30" s="1053"/>
      <c r="BS30" s="1053"/>
      <c r="BU30" s="1065"/>
      <c r="BV30" s="954"/>
      <c r="BW30" s="1075"/>
      <c r="BX30" s="1075"/>
      <c r="BY30" s="954"/>
      <c r="BZ30" s="1065"/>
      <c r="CA30" s="835"/>
      <c r="CB30" s="1057"/>
      <c r="CC30" s="954"/>
      <c r="CD30" s="1058"/>
      <c r="CE30" s="851"/>
      <c r="CH30" s="912"/>
      <c r="CI30" s="912"/>
      <c r="CJ30" s="912"/>
      <c r="CK30" s="912"/>
      <c r="CM30" s="947"/>
      <c r="CN30" s="992"/>
    </row>
    <row r="31" spans="1:93" ht="24" thickBot="1" x14ac:dyDescent="0.3">
      <c r="A31" s="889"/>
      <c r="B31" s="871"/>
      <c r="C31" s="858"/>
      <c r="D31" s="858"/>
      <c r="E31" s="858"/>
      <c r="F31" s="928"/>
      <c r="G31" s="858"/>
      <c r="H31" s="1068"/>
      <c r="I31" s="1068"/>
      <c r="J31" s="905"/>
      <c r="K31" s="905"/>
      <c r="L31" s="1069"/>
      <c r="M31" s="1069"/>
      <c r="N31" s="1076"/>
      <c r="Q31" s="1077"/>
      <c r="R31" s="918"/>
      <c r="S31" s="994"/>
      <c r="T31" s="1070"/>
      <c r="U31" s="1070"/>
      <c r="V31" s="994"/>
      <c r="W31" s="995"/>
      <c r="X31" s="996"/>
      <c r="Y31" s="994"/>
      <c r="Z31" s="956"/>
      <c r="AA31" s="956"/>
      <c r="AB31" s="980"/>
      <c r="AC31" s="981"/>
      <c r="AD31" s="1078"/>
      <c r="AE31" s="1078"/>
      <c r="AF31" s="956"/>
      <c r="AG31" s="997"/>
      <c r="AH31" s="983"/>
      <c r="AI31" s="1079">
        <v>3830484</v>
      </c>
      <c r="AJ31" s="1080">
        <v>3830474</v>
      </c>
      <c r="AK31" s="983"/>
      <c r="AL31" s="999"/>
      <c r="AM31" s="1071"/>
      <c r="AN31" s="1071"/>
      <c r="AO31" s="1072"/>
      <c r="AP31" s="1073"/>
      <c r="AQ31" s="1081"/>
      <c r="AR31" s="974"/>
      <c r="AS31" s="1081"/>
      <c r="AT31" s="897"/>
      <c r="AU31" s="1074"/>
      <c r="AV31" s="1082"/>
      <c r="AX31" s="855"/>
      <c r="AY31" s="1054"/>
      <c r="AZ31" s="912"/>
      <c r="BA31" s="1083"/>
      <c r="BB31" s="849"/>
      <c r="BC31" s="849"/>
      <c r="BD31" s="849"/>
      <c r="BE31" s="849"/>
      <c r="BF31" s="849"/>
      <c r="BG31" s="849"/>
      <c r="BH31" s="849"/>
      <c r="BI31" s="849"/>
      <c r="BJ31" s="849"/>
      <c r="BK31" s="859"/>
      <c r="BL31" s="1034"/>
      <c r="BM31" s="861"/>
      <c r="BN31" s="1053"/>
      <c r="BO31" s="1053"/>
      <c r="BR31" s="1053"/>
      <c r="BS31" s="1053"/>
      <c r="BU31" s="1084"/>
      <c r="BV31" s="1058"/>
      <c r="BW31" s="1058"/>
      <c r="BX31" s="1058"/>
      <c r="BY31" s="1058"/>
      <c r="BZ31" s="1084"/>
      <c r="CA31" s="835"/>
      <c r="CB31" s="1057"/>
      <c r="CC31" s="954"/>
      <c r="CD31" s="1058"/>
      <c r="CE31" s="1085"/>
      <c r="CF31" s="912"/>
      <c r="CH31" s="1030" t="s">
        <v>217</v>
      </c>
      <c r="CI31" s="1031"/>
      <c r="CJ31" s="1032"/>
      <c r="CL31" s="1086"/>
      <c r="CM31" s="947"/>
      <c r="CN31" s="992"/>
    </row>
    <row r="32" spans="1:93" ht="24" thickBot="1" x14ac:dyDescent="0.3">
      <c r="A32" s="889"/>
      <c r="B32" s="871"/>
      <c r="C32" s="858"/>
      <c r="D32" s="858"/>
      <c r="E32" s="858"/>
      <c r="F32" s="928"/>
      <c r="G32" s="858"/>
      <c r="H32" s="1087"/>
      <c r="I32" s="1050"/>
      <c r="J32" s="858"/>
      <c r="K32" s="858"/>
      <c r="L32" s="1088"/>
      <c r="M32" s="1088"/>
      <c r="N32" s="1088"/>
      <c r="O32" s="1088"/>
      <c r="P32" s="1089"/>
      <c r="Q32" s="1090"/>
      <c r="R32" s="982"/>
      <c r="S32" s="994"/>
      <c r="T32" s="1070"/>
      <c r="U32" s="1070"/>
      <c r="V32" s="994"/>
      <c r="W32" s="995"/>
      <c r="X32" s="996"/>
      <c r="Y32" s="994"/>
      <c r="Z32" s="956"/>
      <c r="AA32" s="956"/>
      <c r="AB32" s="980"/>
      <c r="AC32" s="981"/>
      <c r="AD32" s="1078"/>
      <c r="AE32" s="1078"/>
      <c r="AF32" s="956"/>
      <c r="AG32" s="997"/>
      <c r="AH32" s="983"/>
      <c r="AI32" s="1080">
        <v>3830479</v>
      </c>
      <c r="AJ32" s="1080">
        <v>3830483</v>
      </c>
      <c r="AK32" s="983"/>
      <c r="AL32" s="999"/>
      <c r="AM32" s="1071"/>
      <c r="AN32" s="1071"/>
      <c r="AO32" s="1072"/>
      <c r="AP32" s="1073"/>
      <c r="AQ32" s="887"/>
      <c r="AR32" s="1091"/>
      <c r="AS32" s="988"/>
      <c r="AT32" s="887"/>
      <c r="AU32" s="986"/>
      <c r="AV32" s="1092"/>
      <c r="AW32" s="1093" t="s">
        <v>218</v>
      </c>
      <c r="AX32" s="1094"/>
      <c r="AY32" s="1094"/>
      <c r="AZ32" s="1094"/>
      <c r="BA32" s="1094"/>
      <c r="BB32" s="1094"/>
      <c r="BC32" s="1095"/>
      <c r="BD32" s="849"/>
      <c r="BE32" s="849"/>
      <c r="BF32" s="849"/>
      <c r="BG32" s="849"/>
      <c r="BH32" s="849"/>
      <c r="BI32" s="849"/>
      <c r="BJ32" s="849"/>
      <c r="BK32" s="859"/>
      <c r="BL32" s="1034"/>
      <c r="BM32" s="861"/>
      <c r="BR32" s="861"/>
      <c r="BS32" s="861"/>
      <c r="BU32" s="1084"/>
      <c r="BV32" s="1058"/>
      <c r="BW32" s="1058"/>
      <c r="BX32" s="1058"/>
      <c r="BY32" s="1058"/>
      <c r="BZ32" s="1084"/>
      <c r="CA32" s="912"/>
      <c r="CB32" s="1057"/>
      <c r="CC32" s="954"/>
      <c r="CD32" s="1058"/>
      <c r="CE32" s="1096"/>
      <c r="CF32" s="912"/>
      <c r="CH32" s="1041"/>
      <c r="CI32" s="1042"/>
      <c r="CJ32" s="1043"/>
      <c r="CM32" s="947"/>
      <c r="CN32" s="992"/>
    </row>
    <row r="33" spans="1:92" ht="24" thickBot="1" x14ac:dyDescent="0.3">
      <c r="A33" s="889"/>
      <c r="B33" s="1097"/>
      <c r="C33" s="1098"/>
      <c r="D33" s="1098"/>
      <c r="E33" s="1098"/>
      <c r="F33" s="1099"/>
      <c r="G33" s="1100"/>
      <c r="H33" s="1100"/>
      <c r="I33" s="1100"/>
      <c r="J33" s="1101" t="s">
        <v>219</v>
      </c>
      <c r="K33" s="1102"/>
      <c r="L33" s="1103"/>
      <c r="M33" s="1104"/>
      <c r="N33" s="1104"/>
      <c r="S33" s="1105"/>
      <c r="T33" s="1105"/>
      <c r="U33" s="1105"/>
      <c r="W33" s="1049"/>
      <c r="X33" s="1049"/>
      <c r="Y33" s="1049"/>
      <c r="Z33" s="1106"/>
      <c r="AA33" s="1106"/>
      <c r="AB33" s="1107"/>
      <c r="AC33" s="1009"/>
      <c r="AD33" s="1107"/>
      <c r="AE33" s="1049"/>
      <c r="AF33" s="1049"/>
      <c r="AG33" s="1036"/>
      <c r="AH33" s="983"/>
      <c r="AI33" s="1108">
        <v>3830480</v>
      </c>
      <c r="AJ33" s="1108">
        <v>3830486</v>
      </c>
      <c r="AK33" s="983"/>
      <c r="AL33" s="1037"/>
      <c r="AM33" s="1109"/>
      <c r="AN33" s="1109"/>
      <c r="AO33" s="835"/>
      <c r="AP33" s="1110"/>
      <c r="AQ33" s="887"/>
      <c r="AR33" s="1111"/>
      <c r="AS33" s="887"/>
      <c r="AT33" s="887"/>
      <c r="AU33" s="887"/>
      <c r="AV33" s="1092"/>
      <c r="AW33" s="1112"/>
      <c r="AX33" s="1113"/>
      <c r="AY33" s="1113"/>
      <c r="AZ33" s="1113"/>
      <c r="BA33" s="1113"/>
      <c r="BB33" s="1113"/>
      <c r="BC33" s="1114"/>
      <c r="BD33" s="849"/>
      <c r="BE33" s="849"/>
      <c r="BF33" s="849"/>
      <c r="BG33" s="849"/>
      <c r="BH33" s="849"/>
      <c r="BI33" s="849"/>
      <c r="BJ33" s="849"/>
      <c r="BK33" s="859"/>
      <c r="BL33" s="835"/>
      <c r="BM33" s="861"/>
      <c r="BQ33" s="835"/>
      <c r="BR33" s="861"/>
      <c r="BS33" s="861"/>
      <c r="BU33" s="1065"/>
      <c r="BV33" s="954"/>
      <c r="BW33" s="1075"/>
      <c r="BX33" s="1075"/>
      <c r="BY33" s="954"/>
      <c r="BZ33" s="1065"/>
      <c r="CA33" s="912"/>
      <c r="CB33" s="1057"/>
      <c r="CC33" s="954"/>
      <c r="CD33" s="1058"/>
      <c r="CE33" s="1096"/>
      <c r="CF33" s="912"/>
      <c r="CH33" s="912"/>
      <c r="CI33" s="912"/>
      <c r="CJ33" s="912"/>
      <c r="CK33" s="912"/>
      <c r="CL33" s="912"/>
      <c r="CM33" s="947"/>
      <c r="CN33" s="992"/>
    </row>
    <row r="34" spans="1:92" ht="23.25" x14ac:dyDescent="0.25">
      <c r="A34" s="889"/>
      <c r="B34" s="1115">
        <v>7047753</v>
      </c>
      <c r="C34" s="1116"/>
      <c r="D34" s="1115">
        <v>7047751</v>
      </c>
      <c r="E34" s="1116"/>
      <c r="F34" s="1115">
        <v>7047757</v>
      </c>
      <c r="G34" s="1116"/>
      <c r="H34" s="1115">
        <v>7047750</v>
      </c>
      <c r="I34" s="1116"/>
      <c r="J34" s="1117"/>
      <c r="K34" s="1117"/>
      <c r="L34" s="1117"/>
      <c r="M34" s="1117"/>
      <c r="N34" s="1118"/>
      <c r="O34" s="922"/>
      <c r="P34" s="1119"/>
      <c r="S34" s="1120"/>
      <c r="T34" s="1120"/>
      <c r="U34" s="1120"/>
      <c r="Z34" s="1121"/>
      <c r="AA34" s="988"/>
      <c r="AD34" s="1107"/>
      <c r="AE34" s="1122"/>
      <c r="AF34" s="1123"/>
      <c r="AG34" s="1123"/>
      <c r="AH34" s="1123"/>
      <c r="AI34" s="983"/>
      <c r="AJ34" s="983"/>
      <c r="AP34" s="1124"/>
      <c r="AQ34" s="1124"/>
      <c r="AR34" s="974"/>
      <c r="AS34" s="1124"/>
      <c r="AT34" s="1124"/>
      <c r="AU34" s="1124"/>
      <c r="AW34" s="1112"/>
      <c r="AX34" s="1113"/>
      <c r="AY34" s="1113"/>
      <c r="AZ34" s="1113"/>
      <c r="BA34" s="1113"/>
      <c r="BB34" s="1113"/>
      <c r="BC34" s="1114"/>
      <c r="BD34" s="849"/>
      <c r="BE34" s="849"/>
      <c r="BF34" s="849"/>
      <c r="BG34" s="849"/>
      <c r="BH34" s="849"/>
      <c r="BI34" s="849"/>
      <c r="BJ34" s="849"/>
      <c r="BK34" s="859"/>
      <c r="BL34" s="912"/>
      <c r="BM34" s="861"/>
      <c r="BQ34" s="835"/>
      <c r="BR34" s="861"/>
      <c r="BS34" s="861"/>
      <c r="BT34" s="835"/>
      <c r="BV34" s="1065"/>
      <c r="BW34" s="1065"/>
      <c r="BX34" s="1065"/>
      <c r="BY34" s="1065"/>
      <c r="CA34" s="912"/>
      <c r="CB34" s="1057"/>
      <c r="CC34" s="954"/>
      <c r="CD34" s="1058"/>
      <c r="CE34" s="1096"/>
      <c r="CF34" s="912"/>
      <c r="CH34" s="912"/>
      <c r="CI34" s="912"/>
      <c r="CJ34" s="912"/>
      <c r="CK34" s="912"/>
      <c r="CL34" s="912"/>
      <c r="CM34" s="947"/>
      <c r="CN34" s="992"/>
    </row>
    <row r="35" spans="1:92" ht="23.25" x14ac:dyDescent="0.25">
      <c r="A35" s="889"/>
      <c r="B35" s="1116"/>
      <c r="C35" s="1125"/>
      <c r="D35" s="1116"/>
      <c r="E35" s="1125"/>
      <c r="F35" s="1116"/>
      <c r="G35" s="1125"/>
      <c r="H35" s="1116"/>
      <c r="I35" s="865"/>
      <c r="J35" s="1117"/>
      <c r="K35" s="1117"/>
      <c r="L35" s="1126"/>
      <c r="M35" s="1126"/>
      <c r="N35" s="1118"/>
      <c r="P35" s="1127"/>
      <c r="R35" s="865"/>
      <c r="S35" s="874"/>
      <c r="T35" s="874"/>
      <c r="U35" s="874"/>
      <c r="V35" s="1128"/>
      <c r="Z35" s="1129"/>
      <c r="AA35" s="858"/>
      <c r="AD35" s="1107"/>
      <c r="AE35" s="865"/>
      <c r="AF35" s="1130"/>
      <c r="AG35" s="1130"/>
      <c r="AH35" s="1130"/>
      <c r="AI35" s="1131"/>
      <c r="AK35" s="1132"/>
      <c r="AL35" s="1133"/>
      <c r="AM35" s="1134"/>
      <c r="AN35" s="1134"/>
      <c r="AO35" s="887"/>
      <c r="AP35" s="887"/>
      <c r="AQ35" s="887"/>
      <c r="AR35" s="1134"/>
      <c r="AS35" s="1134"/>
      <c r="AT35" s="1134"/>
      <c r="AU35" s="887"/>
      <c r="AW35" s="1112"/>
      <c r="AX35" s="1113"/>
      <c r="AY35" s="1113"/>
      <c r="AZ35" s="1113"/>
      <c r="BA35" s="1113"/>
      <c r="BB35" s="1113"/>
      <c r="BC35" s="1114"/>
      <c r="BD35" s="849"/>
      <c r="BE35" s="849"/>
      <c r="BF35" s="849"/>
      <c r="BG35" s="849"/>
      <c r="BH35" s="849"/>
      <c r="BI35" s="849"/>
      <c r="BJ35" s="849"/>
      <c r="BK35" s="859"/>
      <c r="BM35" s="861"/>
      <c r="BQ35" s="835"/>
      <c r="BR35" s="861"/>
      <c r="BS35" s="835"/>
      <c r="BT35" s="835"/>
      <c r="BW35" s="1056"/>
      <c r="BX35" s="1056"/>
      <c r="BY35" s="912"/>
      <c r="CA35" s="912"/>
      <c r="CB35" s="1057"/>
      <c r="CC35" s="954"/>
      <c r="CD35" s="1058"/>
      <c r="CE35" s="1096"/>
      <c r="CF35" s="912"/>
      <c r="CH35" s="912"/>
      <c r="CI35" s="912"/>
      <c r="CJ35" s="912"/>
      <c r="CK35" s="912"/>
      <c r="CL35" s="912"/>
      <c r="CM35" s="947"/>
      <c r="CN35" s="992"/>
    </row>
    <row r="36" spans="1:92" ht="23.25" x14ac:dyDescent="0.25">
      <c r="A36" s="889"/>
      <c r="B36" s="930"/>
      <c r="C36" s="930"/>
      <c r="D36" s="930"/>
      <c r="E36" s="930"/>
      <c r="F36" s="930"/>
      <c r="G36" s="930"/>
      <c r="H36" s="930"/>
      <c r="I36" s="1125"/>
      <c r="J36" s="1117"/>
      <c r="K36" s="1117"/>
      <c r="L36" s="1126"/>
      <c r="M36" s="1126"/>
      <c r="N36" s="1118"/>
      <c r="P36" s="1127"/>
      <c r="R36" s="1135"/>
      <c r="S36" s="1136">
        <v>6053535</v>
      </c>
      <c r="T36" s="1136">
        <v>6053509</v>
      </c>
      <c r="U36" s="1136">
        <v>6053508</v>
      </c>
      <c r="V36" s="1135"/>
      <c r="Y36" s="1061"/>
      <c r="Z36" s="1137"/>
      <c r="AA36" s="1137"/>
      <c r="AB36" s="1061"/>
      <c r="AC36" s="1061"/>
      <c r="AE36" s="1130"/>
      <c r="AF36" s="1138">
        <v>6447431</v>
      </c>
      <c r="AG36" s="1138">
        <v>6447421</v>
      </c>
      <c r="AH36" s="1138">
        <v>6447436</v>
      </c>
      <c r="AI36" s="1130"/>
      <c r="AK36" s="869"/>
      <c r="AL36" s="1070"/>
      <c r="AM36" s="1070"/>
      <c r="AN36" s="1070"/>
      <c r="AO36" s="1070"/>
      <c r="AQ36" s="1139"/>
      <c r="AR36" s="1140"/>
      <c r="AS36" s="1140"/>
      <c r="AT36" s="1140"/>
      <c r="AU36" s="1141"/>
      <c r="AW36" s="1112"/>
      <c r="AX36" s="1113"/>
      <c r="AY36" s="1113"/>
      <c r="AZ36" s="1113"/>
      <c r="BA36" s="1113"/>
      <c r="BB36" s="1113"/>
      <c r="BC36" s="1114"/>
      <c r="BD36" s="849"/>
      <c r="BE36" s="849"/>
      <c r="BF36" s="849"/>
      <c r="BG36" s="849"/>
      <c r="BH36" s="849"/>
      <c r="BI36" s="849"/>
      <c r="BJ36" s="849"/>
      <c r="BK36" s="859"/>
      <c r="BL36" s="1088"/>
      <c r="BM36" s="861"/>
      <c r="BQ36" s="835"/>
      <c r="BS36" s="835"/>
      <c r="BT36" s="835"/>
      <c r="BU36" s="912"/>
      <c r="BV36" s="849"/>
      <c r="BX36" s="912"/>
      <c r="BY36" s="912"/>
      <c r="CA36" s="912"/>
      <c r="CB36" s="1057"/>
      <c r="CC36" s="954"/>
      <c r="CD36" s="1058"/>
      <c r="CE36" s="1096"/>
      <c r="CF36" s="912"/>
      <c r="CH36" s="912"/>
      <c r="CI36" s="912"/>
      <c r="CJ36" s="912"/>
      <c r="CK36" s="912"/>
      <c r="CL36" s="912"/>
      <c r="CM36" s="947"/>
      <c r="CN36" s="992"/>
    </row>
    <row r="37" spans="1:92" ht="23.25" x14ac:dyDescent="0.25">
      <c r="A37" s="889"/>
      <c r="B37" s="984"/>
      <c r="C37" s="984"/>
      <c r="D37" s="984"/>
      <c r="E37" s="984"/>
      <c r="F37" s="984"/>
      <c r="G37" s="984"/>
      <c r="H37" s="984"/>
      <c r="I37" s="1125"/>
      <c r="J37" s="873"/>
      <c r="K37" s="873"/>
      <c r="L37" s="1142"/>
      <c r="M37" s="1142"/>
      <c r="N37" s="1118"/>
      <c r="P37" s="1127"/>
      <c r="R37" s="1135"/>
      <c r="S37" s="1136">
        <v>6053547</v>
      </c>
      <c r="T37" s="1136">
        <v>6053546</v>
      </c>
      <c r="U37" s="1136">
        <v>6053548</v>
      </c>
      <c r="V37" s="1135"/>
      <c r="Y37" s="1061"/>
      <c r="Z37" s="1061"/>
      <c r="AA37" s="1061"/>
      <c r="AB37" s="1061"/>
      <c r="AC37" s="1061"/>
      <c r="AE37" s="1130"/>
      <c r="AF37" s="1138">
        <v>6447437</v>
      </c>
      <c r="AG37" s="1138">
        <v>6447395</v>
      </c>
      <c r="AH37" s="1138">
        <v>6447422</v>
      </c>
      <c r="AI37" s="1130"/>
      <c r="AK37" s="1143"/>
      <c r="AL37" s="1070"/>
      <c r="AM37" s="1070"/>
      <c r="AN37" s="1070"/>
      <c r="AO37" s="1070"/>
      <c r="AQ37" s="1144"/>
      <c r="AR37" s="1140"/>
      <c r="AS37" s="1140"/>
      <c r="AT37" s="1140"/>
      <c r="AU37" s="1145"/>
      <c r="AW37" s="1112"/>
      <c r="AX37" s="1113"/>
      <c r="AY37" s="1113"/>
      <c r="AZ37" s="1113"/>
      <c r="BA37" s="1113"/>
      <c r="BB37" s="1113"/>
      <c r="BC37" s="1114"/>
      <c r="BD37" s="849"/>
      <c r="BE37" s="849"/>
      <c r="BF37" s="849"/>
      <c r="BG37" s="849"/>
      <c r="BH37" s="849"/>
      <c r="BI37" s="849"/>
      <c r="BJ37" s="849"/>
      <c r="BK37" s="859"/>
      <c r="BL37" s="871"/>
      <c r="BM37" s="1088"/>
      <c r="BQ37" s="1053"/>
      <c r="BR37" s="1053"/>
      <c r="BS37" s="835"/>
      <c r="BT37" s="835"/>
      <c r="BU37" s="912"/>
      <c r="BV37" s="849"/>
      <c r="BW37" s="912"/>
      <c r="BX37" s="912"/>
      <c r="BY37" s="912"/>
      <c r="CA37" s="912"/>
      <c r="CB37" s="912"/>
      <c r="CC37" s="912"/>
      <c r="CD37" s="1057"/>
      <c r="CE37" s="1096"/>
      <c r="CF37" s="912"/>
      <c r="CH37" s="912"/>
      <c r="CI37" s="912"/>
      <c r="CJ37" s="912"/>
      <c r="CK37" s="912"/>
      <c r="CL37" s="912"/>
      <c r="CM37" s="947"/>
      <c r="CN37" s="992"/>
    </row>
    <row r="38" spans="1:92" ht="21" x14ac:dyDescent="0.25">
      <c r="A38" s="889"/>
      <c r="D38" s="1125"/>
      <c r="E38" s="1125"/>
      <c r="F38" s="1118"/>
      <c r="G38" s="1118"/>
      <c r="H38" s="1118"/>
      <c r="I38" s="1118"/>
      <c r="J38" s="1118"/>
      <c r="K38" s="855"/>
      <c r="M38" s="1146"/>
      <c r="N38" s="1146"/>
      <c r="P38" s="1127"/>
      <c r="Q38" s="851"/>
      <c r="S38" s="874"/>
      <c r="T38" s="874"/>
      <c r="U38" s="874"/>
      <c r="V38" s="865"/>
      <c r="W38" s="1040"/>
      <c r="AE38" s="1040"/>
      <c r="AF38" s="1130"/>
      <c r="AG38" s="1130"/>
      <c r="AH38" s="1130"/>
      <c r="AK38" s="1143"/>
      <c r="AL38" s="961"/>
      <c r="AM38" s="961"/>
      <c r="AN38" s="961"/>
      <c r="AO38" s="1144"/>
      <c r="AQ38" s="1144"/>
      <c r="AR38" s="961"/>
      <c r="AS38" s="961"/>
      <c r="AT38" s="961"/>
      <c r="AU38" s="1145"/>
      <c r="AW38" s="1112"/>
      <c r="AX38" s="1113"/>
      <c r="AY38" s="1113"/>
      <c r="AZ38" s="1113"/>
      <c r="BA38" s="1113"/>
      <c r="BB38" s="1113"/>
      <c r="BC38" s="1114"/>
      <c r="BD38" s="849"/>
      <c r="BE38" s="849"/>
      <c r="BF38" s="849"/>
      <c r="BG38" s="849"/>
      <c r="BH38" s="849"/>
      <c r="BI38" s="849"/>
      <c r="BJ38" s="849"/>
      <c r="BK38" s="859"/>
      <c r="BL38" s="871"/>
      <c r="BM38" s="1053"/>
      <c r="BN38" s="1053"/>
      <c r="BU38" s="912"/>
      <c r="BV38" s="912"/>
      <c r="BW38" s="912"/>
      <c r="BX38" s="912"/>
      <c r="BY38" s="912"/>
      <c r="CA38" s="912"/>
      <c r="CB38" s="912"/>
      <c r="CC38" s="912"/>
      <c r="CD38" s="912"/>
      <c r="CE38" s="1096"/>
      <c r="CF38" s="912"/>
      <c r="CG38" s="912"/>
      <c r="CH38" s="912"/>
      <c r="CI38" s="912"/>
      <c r="CJ38" s="912"/>
      <c r="CK38" s="912"/>
      <c r="CL38" s="912"/>
      <c r="CM38" s="1089"/>
      <c r="CN38" s="1147"/>
    </row>
    <row r="39" spans="1:92" ht="21.75" thickBot="1" x14ac:dyDescent="0.3">
      <c r="A39" s="889"/>
      <c r="B39" s="1148"/>
      <c r="C39" s="865"/>
      <c r="D39" s="1125"/>
      <c r="E39" s="1123"/>
      <c r="F39" s="1064"/>
      <c r="G39" s="1064"/>
      <c r="H39" s="1064"/>
      <c r="I39" s="1064"/>
      <c r="J39" s="1054"/>
      <c r="L39" s="865"/>
      <c r="M39" s="940"/>
      <c r="N39" s="940"/>
      <c r="O39" s="939"/>
      <c r="P39" s="1127"/>
      <c r="Q39" s="1149"/>
      <c r="R39" s="1150"/>
      <c r="S39" s="1151"/>
      <c r="T39" s="1151"/>
      <c r="U39" s="1151"/>
      <c r="V39" s="1150"/>
      <c r="W39" s="1150"/>
      <c r="X39" s="1150"/>
      <c r="Y39" s="1150"/>
      <c r="Z39" s="1150"/>
      <c r="AA39" s="1150"/>
      <c r="AB39" s="1150"/>
      <c r="AC39" s="1150"/>
      <c r="AD39" s="1150"/>
      <c r="AE39" s="1150"/>
      <c r="AF39" s="1152"/>
      <c r="AG39" s="1152"/>
      <c r="AH39" s="1152"/>
      <c r="AI39" s="1152"/>
      <c r="AJ39" s="1150"/>
      <c r="AK39" s="1153"/>
      <c r="AL39" s="1154"/>
      <c r="AM39" s="1155"/>
      <c r="AN39" s="1155"/>
      <c r="AO39" s="1156"/>
      <c r="AP39" s="1157"/>
      <c r="AQ39" s="1156"/>
      <c r="AR39" s="1155"/>
      <c r="AS39" s="1155"/>
      <c r="AT39" s="1155"/>
      <c r="AU39" s="1158"/>
      <c r="AV39" s="1150"/>
      <c r="AW39" s="1159"/>
      <c r="AX39" s="1160"/>
      <c r="AY39" s="1160"/>
      <c r="AZ39" s="1160"/>
      <c r="BA39" s="1160"/>
      <c r="BB39" s="1160"/>
      <c r="BC39" s="1161"/>
      <c r="BD39" s="881"/>
      <c r="BE39" s="881"/>
      <c r="BF39" s="881"/>
      <c r="BG39" s="881"/>
      <c r="BH39" s="881"/>
      <c r="BI39" s="881"/>
      <c r="BJ39" s="881"/>
      <c r="BK39" s="1162"/>
      <c r="BL39" s="1052"/>
      <c r="BM39" s="1163"/>
      <c r="BN39" s="1163"/>
      <c r="BO39" s="1053"/>
      <c r="BU39" s="912"/>
      <c r="BV39" s="912"/>
      <c r="BW39" s="912"/>
      <c r="BX39" s="912"/>
      <c r="BY39" s="912"/>
      <c r="BZ39" s="912"/>
      <c r="CA39" s="912"/>
      <c r="CB39" s="912"/>
      <c r="CC39" s="912"/>
      <c r="CD39" s="1164"/>
      <c r="CE39" s="1096"/>
      <c r="CF39" s="912"/>
      <c r="CG39" s="912"/>
      <c r="CH39" s="912"/>
      <c r="CI39" s="912"/>
      <c r="CJ39" s="912"/>
      <c r="CK39" s="912"/>
      <c r="CL39" s="912"/>
      <c r="CM39" s="1089"/>
      <c r="CN39" s="1147"/>
    </row>
    <row r="40" spans="1:92" ht="24" thickBot="1" x14ac:dyDescent="0.3">
      <c r="A40" s="889"/>
      <c r="B40" s="1165">
        <v>7052985</v>
      </c>
      <c r="C40" s="866"/>
      <c r="D40" s="1166"/>
      <c r="E40" s="1167"/>
      <c r="K40" s="1168"/>
      <c r="L40" s="940"/>
      <c r="M40" s="1169">
        <v>3123838</v>
      </c>
      <c r="N40" s="1169">
        <v>3123983</v>
      </c>
      <c r="O40" s="940"/>
      <c r="P40" s="1170"/>
      <c r="Q40" s="1171" t="s">
        <v>230</v>
      </c>
      <c r="R40" s="1172"/>
      <c r="S40" s="1173"/>
      <c r="T40" s="871"/>
      <c r="U40" s="871"/>
      <c r="V40" s="871"/>
      <c r="W40" s="871"/>
      <c r="X40" s="871"/>
      <c r="Y40" s="871"/>
      <c r="AF40" s="1174"/>
      <c r="AG40" s="1174"/>
      <c r="AH40" s="1174"/>
      <c r="AW40" s="912"/>
      <c r="AX40" s="871"/>
      <c r="AY40" s="871"/>
      <c r="AZ40" s="871"/>
      <c r="BA40" s="871"/>
      <c r="BB40" s="871"/>
      <c r="BC40" s="871"/>
      <c r="BD40" s="871"/>
      <c r="BE40" s="871"/>
      <c r="BF40" s="871"/>
      <c r="BG40" s="871"/>
      <c r="BH40" s="871"/>
      <c r="BI40" s="871"/>
      <c r="BJ40" s="871"/>
      <c r="BK40" s="871"/>
      <c r="BL40" s="924"/>
      <c r="BM40" s="1175"/>
      <c r="BN40" s="1176"/>
      <c r="BO40" s="1176"/>
      <c r="BP40" s="1176"/>
      <c r="BQ40" s="1176"/>
      <c r="BR40" s="1176"/>
      <c r="BS40" s="1177" t="s">
        <v>231</v>
      </c>
      <c r="BT40" s="1178"/>
      <c r="BU40" s="1176"/>
      <c r="BV40" s="1176"/>
      <c r="BW40" s="1176"/>
      <c r="BX40" s="1176"/>
      <c r="BY40" s="1176"/>
      <c r="BZ40" s="1176"/>
      <c r="CA40" s="1176"/>
      <c r="CB40" s="1176"/>
      <c r="CC40" s="1179"/>
      <c r="CD40" s="1180"/>
      <c r="CE40" s="1096"/>
      <c r="CF40" s="912"/>
      <c r="CG40" s="912"/>
      <c r="CH40" s="912"/>
      <c r="CI40" s="912"/>
      <c r="CJ40" s="912"/>
      <c r="CK40" s="912"/>
      <c r="CL40" s="912"/>
      <c r="CM40" s="1089"/>
      <c r="CN40" s="1147"/>
    </row>
    <row r="41" spans="1:92" ht="21" x14ac:dyDescent="0.25">
      <c r="A41" s="1181"/>
      <c r="B41" s="1148"/>
      <c r="C41" s="1182"/>
      <c r="D41" s="1183"/>
      <c r="E41" s="1184"/>
      <c r="K41" s="1185"/>
      <c r="L41" s="1064"/>
      <c r="M41" s="940"/>
      <c r="N41" s="940"/>
      <c r="P41" s="1170"/>
      <c r="Q41" s="1186"/>
      <c r="R41" s="1172"/>
      <c r="S41" s="1173"/>
      <c r="T41" s="871"/>
      <c r="U41" s="871"/>
      <c r="V41" s="871"/>
      <c r="W41" s="871"/>
      <c r="X41" s="871"/>
      <c r="Y41" s="871"/>
      <c r="Z41" s="871"/>
      <c r="AA41" s="871"/>
      <c r="AB41" s="871"/>
      <c r="AC41" s="871"/>
      <c r="AD41" s="912"/>
      <c r="AE41" s="912"/>
      <c r="AF41" s="849"/>
      <c r="BD41" s="912"/>
      <c r="BE41" s="912"/>
      <c r="BF41" s="912"/>
      <c r="BG41" s="912"/>
      <c r="BH41" s="912"/>
      <c r="BI41" s="912"/>
      <c r="BJ41" s="912"/>
      <c r="BK41" s="912"/>
      <c r="BL41" s="912"/>
      <c r="BM41" s="1187"/>
      <c r="BN41" s="1188"/>
      <c r="BO41" s="1188"/>
      <c r="BP41" s="871"/>
      <c r="BQ41" s="871"/>
      <c r="BR41" s="871"/>
      <c r="BS41" s="871"/>
      <c r="BT41" s="871"/>
      <c r="BU41" s="871"/>
      <c r="BV41" s="871"/>
      <c r="BW41" s="871"/>
      <c r="BX41" s="871"/>
      <c r="BY41" s="871"/>
      <c r="BZ41" s="871"/>
      <c r="CA41" s="871"/>
      <c r="CB41" s="871"/>
      <c r="CC41" s="1189"/>
      <c r="CD41" s="912"/>
      <c r="CE41" s="1096"/>
      <c r="CF41" s="912"/>
      <c r="CG41" s="912"/>
      <c r="CH41" s="912"/>
      <c r="CI41" s="912"/>
      <c r="CJ41" s="912"/>
      <c r="CK41" s="912"/>
      <c r="CL41" s="912"/>
      <c r="CM41" s="1089"/>
      <c r="CN41" s="1147"/>
    </row>
    <row r="42" spans="1:92" ht="23.25" x14ac:dyDescent="0.25">
      <c r="A42" s="1181"/>
      <c r="B42" s="1165">
        <v>7053006</v>
      </c>
      <c r="C42" s="866"/>
      <c r="D42" s="1166"/>
      <c r="F42" s="1190"/>
      <c r="G42" s="930"/>
      <c r="H42" s="1190"/>
      <c r="J42" s="1123"/>
      <c r="K42" s="1168"/>
      <c r="L42" s="940"/>
      <c r="M42" s="1191">
        <v>3125643</v>
      </c>
      <c r="N42" s="1169">
        <v>3123964</v>
      </c>
      <c r="O42" s="940"/>
      <c r="P42" s="1170"/>
      <c r="Q42" s="1186"/>
      <c r="R42" s="1172"/>
      <c r="S42" s="1173"/>
      <c r="T42" s="1192"/>
      <c r="U42" s="1192"/>
      <c r="V42" s="1192"/>
      <c r="W42" s="1192"/>
      <c r="X42" s="1192"/>
      <c r="Y42" s="1192"/>
      <c r="Z42" s="1192"/>
      <c r="AA42" s="1192"/>
      <c r="AB42" s="1192"/>
      <c r="AC42" s="1192"/>
      <c r="AD42" s="835"/>
      <c r="AE42" s="835"/>
      <c r="AF42" s="1193"/>
      <c r="AG42" s="849"/>
      <c r="AH42" s="835"/>
      <c r="AI42" s="835"/>
      <c r="AJ42" s="1083"/>
      <c r="AK42" s="1083"/>
      <c r="AL42" s="1083"/>
      <c r="AM42" s="1083"/>
      <c r="AN42" s="849"/>
      <c r="AO42" s="849"/>
      <c r="AP42" s="849"/>
      <c r="AQ42" s="849"/>
      <c r="AR42" s="849"/>
      <c r="AS42" s="871"/>
      <c r="AT42" s="871"/>
      <c r="BD42" s="912"/>
      <c r="BE42" s="912"/>
      <c r="BF42" s="912"/>
      <c r="BG42" s="912"/>
      <c r="BH42" s="912"/>
      <c r="BI42" s="912"/>
      <c r="BJ42" s="912"/>
      <c r="BK42" s="912"/>
      <c r="BL42" s="871"/>
      <c r="BM42" s="912"/>
      <c r="BN42" s="849"/>
      <c r="BO42" s="849"/>
      <c r="BP42" s="849"/>
      <c r="BQ42" s="849"/>
      <c r="BR42" s="849"/>
      <c r="BS42" s="849"/>
      <c r="BT42" s="849"/>
      <c r="BU42" s="849"/>
      <c r="BV42" s="849"/>
      <c r="BW42" s="849"/>
      <c r="BX42" s="849"/>
      <c r="BY42" s="849"/>
      <c r="BZ42" s="849"/>
      <c r="CA42" s="849"/>
      <c r="CB42" s="849"/>
      <c r="CC42" s="1194"/>
      <c r="CD42" s="871"/>
      <c r="CE42" s="1085"/>
      <c r="CF42" s="871"/>
      <c r="CG42" s="871"/>
      <c r="CH42" s="871"/>
      <c r="CI42" s="871"/>
      <c r="CJ42" s="871"/>
      <c r="CK42" s="871"/>
      <c r="CL42" s="871"/>
      <c r="CM42" s="1088"/>
      <c r="CN42" s="1147"/>
    </row>
    <row r="43" spans="1:92" ht="21.75" thickBot="1" x14ac:dyDescent="0.3">
      <c r="A43" s="1181"/>
      <c r="B43" s="1148"/>
      <c r="C43" s="1182"/>
      <c r="D43" s="1183"/>
      <c r="E43" s="1195"/>
      <c r="F43" s="1196"/>
      <c r="G43" s="1197"/>
      <c r="H43" s="1196"/>
      <c r="I43" s="1198"/>
      <c r="J43" s="919"/>
      <c r="K43" s="1199"/>
      <c r="L43" s="1200"/>
      <c r="M43" s="940"/>
      <c r="N43" s="940"/>
      <c r="O43" s="1123"/>
      <c r="P43" s="1170"/>
      <c r="Q43" s="1186"/>
      <c r="R43" s="1172"/>
      <c r="S43" s="1173"/>
      <c r="T43" s="856"/>
      <c r="U43" s="1064"/>
      <c r="V43" s="1064"/>
      <c r="AO43" s="1083"/>
      <c r="AP43" s="849"/>
      <c r="AQ43" s="871"/>
      <c r="AR43" s="871"/>
      <c r="AS43" s="871"/>
      <c r="AT43" s="871"/>
      <c r="BD43" s="871"/>
      <c r="BE43" s="912"/>
      <c r="BF43" s="912"/>
      <c r="BG43" s="912"/>
      <c r="BH43" s="912"/>
      <c r="BI43" s="912"/>
      <c r="BJ43" s="912"/>
      <c r="BK43" s="912"/>
      <c r="BL43" s="871"/>
      <c r="BM43" s="871"/>
      <c r="BN43" s="849"/>
      <c r="BO43" s="849"/>
      <c r="BP43" s="849"/>
      <c r="BQ43" s="849"/>
      <c r="BR43" s="849"/>
      <c r="BS43" s="849"/>
      <c r="BT43" s="849"/>
      <c r="BU43" s="849"/>
      <c r="BV43" s="849"/>
      <c r="BW43" s="849"/>
      <c r="BX43" s="849"/>
      <c r="BY43" s="849"/>
      <c r="BZ43" s="849"/>
      <c r="CA43" s="849"/>
      <c r="CB43" s="849"/>
      <c r="CC43" s="1194"/>
      <c r="CD43" s="871"/>
      <c r="CE43" s="1085"/>
      <c r="CF43" s="871"/>
      <c r="CG43" s="871"/>
      <c r="CH43" s="871"/>
      <c r="CI43" s="871"/>
      <c r="CJ43" s="871"/>
      <c r="CK43" s="871"/>
      <c r="CL43" s="871"/>
      <c r="CM43" s="871"/>
      <c r="CN43" s="1189"/>
    </row>
    <row r="44" spans="1:92" ht="23.25" x14ac:dyDescent="0.25">
      <c r="A44" s="1181"/>
      <c r="B44" s="1165">
        <v>7052982</v>
      </c>
      <c r="C44" s="866"/>
      <c r="D44" s="1166"/>
      <c r="E44" s="1196"/>
      <c r="F44" s="1201"/>
      <c r="G44" s="1196"/>
      <c r="H44" s="1201"/>
      <c r="J44" s="1123"/>
      <c r="K44" s="1199"/>
      <c r="L44" s="940"/>
      <c r="M44" s="1169">
        <v>3123870</v>
      </c>
      <c r="N44" s="1191">
        <v>3123943</v>
      </c>
      <c r="O44" s="940"/>
      <c r="P44" s="1170"/>
      <c r="Q44" s="1186"/>
      <c r="R44" s="1172"/>
      <c r="S44" s="1173"/>
      <c r="T44" s="1202" t="s">
        <v>232</v>
      </c>
      <c r="U44" s="1203"/>
      <c r="V44" s="1203"/>
      <c r="W44" s="1203"/>
      <c r="X44" s="1203"/>
      <c r="Y44" s="1203"/>
      <c r="Z44" s="1203"/>
      <c r="AA44" s="1203"/>
      <c r="AB44" s="1204"/>
      <c r="AC44" s="855"/>
      <c r="AD44" s="855"/>
      <c r="AE44" s="855"/>
      <c r="AF44" s="1205"/>
      <c r="AG44" s="856"/>
      <c r="AH44" s="855"/>
      <c r="AI44" s="855"/>
      <c r="AJ44" s="1206"/>
      <c r="AK44" s="1206"/>
      <c r="AL44" s="1206"/>
      <c r="AM44" s="1206"/>
      <c r="AO44" s="871"/>
      <c r="AP44" s="849"/>
      <c r="AQ44" s="871"/>
      <c r="AR44" s="871"/>
      <c r="AS44" s="871"/>
      <c r="AT44" s="871"/>
      <c r="BD44" s="871"/>
      <c r="BE44" s="835"/>
      <c r="BF44" s="835"/>
      <c r="BG44" s="835"/>
      <c r="BH44" s="835"/>
      <c r="BI44" s="835"/>
      <c r="BJ44" s="835"/>
      <c r="BK44" s="835"/>
      <c r="BL44" s="871"/>
      <c r="BM44" s="871"/>
      <c r="BN44" s="871"/>
      <c r="BO44" s="871"/>
      <c r="BP44" s="871"/>
      <c r="BQ44" s="871"/>
      <c r="BR44" s="871"/>
      <c r="BS44" s="871"/>
      <c r="BT44" s="871"/>
      <c r="BU44" s="871"/>
      <c r="BV44" s="871"/>
      <c r="BW44" s="871"/>
      <c r="BX44" s="871"/>
      <c r="BY44" s="871"/>
      <c r="BZ44" s="871"/>
      <c r="CA44" s="871"/>
      <c r="CB44" s="871"/>
      <c r="CC44" s="1189"/>
      <c r="CD44" s="871"/>
      <c r="CE44" s="1085"/>
      <c r="CF44" s="871"/>
      <c r="CG44" s="871"/>
      <c r="CH44" s="871"/>
      <c r="CI44" s="871"/>
      <c r="CJ44" s="871"/>
      <c r="CK44" s="871"/>
      <c r="CL44" s="871"/>
      <c r="CM44" s="871"/>
      <c r="CN44" s="1189"/>
    </row>
    <row r="45" spans="1:92" ht="21.75" thickBot="1" x14ac:dyDescent="0.3">
      <c r="A45" s="1181"/>
      <c r="B45" s="1148"/>
      <c r="C45" s="1182"/>
      <c r="D45" s="1183"/>
      <c r="E45" s="1207"/>
      <c r="F45" s="1201"/>
      <c r="G45" s="1196"/>
      <c r="H45" s="1201"/>
      <c r="J45" s="1123"/>
      <c r="K45" s="1208"/>
      <c r="L45" s="1123"/>
      <c r="M45" s="940"/>
      <c r="N45" s="940"/>
      <c r="O45" s="1123"/>
      <c r="P45" s="1170"/>
      <c r="Q45" s="1186"/>
      <c r="R45" s="1172"/>
      <c r="S45" s="1173"/>
      <c r="T45" s="1209"/>
      <c r="U45" s="1210"/>
      <c r="V45" s="1210"/>
      <c r="W45" s="1210"/>
      <c r="X45" s="1210"/>
      <c r="Y45" s="1210"/>
      <c r="Z45" s="1210"/>
      <c r="AA45" s="1210"/>
      <c r="AB45" s="1211"/>
      <c r="AC45" s="1212"/>
      <c r="AD45" s="1212"/>
      <c r="AE45" s="1212"/>
      <c r="AF45" s="1212"/>
      <c r="AG45" s="1212"/>
      <c r="AH45" s="1212"/>
      <c r="AI45" s="1212"/>
      <c r="AJ45" s="1212"/>
      <c r="AK45" s="1212"/>
      <c r="AL45" s="1212"/>
      <c r="AM45" s="1212"/>
      <c r="AO45" s="871"/>
      <c r="BD45" s="871"/>
      <c r="BE45" s="835"/>
      <c r="BF45" s="835"/>
      <c r="BG45" s="835"/>
      <c r="BH45" s="835"/>
      <c r="BI45" s="835"/>
      <c r="BJ45" s="835"/>
      <c r="BK45" s="835"/>
      <c r="BL45" s="871"/>
      <c r="BM45" s="871"/>
      <c r="BN45" s="871"/>
      <c r="BO45" s="871"/>
      <c r="BP45" s="871"/>
      <c r="BQ45" s="871"/>
      <c r="BR45" s="871"/>
      <c r="BS45" s="835"/>
      <c r="BT45" s="871"/>
      <c r="BU45" s="871"/>
      <c r="BV45" s="871"/>
      <c r="BW45" s="871"/>
      <c r="BX45" s="871"/>
      <c r="BY45" s="871"/>
      <c r="BZ45" s="871"/>
      <c r="CA45" s="871"/>
      <c r="CB45" s="871"/>
      <c r="CC45" s="1189"/>
      <c r="CD45" s="881"/>
      <c r="CE45" s="1213"/>
      <c r="CF45" s="881"/>
      <c r="CG45" s="881"/>
      <c r="CH45" s="881"/>
      <c r="CI45" s="881"/>
      <c r="CJ45" s="881"/>
      <c r="CK45" s="881"/>
      <c r="CL45" s="881"/>
      <c r="CM45" s="881"/>
      <c r="CN45" s="1214"/>
    </row>
    <row r="46" spans="1:92" ht="23.25" x14ac:dyDescent="0.25">
      <c r="A46" s="1181"/>
      <c r="B46" s="1165">
        <v>7052816</v>
      </c>
      <c r="C46" s="866"/>
      <c r="D46" s="1183"/>
      <c r="E46" s="1215"/>
      <c r="F46" s="1196"/>
      <c r="G46" s="1197"/>
      <c r="H46" s="1196"/>
      <c r="I46" s="1216"/>
      <c r="J46" s="1123"/>
      <c r="K46" s="1199"/>
      <c r="L46" s="940"/>
      <c r="M46" s="1169">
        <v>3123859</v>
      </c>
      <c r="N46" s="1169">
        <v>3123976</v>
      </c>
      <c r="O46" s="940"/>
      <c r="P46" s="1170"/>
      <c r="Q46" s="1186"/>
      <c r="R46" s="1172"/>
      <c r="S46" s="1173"/>
      <c r="T46" s="1209"/>
      <c r="U46" s="1210"/>
      <c r="V46" s="1210"/>
      <c r="W46" s="1210"/>
      <c r="X46" s="1210"/>
      <c r="Y46" s="1210"/>
      <c r="Z46" s="1210"/>
      <c r="AA46" s="1210"/>
      <c r="AB46" s="1211"/>
      <c r="AC46" s="1217"/>
      <c r="AD46" s="1218"/>
      <c r="AE46" s="1219" t="s">
        <v>233</v>
      </c>
      <c r="AF46" s="1220"/>
      <c r="AG46" s="1220"/>
      <c r="AH46" s="1220"/>
      <c r="AI46" s="1220"/>
      <c r="AJ46" s="1220"/>
      <c r="AK46" s="1220"/>
      <c r="AL46" s="1220"/>
      <c r="AM46" s="1221"/>
      <c r="AO46" s="871"/>
      <c r="BD46" s="1222"/>
      <c r="BE46" s="1223"/>
      <c r="BF46" s="1223"/>
      <c r="BG46" s="1223"/>
      <c r="BH46" s="1223"/>
      <c r="BI46" s="1223"/>
      <c r="BJ46" s="1223"/>
      <c r="BK46" s="1223"/>
      <c r="BL46" s="871"/>
      <c r="BM46" s="1223"/>
      <c r="BN46" s="1223"/>
      <c r="BO46" s="871"/>
      <c r="BP46" s="871"/>
      <c r="BQ46" s="871"/>
      <c r="BR46" s="871"/>
      <c r="BS46" s="835"/>
      <c r="BT46" s="871"/>
      <c r="BU46" s="871"/>
      <c r="BV46" s="871"/>
      <c r="BW46" s="871"/>
      <c r="BX46" s="871"/>
      <c r="BY46" s="871"/>
      <c r="BZ46" s="871"/>
      <c r="CA46" s="871"/>
      <c r="CB46" s="871"/>
      <c r="CC46" s="871"/>
      <c r="CD46" s="1176"/>
      <c r="CE46" s="1176"/>
      <c r="CF46" s="1176"/>
      <c r="CG46" s="1176"/>
      <c r="CH46" s="1176"/>
      <c r="CI46" s="1176"/>
      <c r="CJ46" s="1176"/>
      <c r="CK46" s="1176"/>
      <c r="CL46" s="1176"/>
      <c r="CM46" s="1176"/>
      <c r="CN46" s="1179"/>
    </row>
    <row r="47" spans="1:92" ht="21" x14ac:dyDescent="0.25">
      <c r="A47" s="1181"/>
      <c r="B47" s="1148"/>
      <c r="D47" s="1183"/>
      <c r="E47" s="1182"/>
      <c r="F47" s="1190"/>
      <c r="G47" s="930"/>
      <c r="H47" s="1190"/>
      <c r="I47" s="1182"/>
      <c r="J47" s="1123"/>
      <c r="M47" s="940"/>
      <c r="N47" s="940"/>
      <c r="P47" s="1117"/>
      <c r="Q47" s="1186"/>
      <c r="R47" s="1172"/>
      <c r="S47" s="1173"/>
      <c r="T47" s="1209"/>
      <c r="U47" s="1210"/>
      <c r="V47" s="1210"/>
      <c r="W47" s="1210"/>
      <c r="X47" s="1210"/>
      <c r="Y47" s="1210"/>
      <c r="Z47" s="1210"/>
      <c r="AA47" s="1210"/>
      <c r="AB47" s="1211"/>
      <c r="AC47" s="1054"/>
      <c r="AD47" s="1064"/>
      <c r="AE47" s="1224"/>
      <c r="AF47" s="1113"/>
      <c r="AG47" s="1113"/>
      <c r="AH47" s="1113"/>
      <c r="AI47" s="1113"/>
      <c r="AJ47" s="1113"/>
      <c r="AK47" s="1113"/>
      <c r="AL47" s="1113"/>
      <c r="AM47" s="1225"/>
      <c r="AO47" s="871"/>
      <c r="BD47" s="871"/>
      <c r="BE47" s="871"/>
      <c r="BF47" s="871"/>
      <c r="BG47" s="871"/>
      <c r="BH47" s="871"/>
      <c r="BI47" s="871"/>
      <c r="BJ47" s="871"/>
      <c r="BK47" s="871"/>
      <c r="BL47" s="871"/>
      <c r="BM47" s="871"/>
      <c r="BN47" s="871"/>
      <c r="BO47" s="871"/>
      <c r="BP47" s="871"/>
      <c r="BQ47" s="871"/>
      <c r="BR47" s="871"/>
      <c r="BS47" s="871"/>
      <c r="BT47" s="871"/>
      <c r="BU47" s="871"/>
      <c r="BV47" s="871"/>
      <c r="BW47" s="871"/>
      <c r="BX47" s="871"/>
      <c r="BY47" s="871"/>
      <c r="BZ47" s="871"/>
      <c r="CA47" s="871"/>
      <c r="CB47" s="871"/>
      <c r="CC47" s="871"/>
      <c r="CD47" s="871"/>
      <c r="CE47" s="871"/>
      <c r="CF47" s="871"/>
      <c r="CG47" s="871"/>
      <c r="CH47" s="871"/>
      <c r="CI47" s="871"/>
      <c r="CJ47" s="871"/>
      <c r="CK47" s="871"/>
      <c r="CL47" s="871"/>
      <c r="CM47" s="871"/>
      <c r="CN47" s="1189"/>
    </row>
    <row r="48" spans="1:92" ht="15.75" x14ac:dyDescent="0.25">
      <c r="A48" s="1181"/>
      <c r="B48" s="1226"/>
      <c r="C48" s="1227"/>
      <c r="D48" s="1183"/>
      <c r="J48" s="1123"/>
      <c r="K48" s="1118"/>
      <c r="L48" s="1123"/>
      <c r="M48" s="1123"/>
      <c r="N48" s="1123"/>
      <c r="O48" s="1228"/>
      <c r="P48" s="1117"/>
      <c r="Q48" s="1186"/>
      <c r="R48" s="1172"/>
      <c r="S48" s="1173"/>
      <c r="T48" s="1209"/>
      <c r="U48" s="1210"/>
      <c r="V48" s="1210"/>
      <c r="W48" s="1210"/>
      <c r="X48" s="1210"/>
      <c r="Y48" s="1210"/>
      <c r="Z48" s="1210"/>
      <c r="AA48" s="1210"/>
      <c r="AB48" s="1211"/>
      <c r="AC48" s="1054"/>
      <c r="AD48" s="1064"/>
      <c r="AE48" s="1229"/>
      <c r="AF48" s="1230"/>
      <c r="AG48" s="1230"/>
      <c r="AH48" s="1230"/>
      <c r="AI48" s="1230"/>
      <c r="AJ48" s="1230"/>
      <c r="AK48" s="1230"/>
      <c r="AL48" s="1230"/>
      <c r="AM48" s="1231"/>
      <c r="AO48" s="871"/>
      <c r="BD48" s="871"/>
      <c r="BE48" s="871"/>
      <c r="BF48" s="871"/>
      <c r="BG48" s="871"/>
      <c r="BH48" s="871"/>
      <c r="BI48" s="871"/>
      <c r="BJ48" s="871"/>
      <c r="BK48" s="871"/>
      <c r="BL48" s="871"/>
      <c r="BM48" s="871"/>
      <c r="BN48" s="871"/>
      <c r="BO48" s="871"/>
      <c r="BP48" s="871"/>
      <c r="BQ48" s="871"/>
      <c r="BR48" s="871"/>
      <c r="BS48" s="871"/>
      <c r="BT48" s="871"/>
      <c r="BU48" s="871"/>
      <c r="BV48" s="871"/>
      <c r="BW48" s="871"/>
      <c r="BX48" s="871"/>
      <c r="BY48" s="871"/>
      <c r="BZ48" s="871"/>
      <c r="CA48" s="871"/>
      <c r="CB48" s="871"/>
      <c r="CC48" s="871"/>
      <c r="CD48" s="871"/>
      <c r="CE48" s="871"/>
      <c r="CF48" s="871"/>
      <c r="CG48" s="871"/>
      <c r="CH48" s="871"/>
      <c r="CI48" s="871"/>
      <c r="CJ48" s="871"/>
      <c r="CK48" s="871"/>
      <c r="CL48" s="871"/>
      <c r="CM48" s="871"/>
      <c r="CN48" s="1189"/>
    </row>
    <row r="49" spans="1:93" x14ac:dyDescent="0.25">
      <c r="A49" s="1181"/>
      <c r="B49" s="1123"/>
      <c r="C49" s="1123"/>
      <c r="D49" s="1183"/>
      <c r="L49" s="1123"/>
      <c r="M49" s="1123"/>
      <c r="N49" s="1123"/>
      <c r="O49" s="1123"/>
      <c r="P49" s="1123"/>
      <c r="Q49" s="1186"/>
      <c r="R49" s="1172"/>
      <c r="S49" s="1173"/>
      <c r="T49" s="1209"/>
      <c r="U49" s="1210"/>
      <c r="V49" s="1210"/>
      <c r="W49" s="1210"/>
      <c r="X49" s="1210"/>
      <c r="Y49" s="1210"/>
      <c r="Z49" s="1210"/>
      <c r="AA49" s="1210"/>
      <c r="AB49" s="1211"/>
      <c r="AC49" s="1054"/>
      <c r="AD49" s="1064"/>
      <c r="AE49" s="1064"/>
      <c r="AF49" s="1064"/>
      <c r="AG49" s="1064"/>
      <c r="AH49" s="1064"/>
      <c r="AI49" s="1064"/>
      <c r="AJ49" s="1064"/>
      <c r="AK49" s="1232" t="s">
        <v>235</v>
      </c>
      <c r="AL49" s="1220"/>
      <c r="AM49" s="1233"/>
      <c r="AO49" s="871"/>
      <c r="BB49" s="871"/>
      <c r="BC49" s="871"/>
      <c r="BD49" s="871"/>
      <c r="BE49" s="871"/>
      <c r="BF49" s="871"/>
      <c r="BG49" s="871"/>
      <c r="BH49" s="871"/>
      <c r="BI49" s="871"/>
      <c r="BJ49" s="871"/>
      <c r="BK49" s="871"/>
      <c r="BL49" s="871"/>
      <c r="BM49" s="871"/>
      <c r="BN49" s="871"/>
      <c r="BO49" s="871"/>
      <c r="BP49" s="871"/>
      <c r="BQ49" s="871"/>
      <c r="BR49" s="871"/>
      <c r="BS49" s="871"/>
      <c r="BT49" s="871"/>
      <c r="BU49" s="871"/>
      <c r="BV49" s="871"/>
      <c r="BW49" s="871"/>
      <c r="BX49" s="871"/>
      <c r="BY49" s="871"/>
      <c r="BZ49" s="871"/>
      <c r="CA49" s="871"/>
      <c r="CB49" s="871"/>
      <c r="CC49" s="871"/>
      <c r="CD49" s="871"/>
      <c r="CE49" s="871"/>
      <c r="CF49" s="871"/>
      <c r="CG49" s="871"/>
      <c r="CH49" s="871"/>
      <c r="CI49" s="871"/>
      <c r="CJ49" s="871"/>
      <c r="CK49" s="871"/>
      <c r="CL49" s="871"/>
      <c r="CM49" s="871"/>
      <c r="CN49" s="1189"/>
    </row>
    <row r="50" spans="1:93" ht="20.25" x14ac:dyDescent="0.25">
      <c r="A50" s="1181"/>
      <c r="B50" s="1123"/>
      <c r="C50" s="1123"/>
      <c r="E50" s="1183"/>
      <c r="F50" s="1234"/>
      <c r="G50" s="1234"/>
      <c r="H50" s="1234"/>
      <c r="I50" s="1235"/>
      <c r="L50" s="1123"/>
      <c r="M50" s="1123"/>
      <c r="N50" s="1123"/>
      <c r="O50" s="1123"/>
      <c r="P50" s="1123"/>
      <c r="Q50" s="1186"/>
      <c r="R50" s="1172"/>
      <c r="S50" s="1173"/>
      <c r="T50" s="1209"/>
      <c r="U50" s="1210"/>
      <c r="V50" s="1210"/>
      <c r="W50" s="1210"/>
      <c r="X50" s="1210"/>
      <c r="Y50" s="1210"/>
      <c r="Z50" s="1210"/>
      <c r="AA50" s="1210"/>
      <c r="AB50" s="1211"/>
      <c r="AC50" s="1054"/>
      <c r="AD50" s="1064"/>
      <c r="AE50" s="1064"/>
      <c r="AF50" s="1064"/>
      <c r="AG50" s="1064"/>
      <c r="AH50" s="1064"/>
      <c r="AI50" s="1064"/>
      <c r="AJ50" s="1064"/>
      <c r="AK50" s="1236"/>
      <c r="AL50" s="1113"/>
      <c r="AM50" s="1237"/>
      <c r="AO50" s="871"/>
      <c r="AY50" s="871"/>
      <c r="AZ50" s="871"/>
      <c r="BA50" s="871"/>
      <c r="BB50" s="871"/>
      <c r="BC50" s="871"/>
      <c r="BD50" s="871"/>
      <c r="BE50" s="871"/>
      <c r="BF50" s="871"/>
      <c r="BG50" s="871"/>
      <c r="BH50" s="871"/>
      <c r="BI50" s="871"/>
      <c r="BJ50" s="871"/>
      <c r="BK50" s="871"/>
      <c r="BL50" s="871"/>
      <c r="BM50" s="871"/>
      <c r="BN50" s="871"/>
      <c r="BO50" s="871"/>
      <c r="BP50" s="871"/>
      <c r="BQ50" s="871"/>
      <c r="BR50" s="871"/>
      <c r="BS50" s="871"/>
      <c r="BT50" s="871"/>
      <c r="BU50" s="871"/>
      <c r="BV50" s="871"/>
      <c r="BW50" s="871"/>
      <c r="BX50" s="871"/>
      <c r="BY50" s="871"/>
      <c r="BZ50" s="871"/>
      <c r="CA50" s="871"/>
      <c r="CB50" s="871"/>
      <c r="CC50" s="871"/>
      <c r="CD50" s="871"/>
      <c r="CE50" s="871"/>
      <c r="CF50" s="871"/>
      <c r="CG50" s="871"/>
      <c r="CH50" s="871"/>
      <c r="CI50" s="871"/>
      <c r="CJ50" s="871"/>
      <c r="CK50" s="871"/>
      <c r="CL50" s="871"/>
      <c r="CM50" s="871"/>
      <c r="CN50" s="1189"/>
    </row>
    <row r="51" spans="1:93" x14ac:dyDescent="0.25">
      <c r="A51" s="1181"/>
      <c r="C51" s="1123"/>
      <c r="E51" s="1183"/>
      <c r="F51" s="1123"/>
      <c r="G51" s="1123"/>
      <c r="H51" s="1123"/>
      <c r="L51" s="1123"/>
      <c r="M51" s="1123"/>
      <c r="N51" s="1123"/>
      <c r="Q51" s="1186"/>
      <c r="R51" s="1172"/>
      <c r="S51" s="1173"/>
      <c r="T51" s="1209"/>
      <c r="U51" s="1210"/>
      <c r="V51" s="1210"/>
      <c r="W51" s="1210"/>
      <c r="X51" s="1210"/>
      <c r="Y51" s="1210"/>
      <c r="Z51" s="1210"/>
      <c r="AA51" s="1210"/>
      <c r="AB51" s="1211"/>
      <c r="AC51" s="1238" t="s">
        <v>236</v>
      </c>
      <c r="AD51" s="1239"/>
      <c r="AE51" s="1239"/>
      <c r="AF51" s="1239"/>
      <c r="AG51" s="1239"/>
      <c r="AH51" s="1239"/>
      <c r="AI51" s="1239"/>
      <c r="AJ51" s="1240"/>
      <c r="AK51" s="1236"/>
      <c r="AL51" s="1113"/>
      <c r="AM51" s="1237"/>
      <c r="AO51" s="872"/>
      <c r="AY51" s="872"/>
      <c r="AZ51" s="872"/>
      <c r="BA51" s="872"/>
      <c r="BB51" s="872"/>
      <c r="BC51" s="872"/>
      <c r="BD51" s="872"/>
      <c r="BE51" s="872"/>
      <c r="BF51" s="872"/>
      <c r="BG51" s="872"/>
      <c r="BH51" s="872"/>
      <c r="BI51" s="872"/>
      <c r="BJ51" s="872"/>
      <c r="BK51" s="872"/>
      <c r="BL51" s="872"/>
      <c r="BM51" s="872"/>
      <c r="BN51" s="872"/>
      <c r="BO51" s="872"/>
      <c r="BP51" s="872"/>
      <c r="BQ51" s="872"/>
      <c r="BR51" s="872"/>
      <c r="BS51" s="872"/>
      <c r="BT51" s="872"/>
      <c r="BU51" s="872"/>
      <c r="BV51" s="872"/>
      <c r="BW51" s="872"/>
      <c r="BX51" s="872"/>
      <c r="BY51" s="872"/>
      <c r="BZ51" s="872"/>
      <c r="CA51" s="872"/>
      <c r="CB51" s="872"/>
      <c r="CC51" s="872"/>
      <c r="CD51" s="872"/>
      <c r="CE51" s="872"/>
      <c r="CF51" s="872"/>
      <c r="CG51" s="872"/>
      <c r="CH51" s="872"/>
      <c r="CI51" s="872"/>
      <c r="CJ51" s="872"/>
      <c r="CK51" s="872"/>
      <c r="CL51" s="872"/>
      <c r="CM51" s="872"/>
      <c r="CN51" s="1241"/>
    </row>
    <row r="52" spans="1:93" ht="18.75" x14ac:dyDescent="0.25">
      <c r="A52" s="1181"/>
      <c r="B52" s="1123"/>
      <c r="C52" s="1123"/>
      <c r="E52" s="865"/>
      <c r="F52" s="1242"/>
      <c r="G52" s="1242"/>
      <c r="H52" s="1242"/>
      <c r="I52" s="939"/>
      <c r="L52" s="1123"/>
      <c r="M52" s="1123"/>
      <c r="N52" s="1123"/>
      <c r="Q52" s="1186"/>
      <c r="R52" s="1172"/>
      <c r="S52" s="1173"/>
      <c r="T52" s="1209"/>
      <c r="U52" s="1210"/>
      <c r="V52" s="1210"/>
      <c r="W52" s="1210"/>
      <c r="X52" s="1210"/>
      <c r="Y52" s="1210"/>
      <c r="Z52" s="1210"/>
      <c r="AA52" s="1210"/>
      <c r="AB52" s="1211"/>
      <c r="AC52" s="1209"/>
      <c r="AD52" s="1210"/>
      <c r="AE52" s="1210"/>
      <c r="AF52" s="1210"/>
      <c r="AG52" s="1210"/>
      <c r="AH52" s="1210"/>
      <c r="AI52" s="1210"/>
      <c r="AJ52" s="1243"/>
      <c r="AK52" s="1244"/>
      <c r="AL52" s="1230"/>
      <c r="AM52" s="1245"/>
      <c r="AO52" s="872"/>
      <c r="AP52" s="872"/>
      <c r="AQ52" s="872"/>
      <c r="AR52" s="872"/>
      <c r="AS52" s="872"/>
      <c r="AT52" s="872"/>
      <c r="AU52" s="872"/>
      <c r="AV52" s="872"/>
      <c r="AW52" s="872"/>
      <c r="AX52" s="872"/>
      <c r="AY52" s="872"/>
      <c r="AZ52" s="872"/>
      <c r="BA52" s="872"/>
      <c r="BB52" s="872"/>
      <c r="BC52" s="872"/>
      <c r="BD52" s="872"/>
      <c r="BE52" s="872"/>
      <c r="BF52" s="872"/>
      <c r="BG52" s="872"/>
      <c r="BH52" s="872"/>
      <c r="BI52" s="872"/>
      <c r="BJ52" s="872"/>
      <c r="BK52" s="872"/>
      <c r="BL52" s="872"/>
      <c r="BM52" s="872"/>
      <c r="BN52" s="872"/>
      <c r="BO52" s="872"/>
      <c r="BP52" s="872"/>
      <c r="BQ52" s="872"/>
      <c r="BR52" s="872"/>
      <c r="BS52" s="872"/>
      <c r="BT52" s="872"/>
      <c r="BU52" s="872"/>
      <c r="BV52" s="872"/>
      <c r="BW52" s="872"/>
      <c r="BX52" s="872"/>
      <c r="BY52" s="872"/>
      <c r="BZ52" s="872"/>
      <c r="CA52" s="872"/>
      <c r="CB52" s="872"/>
      <c r="CC52" s="872"/>
      <c r="CD52" s="872"/>
      <c r="CE52" s="872"/>
      <c r="CF52" s="872"/>
      <c r="CG52" s="872"/>
      <c r="CH52" s="872"/>
      <c r="CI52" s="872"/>
      <c r="CJ52" s="872"/>
      <c r="CK52" s="872"/>
      <c r="CL52" s="872"/>
      <c r="CM52" s="872"/>
      <c r="CN52" s="1241"/>
    </row>
    <row r="53" spans="1:93" ht="23.25" x14ac:dyDescent="0.25">
      <c r="A53" s="1181"/>
      <c r="B53" s="1123"/>
      <c r="C53" s="1123"/>
      <c r="E53" s="1246"/>
      <c r="F53" s="1247">
        <v>6053702</v>
      </c>
      <c r="G53" s="1247">
        <v>6052246</v>
      </c>
      <c r="H53" s="1247">
        <v>6053831</v>
      </c>
      <c r="I53" s="1248"/>
      <c r="L53" s="1123"/>
      <c r="M53" s="1123"/>
      <c r="N53" s="1123"/>
      <c r="Q53" s="1186"/>
      <c r="R53" s="1172"/>
      <c r="S53" s="1173"/>
      <c r="T53" s="1209"/>
      <c r="U53" s="1210"/>
      <c r="V53" s="1210"/>
      <c r="W53" s="1210"/>
      <c r="X53" s="1210"/>
      <c r="Y53" s="1210"/>
      <c r="Z53" s="1210"/>
      <c r="AA53" s="1210"/>
      <c r="AB53" s="1211"/>
      <c r="AC53" s="1209"/>
      <c r="AD53" s="1210"/>
      <c r="AE53" s="1210"/>
      <c r="AF53" s="1210"/>
      <c r="AG53" s="1210"/>
      <c r="AH53" s="1210"/>
      <c r="AI53" s="1210"/>
      <c r="AJ53" s="1243"/>
      <c r="AK53" s="1249" t="s">
        <v>239</v>
      </c>
      <c r="AL53" s="1250"/>
      <c r="AM53" s="1251"/>
      <c r="AO53" s="872"/>
      <c r="AP53" s="872"/>
      <c r="AQ53" s="872"/>
      <c r="AR53" s="872"/>
      <c r="AS53" s="872"/>
      <c r="AT53" s="872"/>
      <c r="AU53" s="872"/>
      <c r="AV53" s="872"/>
      <c r="AW53" s="872"/>
      <c r="AX53" s="872"/>
      <c r="AY53" s="872"/>
      <c r="AZ53" s="872"/>
      <c r="BA53" s="872"/>
      <c r="BB53" s="872"/>
      <c r="BC53" s="872"/>
      <c r="BD53" s="872"/>
      <c r="BE53" s="872"/>
      <c r="BF53" s="872"/>
      <c r="BG53" s="872"/>
      <c r="BH53" s="872"/>
      <c r="BI53" s="872"/>
      <c r="BJ53" s="872"/>
      <c r="BK53" s="872"/>
      <c r="BL53" s="872"/>
      <c r="BM53" s="872"/>
      <c r="BN53" s="872"/>
      <c r="BO53" s="872"/>
      <c r="BP53" s="872"/>
      <c r="BQ53" s="872"/>
      <c r="BR53" s="872"/>
      <c r="BS53" s="872"/>
      <c r="BT53" s="872"/>
      <c r="BU53" s="872"/>
      <c r="BV53" s="872"/>
      <c r="BW53" s="872"/>
      <c r="BX53" s="872"/>
      <c r="BY53" s="872"/>
      <c r="BZ53" s="872"/>
      <c r="CA53" s="872"/>
      <c r="CB53" s="872"/>
      <c r="CC53" s="872"/>
      <c r="CD53" s="872"/>
      <c r="CE53" s="872"/>
      <c r="CF53" s="872"/>
      <c r="CG53" s="872"/>
      <c r="CH53" s="872"/>
      <c r="CI53" s="872"/>
      <c r="CJ53" s="872"/>
      <c r="CK53" s="872"/>
      <c r="CL53" s="872"/>
      <c r="CM53" s="872"/>
      <c r="CN53" s="1241"/>
    </row>
    <row r="54" spans="1:93" ht="24" thickBot="1" x14ac:dyDescent="0.3">
      <c r="A54" s="1181"/>
      <c r="B54" s="1123"/>
      <c r="C54" s="1123"/>
      <c r="E54" s="1252"/>
      <c r="F54" s="1247">
        <v>6053642</v>
      </c>
      <c r="G54" s="1247">
        <v>6053618</v>
      </c>
      <c r="H54" s="1247">
        <v>6053829</v>
      </c>
      <c r="I54" s="1248"/>
      <c r="L54" s="1123"/>
      <c r="M54" s="1123"/>
      <c r="N54" s="1123"/>
      <c r="Q54" s="1186"/>
      <c r="R54" s="1172"/>
      <c r="S54" s="1173"/>
      <c r="T54" s="1253"/>
      <c r="U54" s="1254"/>
      <c r="V54" s="1254"/>
      <c r="W54" s="1254"/>
      <c r="X54" s="1254"/>
      <c r="Y54" s="1254"/>
      <c r="Z54" s="1254"/>
      <c r="AA54" s="1254"/>
      <c r="AB54" s="1255"/>
      <c r="AC54" s="1253"/>
      <c r="AD54" s="1254"/>
      <c r="AE54" s="1254"/>
      <c r="AF54" s="1254"/>
      <c r="AG54" s="1254"/>
      <c r="AH54" s="1254"/>
      <c r="AI54" s="1254"/>
      <c r="AJ54" s="1256"/>
      <c r="AK54" s="1257"/>
      <c r="AL54" s="1258"/>
      <c r="AM54" s="1259"/>
      <c r="CO54" s="851"/>
    </row>
    <row r="55" spans="1:93" ht="15.75" x14ac:dyDescent="0.25">
      <c r="A55" s="1181"/>
      <c r="B55" s="1260"/>
      <c r="C55" s="1123"/>
      <c r="E55" s="1183"/>
      <c r="F55" s="1242"/>
      <c r="G55" s="1242"/>
      <c r="H55" s="1242"/>
      <c r="Q55" s="1186"/>
      <c r="R55" s="1172"/>
      <c r="S55" s="1173"/>
      <c r="T55" s="856"/>
      <c r="U55" s="856"/>
      <c r="V55" s="856"/>
      <c r="W55" s="856"/>
      <c r="X55" s="856"/>
      <c r="Y55" s="856"/>
      <c r="Z55" s="856"/>
      <c r="AA55" s="856"/>
      <c r="AB55" s="1261"/>
      <c r="AC55" s="1261"/>
      <c r="AD55" s="1261"/>
      <c r="AE55" s="1261"/>
      <c r="AF55" s="1261"/>
      <c r="AG55" s="1261"/>
      <c r="AH55" s="1261"/>
      <c r="AI55" s="1261"/>
      <c r="AJ55" s="1261"/>
      <c r="AK55" s="1261"/>
      <c r="AL55" s="1261"/>
      <c r="AM55" s="1261"/>
      <c r="AN55" s="1261"/>
      <c r="AO55" s="1261"/>
      <c r="AP55" s="1261"/>
      <c r="AQ55" s="1261"/>
      <c r="AR55" s="1261"/>
      <c r="AS55" s="1261"/>
      <c r="AT55" s="1261"/>
      <c r="AU55" s="1261"/>
      <c r="AV55" s="1261"/>
      <c r="AW55" s="1261"/>
      <c r="AX55" s="1261"/>
      <c r="AY55" s="1261"/>
      <c r="AZ55" s="1261"/>
      <c r="BA55" s="1261"/>
      <c r="BB55" s="1261"/>
      <c r="BC55" s="1261"/>
      <c r="BD55" s="1261"/>
      <c r="BE55" s="1261"/>
      <c r="BF55" s="1261"/>
      <c r="BG55" s="1261"/>
      <c r="BH55" s="1261"/>
      <c r="BI55" s="1261"/>
      <c r="BJ55" s="1261"/>
      <c r="BK55" s="1261"/>
      <c r="BL55" s="1261"/>
      <c r="BM55" s="1261"/>
      <c r="BN55" s="1261"/>
      <c r="BO55" s="1261"/>
      <c r="BP55" s="1261"/>
      <c r="BQ55" s="1261"/>
      <c r="BR55" s="1261"/>
      <c r="BS55" s="1261"/>
      <c r="BT55" s="1261"/>
      <c r="BU55" s="1261"/>
      <c r="BV55" s="1261"/>
      <c r="BW55" s="1261"/>
      <c r="BX55" s="1261"/>
      <c r="BY55" s="1261"/>
      <c r="BZ55" s="1261"/>
      <c r="CA55" s="1261"/>
      <c r="CB55" s="1261"/>
      <c r="CC55" s="1261"/>
      <c r="CD55" s="1261"/>
      <c r="CE55" s="1261"/>
      <c r="CF55" s="1261"/>
      <c r="CG55" s="1261"/>
      <c r="CH55" s="1261"/>
      <c r="CI55" s="1261"/>
      <c r="CJ55" s="1261"/>
      <c r="CK55" s="1261"/>
      <c r="CL55" s="1261"/>
      <c r="CM55" s="1261"/>
      <c r="CN55" s="1261"/>
    </row>
    <row r="56" spans="1:93" ht="15.75" x14ac:dyDescent="0.25">
      <c r="A56" s="1181"/>
      <c r="B56" s="1260"/>
      <c r="C56" s="1123"/>
      <c r="E56" s="1262"/>
      <c r="F56" s="1123"/>
      <c r="G56" s="1123"/>
      <c r="H56" s="1123"/>
      <c r="I56" s="1123"/>
      <c r="Q56" s="1186"/>
      <c r="R56" s="1172"/>
      <c r="S56" s="1173"/>
      <c r="T56" s="856"/>
      <c r="U56" s="856"/>
      <c r="V56" s="856"/>
      <c r="W56" s="856"/>
      <c r="X56" s="856"/>
      <c r="Y56" s="856"/>
      <c r="Z56" s="856"/>
      <c r="AA56" s="856"/>
      <c r="AB56" s="856"/>
      <c r="AC56" s="856"/>
      <c r="AD56" s="856"/>
      <c r="AE56" s="856"/>
      <c r="AF56" s="856"/>
      <c r="AG56" s="856"/>
      <c r="AH56" s="856"/>
      <c r="AI56" s="856"/>
      <c r="AJ56" s="856"/>
      <c r="AK56" s="856"/>
      <c r="AL56" s="856"/>
      <c r="AM56" s="856"/>
      <c r="AN56" s="856"/>
      <c r="AO56" s="856"/>
      <c r="AP56" s="856"/>
      <c r="AQ56" s="856"/>
      <c r="AR56" s="856"/>
      <c r="AS56" s="856"/>
      <c r="AT56" s="856"/>
      <c r="AU56" s="856"/>
      <c r="AV56" s="856"/>
      <c r="AW56" s="856"/>
      <c r="AX56" s="856"/>
      <c r="AY56" s="856"/>
      <c r="AZ56" s="856"/>
      <c r="BA56" s="856"/>
      <c r="BB56" s="856"/>
      <c r="BC56" s="856"/>
      <c r="BD56" s="856"/>
      <c r="BE56" s="856"/>
      <c r="BF56" s="856"/>
      <c r="BG56" s="856"/>
      <c r="BH56" s="856"/>
      <c r="BI56" s="856"/>
      <c r="BJ56" s="856"/>
      <c r="BK56" s="856"/>
      <c r="BL56" s="856"/>
      <c r="BM56" s="856"/>
      <c r="BN56" s="856"/>
      <c r="BO56" s="856"/>
      <c r="BP56" s="856"/>
      <c r="BQ56" s="856"/>
      <c r="BR56" s="856"/>
      <c r="BS56" s="856"/>
      <c r="BT56" s="856"/>
      <c r="BU56" s="856"/>
      <c r="BV56" s="856"/>
      <c r="BW56" s="856"/>
      <c r="BX56" s="856"/>
      <c r="BY56" s="856"/>
      <c r="BZ56" s="856"/>
      <c r="CA56" s="856"/>
      <c r="CB56" s="856"/>
      <c r="CC56" s="856"/>
      <c r="CD56" s="856"/>
      <c r="CE56" s="856"/>
      <c r="CF56" s="856"/>
      <c r="CG56" s="856"/>
      <c r="CH56" s="856"/>
      <c r="CI56" s="856"/>
      <c r="CJ56" s="856"/>
      <c r="CK56" s="856"/>
      <c r="CL56" s="856"/>
      <c r="CM56" s="856"/>
      <c r="CN56" s="856"/>
    </row>
    <row r="57" spans="1:93" ht="15.75" x14ac:dyDescent="0.25">
      <c r="A57" s="1181"/>
      <c r="B57" s="1260"/>
      <c r="C57" s="1123"/>
      <c r="D57" s="1263"/>
      <c r="J57" s="1123"/>
      <c r="Q57" s="1186"/>
      <c r="R57" s="1172"/>
      <c r="S57" s="1173"/>
      <c r="T57" s="856"/>
      <c r="U57" s="856"/>
      <c r="V57" s="856"/>
      <c r="W57" s="856"/>
      <c r="X57" s="856"/>
      <c r="Y57" s="856"/>
      <c r="Z57" s="856"/>
      <c r="AA57" s="856"/>
      <c r="AB57" s="856"/>
      <c r="AC57" s="856"/>
      <c r="AD57" s="856"/>
      <c r="AE57" s="856"/>
      <c r="AF57" s="856"/>
      <c r="AG57" s="856"/>
      <c r="AH57" s="856"/>
      <c r="AI57" s="856"/>
      <c r="AJ57" s="856"/>
      <c r="AK57" s="856"/>
      <c r="AL57" s="856"/>
      <c r="AM57" s="856"/>
      <c r="AN57" s="856"/>
      <c r="AO57" s="856"/>
      <c r="AP57" s="856"/>
      <c r="AQ57" s="856"/>
      <c r="AR57" s="856"/>
      <c r="AS57" s="856"/>
      <c r="AT57" s="856"/>
      <c r="AU57" s="856"/>
      <c r="AV57" s="856"/>
      <c r="AW57" s="856"/>
      <c r="AX57" s="856"/>
      <c r="AY57" s="856"/>
      <c r="AZ57" s="856"/>
      <c r="BA57" s="856"/>
      <c r="BB57" s="856"/>
      <c r="BC57" s="856"/>
      <c r="BD57" s="856"/>
      <c r="BE57" s="856"/>
      <c r="BF57" s="856"/>
      <c r="BG57" s="856"/>
      <c r="BH57" s="856"/>
      <c r="BI57" s="856"/>
      <c r="BJ57" s="856"/>
      <c r="BK57" s="856"/>
      <c r="BL57" s="856"/>
      <c r="BP57" s="856"/>
      <c r="BQ57" s="856"/>
      <c r="BR57" s="856"/>
      <c r="BS57" s="856"/>
      <c r="BT57" s="856"/>
      <c r="BU57" s="856"/>
      <c r="BV57" s="856"/>
      <c r="BW57" s="856"/>
      <c r="BX57" s="856"/>
      <c r="BY57" s="856"/>
      <c r="BZ57" s="856"/>
      <c r="CA57" s="856"/>
      <c r="CB57" s="856"/>
      <c r="CC57" s="856"/>
      <c r="CD57" s="856"/>
      <c r="CE57" s="856"/>
      <c r="CF57" s="856"/>
      <c r="CG57" s="856"/>
      <c r="CH57" s="856"/>
      <c r="CI57" s="856"/>
      <c r="CJ57" s="856"/>
      <c r="CK57" s="856"/>
      <c r="CL57" s="856"/>
      <c r="CM57" s="856"/>
      <c r="CN57" s="856"/>
    </row>
    <row r="58" spans="1:93" x14ac:dyDescent="0.25">
      <c r="A58" s="1181"/>
      <c r="B58" s="1123"/>
      <c r="C58" s="1123"/>
      <c r="Q58" s="1186"/>
      <c r="R58" s="1172"/>
      <c r="S58" s="1173"/>
      <c r="T58" s="856"/>
      <c r="U58" s="856"/>
      <c r="V58" s="856"/>
      <c r="W58" s="856"/>
      <c r="X58" s="856"/>
      <c r="Y58" s="856"/>
      <c r="Z58" s="856"/>
      <c r="AA58" s="856"/>
      <c r="AB58" s="856"/>
      <c r="AC58" s="856"/>
      <c r="AD58" s="856"/>
      <c r="AE58" s="856"/>
      <c r="AF58" s="856"/>
      <c r="AG58" s="856"/>
      <c r="AH58" s="856"/>
      <c r="AI58" s="856"/>
      <c r="AJ58" s="856"/>
      <c r="AK58" s="856"/>
      <c r="AL58" s="856"/>
      <c r="AM58" s="856"/>
      <c r="AN58" s="856"/>
      <c r="AO58" s="856"/>
      <c r="AP58" s="856"/>
      <c r="AQ58" s="856"/>
      <c r="AR58" s="856"/>
      <c r="AS58" s="856"/>
      <c r="AT58" s="856"/>
      <c r="AU58" s="856"/>
      <c r="AV58" s="856"/>
      <c r="AW58" s="856"/>
      <c r="AX58" s="856"/>
      <c r="AY58" s="856"/>
      <c r="AZ58" s="856"/>
      <c r="BA58" s="856"/>
      <c r="BB58" s="856"/>
      <c r="BC58" s="856"/>
      <c r="BD58" s="856"/>
      <c r="BE58" s="856"/>
      <c r="BF58" s="856"/>
      <c r="BG58" s="856"/>
      <c r="BH58" s="856"/>
      <c r="BI58" s="856"/>
      <c r="BJ58" s="856"/>
      <c r="BK58" s="856"/>
      <c r="BL58" s="856"/>
      <c r="BP58" s="1264"/>
      <c r="BQ58" s="1264"/>
      <c r="BR58" s="1264"/>
      <c r="BS58" s="1264"/>
      <c r="BT58" s="1264"/>
      <c r="BU58" s="1264"/>
      <c r="BV58" s="1264"/>
      <c r="BW58" s="1264"/>
      <c r="BX58" s="1264"/>
      <c r="BY58" s="1264"/>
      <c r="BZ58" s="1264"/>
      <c r="CA58" s="1264"/>
      <c r="CB58" s="1264"/>
      <c r="CC58" s="1264"/>
      <c r="CD58" s="1264"/>
      <c r="CE58" s="1264"/>
      <c r="CF58" s="1264"/>
      <c r="CG58" s="1264"/>
      <c r="CH58" s="1264"/>
      <c r="CI58" s="1264"/>
      <c r="CJ58" s="1264"/>
      <c r="CK58" s="1264"/>
      <c r="CL58" s="849"/>
      <c r="CM58" s="849"/>
      <c r="CN58" s="849"/>
    </row>
    <row r="59" spans="1:93" x14ac:dyDescent="0.25">
      <c r="A59" s="1181"/>
      <c r="B59" s="1182"/>
      <c r="E59" s="1123"/>
      <c r="F59" s="1265"/>
      <c r="Q59" s="1186"/>
      <c r="R59" s="1172"/>
      <c r="S59" s="1173"/>
      <c r="T59" s="856"/>
      <c r="U59" s="856"/>
      <c r="V59" s="856"/>
      <c r="W59" s="856"/>
      <c r="X59" s="856"/>
      <c r="Y59" s="856"/>
      <c r="Z59" s="856"/>
      <c r="AA59" s="856"/>
      <c r="AB59" s="856"/>
      <c r="AC59" s="856"/>
      <c r="AD59" s="856"/>
      <c r="AE59" s="856"/>
      <c r="AF59" s="856"/>
      <c r="AG59" s="856"/>
      <c r="AH59" s="856"/>
      <c r="AI59" s="856"/>
      <c r="AJ59" s="856"/>
      <c r="AK59" s="856"/>
      <c r="AL59" s="856"/>
      <c r="AM59" s="856"/>
      <c r="AN59" s="856"/>
      <c r="AO59" s="1264"/>
      <c r="AP59" s="1264"/>
      <c r="AQ59" s="1264"/>
      <c r="AR59" s="1264"/>
      <c r="AS59" s="1264"/>
      <c r="AT59" s="1264"/>
      <c r="AU59" s="1264"/>
      <c r="AV59" s="1264"/>
      <c r="AW59" s="1264"/>
      <c r="AX59" s="1264"/>
      <c r="AY59" s="1264"/>
      <c r="AZ59" s="1264"/>
      <c r="BA59" s="1264"/>
      <c r="BB59" s="1264"/>
      <c r="BC59" s="1264"/>
      <c r="BD59" s="1264"/>
      <c r="BE59" s="1264"/>
      <c r="BF59" s="1264"/>
      <c r="BG59" s="1264"/>
      <c r="BH59" s="1264"/>
      <c r="BI59" s="1264"/>
      <c r="BJ59" s="1264"/>
      <c r="BK59" s="1264"/>
      <c r="BL59" s="1264"/>
      <c r="BM59" s="1264"/>
      <c r="BN59" s="1264"/>
      <c r="BO59" s="1264"/>
      <c r="BP59" s="1264"/>
      <c r="BQ59" s="1264"/>
      <c r="BR59" s="1264"/>
      <c r="BS59" s="1264"/>
      <c r="BT59" s="1264"/>
      <c r="BU59" s="1264"/>
      <c r="BV59" s="1264"/>
      <c r="BW59" s="1264"/>
      <c r="BX59" s="1264"/>
      <c r="BY59" s="1264"/>
      <c r="BZ59" s="1264"/>
      <c r="CA59" s="1264"/>
      <c r="CB59" s="1264"/>
      <c r="CC59" s="1264"/>
      <c r="CD59" s="1264"/>
      <c r="CE59" s="1264"/>
      <c r="CF59" s="1264"/>
      <c r="CG59" s="1264"/>
      <c r="CH59" s="1264"/>
      <c r="CI59" s="1264"/>
      <c r="CJ59" s="1264"/>
      <c r="CK59" s="1264"/>
      <c r="CL59" s="849"/>
      <c r="CM59" s="849"/>
      <c r="CN59" s="849"/>
    </row>
    <row r="60" spans="1:93" ht="15.75" x14ac:dyDescent="0.25">
      <c r="A60" s="1181"/>
      <c r="B60" s="1070"/>
      <c r="E60" s="1123"/>
      <c r="F60" s="1182"/>
      <c r="Q60" s="1186"/>
      <c r="R60" s="1172"/>
      <c r="S60" s="1173"/>
      <c r="T60" s="1264"/>
      <c r="U60" s="1264"/>
      <c r="V60" s="1264"/>
      <c r="W60" s="1264"/>
      <c r="X60" s="1264"/>
      <c r="Y60" s="1264"/>
      <c r="Z60" s="1264"/>
      <c r="AA60" s="1264"/>
      <c r="AB60" s="1264"/>
      <c r="AC60" s="1266"/>
      <c r="AD60" s="1266"/>
      <c r="AE60" s="1266"/>
      <c r="AF60" s="1266"/>
      <c r="AG60" s="1266"/>
      <c r="AH60" s="1264"/>
      <c r="AI60" s="1264"/>
      <c r="AJ60" s="1264"/>
      <c r="AK60" s="1264"/>
      <c r="AL60" s="1264"/>
      <c r="AM60" s="1264"/>
      <c r="AN60" s="1264"/>
      <c r="AO60" s="1264"/>
      <c r="AP60" s="1264"/>
      <c r="AQ60" s="1264"/>
      <c r="AR60" s="1264"/>
      <c r="AS60" s="1264"/>
      <c r="AT60" s="1264"/>
      <c r="AU60" s="1264"/>
      <c r="AV60" s="1264"/>
      <c r="AW60" s="1264"/>
      <c r="AX60" s="1264"/>
      <c r="AY60" s="1264"/>
      <c r="AZ60" s="1264"/>
      <c r="BA60" s="1264"/>
      <c r="BB60" s="1264"/>
      <c r="BC60" s="1264"/>
      <c r="BD60" s="1264"/>
      <c r="BE60" s="1264"/>
      <c r="BF60" s="1264"/>
      <c r="BG60" s="1264"/>
      <c r="BH60" s="1264"/>
      <c r="BI60" s="1264"/>
      <c r="BJ60" s="1264"/>
      <c r="BK60" s="1264"/>
      <c r="BL60" s="1264"/>
      <c r="BM60" s="1264"/>
      <c r="BN60" s="1264"/>
      <c r="BO60" s="1264"/>
      <c r="BP60" s="1264"/>
      <c r="BQ60" s="1264"/>
      <c r="BR60" s="1264"/>
      <c r="BS60" s="1264"/>
      <c r="BT60" s="1264"/>
      <c r="BU60" s="1264"/>
      <c r="BV60" s="1264"/>
      <c r="BW60" s="1264"/>
      <c r="BX60" s="1264"/>
      <c r="BY60" s="1264"/>
      <c r="BZ60" s="1264"/>
      <c r="CA60" s="1264"/>
      <c r="CB60" s="1264"/>
      <c r="CC60" s="1264"/>
      <c r="CD60" s="1264"/>
      <c r="CE60" s="1264"/>
      <c r="CF60" s="1264"/>
      <c r="CG60" s="1264"/>
      <c r="CH60" s="1264"/>
      <c r="CI60" s="1264"/>
      <c r="CJ60" s="1264"/>
      <c r="CK60" s="1264"/>
      <c r="CL60" s="849"/>
      <c r="CM60" s="849"/>
      <c r="CN60" s="849"/>
    </row>
    <row r="61" spans="1:93" ht="21" x14ac:dyDescent="0.25">
      <c r="A61" s="1181"/>
      <c r="B61" s="1070"/>
      <c r="F61" s="1267"/>
      <c r="L61" s="1267"/>
      <c r="Q61" s="1186"/>
      <c r="R61" s="1172"/>
      <c r="S61" s="1173"/>
      <c r="T61" s="1264"/>
      <c r="U61" s="1264"/>
      <c r="V61" s="1264"/>
      <c r="W61" s="1264"/>
      <c r="X61" s="1264"/>
      <c r="Y61" s="1264"/>
      <c r="Z61" s="1264"/>
      <c r="AA61" s="1264"/>
      <c r="AB61" s="1264"/>
      <c r="AC61" s="1266"/>
      <c r="AD61" s="1266"/>
      <c r="AE61" s="1266"/>
      <c r="AF61" s="1266"/>
      <c r="AG61" s="1266"/>
      <c r="AH61" s="1264"/>
      <c r="AI61" s="1264"/>
      <c r="AJ61" s="1264"/>
      <c r="AK61" s="1264"/>
      <c r="AL61" s="1264"/>
      <c r="AM61" s="1264"/>
      <c r="AN61" s="1264"/>
      <c r="AO61" s="1264"/>
      <c r="AP61" s="1264"/>
      <c r="AQ61" s="1264"/>
      <c r="AR61" s="1264"/>
      <c r="AS61" s="1264"/>
      <c r="AT61" s="1264"/>
      <c r="AU61" s="1264"/>
      <c r="AV61" s="1264"/>
      <c r="AW61" s="1264"/>
      <c r="AX61" s="1264"/>
      <c r="AY61" s="1264"/>
      <c r="AZ61" s="1264"/>
      <c r="BA61" s="1264"/>
      <c r="BB61" s="1264"/>
      <c r="BC61" s="1264"/>
      <c r="BD61" s="1264"/>
      <c r="BE61" s="1264"/>
      <c r="BF61" s="1264"/>
      <c r="BG61" s="1264"/>
      <c r="BH61" s="1264"/>
      <c r="BI61" s="1264"/>
      <c r="BJ61" s="1264"/>
      <c r="BK61" s="1264"/>
      <c r="BL61" s="1264"/>
      <c r="BM61" s="1264"/>
      <c r="BN61" s="1264"/>
      <c r="BO61" s="1264"/>
      <c r="BP61" s="1264"/>
      <c r="BQ61" s="1264"/>
      <c r="BR61" s="1264"/>
      <c r="BS61" s="1264"/>
      <c r="BT61" s="1264"/>
      <c r="BU61" s="1264"/>
      <c r="BV61" s="1264"/>
      <c r="BW61" s="1264"/>
      <c r="BX61" s="1264"/>
      <c r="BY61" s="1264"/>
      <c r="BZ61" s="1264"/>
      <c r="CA61" s="1264"/>
      <c r="CB61" s="1264"/>
      <c r="CC61" s="1264"/>
      <c r="CD61" s="1264"/>
      <c r="CE61" s="1264"/>
      <c r="CF61" s="1264"/>
      <c r="CG61" s="1264"/>
      <c r="CH61" s="1264"/>
      <c r="CI61" s="1264"/>
      <c r="CJ61" s="1264"/>
      <c r="CK61" s="1264"/>
      <c r="CL61" s="849"/>
      <c r="CM61" s="849"/>
      <c r="CN61" s="849"/>
    </row>
    <row r="62" spans="1:93" ht="21" x14ac:dyDescent="0.25">
      <c r="A62" s="1181"/>
      <c r="B62" s="1268"/>
      <c r="F62" s="1269"/>
      <c r="G62" s="1269"/>
      <c r="H62" s="1269"/>
      <c r="I62" s="1270"/>
      <c r="J62" s="1123"/>
      <c r="K62" s="1182"/>
      <c r="P62" s="1235"/>
      <c r="Q62" s="1186"/>
      <c r="R62" s="1172"/>
      <c r="S62" s="1173"/>
      <c r="T62" s="1264"/>
      <c r="U62" s="1264"/>
      <c r="V62" s="1264"/>
      <c r="AJ62" s="1264"/>
      <c r="AK62" s="1264"/>
      <c r="AL62" s="1264"/>
      <c r="AM62" s="1264"/>
      <c r="AN62" s="1264"/>
      <c r="AO62" s="1264"/>
      <c r="AP62" s="1264"/>
      <c r="AQ62" s="1264"/>
      <c r="AR62" s="1264"/>
      <c r="AS62" s="1264"/>
      <c r="AT62" s="1264"/>
      <c r="AU62" s="1264"/>
      <c r="AV62" s="1264"/>
      <c r="AW62" s="1264"/>
      <c r="AX62" s="1264"/>
      <c r="AY62" s="1264"/>
      <c r="AZ62" s="1264"/>
      <c r="BA62" s="1264"/>
      <c r="BB62" s="1264"/>
      <c r="BC62" s="1264"/>
      <c r="BD62" s="1264"/>
      <c r="BE62" s="1264"/>
      <c r="BF62" s="1264"/>
      <c r="BG62" s="1264"/>
      <c r="BH62" s="1264"/>
      <c r="BI62" s="1264"/>
      <c r="BJ62" s="1264"/>
      <c r="BK62" s="1264"/>
      <c r="BL62" s="1264"/>
      <c r="BM62" s="1264"/>
      <c r="BN62" s="1264"/>
      <c r="BO62" s="1264"/>
      <c r="BP62" s="1264"/>
      <c r="BQ62" s="1264"/>
      <c r="BR62" s="1264"/>
      <c r="BS62" s="1264"/>
      <c r="BT62" s="1264"/>
      <c r="BU62" s="1264"/>
      <c r="BV62" s="1264"/>
      <c r="BW62" s="1264"/>
      <c r="BX62" s="1264"/>
      <c r="BY62" s="1264"/>
      <c r="BZ62" s="1264"/>
      <c r="CA62" s="1264"/>
      <c r="CB62" s="1264"/>
      <c r="CC62" s="1264"/>
      <c r="CD62" s="1264"/>
      <c r="CE62" s="1264"/>
      <c r="CF62" s="1264"/>
      <c r="CG62" s="1264"/>
      <c r="CH62" s="1264"/>
      <c r="CI62" s="1264"/>
      <c r="CJ62" s="1264"/>
      <c r="CK62" s="1264"/>
      <c r="CL62" s="849"/>
      <c r="CM62" s="849"/>
      <c r="CN62" s="849"/>
    </row>
    <row r="63" spans="1:93" ht="15.75" x14ac:dyDescent="0.25">
      <c r="A63" s="1181"/>
      <c r="B63" s="1268"/>
      <c r="F63" s="919"/>
      <c r="G63" s="1120"/>
      <c r="H63" s="1120"/>
      <c r="I63" s="919"/>
      <c r="K63" s="1182"/>
      <c r="L63" s="1190"/>
      <c r="M63" s="930"/>
      <c r="N63" s="1190"/>
      <c r="O63" s="930"/>
      <c r="Q63" s="1186"/>
      <c r="R63" s="1172"/>
      <c r="S63" s="1173"/>
      <c r="T63" s="1264"/>
      <c r="U63" s="1264"/>
      <c r="V63" s="1264"/>
      <c r="AJ63" s="1264"/>
      <c r="AK63" s="1264"/>
      <c r="AL63" s="1264"/>
      <c r="AM63" s="1264"/>
      <c r="AN63" s="1264"/>
      <c r="AO63" s="1264"/>
      <c r="AP63" s="1264"/>
      <c r="AQ63" s="1264"/>
      <c r="AR63" s="1264"/>
      <c r="AS63" s="1264"/>
      <c r="AT63" s="1264"/>
      <c r="AU63" s="1264"/>
      <c r="AV63" s="1264"/>
      <c r="AW63" s="1264"/>
      <c r="AX63" s="1264"/>
      <c r="AY63" s="1264"/>
      <c r="AZ63" s="1264"/>
      <c r="BA63" s="1264"/>
      <c r="BB63" s="1264"/>
      <c r="BC63" s="1264"/>
      <c r="BD63" s="1264"/>
      <c r="BE63" s="1264"/>
      <c r="BF63" s="1264"/>
      <c r="BG63" s="1264"/>
      <c r="BH63" s="1264"/>
      <c r="BI63" s="1264"/>
      <c r="BJ63" s="1264"/>
      <c r="BK63" s="1264"/>
      <c r="BL63" s="1264"/>
      <c r="BM63" s="1264"/>
      <c r="BN63" s="1264"/>
      <c r="BO63" s="1264"/>
      <c r="BP63" s="1264"/>
      <c r="BQ63" s="1264"/>
      <c r="BR63" s="1264"/>
      <c r="BS63" s="1264"/>
      <c r="BT63" s="1264"/>
      <c r="BU63" s="1264"/>
      <c r="BV63" s="1264"/>
      <c r="BW63" s="1264"/>
      <c r="BX63" s="1264"/>
      <c r="BY63" s="1264"/>
      <c r="BZ63" s="1264"/>
      <c r="CA63" s="1264"/>
      <c r="CB63" s="1264"/>
      <c r="CC63" s="1264"/>
      <c r="CD63" s="1264"/>
      <c r="CE63" s="1264"/>
      <c r="CF63" s="1264"/>
      <c r="CG63" s="1264"/>
      <c r="CH63" s="1264"/>
      <c r="CI63" s="1264"/>
      <c r="CJ63" s="1264"/>
      <c r="CK63" s="1264"/>
      <c r="CL63" s="849"/>
      <c r="CM63" s="849"/>
      <c r="CN63" s="849"/>
    </row>
    <row r="64" spans="1:93" ht="21" x14ac:dyDescent="0.25">
      <c r="A64" s="1181"/>
      <c r="B64" s="1271"/>
      <c r="C64" s="1272"/>
      <c r="D64" s="1272"/>
      <c r="F64" s="983"/>
      <c r="G64" s="983"/>
      <c r="H64" s="983"/>
      <c r="K64" s="1195"/>
      <c r="L64" s="1273"/>
      <c r="M64" s="1197"/>
      <c r="N64" s="1273"/>
      <c r="O64" s="1197"/>
      <c r="Q64" s="1186"/>
      <c r="R64" s="1172"/>
      <c r="S64" s="1173"/>
      <c r="T64" s="1264"/>
      <c r="U64" s="1264"/>
      <c r="V64" s="1264"/>
      <c r="AJ64" s="1264"/>
      <c r="AK64" s="1264"/>
      <c r="AL64" s="1264"/>
      <c r="AM64" s="1264"/>
      <c r="AN64" s="1264"/>
      <c r="AO64" s="1264"/>
      <c r="AP64" s="1264"/>
      <c r="AQ64" s="1264"/>
      <c r="AR64" s="1264"/>
      <c r="AS64" s="1264"/>
      <c r="AT64" s="1264"/>
      <c r="AU64" s="1264"/>
      <c r="AV64" s="1264"/>
      <c r="AW64" s="1264"/>
      <c r="AX64" s="1264"/>
      <c r="AY64" s="1264"/>
      <c r="AZ64" s="1264"/>
      <c r="BA64" s="1264"/>
      <c r="BB64" s="1264"/>
      <c r="BC64" s="1264"/>
      <c r="BD64" s="1264"/>
      <c r="BE64" s="1264"/>
      <c r="BF64" s="1264"/>
      <c r="BG64" s="1264"/>
      <c r="BH64" s="1264"/>
      <c r="BI64" s="1264"/>
      <c r="BJ64" s="1264"/>
      <c r="BK64" s="1264"/>
      <c r="BL64" s="1264"/>
      <c r="BM64" s="1264"/>
      <c r="BN64" s="1264"/>
      <c r="BO64" s="1264"/>
      <c r="BP64" s="1264"/>
      <c r="BQ64" s="1264"/>
      <c r="BR64" s="1264"/>
      <c r="BS64" s="1264"/>
      <c r="BT64" s="1264"/>
      <c r="BU64" s="1264"/>
      <c r="BV64" s="1264"/>
      <c r="BW64" s="1264"/>
      <c r="BX64" s="1264"/>
      <c r="BY64" s="1264"/>
      <c r="BZ64" s="1264"/>
      <c r="CA64" s="1264"/>
      <c r="CB64" s="1264"/>
      <c r="CC64" s="1264"/>
      <c r="CD64" s="1264"/>
      <c r="CE64" s="1264"/>
      <c r="CF64" s="1264"/>
      <c r="CG64" s="1264"/>
      <c r="CH64" s="1264"/>
      <c r="CI64" s="1264"/>
      <c r="CJ64" s="1264"/>
      <c r="CK64" s="1264"/>
      <c r="CL64" s="849"/>
      <c r="CM64" s="849"/>
      <c r="CN64" s="849"/>
    </row>
    <row r="65" spans="1:92" ht="23.25" x14ac:dyDescent="0.25">
      <c r="A65" s="1181"/>
      <c r="B65" s="985"/>
      <c r="C65" s="865"/>
      <c r="E65" s="983"/>
      <c r="F65" s="1274">
        <v>3836487</v>
      </c>
      <c r="G65" s="1275">
        <v>3836515</v>
      </c>
      <c r="H65" s="1276">
        <v>3836507</v>
      </c>
      <c r="I65" s="983"/>
      <c r="K65" s="1277"/>
      <c r="L65" s="1201"/>
      <c r="M65" s="933"/>
      <c r="N65" s="1201"/>
      <c r="O65" s="1277"/>
      <c r="Q65" s="1186"/>
      <c r="R65" s="1172"/>
      <c r="S65" s="1173"/>
      <c r="T65" s="1264"/>
      <c r="U65" s="1264"/>
      <c r="V65" s="1264"/>
      <c r="W65" s="1264"/>
      <c r="X65" s="1264"/>
      <c r="Y65" s="1264"/>
      <c r="Z65" s="1264"/>
      <c r="AA65" s="1264"/>
      <c r="AB65" s="1264"/>
      <c r="AC65" s="1266"/>
      <c r="AD65" s="1266"/>
      <c r="AE65" s="1266"/>
      <c r="AF65" s="1266"/>
      <c r="AG65" s="1266"/>
      <c r="AH65" s="1264"/>
      <c r="AI65" s="1264"/>
      <c r="AJ65" s="1264"/>
      <c r="AK65" s="1264"/>
      <c r="AL65" s="1264"/>
      <c r="AM65" s="1264"/>
      <c r="AN65" s="1264"/>
      <c r="AO65" s="1264"/>
      <c r="AP65" s="1264"/>
      <c r="AQ65" s="1264"/>
      <c r="AR65" s="1264"/>
      <c r="AS65" s="1264"/>
      <c r="AT65" s="1264"/>
      <c r="AU65" s="1264"/>
      <c r="AV65" s="1264"/>
      <c r="AW65" s="1264"/>
      <c r="AX65" s="1264"/>
      <c r="AY65" s="1264"/>
      <c r="AZ65" s="1264"/>
      <c r="BA65" s="1264"/>
      <c r="BB65" s="1264"/>
      <c r="BC65" s="1264"/>
      <c r="BD65" s="1264"/>
      <c r="BE65" s="1264"/>
      <c r="BF65" s="1264"/>
      <c r="BG65" s="1264"/>
      <c r="BH65" s="1264"/>
      <c r="BI65" s="1264"/>
      <c r="BJ65" s="1264"/>
      <c r="BK65" s="1264"/>
      <c r="BL65" s="1264"/>
      <c r="BM65" s="1264"/>
      <c r="BN65" s="1264"/>
      <c r="BO65" s="1264"/>
      <c r="BP65" s="1264"/>
      <c r="BQ65" s="1264"/>
      <c r="BR65" s="1264"/>
      <c r="BS65" s="1264"/>
      <c r="BT65" s="1264"/>
      <c r="BU65" s="1264"/>
      <c r="BV65" s="1264"/>
      <c r="BW65" s="1264"/>
      <c r="BX65" s="1264"/>
      <c r="BY65" s="1264"/>
      <c r="BZ65" s="1264"/>
      <c r="CA65" s="1264"/>
      <c r="CB65" s="1264"/>
      <c r="CC65" s="1264"/>
      <c r="CD65" s="1264"/>
      <c r="CE65" s="1264"/>
      <c r="CF65" s="1264"/>
      <c r="CG65" s="1264"/>
      <c r="CH65" s="1264"/>
      <c r="CI65" s="1264"/>
      <c r="CJ65" s="1264"/>
      <c r="CK65" s="1264"/>
      <c r="CL65" s="849"/>
      <c r="CM65" s="849"/>
      <c r="CN65" s="849"/>
    </row>
    <row r="66" spans="1:92" ht="23.25" x14ac:dyDescent="0.25">
      <c r="A66" s="1181"/>
      <c r="B66" s="1278">
        <v>3638432</v>
      </c>
      <c r="C66" s="985"/>
      <c r="D66" s="1183"/>
      <c r="E66" s="983"/>
      <c r="F66" s="1274">
        <v>3836520</v>
      </c>
      <c r="G66" s="1275">
        <v>3836498</v>
      </c>
      <c r="H66" s="1279">
        <v>3836516</v>
      </c>
      <c r="I66" s="983"/>
      <c r="K66" s="1277"/>
      <c r="L66" s="1201"/>
      <c r="M66" s="933"/>
      <c r="N66" s="1201"/>
      <c r="O66" s="1277"/>
      <c r="Q66" s="1186"/>
      <c r="R66" s="1172"/>
      <c r="S66" s="1173"/>
      <c r="T66" s="1264"/>
      <c r="U66" s="1264"/>
      <c r="V66" s="1264"/>
      <c r="W66" s="1264"/>
      <c r="X66" s="1264"/>
      <c r="Y66" s="1264"/>
      <c r="Z66" s="1264"/>
      <c r="AA66" s="1264"/>
      <c r="AB66" s="1264"/>
      <c r="AC66" s="1266"/>
      <c r="AD66" s="1266"/>
      <c r="AE66" s="1266"/>
      <c r="AF66" s="1266"/>
      <c r="AG66" s="1266"/>
      <c r="AH66" s="1264"/>
      <c r="AI66" s="1264"/>
      <c r="AJ66" s="1264"/>
      <c r="AK66" s="1264"/>
      <c r="AL66" s="1264"/>
      <c r="AM66" s="1264"/>
      <c r="AN66" s="1264"/>
      <c r="AO66" s="1264"/>
      <c r="AP66" s="1264"/>
      <c r="AQ66" s="1264"/>
      <c r="AR66" s="1264"/>
      <c r="AS66" s="1264"/>
      <c r="AT66" s="1264"/>
      <c r="AU66" s="1264"/>
      <c r="AV66" s="1264"/>
      <c r="AW66" s="1264"/>
      <c r="AX66" s="1264"/>
      <c r="AY66" s="1264"/>
      <c r="AZ66" s="1264"/>
      <c r="BA66" s="1264"/>
      <c r="BB66" s="1264"/>
      <c r="BC66" s="1264"/>
      <c r="BD66" s="1264"/>
      <c r="BE66" s="1264"/>
      <c r="BF66" s="1264"/>
      <c r="BG66" s="1264"/>
      <c r="BH66" s="1264"/>
      <c r="BI66" s="1264"/>
      <c r="BJ66" s="1264"/>
      <c r="BK66" s="1264"/>
      <c r="BL66" s="1264"/>
      <c r="BM66" s="1264"/>
      <c r="BN66" s="1264"/>
      <c r="BO66" s="1264"/>
      <c r="BP66" s="1264"/>
      <c r="BQ66" s="1264"/>
      <c r="BR66" s="1264"/>
      <c r="BS66" s="1264"/>
      <c r="BT66" s="1264"/>
      <c r="BU66" s="1264"/>
      <c r="BV66" s="1264"/>
      <c r="BW66" s="1264"/>
      <c r="BX66" s="1264"/>
      <c r="BY66" s="1264"/>
      <c r="BZ66" s="1264"/>
      <c r="CA66" s="1264"/>
      <c r="CB66" s="1264"/>
      <c r="CC66" s="1264"/>
      <c r="CD66" s="1264"/>
      <c r="CE66" s="1264"/>
      <c r="CF66" s="1264"/>
      <c r="CG66" s="1264"/>
      <c r="CH66" s="1264"/>
      <c r="CI66" s="1264"/>
      <c r="CJ66" s="1264"/>
      <c r="CK66" s="1264"/>
      <c r="CL66" s="849"/>
      <c r="CM66" s="849"/>
      <c r="CN66" s="849"/>
    </row>
    <row r="67" spans="1:92" ht="21" x14ac:dyDescent="0.25">
      <c r="A67" s="1181"/>
      <c r="B67" s="1280"/>
      <c r="D67" s="1183"/>
      <c r="F67" s="983"/>
      <c r="G67" s="983"/>
      <c r="H67" s="983"/>
      <c r="K67" s="1197"/>
      <c r="L67" s="1273"/>
      <c r="M67" s="1197"/>
      <c r="N67" s="1273"/>
      <c r="O67" s="1197"/>
      <c r="Q67" s="1186"/>
      <c r="R67" s="1172"/>
      <c r="S67" s="1173"/>
      <c r="T67" s="1264"/>
      <c r="U67" s="1264"/>
      <c r="V67" s="1264"/>
      <c r="W67" s="1264"/>
      <c r="X67" s="1264"/>
      <c r="Y67" s="1264"/>
      <c r="Z67" s="1264"/>
      <c r="AA67" s="1264"/>
      <c r="AB67" s="1264"/>
      <c r="AC67" s="1266"/>
      <c r="AD67" s="1266"/>
      <c r="AE67" s="1266"/>
      <c r="AF67" s="1266"/>
      <c r="AG67" s="1266"/>
      <c r="AH67" s="1264"/>
      <c r="AI67" s="1264"/>
      <c r="AJ67" s="1264"/>
      <c r="AK67" s="1264"/>
      <c r="AL67" s="1264"/>
      <c r="AM67" s="1264"/>
      <c r="AN67" s="1264"/>
      <c r="AO67" s="1264"/>
      <c r="AP67" s="1264"/>
      <c r="AQ67" s="1264"/>
      <c r="AR67" s="1264"/>
      <c r="AS67" s="1264"/>
      <c r="AT67" s="1264"/>
      <c r="AU67" s="1264"/>
      <c r="AV67" s="1264"/>
      <c r="AW67" s="1264"/>
      <c r="AX67" s="1264"/>
      <c r="AY67" s="1264"/>
      <c r="AZ67" s="1264"/>
      <c r="BA67" s="1264"/>
      <c r="BB67" s="1264"/>
      <c r="BC67" s="1264"/>
      <c r="BD67" s="1264"/>
      <c r="BE67" s="1264"/>
      <c r="BF67" s="1264"/>
      <c r="BG67" s="1264"/>
      <c r="BH67" s="1264"/>
      <c r="BI67" s="1264"/>
      <c r="BJ67" s="1264"/>
      <c r="BK67" s="1264"/>
      <c r="BL67" s="1264"/>
      <c r="BM67" s="1264"/>
      <c r="BN67" s="1264"/>
      <c r="BO67" s="1264"/>
      <c r="BP67" s="1264"/>
      <c r="BQ67" s="1264"/>
      <c r="BR67" s="1264"/>
      <c r="BS67" s="1264"/>
      <c r="BT67" s="1264"/>
      <c r="BU67" s="1264"/>
      <c r="BV67" s="1264"/>
      <c r="BW67" s="1264"/>
      <c r="BX67" s="1264"/>
      <c r="BY67" s="1264"/>
      <c r="BZ67" s="1264"/>
      <c r="CA67" s="1264"/>
      <c r="CB67" s="1264"/>
      <c r="CC67" s="1264"/>
      <c r="CD67" s="1264"/>
      <c r="CE67" s="1264"/>
      <c r="CF67" s="1264"/>
      <c r="CG67" s="1264"/>
      <c r="CH67" s="1264"/>
      <c r="CI67" s="1264"/>
      <c r="CJ67" s="1264"/>
      <c r="CK67" s="1264"/>
      <c r="CL67" s="849"/>
      <c r="CM67" s="849"/>
      <c r="CN67" s="849"/>
    </row>
    <row r="68" spans="1:92" ht="23.25" x14ac:dyDescent="0.25">
      <c r="A68" s="1181"/>
      <c r="B68" s="1278">
        <v>3638429</v>
      </c>
      <c r="C68" s="985"/>
      <c r="D68" s="1183"/>
      <c r="F68" s="1120"/>
      <c r="G68" s="1120"/>
      <c r="H68" s="1120"/>
      <c r="I68" s="1120"/>
      <c r="J68" s="1120"/>
      <c r="K68" s="1123"/>
      <c r="L68" s="1190"/>
      <c r="M68" s="930"/>
      <c r="N68" s="1190"/>
      <c r="O68" s="930"/>
      <c r="P68" s="1120"/>
      <c r="Q68" s="1186"/>
      <c r="R68" s="1172"/>
      <c r="S68" s="1173"/>
      <c r="T68" s="1264"/>
      <c r="U68" s="1264"/>
      <c r="V68" s="1264"/>
      <c r="W68" s="1264"/>
      <c r="X68" s="1264"/>
      <c r="Y68" s="1264"/>
      <c r="Z68" s="1264"/>
      <c r="AA68" s="1264"/>
      <c r="AB68" s="1264"/>
      <c r="AC68" s="1266"/>
      <c r="AD68" s="1266"/>
      <c r="AE68" s="1266"/>
      <c r="AF68" s="1266"/>
      <c r="AG68" s="1266"/>
      <c r="AH68" s="1264"/>
      <c r="AI68" s="1264"/>
      <c r="AJ68" s="1264"/>
      <c r="AK68" s="1264"/>
      <c r="AL68" s="1264"/>
      <c r="AM68" s="1264"/>
      <c r="AN68" s="1264"/>
      <c r="AO68" s="1264"/>
      <c r="AP68" s="1264"/>
      <c r="AQ68" s="1264"/>
      <c r="AR68" s="1264"/>
      <c r="AS68" s="1264"/>
      <c r="AT68" s="1264"/>
      <c r="AU68" s="1264"/>
      <c r="AV68" s="1264"/>
      <c r="AW68" s="1264"/>
      <c r="AX68" s="1264"/>
      <c r="AY68" s="1264"/>
      <c r="AZ68" s="1264"/>
      <c r="BA68" s="1264"/>
      <c r="BB68" s="1264"/>
      <c r="BC68" s="1264"/>
      <c r="BD68" s="1264"/>
      <c r="BE68" s="1264"/>
      <c r="BF68" s="1264"/>
      <c r="BG68" s="1264"/>
      <c r="BH68" s="1264"/>
      <c r="BI68" s="1264"/>
      <c r="BJ68" s="1264"/>
      <c r="BK68" s="1264"/>
      <c r="BL68" s="1264"/>
      <c r="BM68" s="1264"/>
      <c r="BN68" s="1264"/>
      <c r="BO68" s="1264"/>
      <c r="BP68" s="1264"/>
      <c r="BQ68" s="1264"/>
      <c r="BR68" s="1264"/>
      <c r="BS68" s="1264"/>
      <c r="BT68" s="1264"/>
      <c r="BU68" s="1264"/>
      <c r="BV68" s="1264"/>
      <c r="BW68" s="1264"/>
      <c r="BX68" s="1264"/>
      <c r="BY68" s="1264"/>
      <c r="BZ68" s="1264"/>
      <c r="CA68" s="1264"/>
      <c r="CB68" s="1264"/>
      <c r="CC68" s="1264"/>
      <c r="CD68" s="1264"/>
      <c r="CE68" s="1264"/>
      <c r="CF68" s="1264"/>
      <c r="CG68" s="1264"/>
      <c r="CH68" s="1264"/>
      <c r="CI68" s="1264"/>
      <c r="CJ68" s="1264"/>
      <c r="CK68" s="1264"/>
      <c r="CL68" s="849"/>
      <c r="CM68" s="849"/>
      <c r="CN68" s="849"/>
    </row>
    <row r="69" spans="1:92" ht="21" x14ac:dyDescent="0.25">
      <c r="A69" s="1181"/>
      <c r="B69" s="1280"/>
      <c r="C69" s="1265"/>
      <c r="D69" s="1183"/>
      <c r="E69" s="1265"/>
      <c r="K69" s="1123"/>
      <c r="L69" s="1281"/>
      <c r="M69" s="1281"/>
      <c r="N69" s="1281"/>
      <c r="O69" s="1281"/>
      <c r="P69" s="1265"/>
      <c r="Q69" s="1186"/>
      <c r="R69" s="1172"/>
      <c r="S69" s="1173"/>
      <c r="T69" s="1264"/>
      <c r="U69" s="1264"/>
      <c r="V69" s="1264"/>
      <c r="W69" s="1264"/>
      <c r="X69" s="1264"/>
      <c r="Y69" s="1264"/>
      <c r="Z69" s="1264"/>
      <c r="AA69" s="1264"/>
      <c r="AB69" s="1264"/>
      <c r="AC69" s="1266"/>
      <c r="AD69" s="1266"/>
      <c r="AE69" s="1266"/>
      <c r="AF69" s="1266"/>
      <c r="AG69" s="1266"/>
      <c r="AH69" s="1264"/>
      <c r="AI69" s="1264"/>
      <c r="AJ69" s="1264"/>
      <c r="AK69" s="1264"/>
      <c r="AL69" s="1264"/>
      <c r="AM69" s="1264"/>
      <c r="AN69" s="1264"/>
      <c r="AO69" s="1264"/>
      <c r="AP69" s="1264"/>
      <c r="AQ69" s="1264"/>
      <c r="AR69" s="1264"/>
      <c r="AS69" s="1264"/>
      <c r="AT69" s="1264"/>
      <c r="AU69" s="1264"/>
      <c r="AV69" s="1264"/>
      <c r="AW69" s="1264"/>
      <c r="AX69" s="1264"/>
      <c r="AY69" s="1264"/>
      <c r="AZ69" s="1264"/>
      <c r="BA69" s="1264"/>
      <c r="BB69" s="1264"/>
      <c r="BC69" s="1264"/>
      <c r="BD69" s="1264"/>
      <c r="BE69" s="1264"/>
      <c r="BF69" s="1264"/>
      <c r="BG69" s="1264"/>
      <c r="BH69" s="1264"/>
      <c r="BI69" s="1264"/>
      <c r="BJ69" s="1264"/>
      <c r="BK69" s="1264"/>
      <c r="BL69" s="1264"/>
      <c r="BM69" s="1264"/>
      <c r="BN69" s="1264"/>
      <c r="BO69" s="1264"/>
      <c r="BP69" s="1264"/>
      <c r="BQ69" s="1264"/>
      <c r="BR69" s="1264"/>
      <c r="BS69" s="1264"/>
      <c r="BT69" s="1264"/>
      <c r="BU69" s="1264"/>
      <c r="BV69" s="1264"/>
      <c r="BW69" s="1264"/>
      <c r="BX69" s="1264"/>
      <c r="BY69" s="1264"/>
      <c r="BZ69" s="1264"/>
      <c r="CA69" s="1264"/>
      <c r="CB69" s="1264"/>
      <c r="CC69" s="1264"/>
      <c r="CD69" s="1264"/>
      <c r="CE69" s="1264"/>
      <c r="CF69" s="1264"/>
      <c r="CG69" s="1264"/>
      <c r="CH69" s="1264"/>
      <c r="CI69" s="1264"/>
      <c r="CJ69" s="1264"/>
      <c r="CK69" s="1264"/>
      <c r="CL69" s="849"/>
      <c r="CM69" s="849"/>
      <c r="CN69" s="849"/>
    </row>
    <row r="70" spans="1:92" ht="23.25" x14ac:dyDescent="0.25">
      <c r="A70" s="1181"/>
      <c r="B70" s="1278">
        <v>3638417</v>
      </c>
      <c r="C70" s="985"/>
      <c r="D70" s="1183"/>
      <c r="E70" s="1265"/>
      <c r="K70" s="1265"/>
      <c r="L70" s="1265"/>
      <c r="M70" s="1117"/>
      <c r="N70" s="1117"/>
      <c r="O70" s="1265"/>
      <c r="P70" s="1265"/>
      <c r="Q70" s="1186"/>
      <c r="R70" s="1172"/>
      <c r="S70" s="1173"/>
      <c r="T70" s="1264"/>
      <c r="U70" s="1264"/>
      <c r="V70" s="1264"/>
      <c r="W70" s="1264"/>
      <c r="X70" s="1264"/>
      <c r="Y70" s="1264"/>
      <c r="Z70" s="1264"/>
      <c r="AA70" s="1264"/>
      <c r="AB70" s="1264"/>
      <c r="AC70" s="1266"/>
      <c r="AD70" s="1266"/>
      <c r="AE70" s="1266"/>
      <c r="AF70" s="1266"/>
      <c r="AG70" s="1266"/>
      <c r="AH70" s="1264"/>
      <c r="AI70" s="1264"/>
      <c r="AJ70" s="1264"/>
      <c r="AK70" s="1264"/>
      <c r="AL70" s="1264"/>
      <c r="AM70" s="1264"/>
      <c r="AN70" s="1264"/>
      <c r="AO70" s="1264"/>
      <c r="AP70" s="1264"/>
      <c r="AQ70" s="1264"/>
      <c r="AR70" s="1264"/>
      <c r="AS70" s="1264"/>
      <c r="AT70" s="1264"/>
      <c r="AU70" s="1264"/>
      <c r="AV70" s="1264"/>
      <c r="AW70" s="1264"/>
      <c r="AX70" s="1264"/>
      <c r="AY70" s="1264"/>
      <c r="AZ70" s="1264"/>
      <c r="BA70" s="1264"/>
      <c r="BB70" s="1264"/>
      <c r="BC70" s="1264"/>
      <c r="BD70" s="1264"/>
      <c r="BE70" s="1264"/>
      <c r="BF70" s="1264"/>
      <c r="BG70" s="1264"/>
      <c r="BH70" s="1264"/>
      <c r="BI70" s="1264"/>
      <c r="BJ70" s="1264"/>
      <c r="BK70" s="1264"/>
      <c r="BL70" s="1264"/>
      <c r="BM70" s="1264"/>
      <c r="BN70" s="1264"/>
      <c r="BO70" s="1264"/>
      <c r="BP70" s="1264"/>
      <c r="BQ70" s="1264"/>
      <c r="BR70" s="1264"/>
      <c r="BS70" s="1264"/>
      <c r="BT70" s="1264"/>
      <c r="BU70" s="1264"/>
      <c r="BV70" s="1264"/>
      <c r="BW70" s="1264"/>
      <c r="BX70" s="1264"/>
      <c r="BY70" s="1264"/>
      <c r="BZ70" s="1264"/>
      <c r="CA70" s="1264"/>
      <c r="CB70" s="1264"/>
      <c r="CC70" s="1264"/>
      <c r="CD70" s="1264"/>
      <c r="CE70" s="1264"/>
      <c r="CF70" s="1264"/>
      <c r="CG70" s="1264"/>
      <c r="CH70" s="1264"/>
      <c r="CI70" s="1264"/>
      <c r="CJ70" s="1264"/>
      <c r="CK70" s="1264"/>
      <c r="CL70" s="849"/>
      <c r="CM70" s="849"/>
      <c r="CN70" s="849"/>
    </row>
    <row r="71" spans="1:92" x14ac:dyDescent="0.25">
      <c r="A71" s="1181"/>
      <c r="B71" s="1280"/>
      <c r="C71" s="1265"/>
      <c r="D71" s="1282"/>
      <c r="E71" s="1182"/>
      <c r="F71" s="1123"/>
      <c r="G71" s="1123"/>
      <c r="H71" s="1123"/>
      <c r="I71" s="1265"/>
      <c r="J71" s="1265"/>
      <c r="K71" s="1265"/>
      <c r="L71" s="1265"/>
      <c r="M71" s="1117"/>
      <c r="N71" s="1117"/>
      <c r="O71" s="1265"/>
      <c r="P71" s="1265"/>
      <c r="Q71" s="1186"/>
      <c r="R71" s="1172"/>
      <c r="S71" s="1173"/>
      <c r="T71" s="1264"/>
      <c r="U71" s="1264"/>
      <c r="V71" s="1264"/>
      <c r="W71" s="1264"/>
      <c r="X71" s="1264"/>
      <c r="Y71" s="1264"/>
      <c r="Z71" s="1264"/>
      <c r="AA71" s="1264"/>
      <c r="AB71" s="1264"/>
      <c r="AC71" s="1266"/>
      <c r="AD71" s="1266"/>
      <c r="AE71" s="1266"/>
      <c r="AF71" s="1266"/>
      <c r="AG71" s="1266"/>
      <c r="AH71" s="1264"/>
      <c r="AI71" s="1264"/>
      <c r="AJ71" s="1264"/>
      <c r="AK71" s="1264"/>
      <c r="AL71" s="1264"/>
      <c r="AM71" s="1264"/>
      <c r="AN71" s="1264"/>
      <c r="AO71" s="1264"/>
      <c r="AP71" s="1264"/>
      <c r="AQ71" s="1264"/>
      <c r="AR71" s="1264"/>
      <c r="AS71" s="1264"/>
      <c r="AT71" s="1264"/>
      <c r="AU71" s="1264"/>
      <c r="AV71" s="1264"/>
      <c r="AW71" s="1264"/>
      <c r="AX71" s="1264"/>
      <c r="AY71" s="1264"/>
      <c r="AZ71" s="1264"/>
      <c r="BA71" s="1264"/>
      <c r="BB71" s="1264"/>
      <c r="BC71" s="1264"/>
      <c r="BD71" s="1264"/>
      <c r="BE71" s="1264"/>
      <c r="BF71" s="1264"/>
      <c r="BG71" s="1264"/>
      <c r="BH71" s="1264"/>
      <c r="BI71" s="1264"/>
      <c r="BJ71" s="1264"/>
      <c r="BK71" s="1264"/>
      <c r="BL71" s="1264"/>
      <c r="BM71" s="1264"/>
      <c r="BN71" s="1264"/>
      <c r="BO71" s="1264"/>
      <c r="BP71" s="1264"/>
      <c r="BQ71" s="1264"/>
      <c r="BR71" s="1264"/>
      <c r="BS71" s="1264"/>
      <c r="BT71" s="1264"/>
      <c r="BU71" s="1264"/>
      <c r="BV71" s="1264"/>
      <c r="BW71" s="1264"/>
      <c r="BX71" s="1264"/>
      <c r="BY71" s="1264"/>
      <c r="BZ71" s="1264"/>
      <c r="CA71" s="1264"/>
      <c r="CB71" s="1264"/>
      <c r="CC71" s="1264"/>
      <c r="CD71" s="1264"/>
      <c r="CE71" s="1264"/>
      <c r="CF71" s="1264"/>
      <c r="CG71" s="1264"/>
      <c r="CH71" s="1264"/>
      <c r="CI71" s="1264"/>
      <c r="CJ71" s="1264"/>
      <c r="CK71" s="1264"/>
      <c r="CL71" s="849"/>
      <c r="CM71" s="849"/>
      <c r="CN71" s="849"/>
    </row>
    <row r="72" spans="1:92" ht="26.25" x14ac:dyDescent="0.4">
      <c r="A72" s="1181"/>
      <c r="B72" s="1278">
        <v>3638419</v>
      </c>
      <c r="C72" s="985"/>
      <c r="D72" s="1183"/>
      <c r="E72" s="1123"/>
      <c r="F72" s="1283"/>
      <c r="G72" s="1283"/>
      <c r="H72" s="1283"/>
      <c r="I72" s="1283"/>
      <c r="J72" s="1283"/>
      <c r="K72" s="1283"/>
      <c r="L72" s="1283"/>
      <c r="M72" s="1265"/>
      <c r="N72" s="1284"/>
      <c r="O72" s="1265"/>
      <c r="P72" s="1265"/>
      <c r="Q72" s="1186"/>
      <c r="R72" s="1172"/>
      <c r="S72" s="1173"/>
      <c r="T72" s="1264"/>
      <c r="U72" s="1264"/>
      <c r="V72" s="1264"/>
      <c r="W72" s="1264"/>
      <c r="X72" s="1264"/>
      <c r="Y72" s="1264"/>
      <c r="Z72" s="1264"/>
      <c r="AA72" s="1264"/>
      <c r="AB72" s="1264"/>
      <c r="AC72" s="1266"/>
      <c r="AD72" s="1266"/>
      <c r="AE72" s="1266"/>
      <c r="AF72" s="1266"/>
      <c r="AG72" s="1266"/>
      <c r="AH72" s="1264"/>
      <c r="AI72" s="1264"/>
      <c r="AJ72" s="1264"/>
      <c r="AK72" s="1264"/>
      <c r="AL72" s="1264"/>
      <c r="AM72" s="1264"/>
      <c r="AN72" s="1264"/>
      <c r="AO72" s="1264"/>
      <c r="AP72" s="1264"/>
      <c r="AQ72" s="1264"/>
      <c r="AR72" s="1264"/>
      <c r="AS72" s="1264"/>
      <c r="AT72" s="1264"/>
      <c r="AU72" s="1264"/>
      <c r="AV72" s="1264"/>
      <c r="AW72" s="1264"/>
      <c r="AX72" s="1264"/>
      <c r="AY72" s="1264"/>
      <c r="AZ72" s="1264"/>
      <c r="BA72" s="1264"/>
      <c r="BB72" s="1264"/>
      <c r="BC72" s="1264"/>
      <c r="BD72" s="1264"/>
      <c r="BE72" s="1264"/>
      <c r="BF72" s="1264"/>
      <c r="BG72" s="1264"/>
      <c r="BH72" s="1264"/>
      <c r="BI72" s="1264"/>
      <c r="BJ72" s="1264"/>
      <c r="BK72" s="1264"/>
      <c r="BL72" s="1264"/>
      <c r="BM72" s="1264"/>
      <c r="BN72" s="1264"/>
      <c r="BO72" s="1264"/>
      <c r="BP72" s="1264"/>
      <c r="BQ72" s="1264"/>
      <c r="BR72" s="1264"/>
      <c r="BS72" s="1264"/>
      <c r="BT72" s="1264"/>
      <c r="BU72" s="1264"/>
      <c r="BV72" s="1264"/>
      <c r="BW72" s="1264"/>
      <c r="BX72" s="1264"/>
      <c r="BY72" s="1264"/>
      <c r="BZ72" s="1264"/>
      <c r="CA72" s="1264"/>
      <c r="CB72" s="1264"/>
      <c r="CC72" s="1264"/>
      <c r="CD72" s="1264"/>
      <c r="CE72" s="1264"/>
      <c r="CF72" s="1264"/>
      <c r="CG72" s="1264"/>
      <c r="CH72" s="1264"/>
      <c r="CI72" s="1264"/>
      <c r="CJ72" s="1264"/>
      <c r="CK72" s="1264"/>
      <c r="CL72" s="849"/>
      <c r="CM72" s="849"/>
      <c r="CN72" s="849"/>
    </row>
    <row r="73" spans="1:92" ht="27" thickBot="1" x14ac:dyDescent="0.45">
      <c r="A73" s="1181"/>
      <c r="B73" s="1285"/>
      <c r="C73" s="1286"/>
      <c r="D73" s="1286"/>
      <c r="E73" s="1286"/>
      <c r="F73" s="883"/>
      <c r="G73" s="891"/>
      <c r="H73" s="1287"/>
      <c r="I73" s="891"/>
      <c r="J73" s="1288"/>
      <c r="K73" s="891"/>
      <c r="L73" s="1288"/>
      <c r="M73" s="891"/>
      <c r="N73" s="1289"/>
      <c r="O73" s="891"/>
      <c r="P73" s="1286"/>
      <c r="Q73" s="1290"/>
      <c r="R73" s="1291"/>
      <c r="S73" s="1292"/>
      <c r="T73" s="1264"/>
      <c r="U73" s="1264"/>
      <c r="V73" s="1264"/>
      <c r="W73" s="1264"/>
      <c r="X73" s="1264"/>
      <c r="Y73" s="1264"/>
      <c r="Z73" s="1264"/>
      <c r="AA73" s="1264"/>
      <c r="AB73" s="1264"/>
      <c r="AC73" s="1266"/>
      <c r="AD73" s="1266"/>
      <c r="AE73" s="1266"/>
      <c r="AF73" s="1266"/>
      <c r="AG73" s="1266"/>
      <c r="AH73" s="1264"/>
      <c r="AI73" s="1264"/>
      <c r="AJ73" s="1264"/>
      <c r="AK73" s="1264"/>
      <c r="AL73" s="1264"/>
      <c r="AM73" s="1264"/>
      <c r="AN73" s="1264"/>
      <c r="AO73" s="1264"/>
      <c r="AP73" s="1264"/>
      <c r="AQ73" s="1264"/>
      <c r="AR73" s="1264"/>
      <c r="AS73" s="1264"/>
      <c r="AT73" s="1264"/>
      <c r="AU73" s="1264"/>
      <c r="AV73" s="1264"/>
      <c r="AW73" s="1264"/>
      <c r="AX73" s="1264"/>
      <c r="AY73" s="1264"/>
      <c r="AZ73" s="1264"/>
      <c r="BA73" s="1264"/>
      <c r="BB73" s="1264"/>
      <c r="BC73" s="1264"/>
      <c r="BD73" s="1264"/>
      <c r="BE73" s="1264"/>
      <c r="BF73" s="1264"/>
      <c r="BG73" s="1264"/>
      <c r="BH73" s="1264"/>
      <c r="BI73" s="1264"/>
      <c r="BJ73" s="1264"/>
      <c r="BK73" s="1264"/>
      <c r="BL73" s="1264"/>
      <c r="BM73" s="1264"/>
      <c r="BN73" s="1264"/>
      <c r="BO73" s="1264"/>
      <c r="BP73" s="1264"/>
      <c r="BQ73" s="1264"/>
      <c r="BR73" s="1264"/>
      <c r="BS73" s="1264"/>
      <c r="BT73" s="1264"/>
      <c r="BU73" s="1264"/>
      <c r="BV73" s="1264"/>
      <c r="BW73" s="1264"/>
      <c r="BX73" s="1264"/>
      <c r="BY73" s="1264"/>
      <c r="BZ73" s="1264"/>
      <c r="CA73" s="1264"/>
      <c r="CB73" s="1264"/>
      <c r="CC73" s="1264"/>
      <c r="CD73" s="1264"/>
      <c r="CE73" s="1264"/>
      <c r="CF73" s="1264"/>
      <c r="CG73" s="1264"/>
      <c r="CH73" s="1264"/>
      <c r="CI73" s="1264"/>
      <c r="CJ73" s="1264"/>
      <c r="CK73" s="1264"/>
      <c r="CL73" s="849"/>
      <c r="CM73" s="849"/>
      <c r="CN73" s="849"/>
    </row>
    <row r="74" spans="1:92" x14ac:dyDescent="0.25">
      <c r="A74" s="1293"/>
      <c r="B74" s="1294"/>
      <c r="C74" s="1295"/>
      <c r="D74" s="922"/>
      <c r="E74" s="922"/>
      <c r="H74" s="1264"/>
      <c r="I74" s="1264"/>
      <c r="J74" s="1264"/>
      <c r="K74" s="1264"/>
      <c r="L74" s="1264"/>
      <c r="M74" s="1264"/>
      <c r="N74" s="1296"/>
      <c r="O74" s="1264"/>
      <c r="P74" s="1264"/>
      <c r="Q74" s="1264"/>
      <c r="R74" s="1264"/>
      <c r="S74" s="1264"/>
      <c r="T74" s="1264"/>
      <c r="U74" s="1264"/>
      <c r="V74" s="1264"/>
      <c r="W74" s="1264"/>
      <c r="X74" s="1264"/>
      <c r="Y74" s="1264"/>
      <c r="Z74" s="1264"/>
      <c r="AA74" s="1264"/>
      <c r="AB74" s="1264"/>
      <c r="AC74" s="1266"/>
      <c r="AD74" s="1266"/>
      <c r="AE74" s="1266"/>
      <c r="AF74" s="1266"/>
      <c r="AG74" s="1266"/>
      <c r="AH74" s="1264"/>
      <c r="AI74" s="1264"/>
      <c r="AJ74" s="1264"/>
      <c r="AK74" s="1264"/>
      <c r="AL74" s="1264"/>
      <c r="AM74" s="1264"/>
      <c r="AN74" s="1264"/>
      <c r="AO74" s="1264"/>
      <c r="AP74" s="1264"/>
      <c r="AQ74" s="1264"/>
      <c r="AR74" s="1264"/>
      <c r="AS74" s="1264"/>
      <c r="AT74" s="1264"/>
      <c r="AU74" s="1264"/>
      <c r="AV74" s="1264"/>
      <c r="AW74" s="1264"/>
      <c r="AX74" s="1264"/>
      <c r="AY74" s="1264"/>
      <c r="AZ74" s="1264"/>
      <c r="BA74" s="1264"/>
      <c r="BB74" s="1264"/>
      <c r="BC74" s="1264"/>
      <c r="BD74" s="1264"/>
      <c r="BE74" s="1264"/>
      <c r="BF74" s="1264"/>
      <c r="BG74" s="1264"/>
      <c r="BH74" s="1264"/>
      <c r="BI74" s="1264"/>
      <c r="BJ74" s="1264"/>
      <c r="BK74" s="1264"/>
      <c r="BL74" s="1264"/>
      <c r="BM74" s="1264"/>
      <c r="BN74" s="1264"/>
      <c r="BO74" s="1264"/>
      <c r="BP74" s="1264"/>
      <c r="BQ74" s="1264"/>
      <c r="BR74" s="1264"/>
      <c r="BS74" s="1264"/>
      <c r="BT74" s="1264"/>
      <c r="BU74" s="1264"/>
      <c r="BV74" s="1264"/>
      <c r="BW74" s="1264"/>
      <c r="BX74" s="1264"/>
      <c r="BY74" s="1264"/>
      <c r="BZ74" s="1264"/>
      <c r="CA74" s="1264"/>
      <c r="CB74" s="1264"/>
      <c r="CC74" s="1264"/>
      <c r="CD74" s="1264"/>
      <c r="CE74" s="1264"/>
      <c r="CF74" s="1264"/>
      <c r="CG74" s="1264"/>
      <c r="CH74" s="1264"/>
      <c r="CI74" s="1264"/>
      <c r="CJ74" s="1264"/>
      <c r="CK74" s="1264"/>
      <c r="CL74" s="849"/>
      <c r="CM74" s="849"/>
      <c r="CN74" s="849"/>
    </row>
    <row r="75" spans="1:92" x14ac:dyDescent="0.25">
      <c r="A75" s="1293"/>
      <c r="B75" s="1297"/>
      <c r="C75" s="849"/>
      <c r="D75" s="1264"/>
      <c r="E75" s="1264"/>
      <c r="F75" s="1264"/>
      <c r="G75" s="1264"/>
      <c r="H75" s="1264"/>
      <c r="I75" s="1264"/>
      <c r="J75" s="1264"/>
      <c r="K75" s="1264"/>
      <c r="L75" s="1264"/>
      <c r="M75" s="1264"/>
      <c r="N75" s="1296"/>
      <c r="O75" s="1264"/>
      <c r="P75" s="1264"/>
      <c r="Q75" s="1264"/>
      <c r="R75" s="1264"/>
      <c r="S75" s="1264"/>
      <c r="T75" s="1264"/>
      <c r="U75" s="1264"/>
      <c r="V75" s="1264"/>
      <c r="W75" s="1264"/>
      <c r="X75" s="1264"/>
      <c r="Y75" s="1264"/>
      <c r="Z75" s="1264"/>
      <c r="AA75" s="1264"/>
      <c r="AB75" s="1264"/>
      <c r="AC75" s="1266"/>
      <c r="AD75" s="1266"/>
      <c r="AE75" s="1266"/>
      <c r="AF75" s="1266"/>
      <c r="AG75" s="1266"/>
      <c r="AH75" s="1264"/>
      <c r="AI75" s="1264"/>
      <c r="AJ75" s="1264"/>
      <c r="AK75" s="1264"/>
      <c r="AL75" s="1264"/>
      <c r="AM75" s="1264"/>
      <c r="AN75" s="1264"/>
      <c r="AO75" s="1264"/>
      <c r="AP75" s="1264"/>
      <c r="AQ75" s="1264"/>
      <c r="AR75" s="1264"/>
      <c r="AS75" s="1264"/>
      <c r="AT75" s="1264"/>
      <c r="AU75" s="1264"/>
      <c r="AV75" s="1264"/>
      <c r="AW75" s="1264"/>
      <c r="AX75" s="1264"/>
      <c r="AY75" s="1264"/>
      <c r="AZ75" s="1264"/>
      <c r="BA75" s="1264"/>
      <c r="BB75" s="1264"/>
      <c r="BC75" s="1264"/>
      <c r="BD75" s="1264"/>
      <c r="BE75" s="1264"/>
      <c r="BF75" s="1264"/>
      <c r="BG75" s="1264"/>
      <c r="BH75" s="1264"/>
      <c r="BI75" s="1264"/>
      <c r="BJ75" s="1264"/>
      <c r="BK75" s="1264"/>
      <c r="BL75" s="1264"/>
      <c r="BM75" s="1264"/>
      <c r="BN75" s="1264"/>
      <c r="BO75" s="1264"/>
      <c r="BP75" s="1264"/>
      <c r="BQ75" s="1264"/>
      <c r="BR75" s="1264"/>
      <c r="BS75" s="1264"/>
      <c r="BT75" s="1264"/>
      <c r="BU75" s="1264"/>
      <c r="BV75" s="1264"/>
      <c r="BW75" s="1264"/>
      <c r="BX75" s="1264"/>
      <c r="BY75" s="1264"/>
      <c r="BZ75" s="1264"/>
      <c r="CA75" s="1264"/>
      <c r="CB75" s="1264"/>
      <c r="CC75" s="1264"/>
      <c r="CD75" s="1264"/>
      <c r="CE75" s="1264"/>
      <c r="CF75" s="1264"/>
      <c r="CG75" s="1264"/>
      <c r="CH75" s="1264"/>
      <c r="CI75" s="1264"/>
      <c r="CJ75" s="1264"/>
      <c r="CK75" s="1264"/>
      <c r="CL75" s="849"/>
      <c r="CM75" s="849"/>
      <c r="CN75" s="849"/>
    </row>
  </sheetData>
  <mergeCells count="39">
    <mergeCell ref="BE25:BG25"/>
    <mergeCell ref="A1:CN1"/>
    <mergeCell ref="BL3:BO7"/>
    <mergeCell ref="CK3:CL3"/>
    <mergeCell ref="B18:D18"/>
    <mergeCell ref="E18:F18"/>
    <mergeCell ref="BI18:BJ18"/>
    <mergeCell ref="AR20:AU20"/>
    <mergeCell ref="AR23:AU23"/>
    <mergeCell ref="AW23:AY23"/>
    <mergeCell ref="BL23:BL24"/>
    <mergeCell ref="AI24:AK24"/>
    <mergeCell ref="AW26:AY26"/>
    <mergeCell ref="BC26:BG26"/>
    <mergeCell ref="CC26:CD26"/>
    <mergeCell ref="CH26:CJ27"/>
    <mergeCell ref="AT27:AW27"/>
    <mergeCell ref="CD27:CE27"/>
    <mergeCell ref="BL28:BT28"/>
    <mergeCell ref="A29:B29"/>
    <mergeCell ref="AC29:AF29"/>
    <mergeCell ref="AH29:AK29"/>
    <mergeCell ref="CH31:CJ32"/>
    <mergeCell ref="AW32:BC39"/>
    <mergeCell ref="J33:K33"/>
    <mergeCell ref="S33:U33"/>
    <mergeCell ref="B37:H37"/>
    <mergeCell ref="M38:N38"/>
    <mergeCell ref="B48:C48"/>
    <mergeCell ref="AK49:AM52"/>
    <mergeCell ref="AC51:AJ54"/>
    <mergeCell ref="AK53:AM54"/>
    <mergeCell ref="B64:D64"/>
    <mergeCell ref="L69:O69"/>
    <mergeCell ref="Q40:S73"/>
    <mergeCell ref="AF40:AH40"/>
    <mergeCell ref="BS40:BT40"/>
    <mergeCell ref="T44:AB54"/>
    <mergeCell ref="AE46:AM48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O501"/>
  <sheetViews>
    <sheetView zoomScale="25" zoomScaleNormal="25" workbookViewId="0">
      <selection activeCell="AB73" sqref="AB73"/>
    </sheetView>
  </sheetViews>
  <sheetFormatPr baseColWidth="10" defaultColWidth="16.7109375" defaultRowHeight="15" x14ac:dyDescent="0.25"/>
  <sheetData>
    <row r="1" spans="1:93" ht="47.25" thickBot="1" x14ac:dyDescent="0.3">
      <c r="A1" s="680" t="s">
        <v>161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681"/>
      <c r="AS1" s="681"/>
      <c r="AT1" s="681"/>
      <c r="AU1" s="681"/>
      <c r="AV1" s="681"/>
      <c r="AW1" s="681"/>
      <c r="AX1" s="681"/>
      <c r="AY1" s="681"/>
      <c r="AZ1" s="681"/>
      <c r="BA1" s="681"/>
      <c r="BB1" s="681"/>
      <c r="BC1" s="681"/>
      <c r="BD1" s="681"/>
      <c r="BE1" s="681"/>
      <c r="BF1" s="681"/>
      <c r="BG1" s="681"/>
      <c r="BH1" s="681"/>
      <c r="BI1" s="681"/>
      <c r="BJ1" s="681"/>
      <c r="BK1" s="681"/>
      <c r="BL1" s="681"/>
      <c r="BM1" s="681"/>
      <c r="BN1" s="681"/>
      <c r="BO1" s="681"/>
      <c r="BP1" s="681"/>
      <c r="BQ1" s="681"/>
      <c r="BR1" s="681"/>
      <c r="BS1" s="681"/>
      <c r="BT1" s="681"/>
      <c r="BU1" s="681"/>
      <c r="BV1" s="681"/>
      <c r="BW1" s="681"/>
      <c r="BX1" s="681"/>
      <c r="BY1" s="681"/>
      <c r="BZ1" s="681"/>
      <c r="CA1" s="681"/>
      <c r="CB1" s="681"/>
      <c r="CC1" s="681"/>
      <c r="CD1" s="681"/>
      <c r="CE1" s="681"/>
      <c r="CF1" s="681"/>
      <c r="CG1" s="681"/>
      <c r="CH1" s="681"/>
      <c r="CI1" s="681"/>
      <c r="CJ1" s="681"/>
      <c r="CK1" s="681"/>
      <c r="CL1" s="681"/>
      <c r="CM1" s="681"/>
      <c r="CN1" s="681"/>
    </row>
    <row r="2" spans="1:9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6"/>
    </row>
    <row r="3" spans="1:93" ht="1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803" t="s">
        <v>162</v>
      </c>
      <c r="BM3" s="804"/>
      <c r="BN3" s="804"/>
      <c r="BO3" s="805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812" t="s">
        <v>163</v>
      </c>
      <c r="CL3" s="813"/>
      <c r="CM3" s="7"/>
      <c r="CN3" s="8"/>
    </row>
    <row r="4" spans="1:9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806"/>
      <c r="BM4" s="807"/>
      <c r="BN4" s="807"/>
      <c r="BO4" s="808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10"/>
    </row>
    <row r="5" spans="1:93" ht="15.7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806"/>
      <c r="BM5" s="807"/>
      <c r="BN5" s="807"/>
      <c r="BO5" s="808"/>
      <c r="BP5" s="9"/>
      <c r="BQ5" s="9"/>
      <c r="BR5" s="9"/>
      <c r="BS5" s="9"/>
      <c r="BT5" s="9"/>
      <c r="BZ5" s="11"/>
      <c r="CA5" s="11"/>
      <c r="CB5" s="11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12" t="s">
        <v>164</v>
      </c>
    </row>
    <row r="6" spans="1:93" ht="15.7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806"/>
      <c r="BM6" s="807"/>
      <c r="BN6" s="807"/>
      <c r="BO6" s="808"/>
      <c r="BP6" s="9"/>
      <c r="BQ6" s="9"/>
      <c r="BR6" s="9"/>
      <c r="BS6" s="9"/>
      <c r="BT6" s="9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4"/>
      <c r="CL6" s="4"/>
      <c r="CM6" s="4"/>
      <c r="CN6" s="12" t="s">
        <v>164</v>
      </c>
      <c r="CO6" s="13"/>
    </row>
    <row r="7" spans="1:93" ht="16.5" thickBo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809"/>
      <c r="BM7" s="810"/>
      <c r="BN7" s="810"/>
      <c r="BO7" s="811"/>
      <c r="BP7" s="9"/>
      <c r="BQ7" s="9"/>
      <c r="BR7" s="9"/>
      <c r="BS7" s="9"/>
      <c r="BT7" s="14"/>
      <c r="BY7" s="15"/>
      <c r="BZ7" s="4"/>
      <c r="CA7" s="4"/>
      <c r="CB7" s="16" t="s">
        <v>165</v>
      </c>
      <c r="CC7" s="16" t="s">
        <v>165</v>
      </c>
      <c r="CD7" s="16" t="s">
        <v>165</v>
      </c>
      <c r="CE7" s="11"/>
      <c r="CF7" s="11"/>
      <c r="CG7" s="11"/>
      <c r="CH7" s="11"/>
      <c r="CI7" s="11"/>
      <c r="CJ7" s="11"/>
      <c r="CK7" s="17"/>
      <c r="CL7" s="17"/>
      <c r="CM7" s="17"/>
      <c r="CN7" s="12" t="s">
        <v>164</v>
      </c>
      <c r="CO7" s="13"/>
    </row>
    <row r="8" spans="1:93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18"/>
      <c r="BL8" s="14"/>
      <c r="BM8" s="9"/>
      <c r="BN8" s="9"/>
      <c r="BO8" s="9"/>
      <c r="BP8" s="9"/>
      <c r="BQ8" s="9"/>
      <c r="BR8" s="9"/>
      <c r="BS8" s="9"/>
      <c r="BT8" s="15"/>
      <c r="BU8" s="19" t="s">
        <v>166</v>
      </c>
      <c r="BV8" s="19"/>
      <c r="BW8" s="14"/>
      <c r="BX8" s="14"/>
      <c r="BY8" s="15"/>
      <c r="BZ8" s="4"/>
      <c r="CA8" s="4"/>
      <c r="CB8" s="16" t="s">
        <v>165</v>
      </c>
      <c r="CC8" s="11"/>
      <c r="CD8" s="16" t="s">
        <v>165</v>
      </c>
      <c r="CE8" s="11"/>
      <c r="CF8" s="11"/>
      <c r="CG8" s="11"/>
      <c r="CH8" s="11"/>
      <c r="CI8" s="11"/>
      <c r="CJ8" s="11"/>
      <c r="CK8" s="17"/>
      <c r="CL8" s="17"/>
      <c r="CM8" s="17"/>
      <c r="CN8" s="12" t="s">
        <v>164</v>
      </c>
      <c r="CO8" s="13"/>
    </row>
    <row r="9" spans="1:93" ht="18.7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18"/>
      <c r="BL9" s="14"/>
      <c r="BM9" s="20"/>
      <c r="BN9" s="20"/>
      <c r="BO9" s="4"/>
      <c r="BP9" s="9"/>
      <c r="BQ9" s="9"/>
      <c r="BT9" s="9"/>
      <c r="BU9" s="21">
        <v>1</v>
      </c>
      <c r="BV9" s="21">
        <v>2</v>
      </c>
      <c r="BZ9" s="4"/>
      <c r="CB9" s="16" t="s">
        <v>165</v>
      </c>
      <c r="CC9" s="11"/>
      <c r="CD9" s="16" t="s">
        <v>165</v>
      </c>
      <c r="CE9" s="11"/>
      <c r="CF9" s="11"/>
      <c r="CG9" s="11"/>
      <c r="CH9" s="11"/>
      <c r="CI9" s="11"/>
      <c r="CJ9" s="11"/>
      <c r="CK9" s="17"/>
      <c r="CL9" s="17"/>
      <c r="CM9" s="17"/>
      <c r="CN9" s="22" t="s">
        <v>167</v>
      </c>
      <c r="CO9" s="13"/>
    </row>
    <row r="10" spans="1:93" ht="18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18"/>
      <c r="BL10" s="14"/>
      <c r="BM10" s="23"/>
      <c r="BN10" s="23"/>
      <c r="BO10" s="4"/>
      <c r="BP10" s="9"/>
      <c r="BQ10" s="9"/>
      <c r="BT10" s="24" t="s">
        <v>168</v>
      </c>
      <c r="BU10" s="25"/>
      <c r="BV10" s="25"/>
      <c r="BZ10" s="11"/>
      <c r="CC10" s="16" t="s">
        <v>165</v>
      </c>
      <c r="CD10" s="16" t="s">
        <v>165</v>
      </c>
      <c r="CE10" s="11"/>
      <c r="CF10" s="11"/>
      <c r="CG10" s="11"/>
      <c r="CH10" s="11"/>
      <c r="CI10" s="11"/>
      <c r="CJ10" s="11"/>
      <c r="CK10" s="17"/>
      <c r="CL10" s="17"/>
      <c r="CM10" s="17"/>
      <c r="CN10" s="22" t="s">
        <v>167</v>
      </c>
      <c r="CO10" s="13"/>
    </row>
    <row r="11" spans="1:93" ht="23.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1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18"/>
      <c r="BL11" s="14"/>
      <c r="BM11" s="23"/>
      <c r="BN11" s="23"/>
      <c r="BO11" s="4"/>
      <c r="BP11" s="26" t="s">
        <v>169</v>
      </c>
      <c r="BQ11" s="26" t="s">
        <v>169</v>
      </c>
      <c r="BT11" s="25" t="s">
        <v>170</v>
      </c>
      <c r="BU11" s="27" t="s">
        <v>133</v>
      </c>
      <c r="BV11" s="27" t="s">
        <v>133</v>
      </c>
      <c r="BW11" s="25" t="s">
        <v>170</v>
      </c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2" t="s">
        <v>164</v>
      </c>
      <c r="CK11" s="17"/>
      <c r="CL11" s="17"/>
      <c r="CM11" s="17"/>
      <c r="CN11" s="22" t="s">
        <v>167</v>
      </c>
      <c r="CO11" s="13"/>
    </row>
    <row r="12" spans="1:93" ht="23.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  <c r="V12" s="4"/>
      <c r="W12" s="11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18"/>
      <c r="BL12" s="14"/>
      <c r="BM12" s="23"/>
      <c r="BN12" s="23"/>
      <c r="BO12" s="4"/>
      <c r="BP12" s="26" t="s">
        <v>169</v>
      </c>
      <c r="BQ12" s="26" t="s">
        <v>169</v>
      </c>
      <c r="BT12" s="25" t="s">
        <v>170</v>
      </c>
      <c r="BU12" s="27" t="s">
        <v>133</v>
      </c>
      <c r="BV12" s="27" t="s">
        <v>133</v>
      </c>
      <c r="BW12" s="25" t="s">
        <v>170</v>
      </c>
      <c r="BX12" s="15"/>
      <c r="BY12" s="15"/>
      <c r="BZ12" s="11"/>
      <c r="CA12" s="11"/>
      <c r="CB12" s="11"/>
      <c r="CC12" s="11"/>
      <c r="CD12" s="11"/>
      <c r="CE12" s="11"/>
      <c r="CF12" s="11"/>
      <c r="CG12" s="11"/>
      <c r="CH12" s="11"/>
      <c r="CI12" s="12" t="s">
        <v>164</v>
      </c>
      <c r="CJ12" s="11"/>
      <c r="CK12" s="12" t="s">
        <v>164</v>
      </c>
      <c r="CL12" s="17"/>
      <c r="CM12" s="17"/>
      <c r="CN12" s="12" t="s">
        <v>164</v>
      </c>
      <c r="CO12" s="13"/>
    </row>
    <row r="13" spans="1:93" ht="18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1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18"/>
      <c r="BL13" s="14"/>
      <c r="BM13" s="20"/>
      <c r="BN13" s="20"/>
      <c r="BO13" s="4"/>
      <c r="BP13" s="9"/>
      <c r="BQ13" s="9"/>
      <c r="BT13" s="9"/>
      <c r="BU13" s="25"/>
      <c r="BV13" s="25"/>
      <c r="BW13" s="9"/>
      <c r="BX13" s="9"/>
      <c r="BY13" s="9"/>
      <c r="BZ13" s="11"/>
      <c r="CA13" s="11"/>
      <c r="CB13" s="11"/>
      <c r="CC13" s="11"/>
      <c r="CD13" s="11"/>
      <c r="CE13" s="11"/>
      <c r="CF13" s="11"/>
      <c r="CG13" s="11"/>
      <c r="CH13" s="12" t="s">
        <v>164</v>
      </c>
      <c r="CI13" s="11"/>
      <c r="CL13" s="12" t="s">
        <v>164</v>
      </c>
      <c r="CM13" s="17"/>
      <c r="CN13" s="12" t="s">
        <v>164</v>
      </c>
      <c r="CO13" s="13"/>
    </row>
    <row r="14" spans="1:93" ht="18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1"/>
      <c r="V14" s="11"/>
      <c r="W14" s="11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18"/>
      <c r="BL14" s="14"/>
      <c r="BM14" s="23"/>
      <c r="BN14" s="23"/>
      <c r="BO14" s="4"/>
      <c r="BP14" s="9"/>
      <c r="BQ14" s="9"/>
      <c r="BT14" s="9"/>
      <c r="BU14" s="21">
        <v>4</v>
      </c>
      <c r="BV14" s="21">
        <v>3</v>
      </c>
      <c r="BY14" s="28"/>
      <c r="CA14" s="11"/>
      <c r="CB14" s="11"/>
      <c r="CC14" s="11"/>
      <c r="CD14" s="11"/>
      <c r="CE14" s="11"/>
      <c r="CF14" s="11"/>
      <c r="CG14" s="11"/>
      <c r="CH14" s="11"/>
      <c r="CI14" s="12" t="s">
        <v>164</v>
      </c>
      <c r="CK14" s="12" t="s">
        <v>164</v>
      </c>
      <c r="CL14" s="17"/>
      <c r="CM14" s="17"/>
      <c r="CN14" s="12" t="s">
        <v>164</v>
      </c>
      <c r="CO14" s="13"/>
    </row>
    <row r="15" spans="1:93" ht="18.75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4"/>
      <c r="BC15" s="4"/>
      <c r="BD15" s="4"/>
      <c r="BE15" s="4"/>
      <c r="BF15" s="4"/>
      <c r="BG15" s="4"/>
      <c r="BH15" s="4"/>
      <c r="BI15" s="4"/>
      <c r="BJ15" s="4"/>
      <c r="BK15" s="18"/>
      <c r="BL15" s="32"/>
      <c r="BM15" s="23"/>
      <c r="BN15" s="23"/>
      <c r="BO15" s="4"/>
      <c r="BP15" s="20"/>
      <c r="BQ15" s="20"/>
      <c r="BT15" s="20"/>
      <c r="BU15" s="33"/>
      <c r="BV15" s="33"/>
      <c r="BW15" s="34"/>
      <c r="BX15" s="35"/>
      <c r="BY15" s="36"/>
      <c r="CE15" s="11"/>
      <c r="CF15" s="11"/>
      <c r="CG15" s="11"/>
      <c r="CH15" s="11"/>
      <c r="CI15" s="11"/>
      <c r="CJ15" s="12" t="s">
        <v>164</v>
      </c>
      <c r="CL15" s="17"/>
      <c r="CM15" s="17"/>
      <c r="CN15" s="37" t="s">
        <v>171</v>
      </c>
      <c r="CO15" s="13"/>
    </row>
    <row r="16" spans="1:93" ht="24" thickBot="1" x14ac:dyDescent="0.3">
      <c r="A16" s="29"/>
      <c r="B16" s="38"/>
      <c r="C16" s="38"/>
      <c r="D16" s="38"/>
      <c r="E16" s="38"/>
      <c r="F16" s="38"/>
      <c r="G16" s="38"/>
      <c r="H16" s="38"/>
      <c r="I16" s="39"/>
      <c r="J16" s="38"/>
      <c r="K16" s="4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2"/>
      <c r="BG16" s="42"/>
      <c r="BH16" s="42"/>
      <c r="BI16" s="42"/>
      <c r="BJ16" s="42"/>
      <c r="BK16" s="43"/>
      <c r="BL16" s="44"/>
      <c r="BM16" s="23"/>
      <c r="BN16" s="23"/>
      <c r="BO16" s="45"/>
      <c r="BP16" s="20"/>
      <c r="BQ16" s="20"/>
      <c r="BS16" s="21">
        <v>1</v>
      </c>
      <c r="BT16" s="33" t="s">
        <v>172</v>
      </c>
      <c r="BU16" s="3" t="s">
        <v>102</v>
      </c>
      <c r="BV16" s="3" t="s">
        <v>102</v>
      </c>
      <c r="BW16" s="33" t="s">
        <v>172</v>
      </c>
      <c r="BX16" s="21">
        <v>6</v>
      </c>
      <c r="BY16" s="46"/>
      <c r="CA16" s="12" t="s">
        <v>164</v>
      </c>
      <c r="CB16" s="12" t="s">
        <v>164</v>
      </c>
      <c r="CC16" s="12" t="s">
        <v>164</v>
      </c>
      <c r="CD16" s="12" t="s">
        <v>164</v>
      </c>
      <c r="CE16" s="12" t="s">
        <v>164</v>
      </c>
      <c r="CF16" s="11"/>
      <c r="CG16" s="11"/>
      <c r="CH16" s="11"/>
      <c r="CI16" s="11"/>
      <c r="CJ16" s="11"/>
      <c r="CK16" s="17"/>
      <c r="CL16" s="17"/>
      <c r="CM16" s="47"/>
      <c r="CN16" s="37" t="s">
        <v>171</v>
      </c>
      <c r="CO16" s="13"/>
    </row>
    <row r="17" spans="1:93" ht="23.25" x14ac:dyDescent="0.25">
      <c r="A17" s="48"/>
      <c r="B17" s="49" t="s">
        <v>173</v>
      </c>
      <c r="C17" s="49" t="s">
        <v>173</v>
      </c>
      <c r="D17" s="49" t="s">
        <v>173</v>
      </c>
      <c r="E17" s="49" t="s">
        <v>173</v>
      </c>
      <c r="F17" s="49" t="s">
        <v>173</v>
      </c>
      <c r="G17" s="4"/>
      <c r="H17" s="49" t="s">
        <v>173</v>
      </c>
      <c r="I17" s="49" t="s">
        <v>173</v>
      </c>
      <c r="J17" s="50" t="s">
        <v>174</v>
      </c>
      <c r="K17" s="50" t="s">
        <v>174</v>
      </c>
      <c r="L17" s="50" t="s">
        <v>174</v>
      </c>
      <c r="M17" s="50" t="s">
        <v>174</v>
      </c>
      <c r="N17" s="50" t="s">
        <v>174</v>
      </c>
      <c r="O17" s="50" t="s">
        <v>174</v>
      </c>
      <c r="P17" s="51"/>
      <c r="Q17" s="50" t="s">
        <v>174</v>
      </c>
      <c r="R17" s="50" t="s">
        <v>174</v>
      </c>
      <c r="S17" s="50" t="s">
        <v>174</v>
      </c>
      <c r="T17" s="50" t="s">
        <v>174</v>
      </c>
      <c r="U17" s="50" t="s">
        <v>174</v>
      </c>
      <c r="V17" s="50" t="s">
        <v>174</v>
      </c>
      <c r="W17" s="50" t="s">
        <v>174</v>
      </c>
      <c r="X17" s="50" t="s">
        <v>174</v>
      </c>
      <c r="Y17" s="50" t="s">
        <v>174</v>
      </c>
      <c r="Z17" s="50" t="s">
        <v>174</v>
      </c>
      <c r="AA17" s="50" t="s">
        <v>174</v>
      </c>
      <c r="AB17" s="50" t="s">
        <v>174</v>
      </c>
      <c r="AC17" s="50" t="s">
        <v>174</v>
      </c>
      <c r="AD17" s="50" t="s">
        <v>174</v>
      </c>
      <c r="AE17" s="52"/>
      <c r="AF17" s="52"/>
      <c r="AG17" s="53"/>
      <c r="AH17" s="54"/>
      <c r="AI17" s="55" t="s">
        <v>175</v>
      </c>
      <c r="AJ17" s="55" t="s">
        <v>175</v>
      </c>
      <c r="AK17" s="55" t="s">
        <v>175</v>
      </c>
      <c r="AL17" s="55" t="s">
        <v>175</v>
      </c>
      <c r="AM17" s="55" t="s">
        <v>175</v>
      </c>
      <c r="AN17" s="55" t="s">
        <v>175</v>
      </c>
      <c r="AO17" s="55" t="s">
        <v>175</v>
      </c>
      <c r="AP17" s="55" t="s">
        <v>175</v>
      </c>
      <c r="AQ17" s="55" t="s">
        <v>175</v>
      </c>
      <c r="AR17" s="55" t="s">
        <v>175</v>
      </c>
      <c r="AS17" s="55" t="s">
        <v>175</v>
      </c>
      <c r="AT17" s="55" t="s">
        <v>175</v>
      </c>
      <c r="AU17" s="55" t="s">
        <v>175</v>
      </c>
      <c r="AV17" s="55" t="s">
        <v>175</v>
      </c>
      <c r="AW17" s="55" t="s">
        <v>175</v>
      </c>
      <c r="AX17" s="55" t="s">
        <v>175</v>
      </c>
      <c r="AY17" s="55" t="s">
        <v>175</v>
      </c>
      <c r="AZ17" s="54"/>
      <c r="BA17" s="56"/>
      <c r="BB17" s="56"/>
      <c r="BC17" s="56"/>
      <c r="BD17" s="56"/>
      <c r="BE17" s="57"/>
      <c r="BF17" s="58" t="s">
        <v>176</v>
      </c>
      <c r="BG17" s="58" t="s">
        <v>176</v>
      </c>
      <c r="BH17" s="58" t="s">
        <v>176</v>
      </c>
      <c r="BI17" s="58" t="s">
        <v>176</v>
      </c>
      <c r="BL17" s="59"/>
      <c r="BM17" s="23"/>
      <c r="BN17" s="23"/>
      <c r="BO17" s="20"/>
      <c r="BP17" s="60" t="s">
        <v>177</v>
      </c>
      <c r="BQ17" s="60" t="s">
        <v>177</v>
      </c>
      <c r="BS17" s="21">
        <v>2</v>
      </c>
      <c r="BT17" s="33" t="s">
        <v>172</v>
      </c>
      <c r="BU17" s="3" t="s">
        <v>102</v>
      </c>
      <c r="BV17" s="3" t="s">
        <v>102</v>
      </c>
      <c r="BW17" s="33" t="s">
        <v>172</v>
      </c>
      <c r="BX17" s="21">
        <v>5</v>
      </c>
      <c r="BY17" s="36"/>
      <c r="CA17" s="12" t="s">
        <v>164</v>
      </c>
      <c r="CB17" s="12" t="s">
        <v>164</v>
      </c>
      <c r="CC17" s="12" t="s">
        <v>164</v>
      </c>
      <c r="CD17" s="12" t="s">
        <v>164</v>
      </c>
      <c r="CE17" s="12" t="s">
        <v>164</v>
      </c>
      <c r="CF17" s="11"/>
      <c r="CG17" s="11"/>
      <c r="CH17" s="11"/>
      <c r="CI17" s="11"/>
      <c r="CJ17" s="11"/>
      <c r="CK17" s="17"/>
      <c r="CL17" s="17"/>
      <c r="CM17" s="47"/>
      <c r="CN17" s="37" t="s">
        <v>171</v>
      </c>
      <c r="CO17" s="13"/>
    </row>
    <row r="18" spans="1:93" ht="24" thickBot="1" x14ac:dyDescent="0.3">
      <c r="A18" s="48"/>
      <c r="B18" s="814" t="s">
        <v>178</v>
      </c>
      <c r="C18" s="682"/>
      <c r="D18" s="682"/>
      <c r="E18" s="683" t="s">
        <v>179</v>
      </c>
      <c r="F18" s="684"/>
      <c r="T18" s="11"/>
      <c r="U18" s="61"/>
      <c r="V18" s="62"/>
      <c r="W18" s="62"/>
      <c r="X18" s="62"/>
      <c r="Y18" s="62"/>
      <c r="Z18" s="62"/>
      <c r="AA18" s="11"/>
      <c r="AB18" s="63"/>
      <c r="AC18" s="63"/>
      <c r="AD18" s="63"/>
      <c r="AE18" s="63"/>
      <c r="AF18" s="63"/>
      <c r="AH18" s="64"/>
      <c r="AI18" s="54" t="s">
        <v>180</v>
      </c>
      <c r="AJ18" s="54" t="s">
        <v>180</v>
      </c>
      <c r="AK18" s="54" t="s">
        <v>180</v>
      </c>
      <c r="AL18" s="54" t="s">
        <v>180</v>
      </c>
      <c r="AM18" s="54" t="s">
        <v>181</v>
      </c>
      <c r="AN18" s="54" t="s">
        <v>181</v>
      </c>
      <c r="AO18" s="54" t="s">
        <v>181</v>
      </c>
      <c r="AP18" s="54" t="s">
        <v>181</v>
      </c>
      <c r="AQ18" s="54" t="s">
        <v>181</v>
      </c>
      <c r="AR18" s="54" t="s">
        <v>181</v>
      </c>
      <c r="AS18" s="54" t="s">
        <v>181</v>
      </c>
      <c r="AT18" s="54" t="s">
        <v>181</v>
      </c>
      <c r="AU18" s="54" t="s">
        <v>181</v>
      </c>
      <c r="AV18" s="54" t="s">
        <v>181</v>
      </c>
      <c r="AW18" s="54" t="s">
        <v>181</v>
      </c>
      <c r="AX18" s="54" t="s">
        <v>181</v>
      </c>
      <c r="AY18" s="54" t="s">
        <v>181</v>
      </c>
      <c r="AZ18" s="64"/>
      <c r="BA18" s="57"/>
      <c r="BB18" s="57"/>
      <c r="BC18" s="57"/>
      <c r="BD18" s="57"/>
      <c r="BE18" s="46"/>
      <c r="BG18" s="65"/>
      <c r="BI18" s="685" t="s">
        <v>182</v>
      </c>
      <c r="BJ18" s="685"/>
      <c r="BK18" s="65"/>
      <c r="BL18" s="59"/>
      <c r="BM18" s="20"/>
      <c r="BN18" s="20"/>
      <c r="BO18" s="20"/>
      <c r="BP18" s="60" t="s">
        <v>177</v>
      </c>
      <c r="BQ18" s="60" t="s">
        <v>177</v>
      </c>
      <c r="BS18" s="21">
        <v>3</v>
      </c>
      <c r="BT18" s="33" t="s">
        <v>172</v>
      </c>
      <c r="BU18" s="3" t="s">
        <v>102</v>
      </c>
      <c r="BV18" s="3" t="s">
        <v>102</v>
      </c>
      <c r="BW18" s="33" t="s">
        <v>172</v>
      </c>
      <c r="BX18" s="21">
        <v>4</v>
      </c>
      <c r="BY18" s="46"/>
      <c r="CA18" s="66"/>
      <c r="CB18" s="66"/>
      <c r="CC18" s="66"/>
      <c r="CD18" s="66"/>
      <c r="CF18" s="17"/>
      <c r="CG18" s="17"/>
      <c r="CH18" s="45"/>
      <c r="CI18" s="17"/>
      <c r="CJ18" s="17"/>
      <c r="CK18" s="17"/>
      <c r="CL18" s="17"/>
      <c r="CM18" s="9"/>
      <c r="CN18" s="10"/>
      <c r="CO18" s="13"/>
    </row>
    <row r="19" spans="1:93" ht="23.25" x14ac:dyDescent="0.3">
      <c r="A19" s="48"/>
      <c r="B19" s="17"/>
      <c r="C19" s="17"/>
      <c r="D19" s="4"/>
      <c r="E19" s="4"/>
      <c r="T19" s="4"/>
      <c r="U19" s="67"/>
      <c r="V19" s="68"/>
      <c r="W19" s="69"/>
      <c r="X19" s="70"/>
      <c r="Y19" s="69"/>
      <c r="Z19" s="69"/>
      <c r="AA19" s="67"/>
      <c r="AB19" s="68"/>
      <c r="AC19" s="69"/>
      <c r="AD19" s="70"/>
      <c r="AE19" s="69"/>
      <c r="AF19" s="69"/>
      <c r="AH19" s="71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1" t="s">
        <v>183</v>
      </c>
      <c r="BA19" s="73"/>
      <c r="BB19" s="73"/>
      <c r="BC19" s="73"/>
      <c r="BE19" s="73">
        <v>1</v>
      </c>
      <c r="BF19" s="73">
        <v>2</v>
      </c>
      <c r="BG19" s="73">
        <v>3</v>
      </c>
      <c r="BH19" s="73"/>
      <c r="BI19" s="73">
        <v>4</v>
      </c>
      <c r="BJ19" s="73"/>
      <c r="BK19" s="65"/>
      <c r="BL19" s="59"/>
      <c r="BM19" s="20"/>
      <c r="BN19" s="20"/>
      <c r="BO19" s="20"/>
      <c r="BP19" s="60" t="s">
        <v>177</v>
      </c>
      <c r="BQ19" s="60" t="s">
        <v>177</v>
      </c>
      <c r="BS19" s="21"/>
      <c r="BU19" s="33"/>
      <c r="BV19" s="33"/>
      <c r="BW19" s="74"/>
      <c r="BX19" s="21"/>
      <c r="BY19" s="46"/>
      <c r="BZ19" s="50" t="s">
        <v>174</v>
      </c>
      <c r="CA19" s="50" t="s">
        <v>174</v>
      </c>
      <c r="CB19" s="50" t="s">
        <v>174</v>
      </c>
      <c r="CC19" s="50" t="s">
        <v>174</v>
      </c>
      <c r="CD19" s="50" t="s">
        <v>174</v>
      </c>
      <c r="CE19" s="75"/>
      <c r="CF19" s="76"/>
      <c r="CG19" s="76"/>
      <c r="CH19" s="76"/>
      <c r="CI19" s="77"/>
      <c r="CJ19" s="78"/>
      <c r="CK19" s="78"/>
      <c r="CL19" s="78"/>
      <c r="CM19" s="79"/>
      <c r="CN19" s="79"/>
      <c r="CO19" s="13"/>
    </row>
    <row r="20" spans="1:93" ht="23.25" x14ac:dyDescent="0.35">
      <c r="A20" s="48"/>
      <c r="B20" s="4"/>
      <c r="C20" s="45"/>
      <c r="D20" s="80"/>
      <c r="E20" s="45"/>
      <c r="F20" s="81"/>
      <c r="G20" s="81"/>
      <c r="H20" s="1"/>
      <c r="K20" s="82"/>
      <c r="L20" s="11"/>
      <c r="M20" s="11"/>
      <c r="N20" s="11"/>
      <c r="O20" s="17"/>
      <c r="P20" s="1"/>
      <c r="Q20" s="17"/>
      <c r="R20" s="17"/>
      <c r="S20" s="83"/>
      <c r="T20" s="84"/>
      <c r="U20" s="85"/>
      <c r="V20" s="86" t="s">
        <v>181</v>
      </c>
      <c r="W20" s="86" t="s">
        <v>181</v>
      </c>
      <c r="X20" s="86" t="s">
        <v>181</v>
      </c>
      <c r="Y20" s="86" t="s">
        <v>181</v>
      </c>
      <c r="Z20" s="71" t="s">
        <v>184</v>
      </c>
      <c r="AA20" s="86" t="s">
        <v>181</v>
      </c>
      <c r="AB20" s="86" t="s">
        <v>181</v>
      </c>
      <c r="AC20" s="86" t="s">
        <v>181</v>
      </c>
      <c r="AD20" s="86" t="s">
        <v>181</v>
      </c>
      <c r="AE20" s="87" t="s">
        <v>185</v>
      </c>
      <c r="AF20" s="86" t="s">
        <v>181</v>
      </c>
      <c r="AG20" s="88" t="s">
        <v>181</v>
      </c>
      <c r="AH20" s="88" t="s">
        <v>181</v>
      </c>
      <c r="AI20" s="88" t="s">
        <v>181</v>
      </c>
      <c r="AJ20" s="85"/>
      <c r="AK20" s="71" t="s">
        <v>186</v>
      </c>
      <c r="AL20" s="54" t="s">
        <v>181</v>
      </c>
      <c r="AM20" s="54" t="s">
        <v>181</v>
      </c>
      <c r="AN20" s="54" t="s">
        <v>181</v>
      </c>
      <c r="AO20" s="54" t="s">
        <v>181</v>
      </c>
      <c r="AP20" s="54" t="s">
        <v>181</v>
      </c>
      <c r="AQ20" s="71" t="s">
        <v>187</v>
      </c>
      <c r="AR20" s="819" t="s">
        <v>178</v>
      </c>
      <c r="AS20" s="819"/>
      <c r="AT20" s="819"/>
      <c r="AU20" s="819"/>
      <c r="AV20" s="46"/>
      <c r="AW20" s="89" t="s">
        <v>188</v>
      </c>
      <c r="AX20" s="89"/>
      <c r="AZ20" s="89"/>
      <c r="BB20" s="46"/>
      <c r="BC20" s="90"/>
      <c r="BD20" s="91" t="s">
        <v>189</v>
      </c>
      <c r="BE20" s="92" t="s">
        <v>190</v>
      </c>
      <c r="BF20" s="92" t="s">
        <v>190</v>
      </c>
      <c r="BG20" s="92" t="s">
        <v>190</v>
      </c>
      <c r="BH20" s="24" t="s">
        <v>186</v>
      </c>
      <c r="BI20" s="93" t="s">
        <v>170</v>
      </c>
      <c r="BJ20" s="94"/>
      <c r="BK20" s="65"/>
      <c r="BL20" s="59"/>
      <c r="BM20" s="20"/>
      <c r="BN20" s="20"/>
      <c r="BO20" s="20"/>
      <c r="BP20" s="20"/>
      <c r="BQ20" s="20"/>
      <c r="BR20" s="20"/>
      <c r="BS20" s="4"/>
      <c r="BT20" s="46"/>
      <c r="BU20" s="19" t="s">
        <v>191</v>
      </c>
      <c r="BV20" s="19"/>
      <c r="BW20" s="46"/>
      <c r="BX20" s="74"/>
      <c r="BY20" s="95"/>
      <c r="BZ20" s="50" t="s">
        <v>174</v>
      </c>
      <c r="CA20" s="50" t="s">
        <v>174</v>
      </c>
      <c r="CB20" s="50" t="s">
        <v>174</v>
      </c>
      <c r="CC20" s="50" t="s">
        <v>174</v>
      </c>
      <c r="CD20" s="50" t="s">
        <v>174</v>
      </c>
      <c r="CE20" s="96"/>
      <c r="CF20" s="97"/>
      <c r="CG20" s="97"/>
      <c r="CH20" s="97"/>
      <c r="CI20" s="98"/>
      <c r="CJ20" s="99"/>
      <c r="CK20" s="99"/>
      <c r="CL20" s="99"/>
      <c r="CM20" s="100"/>
      <c r="CN20" s="100"/>
      <c r="CO20" s="13"/>
    </row>
    <row r="21" spans="1:93" ht="23.25" x14ac:dyDescent="0.35">
      <c r="A21" s="48"/>
      <c r="B21" s="4"/>
      <c r="C21" s="45"/>
      <c r="D21" s="80"/>
      <c r="F21" s="101"/>
      <c r="G21" s="101"/>
      <c r="H21" s="102"/>
      <c r="I21" s="103"/>
      <c r="J21" s="104"/>
      <c r="K21" s="104"/>
      <c r="L21" s="104"/>
      <c r="M21" s="104"/>
      <c r="N21" s="104"/>
      <c r="O21" s="17"/>
      <c r="P21" s="84"/>
      <c r="Q21" s="84"/>
      <c r="R21" s="84"/>
      <c r="S21" s="28"/>
      <c r="T21" s="105"/>
      <c r="U21" s="106"/>
      <c r="V21" s="55" t="s">
        <v>175</v>
      </c>
      <c r="W21" s="55" t="s">
        <v>175</v>
      </c>
      <c r="X21" s="55" t="s">
        <v>175</v>
      </c>
      <c r="Y21" s="55" t="s">
        <v>175</v>
      </c>
      <c r="Z21" s="106"/>
      <c r="AA21" s="55" t="s">
        <v>175</v>
      </c>
      <c r="AB21" s="55" t="s">
        <v>175</v>
      </c>
      <c r="AC21" s="55" t="s">
        <v>175</v>
      </c>
      <c r="AD21" s="55" t="s">
        <v>175</v>
      </c>
      <c r="AE21" s="106"/>
      <c r="AF21" s="55" t="s">
        <v>175</v>
      </c>
      <c r="AG21" s="55" t="s">
        <v>175</v>
      </c>
      <c r="AH21" s="55" t="s">
        <v>175</v>
      </c>
      <c r="AI21" s="55" t="s">
        <v>175</v>
      </c>
      <c r="AJ21" s="106"/>
      <c r="AK21" s="106"/>
      <c r="AL21" s="55" t="s">
        <v>175</v>
      </c>
      <c r="AM21" s="55" t="s">
        <v>175</v>
      </c>
      <c r="AN21" s="55" t="s">
        <v>175</v>
      </c>
      <c r="AO21" s="55" t="s">
        <v>175</v>
      </c>
      <c r="AP21" s="55" t="s">
        <v>175</v>
      </c>
      <c r="AQ21" s="107"/>
      <c r="AR21" s="49" t="s">
        <v>173</v>
      </c>
      <c r="AS21" s="49" t="s">
        <v>173</v>
      </c>
      <c r="AT21" s="49" t="s">
        <v>173</v>
      </c>
      <c r="AU21" s="49" t="s">
        <v>173</v>
      </c>
      <c r="AV21" s="108"/>
      <c r="AW21" s="109" t="s">
        <v>192</v>
      </c>
      <c r="AX21" s="109" t="s">
        <v>192</v>
      </c>
      <c r="AY21" s="109" t="s">
        <v>192</v>
      </c>
      <c r="AZ21" s="89"/>
      <c r="BB21" s="110"/>
      <c r="BC21" s="110"/>
      <c r="BD21" s="92"/>
      <c r="BE21" s="111" t="s">
        <v>11</v>
      </c>
      <c r="BF21" s="111" t="s">
        <v>11</v>
      </c>
      <c r="BG21" s="112" t="s">
        <v>9</v>
      </c>
      <c r="BH21" s="93"/>
      <c r="BI21" s="113" t="s">
        <v>2</v>
      </c>
      <c r="BJ21" s="93"/>
      <c r="BK21" s="65"/>
      <c r="BL21" s="59"/>
      <c r="BM21" s="20"/>
      <c r="BN21" s="20"/>
      <c r="BO21" s="20"/>
      <c r="BP21" s="20"/>
      <c r="BQ21" s="20"/>
      <c r="BR21" s="20"/>
      <c r="BS21" s="4"/>
      <c r="BT21" s="114"/>
      <c r="BU21" s="35"/>
      <c r="BV21" s="110"/>
      <c r="BW21" s="110"/>
      <c r="BX21" s="35"/>
      <c r="BY21" s="95"/>
      <c r="BZ21" s="115"/>
      <c r="CA21" s="115"/>
      <c r="CB21" s="115"/>
      <c r="CC21" s="115"/>
      <c r="CD21" s="116"/>
      <c r="CE21" s="117"/>
      <c r="CF21" s="98"/>
      <c r="CG21" s="98"/>
      <c r="CH21" s="98"/>
      <c r="CJ21" s="99"/>
      <c r="CK21" s="99"/>
      <c r="CL21" s="99"/>
      <c r="CM21" s="100"/>
      <c r="CN21" s="118"/>
    </row>
    <row r="22" spans="1:93" ht="24" thickBot="1" x14ac:dyDescent="0.3">
      <c r="A22" s="48"/>
      <c r="B22" s="4"/>
      <c r="C22" s="45"/>
      <c r="D22" s="80"/>
      <c r="E22" s="119" t="s">
        <v>193</v>
      </c>
      <c r="F22" s="119" t="s">
        <v>193</v>
      </c>
      <c r="G22" s="119" t="s">
        <v>193</v>
      </c>
      <c r="H22" s="119" t="s">
        <v>193</v>
      </c>
      <c r="J22" s="119" t="s">
        <v>193</v>
      </c>
      <c r="K22" s="119" t="s">
        <v>193</v>
      </c>
      <c r="L22" s="119" t="s">
        <v>193</v>
      </c>
      <c r="M22" s="119" t="s">
        <v>193</v>
      </c>
      <c r="P22" s="119" t="s">
        <v>193</v>
      </c>
      <c r="Q22" s="119" t="s">
        <v>193</v>
      </c>
      <c r="R22" s="119" t="s">
        <v>193</v>
      </c>
      <c r="S22" s="119" t="s">
        <v>193</v>
      </c>
      <c r="T22" s="105"/>
      <c r="U22" s="106"/>
      <c r="V22" s="55" t="s">
        <v>175</v>
      </c>
      <c r="W22" s="55" t="s">
        <v>175</v>
      </c>
      <c r="X22" s="55" t="s">
        <v>175</v>
      </c>
      <c r="Y22" s="55" t="s">
        <v>175</v>
      </c>
      <c r="Z22" s="106"/>
      <c r="AA22" s="55" t="s">
        <v>175</v>
      </c>
      <c r="AB22" s="55" t="s">
        <v>175</v>
      </c>
      <c r="AC22" s="55" t="s">
        <v>175</v>
      </c>
      <c r="AD22" s="55" t="s">
        <v>175</v>
      </c>
      <c r="AE22" s="106"/>
      <c r="AF22" s="55" t="s">
        <v>175</v>
      </c>
      <c r="AG22" s="55" t="s">
        <v>175</v>
      </c>
      <c r="AH22" s="55" t="s">
        <v>175</v>
      </c>
      <c r="AI22" s="55" t="s">
        <v>175</v>
      </c>
      <c r="AJ22" s="106"/>
      <c r="AK22" s="106"/>
      <c r="AL22" s="55" t="s">
        <v>175</v>
      </c>
      <c r="AM22" s="55" t="s">
        <v>175</v>
      </c>
      <c r="AN22" s="55" t="s">
        <v>175</v>
      </c>
      <c r="AO22" s="55" t="s">
        <v>175</v>
      </c>
      <c r="AP22" s="55" t="s">
        <v>175</v>
      </c>
      <c r="AQ22" s="107"/>
      <c r="AR22" s="49" t="s">
        <v>173</v>
      </c>
      <c r="AS22" s="49" t="s">
        <v>173</v>
      </c>
      <c r="AT22" s="49" t="s">
        <v>173</v>
      </c>
      <c r="AU22" s="49" t="s">
        <v>173</v>
      </c>
      <c r="AV22" s="108"/>
      <c r="AW22" s="109" t="s">
        <v>192</v>
      </c>
      <c r="AX22" s="109" t="s">
        <v>192</v>
      </c>
      <c r="AY22" s="109" t="s">
        <v>192</v>
      </c>
      <c r="AZ22" s="89"/>
      <c r="BB22" s="110"/>
      <c r="BC22" s="110"/>
      <c r="BD22" s="92"/>
      <c r="BE22" s="112" t="s">
        <v>9</v>
      </c>
      <c r="BF22" s="112" t="s">
        <v>9</v>
      </c>
      <c r="BG22" s="112" t="s">
        <v>9</v>
      </c>
      <c r="BH22" s="93"/>
      <c r="BI22" s="120" t="s">
        <v>4</v>
      </c>
      <c r="BJ22" s="93"/>
      <c r="BK22" s="65"/>
      <c r="BL22" s="59"/>
      <c r="BM22" s="20"/>
      <c r="BN22" s="20"/>
      <c r="BO22" s="20"/>
      <c r="BP22" s="20"/>
      <c r="BQ22" s="20"/>
      <c r="BR22" s="20"/>
      <c r="BS22" s="4"/>
      <c r="BT22" s="46"/>
      <c r="BU22" s="46"/>
      <c r="BV22" s="34"/>
      <c r="BW22" s="46"/>
      <c r="BZ22" s="46"/>
      <c r="CA22" s="121"/>
      <c r="CB22" s="121"/>
      <c r="CC22" s="121"/>
      <c r="CD22" s="122"/>
      <c r="CE22" s="117"/>
      <c r="CF22" s="98"/>
      <c r="CG22" s="98"/>
      <c r="CH22" s="98"/>
      <c r="CJ22" s="99"/>
      <c r="CK22" s="99"/>
      <c r="CL22" s="99"/>
      <c r="CM22" s="100"/>
      <c r="CN22" s="118"/>
    </row>
    <row r="23" spans="1:93" ht="23.25" x14ac:dyDescent="0.25">
      <c r="A23" s="48"/>
      <c r="B23" s="4"/>
      <c r="C23" s="45"/>
      <c r="D23" s="80"/>
      <c r="E23" s="119" t="s">
        <v>193</v>
      </c>
      <c r="F23" s="119" t="s">
        <v>193</v>
      </c>
      <c r="G23" s="119" t="s">
        <v>193</v>
      </c>
      <c r="H23" s="119" t="s">
        <v>193</v>
      </c>
      <c r="J23" s="119" t="s">
        <v>193</v>
      </c>
      <c r="K23" s="119" t="s">
        <v>193</v>
      </c>
      <c r="L23" s="119" t="s">
        <v>193</v>
      </c>
      <c r="M23" s="119" t="s">
        <v>193</v>
      </c>
      <c r="P23" s="119" t="s">
        <v>193</v>
      </c>
      <c r="Q23" s="119" t="s">
        <v>193</v>
      </c>
      <c r="R23" s="119" t="s">
        <v>193</v>
      </c>
      <c r="S23" s="119" t="s">
        <v>193</v>
      </c>
      <c r="T23" s="35"/>
      <c r="U23" s="123"/>
      <c r="V23" s="86" t="s">
        <v>181</v>
      </c>
      <c r="W23" s="86" t="s">
        <v>181</v>
      </c>
      <c r="X23" s="86" t="s">
        <v>181</v>
      </c>
      <c r="Y23" s="86" t="s">
        <v>181</v>
      </c>
      <c r="Z23" s="123"/>
      <c r="AA23" s="86" t="s">
        <v>181</v>
      </c>
      <c r="AB23" s="86" t="s">
        <v>181</v>
      </c>
      <c r="AC23" s="86" t="s">
        <v>181</v>
      </c>
      <c r="AD23" s="86" t="s">
        <v>181</v>
      </c>
      <c r="AE23" s="123"/>
      <c r="AF23" s="86" t="s">
        <v>181</v>
      </c>
      <c r="AG23" s="88" t="s">
        <v>181</v>
      </c>
      <c r="AH23" s="88" t="s">
        <v>181</v>
      </c>
      <c r="AI23" s="88" t="s">
        <v>181</v>
      </c>
      <c r="AJ23" s="123"/>
      <c r="AK23" s="123"/>
      <c r="AL23" s="54" t="s">
        <v>181</v>
      </c>
      <c r="AM23" s="54" t="s">
        <v>181</v>
      </c>
      <c r="AN23" s="54" t="s">
        <v>181</v>
      </c>
      <c r="AO23" s="54" t="s">
        <v>181</v>
      </c>
      <c r="AP23" s="54" t="s">
        <v>181</v>
      </c>
      <c r="AQ23" s="124"/>
      <c r="AR23" s="820" t="s">
        <v>194</v>
      </c>
      <c r="AS23" s="820"/>
      <c r="AT23" s="820"/>
      <c r="AU23" s="820"/>
      <c r="AV23" s="46"/>
      <c r="AW23" s="821" t="s">
        <v>195</v>
      </c>
      <c r="AX23" s="661"/>
      <c r="AY23" s="661"/>
      <c r="AZ23" s="89"/>
      <c r="BB23" s="125"/>
      <c r="BC23" s="110"/>
      <c r="BD23" s="110"/>
      <c r="BE23" s="92" t="s">
        <v>190</v>
      </c>
      <c r="BF23" s="92" t="s">
        <v>190</v>
      </c>
      <c r="BG23" s="92" t="s">
        <v>190</v>
      </c>
      <c r="BH23" s="125"/>
      <c r="BI23" s="93" t="s">
        <v>170</v>
      </c>
      <c r="BK23" s="126"/>
      <c r="BL23" s="690" t="s">
        <v>196</v>
      </c>
      <c r="BM23" s="4"/>
      <c r="BN23" s="4"/>
      <c r="BO23" s="4"/>
      <c r="BP23" s="20"/>
      <c r="BQ23" s="20"/>
      <c r="BR23" s="20"/>
      <c r="BS23" s="4"/>
      <c r="BT23" s="114"/>
      <c r="BU23" s="35"/>
      <c r="BV23" s="110"/>
      <c r="BW23" s="110"/>
      <c r="BX23" s="50" t="s">
        <v>174</v>
      </c>
      <c r="BY23" s="50" t="s">
        <v>174</v>
      </c>
      <c r="BZ23" s="46"/>
      <c r="CA23" s="119" t="s">
        <v>193</v>
      </c>
      <c r="CB23" s="119" t="s">
        <v>193</v>
      </c>
      <c r="CC23" s="119" t="s">
        <v>193</v>
      </c>
      <c r="CD23" s="127"/>
      <c r="CE23" s="117"/>
      <c r="CF23" s="98"/>
      <c r="CG23" s="98"/>
      <c r="CH23" s="98"/>
      <c r="CJ23" s="99"/>
      <c r="CK23" s="99"/>
      <c r="CL23" s="99"/>
      <c r="CM23" s="100"/>
      <c r="CN23" s="118"/>
    </row>
    <row r="24" spans="1:93" ht="24" thickBot="1" x14ac:dyDescent="0.3">
      <c r="A24" s="48"/>
      <c r="B24" s="4"/>
      <c r="C24" s="11"/>
      <c r="D24" s="11"/>
      <c r="E24" s="11"/>
      <c r="J24" s="1"/>
      <c r="K24" s="99"/>
      <c r="L24" s="128"/>
      <c r="M24" s="128"/>
      <c r="N24" s="129"/>
      <c r="O24" s="129"/>
      <c r="P24" s="129"/>
      <c r="R24" s="72"/>
      <c r="S24" s="28"/>
      <c r="T24" s="110"/>
      <c r="U24" s="110"/>
      <c r="V24" s="130"/>
      <c r="W24" s="131"/>
      <c r="X24" s="132"/>
      <c r="Y24" s="130"/>
      <c r="Z24" s="110"/>
      <c r="AA24" s="110"/>
      <c r="AB24" s="130"/>
      <c r="AC24" s="24" t="s">
        <v>187</v>
      </c>
      <c r="AD24" s="133"/>
      <c r="AE24" s="133"/>
      <c r="AG24" s="110"/>
      <c r="AH24" s="24" t="s">
        <v>197</v>
      </c>
      <c r="AI24" s="661" t="s">
        <v>198</v>
      </c>
      <c r="AJ24" s="661"/>
      <c r="AK24" s="661"/>
      <c r="AL24" s="110"/>
      <c r="AM24" s="110"/>
      <c r="AN24" s="24" t="s">
        <v>199</v>
      </c>
      <c r="AO24" s="134"/>
      <c r="AP24" s="134"/>
      <c r="AQ24" s="108" t="s">
        <v>200</v>
      </c>
      <c r="AR24" s="108"/>
      <c r="AS24" s="108"/>
      <c r="AT24" s="46"/>
      <c r="AV24" s="46"/>
      <c r="AW24" s="108"/>
      <c r="AX24" s="108"/>
      <c r="AY24" s="108"/>
      <c r="AZ24" s="135"/>
      <c r="BB24" s="136"/>
      <c r="BC24" s="125"/>
      <c r="BD24" s="125"/>
      <c r="BE24" s="73">
        <v>8</v>
      </c>
      <c r="BF24" s="73">
        <v>7</v>
      </c>
      <c r="BG24" s="73">
        <v>6</v>
      </c>
      <c r="BH24" s="73"/>
      <c r="BI24" s="73">
        <v>5</v>
      </c>
      <c r="BJ24" s="137"/>
      <c r="BK24" s="65"/>
      <c r="BL24" s="691"/>
      <c r="BM24" s="4"/>
      <c r="BN24" s="4"/>
      <c r="BO24" s="4"/>
      <c r="BP24" s="20"/>
      <c r="BQ24" s="20"/>
      <c r="BR24" s="20"/>
      <c r="BS24" s="4"/>
      <c r="BT24" s="46"/>
      <c r="BU24" s="46"/>
      <c r="BV24" s="35"/>
      <c r="BW24" s="35"/>
      <c r="BX24" s="50" t="s">
        <v>174</v>
      </c>
      <c r="BY24" s="50" t="s">
        <v>174</v>
      </c>
      <c r="BZ24" s="46"/>
      <c r="CA24" s="119" t="s">
        <v>193</v>
      </c>
      <c r="CB24" s="119" t="s">
        <v>193</v>
      </c>
      <c r="CC24" s="119" t="s">
        <v>193</v>
      </c>
      <c r="CD24" s="138"/>
      <c r="CE24" s="117"/>
      <c r="CI24" s="98"/>
      <c r="CJ24" s="99"/>
      <c r="CK24" s="99"/>
      <c r="CL24" s="99"/>
      <c r="CM24" s="100"/>
      <c r="CN24" s="139"/>
    </row>
    <row r="25" spans="1:93" ht="23.25" x14ac:dyDescent="0.25">
      <c r="A25" s="48"/>
      <c r="B25" s="4"/>
      <c r="C25" s="45"/>
      <c r="D25" s="45"/>
      <c r="E25" s="45"/>
      <c r="F25" s="99"/>
      <c r="H25" s="99"/>
      <c r="I25" s="1"/>
      <c r="P25" s="140"/>
      <c r="Q25" s="140"/>
      <c r="R25" s="72"/>
      <c r="S25" s="83"/>
      <c r="T25" s="110"/>
      <c r="U25" s="110"/>
      <c r="V25" s="130"/>
      <c r="W25" s="131"/>
      <c r="X25" s="132"/>
      <c r="Y25" s="130"/>
      <c r="Z25" s="110"/>
      <c r="AA25" s="110"/>
      <c r="AB25" s="141">
        <v>1</v>
      </c>
      <c r="AC25" s="133" t="s">
        <v>170</v>
      </c>
      <c r="AD25" s="2" t="s">
        <v>112</v>
      </c>
      <c r="AE25" s="2" t="s">
        <v>112</v>
      </c>
      <c r="AF25" s="133" t="s">
        <v>170</v>
      </c>
      <c r="AG25" s="142">
        <v>6</v>
      </c>
      <c r="AH25" s="143" t="s">
        <v>170</v>
      </c>
      <c r="AI25" s="144" t="s">
        <v>80</v>
      </c>
      <c r="AJ25" s="144" t="s">
        <v>80</v>
      </c>
      <c r="AK25" s="143" t="s">
        <v>170</v>
      </c>
      <c r="AL25" s="142">
        <v>6</v>
      </c>
      <c r="AM25" s="145">
        <v>1</v>
      </c>
      <c r="AN25" s="134" t="s">
        <v>172</v>
      </c>
      <c r="AO25" s="146" t="s">
        <v>27</v>
      </c>
      <c r="AP25" s="146" t="s">
        <v>27</v>
      </c>
      <c r="AQ25" s="134" t="s">
        <v>172</v>
      </c>
      <c r="AR25" s="147">
        <v>4</v>
      </c>
      <c r="AS25" s="89"/>
      <c r="AT25" s="46"/>
      <c r="AU25" s="73"/>
      <c r="AV25" s="89"/>
      <c r="AW25" s="89"/>
      <c r="AX25" s="89"/>
      <c r="AY25" s="46"/>
      <c r="AZ25" s="89"/>
      <c r="BA25" s="73"/>
      <c r="BB25" s="89"/>
      <c r="BC25" s="90"/>
      <c r="BD25" s="90"/>
      <c r="BE25" s="679" t="s">
        <v>201</v>
      </c>
      <c r="BF25" s="679"/>
      <c r="BG25" s="679"/>
      <c r="BH25" s="90"/>
      <c r="BI25" s="46"/>
      <c r="BJ25" s="94"/>
      <c r="BK25" s="65"/>
      <c r="BL25" s="148"/>
      <c r="BM25" s="20"/>
      <c r="BN25" s="20"/>
      <c r="BO25" s="20"/>
      <c r="BP25" s="20"/>
      <c r="BQ25" s="20"/>
      <c r="BR25" s="20"/>
      <c r="BS25" s="4"/>
      <c r="BU25" s="4"/>
      <c r="BV25" s="4"/>
      <c r="BX25" s="50" t="s">
        <v>174</v>
      </c>
      <c r="BY25" s="50" t="s">
        <v>174</v>
      </c>
      <c r="BZ25" s="4"/>
      <c r="CA25" s="45"/>
      <c r="CB25" s="114"/>
      <c r="CC25" s="35"/>
      <c r="CD25" s="149"/>
      <c r="CE25" s="117"/>
      <c r="CF25" s="98"/>
      <c r="CG25" s="98"/>
      <c r="CH25" s="98"/>
      <c r="CJ25" s="99"/>
      <c r="CL25" s="99"/>
      <c r="CM25" s="100"/>
      <c r="CN25" s="118"/>
    </row>
    <row r="26" spans="1:93" ht="24" thickBot="1" x14ac:dyDescent="0.3">
      <c r="A26" s="48"/>
      <c r="B26" s="4"/>
      <c r="C26" s="45"/>
      <c r="D26" s="45"/>
      <c r="E26" s="150"/>
      <c r="F26" s="17"/>
      <c r="G26" s="151"/>
      <c r="H26" s="17"/>
      <c r="I26" s="17"/>
      <c r="J26" s="152"/>
      <c r="K26" s="153"/>
      <c r="M26" s="154"/>
      <c r="N26" s="140"/>
      <c r="P26" s="26" t="s">
        <v>169</v>
      </c>
      <c r="Q26" s="140" t="s">
        <v>202</v>
      </c>
      <c r="R26" s="26" t="s">
        <v>169</v>
      </c>
      <c r="S26" s="72"/>
      <c r="T26" s="155" t="s">
        <v>203</v>
      </c>
      <c r="U26" s="155" t="s">
        <v>203</v>
      </c>
      <c r="V26" s="156"/>
      <c r="W26" s="131"/>
      <c r="X26" s="12" t="s">
        <v>164</v>
      </c>
      <c r="Y26" s="12" t="s">
        <v>164</v>
      </c>
      <c r="Z26" s="110"/>
      <c r="AA26" s="110"/>
      <c r="AB26" s="141">
        <v>2</v>
      </c>
      <c r="AC26" s="133" t="s">
        <v>170</v>
      </c>
      <c r="AD26" s="2" t="s">
        <v>112</v>
      </c>
      <c r="AE26" s="2" t="s">
        <v>112</v>
      </c>
      <c r="AF26" s="133" t="s">
        <v>170</v>
      </c>
      <c r="AG26" s="142">
        <v>5</v>
      </c>
      <c r="AH26" s="143" t="s">
        <v>170</v>
      </c>
      <c r="AI26" s="144" t="s">
        <v>80</v>
      </c>
      <c r="AJ26" s="144" t="s">
        <v>80</v>
      </c>
      <c r="AK26" s="143" t="s">
        <v>170</v>
      </c>
      <c r="AL26" s="142">
        <v>5</v>
      </c>
      <c r="AM26" s="145">
        <v>2</v>
      </c>
      <c r="AN26" s="134" t="s">
        <v>172</v>
      </c>
      <c r="AO26" s="146" t="s">
        <v>27</v>
      </c>
      <c r="AP26" s="146" t="s">
        <v>27</v>
      </c>
      <c r="AQ26" s="134" t="s">
        <v>172</v>
      </c>
      <c r="AR26" s="157">
        <v>3</v>
      </c>
      <c r="AS26" s="158"/>
      <c r="AU26" s="73"/>
      <c r="AW26" s="674"/>
      <c r="AX26" s="675"/>
      <c r="AY26" s="675"/>
      <c r="AZ26" s="73"/>
      <c r="BA26" s="73"/>
      <c r="BC26" s="676"/>
      <c r="BD26" s="676"/>
      <c r="BE26" s="676"/>
      <c r="BF26" s="676"/>
      <c r="BG26" s="676"/>
      <c r="BH26" s="159"/>
      <c r="BI26" s="160"/>
      <c r="BJ26" s="137"/>
      <c r="BK26" s="161"/>
      <c r="BL26" s="162"/>
      <c r="BM26" s="20"/>
      <c r="BN26" s="20"/>
      <c r="BO26" s="20"/>
      <c r="BP26" s="4"/>
      <c r="BQ26" s="20"/>
      <c r="BR26" s="20"/>
      <c r="BS26" s="4"/>
      <c r="BT26" s="4"/>
      <c r="BU26" s="4"/>
      <c r="BV26" s="4"/>
      <c r="BW26" s="4"/>
      <c r="BX26" s="4"/>
      <c r="BY26" s="4"/>
      <c r="CA26" s="163"/>
      <c r="CB26" s="163"/>
      <c r="CC26" s="677"/>
      <c r="CD26" s="678"/>
      <c r="CE26" s="164"/>
      <c r="CH26" s="815" t="s">
        <v>204</v>
      </c>
      <c r="CI26" s="798"/>
      <c r="CJ26" s="816"/>
      <c r="CL26" s="99"/>
      <c r="CM26" s="100"/>
      <c r="CN26" s="139"/>
    </row>
    <row r="27" spans="1:93" ht="24" thickBot="1" x14ac:dyDescent="0.3">
      <c r="A27" s="48"/>
      <c r="B27" s="4"/>
      <c r="C27" s="165"/>
      <c r="D27" s="45"/>
      <c r="E27" s="150"/>
      <c r="F27" s="17"/>
      <c r="G27" s="166"/>
      <c r="H27" s="11"/>
      <c r="I27" s="11"/>
      <c r="J27" s="11"/>
      <c r="K27" s="153"/>
      <c r="M27" s="167"/>
      <c r="N27" s="140"/>
      <c r="P27" s="140"/>
      <c r="Q27" s="26" t="s">
        <v>169</v>
      </c>
      <c r="R27" s="72"/>
      <c r="S27" s="72"/>
      <c r="T27" s="155" t="s">
        <v>203</v>
      </c>
      <c r="U27" s="155" t="s">
        <v>203</v>
      </c>
      <c r="V27" s="46"/>
      <c r="W27" s="46"/>
      <c r="X27" s="12" t="s">
        <v>164</v>
      </c>
      <c r="Y27" s="12" t="s">
        <v>164</v>
      </c>
      <c r="Z27" s="35"/>
      <c r="AA27" s="35"/>
      <c r="AB27" s="168">
        <v>3</v>
      </c>
      <c r="AC27" s="133" t="s">
        <v>170</v>
      </c>
      <c r="AD27" s="2" t="s">
        <v>112</v>
      </c>
      <c r="AE27" s="2" t="s">
        <v>112</v>
      </c>
      <c r="AF27" s="133" t="s">
        <v>170</v>
      </c>
      <c r="AG27" s="169">
        <v>4</v>
      </c>
      <c r="AH27" s="143" t="s">
        <v>170</v>
      </c>
      <c r="AI27" s="144" t="s">
        <v>80</v>
      </c>
      <c r="AJ27" s="144" t="s">
        <v>80</v>
      </c>
      <c r="AK27" s="143" t="s">
        <v>170</v>
      </c>
      <c r="AL27" s="169">
        <v>4</v>
      </c>
      <c r="AM27" s="46"/>
      <c r="AO27" s="134"/>
      <c r="AP27" s="134"/>
      <c r="AT27" s="675"/>
      <c r="AU27" s="675"/>
      <c r="AV27" s="675"/>
      <c r="AW27" s="675"/>
      <c r="AX27" s="100"/>
      <c r="AY27" s="102"/>
      <c r="AZ27" s="9"/>
      <c r="BK27" s="18"/>
      <c r="BL27" s="20"/>
      <c r="BM27" s="20"/>
      <c r="BN27" s="20"/>
      <c r="BO27" s="20"/>
      <c r="BP27" s="4"/>
      <c r="BQ27" s="4"/>
      <c r="BV27" s="23"/>
      <c r="BW27" s="23"/>
      <c r="BZ27" s="9"/>
      <c r="CA27" s="9"/>
      <c r="CD27" s="817" t="s">
        <v>205</v>
      </c>
      <c r="CE27" s="818"/>
      <c r="CF27" s="170"/>
      <c r="CH27" s="800"/>
      <c r="CI27" s="801"/>
      <c r="CJ27" s="802"/>
      <c r="CL27" s="99"/>
      <c r="CM27" s="100"/>
      <c r="CN27" s="118"/>
    </row>
    <row r="28" spans="1:93" ht="23.25" x14ac:dyDescent="0.3">
      <c r="A28" s="48"/>
      <c r="B28" s="171"/>
      <c r="C28" s="17"/>
      <c r="D28" s="172"/>
      <c r="E28" s="150"/>
      <c r="F28" s="17"/>
      <c r="G28" s="17"/>
      <c r="H28" s="173"/>
      <c r="I28" s="173"/>
      <c r="J28" s="173"/>
      <c r="K28" s="174"/>
      <c r="L28" s="46"/>
      <c r="M28" s="46"/>
      <c r="N28" s="174"/>
      <c r="O28" s="46"/>
      <c r="P28" s="46"/>
      <c r="Q28" s="46"/>
      <c r="R28" s="46"/>
      <c r="S28" s="46"/>
      <c r="T28" s="46"/>
      <c r="U28" s="46"/>
      <c r="V28" s="46"/>
      <c r="W28" s="46"/>
      <c r="X28" s="12" t="s">
        <v>164</v>
      </c>
      <c r="Y28" s="12" t="s">
        <v>164</v>
      </c>
      <c r="Z28" s="175"/>
      <c r="AA28" s="175"/>
      <c r="AB28" s="168"/>
      <c r="AD28" s="133"/>
      <c r="AE28" s="133"/>
      <c r="AF28" s="91" t="s">
        <v>206</v>
      </c>
      <c r="AG28" s="175"/>
      <c r="AH28" s="46"/>
      <c r="AI28" s="143"/>
      <c r="AJ28" s="143"/>
      <c r="AK28" s="46"/>
      <c r="AL28" s="176"/>
      <c r="AM28" s="176"/>
      <c r="AN28" s="46"/>
      <c r="AO28" s="177" t="s">
        <v>166</v>
      </c>
      <c r="AP28" s="177"/>
      <c r="AQ28" s="63"/>
      <c r="AR28" s="63"/>
      <c r="AS28" s="178" t="s">
        <v>176</v>
      </c>
      <c r="AT28" s="58" t="s">
        <v>176</v>
      </c>
      <c r="AU28" s="179"/>
      <c r="AV28" s="100"/>
      <c r="AW28" s="100"/>
      <c r="AX28" s="100"/>
      <c r="AY28" s="102"/>
      <c r="AZ28" s="180"/>
      <c r="BK28" s="18"/>
      <c r="BL28" s="796" t="s">
        <v>207</v>
      </c>
      <c r="BM28" s="796"/>
      <c r="BN28" s="796"/>
      <c r="BO28" s="796"/>
      <c r="BP28" s="796"/>
      <c r="BQ28" s="796"/>
      <c r="BR28" s="796"/>
      <c r="BS28" s="796"/>
      <c r="BT28" s="796"/>
      <c r="BV28" s="23"/>
      <c r="BW28" s="23"/>
      <c r="BX28" s="156"/>
      <c r="BZ28" s="9"/>
      <c r="CA28" s="9"/>
      <c r="CB28" s="181"/>
      <c r="CC28" s="107" t="s">
        <v>180</v>
      </c>
      <c r="CD28" s="182" t="s">
        <v>175</v>
      </c>
      <c r="CE28" s="75"/>
      <c r="CH28" s="183"/>
      <c r="CI28" s="183"/>
      <c r="CM28" s="100"/>
      <c r="CN28" s="139"/>
    </row>
    <row r="29" spans="1:93" ht="23.25" x14ac:dyDescent="0.25">
      <c r="A29" s="660" t="s">
        <v>208</v>
      </c>
      <c r="B29" s="660"/>
      <c r="C29" s="17"/>
      <c r="D29" s="17"/>
      <c r="E29" s="172"/>
      <c r="F29" s="17"/>
      <c r="G29" s="17"/>
      <c r="H29" s="61"/>
      <c r="I29" s="61"/>
      <c r="J29" s="81"/>
      <c r="K29" s="174"/>
      <c r="L29" s="23"/>
      <c r="M29" s="23"/>
      <c r="N29" s="174"/>
      <c r="O29" t="s">
        <v>209</v>
      </c>
      <c r="P29" s="155" t="s">
        <v>203</v>
      </c>
      <c r="Q29" s="155" t="s">
        <v>203</v>
      </c>
      <c r="R29" s="72"/>
      <c r="S29" s="46"/>
      <c r="T29" s="23" t="s">
        <v>210</v>
      </c>
      <c r="U29" s="23"/>
      <c r="V29" s="46"/>
      <c r="W29" s="184"/>
      <c r="X29" s="12" t="s">
        <v>164</v>
      </c>
      <c r="Y29" s="12" t="s">
        <v>164</v>
      </c>
      <c r="Z29" s="175"/>
      <c r="AA29" s="175"/>
      <c r="AB29" s="34"/>
      <c r="AC29" s="661" t="s">
        <v>166</v>
      </c>
      <c r="AD29" s="661"/>
      <c r="AE29" s="661"/>
      <c r="AF29" s="661"/>
      <c r="AG29" s="175"/>
      <c r="AH29" s="661" t="s">
        <v>166</v>
      </c>
      <c r="AI29" s="661"/>
      <c r="AJ29" s="661"/>
      <c r="AK29" s="661"/>
      <c r="AL29" s="176"/>
      <c r="AM29" s="176"/>
      <c r="AN29" s="46"/>
      <c r="AO29" s="184" t="s">
        <v>211</v>
      </c>
      <c r="AQ29" s="63"/>
      <c r="AR29" s="63"/>
      <c r="AS29" s="178" t="s">
        <v>176</v>
      </c>
      <c r="AT29" s="58" t="s">
        <v>176</v>
      </c>
      <c r="AU29" s="179"/>
      <c r="AV29" s="185"/>
      <c r="AW29" s="185"/>
      <c r="AX29" s="179"/>
      <c r="AY29" s="102"/>
      <c r="AZ29" s="17"/>
      <c r="BA29" s="166"/>
      <c r="BB29" s="11"/>
      <c r="BC29" s="11"/>
      <c r="BD29" s="11"/>
      <c r="BE29" s="11"/>
      <c r="BF29" s="11"/>
      <c r="BG29" s="11"/>
      <c r="BH29" s="11"/>
      <c r="BI29" s="11"/>
      <c r="BJ29" s="11"/>
      <c r="BK29" s="18"/>
      <c r="BM29" s="20"/>
      <c r="BN29" s="58" t="s">
        <v>176</v>
      </c>
      <c r="BO29" s="58" t="s">
        <v>176</v>
      </c>
      <c r="BP29" s="4"/>
      <c r="BQ29" s="4"/>
      <c r="BR29" s="58" t="s">
        <v>176</v>
      </c>
      <c r="BS29" s="58" t="s">
        <v>176</v>
      </c>
      <c r="BT29" s="4"/>
      <c r="BU29" s="9"/>
      <c r="BV29" s="186"/>
      <c r="BW29" s="186"/>
      <c r="BX29" s="186"/>
      <c r="BY29" s="186"/>
      <c r="BZ29" s="187" t="s">
        <v>185</v>
      </c>
      <c r="CA29" s="9"/>
      <c r="CB29" s="181"/>
      <c r="CC29" s="107" t="s">
        <v>180</v>
      </c>
      <c r="CD29" s="182" t="s">
        <v>175</v>
      </c>
      <c r="CE29" s="188"/>
      <c r="CF29" s="170"/>
      <c r="CH29" s="183"/>
      <c r="CI29" s="183"/>
      <c r="CJ29" s="99"/>
      <c r="CM29" s="100"/>
      <c r="CN29" s="118"/>
    </row>
    <row r="30" spans="1:93" ht="23.25" x14ac:dyDescent="0.25">
      <c r="A30" s="189"/>
      <c r="B30" s="30"/>
      <c r="C30" s="17"/>
      <c r="D30" s="17"/>
      <c r="E30" s="17"/>
      <c r="F30" s="190"/>
      <c r="G30" s="17"/>
      <c r="H30" s="191"/>
      <c r="I30" s="191"/>
      <c r="J30" s="61"/>
      <c r="K30" s="61"/>
      <c r="L30" s="192"/>
      <c r="M30" s="192"/>
      <c r="N30" s="174"/>
      <c r="P30" s="155" t="s">
        <v>203</v>
      </c>
      <c r="Q30" s="155" t="s">
        <v>203</v>
      </c>
      <c r="R30" s="72" t="s">
        <v>209</v>
      </c>
      <c r="S30" s="130"/>
      <c r="T30" s="193" t="s">
        <v>212</v>
      </c>
      <c r="U30" s="193" t="s">
        <v>212</v>
      </c>
      <c r="V30" s="130"/>
      <c r="W30" s="131"/>
      <c r="X30" s="12" t="s">
        <v>164</v>
      </c>
      <c r="Y30" s="12" t="s">
        <v>164</v>
      </c>
      <c r="Z30" s="110"/>
      <c r="AA30" s="110"/>
      <c r="AB30" s="130"/>
      <c r="AC30" s="132"/>
      <c r="AD30" s="132" t="s">
        <v>213</v>
      </c>
      <c r="AE30" s="35"/>
      <c r="AF30" s="110"/>
      <c r="AG30" s="110"/>
      <c r="AI30" s="133"/>
      <c r="AJ30" s="133"/>
      <c r="AK30" s="24" t="s">
        <v>214</v>
      </c>
      <c r="AL30" s="110"/>
      <c r="AM30" s="105"/>
      <c r="AN30" s="105"/>
      <c r="AO30" s="194" t="s">
        <v>169</v>
      </c>
      <c r="AP30" s="195" t="s">
        <v>169</v>
      </c>
      <c r="AQ30" s="63"/>
      <c r="AR30" s="63"/>
      <c r="AS30" s="178" t="s">
        <v>176</v>
      </c>
      <c r="AT30" s="58" t="s">
        <v>176</v>
      </c>
      <c r="AU30" s="196"/>
      <c r="AV30" s="46"/>
      <c r="AX30" s="179"/>
      <c r="AY30" s="179"/>
      <c r="AZ30" s="45"/>
      <c r="BA30" s="166"/>
      <c r="BB30" s="11"/>
      <c r="BC30" s="11"/>
      <c r="BD30" s="11"/>
      <c r="BE30" s="11"/>
      <c r="BF30" s="11"/>
      <c r="BG30" s="11"/>
      <c r="BH30" s="11"/>
      <c r="BI30" s="11"/>
      <c r="BJ30" s="11"/>
      <c r="BK30" s="18"/>
      <c r="BL30" s="166"/>
      <c r="BM30" s="20"/>
      <c r="BN30" s="58" t="s">
        <v>176</v>
      </c>
      <c r="BO30" s="58" t="s">
        <v>176</v>
      </c>
      <c r="BQ30" s="4"/>
      <c r="BR30" s="58" t="s">
        <v>176</v>
      </c>
      <c r="BS30" s="58" t="s">
        <v>176</v>
      </c>
      <c r="BU30" s="186"/>
      <c r="BV30" s="107" t="s">
        <v>180</v>
      </c>
      <c r="BW30" s="197" t="s">
        <v>215</v>
      </c>
      <c r="BX30" s="197" t="s">
        <v>215</v>
      </c>
      <c r="BY30" s="107" t="s">
        <v>180</v>
      </c>
      <c r="BZ30" s="186"/>
      <c r="CA30" s="9"/>
      <c r="CB30" s="181"/>
      <c r="CC30" s="107" t="s">
        <v>180</v>
      </c>
      <c r="CD30" s="182" t="s">
        <v>175</v>
      </c>
      <c r="CE30" s="13"/>
      <c r="CH30" s="99"/>
      <c r="CI30" s="99"/>
      <c r="CJ30" s="99"/>
      <c r="CK30" s="99"/>
      <c r="CM30" s="100"/>
      <c r="CN30" s="139"/>
    </row>
    <row r="31" spans="1:93" ht="24" thickBot="1" x14ac:dyDescent="0.3">
      <c r="A31" s="48"/>
      <c r="B31" s="30"/>
      <c r="C31" s="17"/>
      <c r="D31" s="17"/>
      <c r="E31" s="17"/>
      <c r="F31" s="1"/>
      <c r="G31" s="17"/>
      <c r="H31" s="191"/>
      <c r="I31" s="191"/>
      <c r="J31" s="61"/>
      <c r="K31" s="61"/>
      <c r="L31" s="192"/>
      <c r="M31" s="192"/>
      <c r="N31" s="198"/>
      <c r="Q31" s="199"/>
      <c r="R31" s="72"/>
      <c r="S31" s="130"/>
      <c r="T31" s="193" t="s">
        <v>212</v>
      </c>
      <c r="U31" s="193" t="s">
        <v>212</v>
      </c>
      <c r="V31" s="130"/>
      <c r="W31" s="131"/>
      <c r="X31" s="132"/>
      <c r="Y31" s="130"/>
      <c r="Z31" s="110"/>
      <c r="AA31" s="110"/>
      <c r="AB31" s="130"/>
      <c r="AC31" s="131"/>
      <c r="AD31" s="200" t="s">
        <v>216</v>
      </c>
      <c r="AE31" s="200" t="s">
        <v>216</v>
      </c>
      <c r="AF31" s="110"/>
      <c r="AG31" s="141">
        <v>1</v>
      </c>
      <c r="AH31" s="133" t="s">
        <v>170</v>
      </c>
      <c r="AI31" s="201" t="s">
        <v>25</v>
      </c>
      <c r="AJ31" s="202" t="s">
        <v>23</v>
      </c>
      <c r="AK31" s="133" t="s">
        <v>170</v>
      </c>
      <c r="AL31" s="142">
        <v>6</v>
      </c>
      <c r="AM31" s="105"/>
      <c r="AN31" s="105"/>
      <c r="AO31" s="194" t="s">
        <v>169</v>
      </c>
      <c r="AP31" s="195" t="s">
        <v>169</v>
      </c>
      <c r="AQ31" s="203"/>
      <c r="AR31" s="125"/>
      <c r="AS31" s="203"/>
      <c r="AT31" s="57"/>
      <c r="AU31" s="196"/>
      <c r="AV31" s="204"/>
      <c r="AX31" s="14"/>
      <c r="AY31" s="179"/>
      <c r="AZ31" s="45"/>
      <c r="BA31" s="205"/>
      <c r="BB31" s="11"/>
      <c r="BC31" s="11"/>
      <c r="BD31" s="11"/>
      <c r="BE31" s="11"/>
      <c r="BF31" s="11"/>
      <c r="BG31" s="11"/>
      <c r="BH31" s="11"/>
      <c r="BI31" s="11"/>
      <c r="BJ31" s="11"/>
      <c r="BK31" s="18"/>
      <c r="BL31" s="166"/>
      <c r="BM31" s="20"/>
      <c r="BN31" s="58" t="s">
        <v>176</v>
      </c>
      <c r="BO31" s="58" t="s">
        <v>176</v>
      </c>
      <c r="BR31" s="58" t="s">
        <v>176</v>
      </c>
      <c r="BS31" s="58" t="s">
        <v>176</v>
      </c>
      <c r="BU31" s="206"/>
      <c r="BV31" s="182" t="s">
        <v>175</v>
      </c>
      <c r="BW31" s="182" t="s">
        <v>175</v>
      </c>
      <c r="BX31" s="182" t="s">
        <v>175</v>
      </c>
      <c r="BY31" s="182" t="s">
        <v>175</v>
      </c>
      <c r="BZ31" s="206"/>
      <c r="CA31" s="9"/>
      <c r="CB31" s="181"/>
      <c r="CC31" s="107" t="s">
        <v>180</v>
      </c>
      <c r="CD31" s="182" t="s">
        <v>175</v>
      </c>
      <c r="CE31" s="207"/>
      <c r="CF31" s="99"/>
      <c r="CH31" s="797" t="s">
        <v>217</v>
      </c>
      <c r="CI31" s="798"/>
      <c r="CJ31" s="799"/>
      <c r="CL31" s="208"/>
      <c r="CM31" s="100"/>
      <c r="CN31" s="139"/>
    </row>
    <row r="32" spans="1:93" ht="24" thickBot="1" x14ac:dyDescent="0.3">
      <c r="A32" s="48"/>
      <c r="B32" s="30"/>
      <c r="C32" s="17"/>
      <c r="D32" s="17"/>
      <c r="E32" s="17"/>
      <c r="F32" s="1"/>
      <c r="G32" s="17"/>
      <c r="H32" s="209"/>
      <c r="I32" s="210"/>
      <c r="J32" s="17"/>
      <c r="K32" s="17"/>
      <c r="L32" s="211"/>
      <c r="M32" s="211"/>
      <c r="N32" s="211"/>
      <c r="O32" s="211"/>
      <c r="P32" s="212"/>
      <c r="Q32" s="213"/>
      <c r="R32" s="132"/>
      <c r="S32" s="130"/>
      <c r="T32" s="193" t="s">
        <v>212</v>
      </c>
      <c r="U32" s="193" t="s">
        <v>212</v>
      </c>
      <c r="V32" s="130"/>
      <c r="W32" s="131"/>
      <c r="X32" s="132"/>
      <c r="Y32" s="130"/>
      <c r="Z32" s="110"/>
      <c r="AA32" s="110"/>
      <c r="AB32" s="130"/>
      <c r="AC32" s="131"/>
      <c r="AD32" s="200" t="s">
        <v>216</v>
      </c>
      <c r="AE32" s="200" t="s">
        <v>216</v>
      </c>
      <c r="AF32" s="110"/>
      <c r="AG32" s="141">
        <v>2</v>
      </c>
      <c r="AH32" s="133" t="s">
        <v>170</v>
      </c>
      <c r="AI32" s="202" t="s">
        <v>23</v>
      </c>
      <c r="AJ32" s="202" t="s">
        <v>23</v>
      </c>
      <c r="AK32" s="133" t="s">
        <v>170</v>
      </c>
      <c r="AL32" s="142">
        <v>5</v>
      </c>
      <c r="AM32" s="105"/>
      <c r="AN32" s="105"/>
      <c r="AO32" s="194" t="s">
        <v>169</v>
      </c>
      <c r="AP32" s="195" t="s">
        <v>169</v>
      </c>
      <c r="AQ32" s="46"/>
      <c r="AR32" s="214"/>
      <c r="AS32" s="136"/>
      <c r="AT32" s="46"/>
      <c r="AU32" s="108"/>
      <c r="AV32" s="215"/>
      <c r="AW32" s="662" t="s">
        <v>218</v>
      </c>
      <c r="AX32" s="663"/>
      <c r="AY32" s="663"/>
      <c r="AZ32" s="663"/>
      <c r="BA32" s="663"/>
      <c r="BB32" s="663"/>
      <c r="BC32" s="664"/>
      <c r="BD32" s="11"/>
      <c r="BE32" s="11"/>
      <c r="BF32" s="11"/>
      <c r="BG32" s="11"/>
      <c r="BH32" s="11"/>
      <c r="BI32" s="11"/>
      <c r="BJ32" s="11"/>
      <c r="BK32" s="18"/>
      <c r="BL32" s="166"/>
      <c r="BM32" s="20"/>
      <c r="BR32" s="20"/>
      <c r="BS32" s="20"/>
      <c r="BU32" s="206"/>
      <c r="BV32" s="182" t="s">
        <v>175</v>
      </c>
      <c r="BW32" s="182" t="s">
        <v>175</v>
      </c>
      <c r="BX32" s="182" t="s">
        <v>175</v>
      </c>
      <c r="BY32" s="182" t="s">
        <v>175</v>
      </c>
      <c r="BZ32" s="206"/>
      <c r="CA32" s="99"/>
      <c r="CB32" s="181"/>
      <c r="CC32" s="107" t="s">
        <v>180</v>
      </c>
      <c r="CD32" s="182" t="s">
        <v>175</v>
      </c>
      <c r="CE32" s="216"/>
      <c r="CF32" s="99"/>
      <c r="CH32" s="800"/>
      <c r="CI32" s="801"/>
      <c r="CJ32" s="802"/>
      <c r="CM32" s="100"/>
      <c r="CN32" s="139"/>
    </row>
    <row r="33" spans="1:92" ht="24" thickBot="1" x14ac:dyDescent="0.3">
      <c r="A33" s="48"/>
      <c r="B33" s="217"/>
      <c r="C33" s="218"/>
      <c r="D33" s="218"/>
      <c r="E33" s="218"/>
      <c r="F33" s="219"/>
      <c r="G33" s="220"/>
      <c r="H33" s="220"/>
      <c r="I33" s="220"/>
      <c r="J33" s="670" t="s">
        <v>219</v>
      </c>
      <c r="K33" s="671"/>
      <c r="L33" s="221"/>
      <c r="M33" s="222"/>
      <c r="N33" s="222"/>
      <c r="S33" s="672" t="s">
        <v>191</v>
      </c>
      <c r="T33" s="672"/>
      <c r="U33" s="672"/>
      <c r="W33" s="175"/>
      <c r="X33" s="175"/>
      <c r="Y33" s="175"/>
      <c r="Z33" s="223"/>
      <c r="AA33" s="223"/>
      <c r="AB33" s="224"/>
      <c r="AC33" s="225"/>
      <c r="AD33" s="224"/>
      <c r="AE33" s="175"/>
      <c r="AF33" s="175"/>
      <c r="AG33" s="168">
        <v>3</v>
      </c>
      <c r="AH33" s="133" t="s">
        <v>170</v>
      </c>
      <c r="AI33" s="226" t="s">
        <v>61</v>
      </c>
      <c r="AJ33" s="226" t="s">
        <v>61</v>
      </c>
      <c r="AK33" s="133" t="s">
        <v>170</v>
      </c>
      <c r="AL33" s="169">
        <v>4</v>
      </c>
      <c r="AM33" s="227"/>
      <c r="AN33" s="227"/>
      <c r="AO33" s="228"/>
      <c r="AP33" s="229"/>
      <c r="AQ33" s="46"/>
      <c r="AR33" s="230"/>
      <c r="AS33" s="46"/>
      <c r="AT33" s="46"/>
      <c r="AU33" s="46"/>
      <c r="AV33" s="215"/>
      <c r="AW33" s="665"/>
      <c r="AX33" s="639"/>
      <c r="AY33" s="639"/>
      <c r="AZ33" s="639"/>
      <c r="BA33" s="639"/>
      <c r="BB33" s="639"/>
      <c r="BC33" s="666"/>
      <c r="BD33" s="11"/>
      <c r="BE33" s="11"/>
      <c r="BF33" s="11"/>
      <c r="BG33" s="11"/>
      <c r="BH33" s="11"/>
      <c r="BI33" s="11"/>
      <c r="BJ33" s="11"/>
      <c r="BK33" s="18"/>
      <c r="BL33" s="4"/>
      <c r="BM33" s="20"/>
      <c r="BQ33" s="4"/>
      <c r="BR33" s="20"/>
      <c r="BS33" s="20"/>
      <c r="BU33" s="186"/>
      <c r="BV33" s="107" t="s">
        <v>180</v>
      </c>
      <c r="BW33" s="197" t="s">
        <v>215</v>
      </c>
      <c r="BX33" s="197" t="s">
        <v>215</v>
      </c>
      <c r="BY33" s="107" t="s">
        <v>180</v>
      </c>
      <c r="BZ33" s="186"/>
      <c r="CA33" s="99"/>
      <c r="CB33" s="181"/>
      <c r="CC33" s="107" t="s">
        <v>180</v>
      </c>
      <c r="CD33" s="182" t="s">
        <v>175</v>
      </c>
      <c r="CE33" s="216"/>
      <c r="CF33" s="99"/>
      <c r="CH33" s="99"/>
      <c r="CI33" s="99"/>
      <c r="CJ33" s="99"/>
      <c r="CK33" s="99"/>
      <c r="CL33" s="99"/>
      <c r="CM33" s="100"/>
      <c r="CN33" s="139"/>
    </row>
    <row r="34" spans="1:92" ht="23.25" x14ac:dyDescent="0.25">
      <c r="A34" s="48"/>
      <c r="B34" s="231" t="s">
        <v>137</v>
      </c>
      <c r="C34" s="232"/>
      <c r="D34" s="231" t="s">
        <v>137</v>
      </c>
      <c r="E34" s="232"/>
      <c r="F34" s="231" t="s">
        <v>137</v>
      </c>
      <c r="G34" s="232"/>
      <c r="H34" s="231" t="s">
        <v>137</v>
      </c>
      <c r="I34" s="232"/>
      <c r="J34" s="233"/>
      <c r="K34" s="233"/>
      <c r="L34" s="233"/>
      <c r="M34" s="233"/>
      <c r="N34" s="234"/>
      <c r="O34" s="76"/>
      <c r="P34" s="235"/>
      <c r="S34" s="236">
        <v>1</v>
      </c>
      <c r="T34" s="236">
        <v>2</v>
      </c>
      <c r="U34" s="236">
        <v>3</v>
      </c>
      <c r="Z34" s="237"/>
      <c r="AA34" s="136"/>
      <c r="AD34" s="224"/>
      <c r="AE34" s="238"/>
      <c r="AF34" s="239">
        <v>1</v>
      </c>
      <c r="AG34" s="239">
        <v>2</v>
      </c>
      <c r="AH34" s="239">
        <v>3</v>
      </c>
      <c r="AI34" s="133"/>
      <c r="AJ34" s="133"/>
      <c r="AP34" s="240"/>
      <c r="AQ34" s="240"/>
      <c r="AR34" s="125"/>
      <c r="AS34" s="240"/>
      <c r="AT34" s="240"/>
      <c r="AU34" s="240"/>
      <c r="AW34" s="665"/>
      <c r="AX34" s="639"/>
      <c r="AY34" s="639"/>
      <c r="AZ34" s="639"/>
      <c r="BA34" s="639"/>
      <c r="BB34" s="639"/>
      <c r="BC34" s="666"/>
      <c r="BD34" s="11"/>
      <c r="BE34" s="11"/>
      <c r="BF34" s="11"/>
      <c r="BG34" s="11"/>
      <c r="BH34" s="11"/>
      <c r="BI34" s="11"/>
      <c r="BJ34" s="11"/>
      <c r="BK34" s="18"/>
      <c r="BL34" s="45"/>
      <c r="BM34" s="20"/>
      <c r="BQ34" s="4"/>
      <c r="BR34" s="20"/>
      <c r="BS34" s="20"/>
      <c r="BT34" s="4"/>
      <c r="BV34" s="186"/>
      <c r="BW34" s="186"/>
      <c r="BX34" s="186"/>
      <c r="BY34" s="186"/>
      <c r="CA34" s="99"/>
      <c r="CB34" s="181"/>
      <c r="CC34" s="107" t="s">
        <v>180</v>
      </c>
      <c r="CD34" s="182" t="s">
        <v>175</v>
      </c>
      <c r="CE34" s="216"/>
      <c r="CF34" s="99"/>
      <c r="CH34" s="99"/>
      <c r="CI34" s="99"/>
      <c r="CJ34" s="99"/>
      <c r="CK34" s="99"/>
      <c r="CL34" s="99"/>
      <c r="CM34" s="100"/>
      <c r="CN34" s="139"/>
    </row>
    <row r="35" spans="1:92" ht="23.25" x14ac:dyDescent="0.25">
      <c r="A35" s="48"/>
      <c r="B35" s="232" t="s">
        <v>170</v>
      </c>
      <c r="C35" s="241"/>
      <c r="D35" s="232" t="s">
        <v>170</v>
      </c>
      <c r="E35" s="241"/>
      <c r="F35" s="232" t="s">
        <v>170</v>
      </c>
      <c r="G35" s="241"/>
      <c r="H35" s="232" t="s">
        <v>170</v>
      </c>
      <c r="I35" s="24" t="s">
        <v>220</v>
      </c>
      <c r="J35" s="233"/>
      <c r="K35" s="233"/>
      <c r="L35" s="242"/>
      <c r="M35" s="242"/>
      <c r="N35" s="234"/>
      <c r="P35" s="243"/>
      <c r="R35" s="24" t="s">
        <v>221</v>
      </c>
      <c r="S35" s="33" t="s">
        <v>172</v>
      </c>
      <c r="T35" s="33" t="s">
        <v>172</v>
      </c>
      <c r="U35" s="33" t="s">
        <v>172</v>
      </c>
      <c r="V35" s="244" t="s">
        <v>222</v>
      </c>
      <c r="Z35" s="63"/>
      <c r="AA35" s="209"/>
      <c r="AD35" s="224"/>
      <c r="AE35" s="24" t="s">
        <v>223</v>
      </c>
      <c r="AF35" s="245" t="s">
        <v>172</v>
      </c>
      <c r="AG35" s="245" t="s">
        <v>172</v>
      </c>
      <c r="AH35" s="245" t="s">
        <v>172</v>
      </c>
      <c r="AI35" s="246" t="s">
        <v>224</v>
      </c>
      <c r="AK35" s="83"/>
      <c r="AL35" s="247"/>
      <c r="AM35" s="248"/>
      <c r="AN35" s="248"/>
      <c r="AO35" s="46"/>
      <c r="AP35" s="46"/>
      <c r="AQ35" s="46"/>
      <c r="AR35" s="248"/>
      <c r="AS35" s="248"/>
      <c r="AT35" s="248"/>
      <c r="AU35" s="46"/>
      <c r="AW35" s="665"/>
      <c r="AX35" s="639"/>
      <c r="AY35" s="639"/>
      <c r="AZ35" s="639"/>
      <c r="BA35" s="639"/>
      <c r="BB35" s="639"/>
      <c r="BC35" s="666"/>
      <c r="BD35" s="11"/>
      <c r="BE35" s="11"/>
      <c r="BF35" s="11"/>
      <c r="BG35" s="11"/>
      <c r="BH35" s="11"/>
      <c r="BI35" s="11"/>
      <c r="BJ35" s="11"/>
      <c r="BK35" s="18"/>
      <c r="BM35" s="20"/>
      <c r="BQ35" s="4"/>
      <c r="BR35" s="20"/>
      <c r="BS35" s="4"/>
      <c r="BT35" s="4"/>
      <c r="BW35" s="156"/>
      <c r="BX35" s="156"/>
      <c r="BY35" s="99"/>
      <c r="CA35" s="99"/>
      <c r="CB35" s="181"/>
      <c r="CC35" s="107" t="s">
        <v>180</v>
      </c>
      <c r="CD35" s="182" t="s">
        <v>175</v>
      </c>
      <c r="CE35" s="216"/>
      <c r="CF35" s="99"/>
      <c r="CH35" s="99"/>
      <c r="CI35" s="99"/>
      <c r="CJ35" s="99"/>
      <c r="CK35" s="99"/>
      <c r="CL35" s="99"/>
      <c r="CM35" s="100"/>
      <c r="CN35" s="139"/>
    </row>
    <row r="36" spans="1:92" ht="23.25" x14ac:dyDescent="0.25">
      <c r="A36" s="48"/>
      <c r="B36" s="249">
        <v>1</v>
      </c>
      <c r="C36" s="249"/>
      <c r="D36" s="249">
        <v>2</v>
      </c>
      <c r="E36" s="249"/>
      <c r="F36" s="249">
        <v>3</v>
      </c>
      <c r="G36" s="249"/>
      <c r="H36" s="249">
        <v>4</v>
      </c>
      <c r="I36" s="241"/>
      <c r="J36" s="233"/>
      <c r="K36" s="233"/>
      <c r="L36" s="242"/>
      <c r="M36" s="242"/>
      <c r="N36" s="234"/>
      <c r="P36" s="243"/>
      <c r="R36" s="250"/>
      <c r="S36" s="3" t="s">
        <v>102</v>
      </c>
      <c r="T36" s="3" t="s">
        <v>102</v>
      </c>
      <c r="U36" s="3" t="s">
        <v>102</v>
      </c>
      <c r="V36" s="250"/>
      <c r="Y36" s="155" t="s">
        <v>203</v>
      </c>
      <c r="Z36" s="251" t="s">
        <v>203</v>
      </c>
      <c r="AA36" s="251" t="s">
        <v>203</v>
      </c>
      <c r="AB36" s="155" t="s">
        <v>203</v>
      </c>
      <c r="AC36" s="155" t="s">
        <v>203</v>
      </c>
      <c r="AE36" s="245"/>
      <c r="AF36" s="252" t="s">
        <v>138</v>
      </c>
      <c r="AG36" s="252" t="s">
        <v>138</v>
      </c>
      <c r="AH36" s="252" t="s">
        <v>138</v>
      </c>
      <c r="AI36" s="245"/>
      <c r="AK36" s="28"/>
      <c r="AL36" s="193" t="s">
        <v>212</v>
      </c>
      <c r="AM36" s="193" t="s">
        <v>212</v>
      </c>
      <c r="AN36" s="193" t="s">
        <v>212</v>
      </c>
      <c r="AO36" s="193" t="s">
        <v>212</v>
      </c>
      <c r="AP36" s="46"/>
      <c r="AQ36" s="248"/>
      <c r="AR36" s="253" t="s">
        <v>225</v>
      </c>
      <c r="AS36" s="253" t="s">
        <v>225</v>
      </c>
      <c r="AT36" s="253" t="s">
        <v>225</v>
      </c>
      <c r="AU36" s="254"/>
      <c r="AW36" s="665"/>
      <c r="AX36" s="639"/>
      <c r="AY36" s="639"/>
      <c r="AZ36" s="639"/>
      <c r="BA36" s="639"/>
      <c r="BB36" s="639"/>
      <c r="BC36" s="666"/>
      <c r="BD36" s="11"/>
      <c r="BE36" s="11"/>
      <c r="BF36" s="11"/>
      <c r="BG36" s="11"/>
      <c r="BH36" s="11"/>
      <c r="BI36" s="11"/>
      <c r="BJ36" s="11"/>
      <c r="BK36" s="18"/>
      <c r="BL36" s="211"/>
      <c r="BM36" s="20"/>
      <c r="BQ36" s="4"/>
      <c r="BS36" s="4"/>
      <c r="BT36" s="4"/>
      <c r="BU36" s="45"/>
      <c r="BV36" s="11"/>
      <c r="BX36" s="99"/>
      <c r="BY36" s="99"/>
      <c r="CA36" s="99"/>
      <c r="CB36" s="181"/>
      <c r="CC36" s="107" t="s">
        <v>180</v>
      </c>
      <c r="CD36" s="182" t="s">
        <v>175</v>
      </c>
      <c r="CE36" s="216"/>
      <c r="CF36" s="99"/>
      <c r="CH36" s="99"/>
      <c r="CI36" s="99"/>
      <c r="CJ36" s="99"/>
      <c r="CK36" s="99"/>
      <c r="CL36" s="99"/>
      <c r="CM36" s="100"/>
      <c r="CN36" s="139"/>
    </row>
    <row r="37" spans="1:92" ht="23.25" x14ac:dyDescent="0.25">
      <c r="A37" s="48"/>
      <c r="B37" s="661" t="s">
        <v>226</v>
      </c>
      <c r="C37" s="661"/>
      <c r="D37" s="661"/>
      <c r="E37" s="661"/>
      <c r="F37" s="661"/>
      <c r="G37" s="661"/>
      <c r="H37" s="661"/>
      <c r="I37" s="241"/>
      <c r="J37" s="32"/>
      <c r="K37" s="32"/>
      <c r="L37" s="255"/>
      <c r="M37" s="255"/>
      <c r="N37" s="234"/>
      <c r="P37" s="243"/>
      <c r="R37" s="250"/>
      <c r="S37" s="3" t="s">
        <v>102</v>
      </c>
      <c r="T37" s="3" t="s">
        <v>102</v>
      </c>
      <c r="U37" s="3" t="s">
        <v>102</v>
      </c>
      <c r="V37" s="250"/>
      <c r="Y37" s="155" t="s">
        <v>203</v>
      </c>
      <c r="Z37" s="155" t="s">
        <v>203</v>
      </c>
      <c r="AA37" s="155" t="s">
        <v>203</v>
      </c>
      <c r="AB37" s="155" t="s">
        <v>203</v>
      </c>
      <c r="AC37" s="155" t="s">
        <v>203</v>
      </c>
      <c r="AE37" s="245"/>
      <c r="AF37" s="252" t="s">
        <v>138</v>
      </c>
      <c r="AG37" s="252" t="s">
        <v>138</v>
      </c>
      <c r="AH37" s="252" t="s">
        <v>138</v>
      </c>
      <c r="AI37" s="245"/>
      <c r="AK37" s="256"/>
      <c r="AL37" s="193" t="s">
        <v>212</v>
      </c>
      <c r="AM37" s="193" t="s">
        <v>212</v>
      </c>
      <c r="AN37" s="193" t="s">
        <v>212</v>
      </c>
      <c r="AO37" s="193" t="s">
        <v>212</v>
      </c>
      <c r="AP37" s="46"/>
      <c r="AQ37" s="257"/>
      <c r="AR37" s="253" t="s">
        <v>225</v>
      </c>
      <c r="AS37" s="253" t="s">
        <v>225</v>
      </c>
      <c r="AT37" s="253" t="s">
        <v>225</v>
      </c>
      <c r="AU37" s="257"/>
      <c r="AW37" s="665"/>
      <c r="AX37" s="639"/>
      <c r="AY37" s="639"/>
      <c r="AZ37" s="639"/>
      <c r="BA37" s="639"/>
      <c r="BB37" s="639"/>
      <c r="BC37" s="666"/>
      <c r="BD37" s="11"/>
      <c r="BE37" s="11"/>
      <c r="BF37" s="11"/>
      <c r="BG37" s="11"/>
      <c r="BH37" s="11"/>
      <c r="BI37" s="11"/>
      <c r="BJ37" s="11"/>
      <c r="BK37" s="18"/>
      <c r="BL37" s="45"/>
      <c r="BM37" s="211"/>
      <c r="BQ37" s="58" t="s">
        <v>176</v>
      </c>
      <c r="BR37" s="58" t="s">
        <v>176</v>
      </c>
      <c r="BS37" s="4"/>
      <c r="BT37" s="4"/>
      <c r="BU37" s="45"/>
      <c r="BV37" s="11"/>
      <c r="BW37" s="99"/>
      <c r="BX37" s="99"/>
      <c r="BY37" s="99"/>
      <c r="CA37" s="99"/>
      <c r="CB37" s="99"/>
      <c r="CC37" s="99"/>
      <c r="CD37" s="181"/>
      <c r="CE37" s="216"/>
      <c r="CF37" s="99"/>
      <c r="CH37" s="99"/>
      <c r="CI37" s="99"/>
      <c r="CJ37" s="99"/>
      <c r="CK37" s="99"/>
      <c r="CL37" s="99"/>
      <c r="CM37" s="100"/>
      <c r="CN37" s="139"/>
    </row>
    <row r="38" spans="1:92" ht="21" x14ac:dyDescent="0.25">
      <c r="A38" s="48"/>
      <c r="D38" s="241"/>
      <c r="E38" s="241"/>
      <c r="F38" s="234"/>
      <c r="G38" s="234"/>
      <c r="H38" s="234"/>
      <c r="I38" s="234"/>
      <c r="J38" s="234"/>
      <c r="K38" s="14"/>
      <c r="M38" s="673" t="s">
        <v>227</v>
      </c>
      <c r="N38" s="673"/>
      <c r="P38" s="243"/>
      <c r="Q38" s="13"/>
      <c r="S38" s="33" t="s">
        <v>172</v>
      </c>
      <c r="T38" s="33" t="s">
        <v>172</v>
      </c>
      <c r="U38" s="33" t="s">
        <v>172</v>
      </c>
      <c r="V38" s="24"/>
      <c r="W38" s="170"/>
      <c r="AE38" s="170"/>
      <c r="AF38" s="245" t="s">
        <v>172</v>
      </c>
      <c r="AG38" s="245" t="s">
        <v>172</v>
      </c>
      <c r="AH38" s="245" t="s">
        <v>172</v>
      </c>
      <c r="AK38" s="256"/>
      <c r="AL38" s="110"/>
      <c r="AM38" s="110"/>
      <c r="AN38" s="110"/>
      <c r="AO38" s="257"/>
      <c r="AP38" s="46"/>
      <c r="AQ38" s="257"/>
      <c r="AR38" s="110"/>
      <c r="AS38" s="110"/>
      <c r="AT38" s="110"/>
      <c r="AU38" s="257"/>
      <c r="AW38" s="665"/>
      <c r="AX38" s="639"/>
      <c r="AY38" s="639"/>
      <c r="AZ38" s="639"/>
      <c r="BA38" s="639"/>
      <c r="BB38" s="639"/>
      <c r="BC38" s="666"/>
      <c r="BD38" s="11"/>
      <c r="BE38" s="11"/>
      <c r="BF38" s="11"/>
      <c r="BG38" s="11"/>
      <c r="BH38" s="11"/>
      <c r="BI38" s="11"/>
      <c r="BJ38" s="11"/>
      <c r="BK38" s="18"/>
      <c r="BL38" s="45"/>
      <c r="BM38" s="58" t="s">
        <v>176</v>
      </c>
      <c r="BN38" s="58" t="s">
        <v>176</v>
      </c>
      <c r="BU38" s="45"/>
      <c r="BV38" s="45"/>
      <c r="BW38" s="45"/>
      <c r="BX38" s="45"/>
      <c r="BY38" s="45"/>
      <c r="CA38" s="45"/>
      <c r="CB38" s="45"/>
      <c r="CC38" s="45"/>
      <c r="CD38" s="45"/>
      <c r="CE38" s="258"/>
      <c r="CF38" s="45"/>
      <c r="CG38" s="45"/>
      <c r="CH38" s="45"/>
      <c r="CI38" s="45"/>
      <c r="CJ38" s="45"/>
      <c r="CK38" s="45"/>
      <c r="CL38" s="45"/>
      <c r="CM38" s="212"/>
      <c r="CN38" s="259"/>
    </row>
    <row r="39" spans="1:92" ht="21.75" thickBot="1" x14ac:dyDescent="0.3">
      <c r="A39" s="48"/>
      <c r="B39" s="260"/>
      <c r="C39" s="24" t="s">
        <v>228</v>
      </c>
      <c r="D39" s="241"/>
      <c r="E39" s="239"/>
      <c r="F39" s="185"/>
      <c r="G39" s="185"/>
      <c r="H39" s="185"/>
      <c r="I39" s="185"/>
      <c r="J39" s="179"/>
      <c r="L39" s="24" t="s">
        <v>183</v>
      </c>
      <c r="M39" s="92"/>
      <c r="N39" s="92"/>
      <c r="O39" s="91" t="s">
        <v>189</v>
      </c>
      <c r="P39" s="243"/>
      <c r="Q39" s="261"/>
      <c r="R39" s="262"/>
      <c r="S39" s="263">
        <v>6</v>
      </c>
      <c r="T39" s="263">
        <v>5</v>
      </c>
      <c r="U39" s="263">
        <v>4</v>
      </c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4">
        <v>6</v>
      </c>
      <c r="AG39" s="264">
        <v>5</v>
      </c>
      <c r="AH39" s="264">
        <v>4</v>
      </c>
      <c r="AI39" s="264"/>
      <c r="AJ39" s="262"/>
      <c r="AK39" s="265"/>
      <c r="AL39" s="266"/>
      <c r="AM39" s="267"/>
      <c r="AN39" s="267"/>
      <c r="AO39" s="268"/>
      <c r="AP39" s="269"/>
      <c r="AQ39" s="268"/>
      <c r="AR39" s="267"/>
      <c r="AS39" s="267"/>
      <c r="AT39" s="267"/>
      <c r="AU39" s="270"/>
      <c r="AV39" s="262"/>
      <c r="AW39" s="667"/>
      <c r="AX39" s="668"/>
      <c r="AY39" s="668"/>
      <c r="AZ39" s="668"/>
      <c r="BA39" s="668"/>
      <c r="BB39" s="668"/>
      <c r="BC39" s="669"/>
      <c r="BD39" s="40"/>
      <c r="BE39" s="40"/>
      <c r="BF39" s="40"/>
      <c r="BG39" s="40"/>
      <c r="BH39" s="40"/>
      <c r="BI39" s="40"/>
      <c r="BJ39" s="40"/>
      <c r="BK39" s="271"/>
      <c r="BL39" s="178" t="s">
        <v>176</v>
      </c>
      <c r="BM39" s="272"/>
      <c r="BN39" s="272"/>
      <c r="BO39" s="58" t="s">
        <v>176</v>
      </c>
      <c r="BU39" s="45"/>
      <c r="BV39" s="45"/>
      <c r="BW39" s="45"/>
      <c r="BX39" s="45"/>
      <c r="BY39" s="45"/>
      <c r="BZ39" s="45"/>
      <c r="CA39" s="45"/>
      <c r="CB39" s="45"/>
      <c r="CC39" s="45"/>
      <c r="CD39" s="273"/>
      <c r="CE39" s="258"/>
      <c r="CF39" s="45"/>
      <c r="CG39" s="45"/>
      <c r="CH39" s="45"/>
      <c r="CI39" s="45"/>
      <c r="CJ39" s="45"/>
      <c r="CK39" s="45"/>
      <c r="CL39" s="45"/>
      <c r="CM39" s="212"/>
      <c r="CN39" s="259"/>
    </row>
    <row r="40" spans="1:92" ht="24" thickBot="1" x14ac:dyDescent="0.3">
      <c r="A40" s="48"/>
      <c r="B40" s="274" t="s">
        <v>133</v>
      </c>
      <c r="C40" s="25" t="s">
        <v>190</v>
      </c>
      <c r="D40" s="275">
        <v>1</v>
      </c>
      <c r="E40" s="276"/>
      <c r="K40" s="277">
        <v>1</v>
      </c>
      <c r="L40" s="92" t="s">
        <v>229</v>
      </c>
      <c r="M40" s="112" t="s">
        <v>9</v>
      </c>
      <c r="N40" s="112" t="s">
        <v>9</v>
      </c>
      <c r="O40" s="92" t="s">
        <v>229</v>
      </c>
      <c r="P40" s="278">
        <v>8</v>
      </c>
      <c r="Q40" s="780" t="s">
        <v>230</v>
      </c>
      <c r="R40" s="781"/>
      <c r="S40" s="782"/>
      <c r="T40" s="183"/>
      <c r="U40" s="183"/>
      <c r="V40" s="183"/>
      <c r="W40" s="183"/>
      <c r="X40" s="183"/>
      <c r="Y40" s="183"/>
      <c r="AF40" s="626" t="s">
        <v>166</v>
      </c>
      <c r="AG40" s="626"/>
      <c r="AH40" s="626"/>
      <c r="AW40" s="45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279"/>
      <c r="BM40" s="280"/>
      <c r="BN40" s="281"/>
      <c r="BO40" s="281"/>
      <c r="BP40" s="281"/>
      <c r="BQ40" s="281"/>
      <c r="BR40" s="281"/>
      <c r="BS40" s="627" t="s">
        <v>231</v>
      </c>
      <c r="BT40" s="628"/>
      <c r="BU40" s="281"/>
      <c r="BV40" s="281"/>
      <c r="BW40" s="281"/>
      <c r="BX40" s="281"/>
      <c r="BY40" s="281"/>
      <c r="BZ40" s="281"/>
      <c r="CA40" s="281"/>
      <c r="CB40" s="281"/>
      <c r="CC40" s="282"/>
      <c r="CD40" s="283"/>
      <c r="CE40" s="258"/>
      <c r="CF40" s="45"/>
      <c r="CG40" s="45"/>
      <c r="CH40" s="45"/>
      <c r="CI40" s="45"/>
      <c r="CJ40" s="45"/>
      <c r="CK40" s="45"/>
      <c r="CL40" s="45"/>
      <c r="CM40" s="212"/>
      <c r="CN40" s="259"/>
    </row>
    <row r="41" spans="1:92" ht="21" x14ac:dyDescent="0.25">
      <c r="A41" s="284"/>
      <c r="B41" s="260"/>
      <c r="C41" s="285"/>
      <c r="D41" s="286"/>
      <c r="E41" s="287"/>
      <c r="K41" s="288"/>
      <c r="L41" s="185"/>
      <c r="M41" s="92"/>
      <c r="N41" s="92"/>
      <c r="P41" s="278"/>
      <c r="Q41" s="783"/>
      <c r="R41" s="781"/>
      <c r="S41" s="782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45"/>
      <c r="AE41" s="45"/>
      <c r="AF41" s="11"/>
      <c r="BD41" s="45"/>
      <c r="BE41" s="45"/>
      <c r="BF41" s="45"/>
      <c r="BG41" s="45"/>
      <c r="BH41" s="45"/>
      <c r="BI41" s="45"/>
      <c r="BJ41" s="45"/>
      <c r="BK41" s="45"/>
      <c r="BL41" s="45"/>
      <c r="BM41" s="289"/>
      <c r="BN41" s="290"/>
      <c r="BO41" s="29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291"/>
      <c r="CD41" s="45"/>
      <c r="CE41" s="258"/>
      <c r="CF41" s="45"/>
      <c r="CG41" s="45"/>
      <c r="CH41" s="45"/>
      <c r="CI41" s="45"/>
      <c r="CJ41" s="45"/>
      <c r="CK41" s="45"/>
      <c r="CL41" s="45"/>
      <c r="CM41" s="212"/>
      <c r="CN41" s="259"/>
    </row>
    <row r="42" spans="1:92" ht="23.25" x14ac:dyDescent="0.25">
      <c r="A42" s="284"/>
      <c r="B42" s="274" t="s">
        <v>133</v>
      </c>
      <c r="C42" s="25" t="s">
        <v>190</v>
      </c>
      <c r="D42" s="275">
        <v>2</v>
      </c>
      <c r="F42" s="292">
        <v>3</v>
      </c>
      <c r="G42" s="249"/>
      <c r="H42" s="292">
        <v>4</v>
      </c>
      <c r="J42" s="239"/>
      <c r="K42" s="277">
        <v>2</v>
      </c>
      <c r="L42" s="92" t="s">
        <v>229</v>
      </c>
      <c r="M42" s="111" t="s">
        <v>11</v>
      </c>
      <c r="N42" s="112" t="s">
        <v>9</v>
      </c>
      <c r="O42" s="92" t="s">
        <v>229</v>
      </c>
      <c r="P42" s="278">
        <v>7</v>
      </c>
      <c r="Q42" s="783"/>
      <c r="R42" s="781"/>
      <c r="S42" s="782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4"/>
      <c r="AE42" s="4"/>
      <c r="AF42" s="294"/>
      <c r="AG42" s="11"/>
      <c r="AH42" s="4"/>
      <c r="AI42" s="4"/>
      <c r="AJ42" s="205"/>
      <c r="AK42" s="205"/>
      <c r="AL42" s="205"/>
      <c r="AM42" s="205"/>
      <c r="AN42" s="11"/>
      <c r="AO42" s="11"/>
      <c r="AP42" s="11"/>
      <c r="AQ42" s="11"/>
      <c r="AR42" s="11"/>
      <c r="AS42" s="30"/>
      <c r="AT42" s="30"/>
      <c r="BD42" s="45"/>
      <c r="BE42" s="45"/>
      <c r="BF42" s="45"/>
      <c r="BG42" s="45"/>
      <c r="BH42" s="45"/>
      <c r="BI42" s="45"/>
      <c r="BJ42" s="45"/>
      <c r="BK42" s="45"/>
      <c r="BL42" s="30"/>
      <c r="BM42" s="45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295"/>
      <c r="CD42" s="30"/>
      <c r="CE42" s="296"/>
      <c r="CF42" s="30"/>
      <c r="CG42" s="30"/>
      <c r="CH42" s="30"/>
      <c r="CI42" s="30"/>
      <c r="CJ42" s="30"/>
      <c r="CK42" s="30"/>
      <c r="CL42" s="30"/>
      <c r="CM42" s="211"/>
      <c r="CN42" s="259"/>
    </row>
    <row r="43" spans="1:92" ht="21.75" thickBot="1" x14ac:dyDescent="0.3">
      <c r="A43" s="284"/>
      <c r="B43" s="260"/>
      <c r="C43" s="285"/>
      <c r="D43" s="286"/>
      <c r="E43" s="297" t="s">
        <v>220</v>
      </c>
      <c r="F43" s="298"/>
      <c r="G43" s="299"/>
      <c r="H43" s="298"/>
      <c r="I43" s="300"/>
      <c r="J43" s="73"/>
      <c r="K43" s="301"/>
      <c r="L43" s="302"/>
      <c r="M43" s="92"/>
      <c r="N43" s="92"/>
      <c r="O43" s="239"/>
      <c r="P43" s="278"/>
      <c r="Q43" s="783"/>
      <c r="R43" s="781"/>
      <c r="S43" s="782"/>
      <c r="T43" s="15"/>
      <c r="U43" s="185"/>
      <c r="V43" s="185"/>
      <c r="AO43" s="205"/>
      <c r="AP43" s="11"/>
      <c r="AQ43" s="30"/>
      <c r="AR43" s="30"/>
      <c r="AS43" s="30"/>
      <c r="AT43" s="30"/>
      <c r="BD43" s="30"/>
      <c r="BE43" s="45"/>
      <c r="BF43" s="45"/>
      <c r="BG43" s="45"/>
      <c r="BH43" s="45"/>
      <c r="BI43" s="45"/>
      <c r="BJ43" s="45"/>
      <c r="BK43" s="45"/>
      <c r="BL43" s="30"/>
      <c r="BM43" s="30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295"/>
      <c r="CD43" s="30"/>
      <c r="CE43" s="296"/>
      <c r="CF43" s="30"/>
      <c r="CG43" s="30"/>
      <c r="CH43" s="30"/>
      <c r="CI43" s="30"/>
      <c r="CJ43" s="30"/>
      <c r="CK43" s="30"/>
      <c r="CL43" s="30"/>
      <c r="CM43" s="30"/>
      <c r="CN43" s="291"/>
    </row>
    <row r="44" spans="1:92" ht="23.25" x14ac:dyDescent="0.25">
      <c r="A44" s="284"/>
      <c r="B44" s="274" t="s">
        <v>133</v>
      </c>
      <c r="C44" s="25" t="s">
        <v>190</v>
      </c>
      <c r="D44" s="275">
        <v>3</v>
      </c>
      <c r="E44" s="298"/>
      <c r="F44" s="303" t="s">
        <v>175</v>
      </c>
      <c r="G44" s="298"/>
      <c r="H44" s="303" t="s">
        <v>175</v>
      </c>
      <c r="J44" s="239"/>
      <c r="K44" s="301">
        <v>3</v>
      </c>
      <c r="L44" s="92" t="s">
        <v>229</v>
      </c>
      <c r="M44" s="112" t="s">
        <v>9</v>
      </c>
      <c r="N44" s="111" t="s">
        <v>11</v>
      </c>
      <c r="O44" s="92" t="s">
        <v>229</v>
      </c>
      <c r="P44" s="278">
        <v>6</v>
      </c>
      <c r="Q44" s="783"/>
      <c r="R44" s="781"/>
      <c r="S44" s="782"/>
      <c r="T44" s="629" t="s">
        <v>232</v>
      </c>
      <c r="U44" s="630"/>
      <c r="V44" s="630"/>
      <c r="W44" s="630"/>
      <c r="X44" s="630"/>
      <c r="Y44" s="630"/>
      <c r="Z44" s="630"/>
      <c r="AA44" s="630"/>
      <c r="AB44" s="631"/>
      <c r="AC44" s="14"/>
      <c r="AD44" s="14"/>
      <c r="AE44" s="14"/>
      <c r="AF44" s="304"/>
      <c r="AG44" s="15"/>
      <c r="AH44" s="14"/>
      <c r="AI44" s="14"/>
      <c r="AJ44" s="305"/>
      <c r="AK44" s="305"/>
      <c r="AL44" s="305"/>
      <c r="AM44" s="305"/>
      <c r="AO44" s="30"/>
      <c r="AP44" s="11"/>
      <c r="AQ44" s="30"/>
      <c r="AR44" s="30"/>
      <c r="AS44" s="30"/>
      <c r="AT44" s="30"/>
      <c r="BD44" s="30"/>
      <c r="BE44" s="4"/>
      <c r="BF44" s="4"/>
      <c r="BG44" s="4"/>
      <c r="BH44" s="4"/>
      <c r="BI44" s="4"/>
      <c r="BJ44" s="4"/>
      <c r="BK44" s="4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291"/>
      <c r="CD44" s="30"/>
      <c r="CE44" s="296"/>
      <c r="CF44" s="30"/>
      <c r="CG44" s="30"/>
      <c r="CH44" s="30"/>
      <c r="CI44" s="30"/>
      <c r="CJ44" s="30"/>
      <c r="CK44" s="30"/>
      <c r="CL44" s="30"/>
      <c r="CM44" s="30"/>
      <c r="CN44" s="291"/>
    </row>
    <row r="45" spans="1:92" ht="21.75" thickBot="1" x14ac:dyDescent="0.3">
      <c r="A45" s="284"/>
      <c r="B45" s="260"/>
      <c r="C45" s="285"/>
      <c r="D45" s="286"/>
      <c r="E45" s="306"/>
      <c r="F45" s="303" t="s">
        <v>175</v>
      </c>
      <c r="G45" s="298"/>
      <c r="H45" s="303" t="s">
        <v>175</v>
      </c>
      <c r="J45" s="239"/>
      <c r="K45" s="307"/>
      <c r="L45" s="239"/>
      <c r="M45" s="92"/>
      <c r="N45" s="92"/>
      <c r="O45" s="239"/>
      <c r="P45" s="278"/>
      <c r="Q45" s="783"/>
      <c r="R45" s="781"/>
      <c r="S45" s="782"/>
      <c r="T45" s="632"/>
      <c r="U45" s="633"/>
      <c r="V45" s="633"/>
      <c r="W45" s="633"/>
      <c r="X45" s="633"/>
      <c r="Y45" s="633"/>
      <c r="Z45" s="633"/>
      <c r="AA45" s="633"/>
      <c r="AB45" s="634"/>
      <c r="AC45" s="308"/>
      <c r="AD45" s="308"/>
      <c r="AE45" s="308"/>
      <c r="AF45" s="308"/>
      <c r="AG45" s="308"/>
      <c r="AH45" s="308"/>
      <c r="AI45" s="308"/>
      <c r="AJ45" s="308"/>
      <c r="AK45" s="308"/>
      <c r="AL45" s="308"/>
      <c r="AM45" s="308"/>
      <c r="AO45" s="30"/>
      <c r="BD45" s="30"/>
      <c r="BE45" s="4"/>
      <c r="BF45" s="4"/>
      <c r="BG45" s="4"/>
      <c r="BH45" s="4"/>
      <c r="BI45" s="4"/>
      <c r="BJ45" s="4"/>
      <c r="BK45" s="4"/>
      <c r="BL45" s="30"/>
      <c r="BM45" s="30"/>
      <c r="BN45" s="30"/>
      <c r="BO45" s="30"/>
      <c r="BP45" s="30"/>
      <c r="BQ45" s="30"/>
      <c r="BR45" s="30"/>
      <c r="BS45" s="4"/>
      <c r="BT45" s="30"/>
      <c r="BU45" s="30"/>
      <c r="BV45" s="30"/>
      <c r="BW45" s="30"/>
      <c r="BX45" s="30"/>
      <c r="BY45" s="30"/>
      <c r="BZ45" s="30"/>
      <c r="CA45" s="30"/>
      <c r="CB45" s="30"/>
      <c r="CC45" s="291"/>
      <c r="CD45" s="40"/>
      <c r="CE45" s="309"/>
      <c r="CF45" s="40"/>
      <c r="CG45" s="40"/>
      <c r="CH45" s="40"/>
      <c r="CI45" s="40"/>
      <c r="CJ45" s="40"/>
      <c r="CK45" s="40"/>
      <c r="CL45" s="40"/>
      <c r="CM45" s="40"/>
      <c r="CN45" s="310"/>
    </row>
    <row r="46" spans="1:92" ht="23.25" x14ac:dyDescent="0.25">
      <c r="A46" s="284"/>
      <c r="B46" s="274" t="s">
        <v>133</v>
      </c>
      <c r="C46" s="25" t="s">
        <v>190</v>
      </c>
      <c r="D46" s="286">
        <v>4</v>
      </c>
      <c r="E46" s="311"/>
      <c r="F46" s="298"/>
      <c r="G46" s="299"/>
      <c r="H46" s="298"/>
      <c r="I46" s="312"/>
      <c r="J46" s="239"/>
      <c r="K46" s="301">
        <v>4</v>
      </c>
      <c r="L46" s="92" t="s">
        <v>229</v>
      </c>
      <c r="M46" s="112" t="s">
        <v>9</v>
      </c>
      <c r="N46" s="112" t="s">
        <v>9</v>
      </c>
      <c r="O46" s="92" t="s">
        <v>229</v>
      </c>
      <c r="P46" s="278">
        <v>5</v>
      </c>
      <c r="Q46" s="783"/>
      <c r="R46" s="781"/>
      <c r="S46" s="782"/>
      <c r="T46" s="632"/>
      <c r="U46" s="633"/>
      <c r="V46" s="633"/>
      <c r="W46" s="633"/>
      <c r="X46" s="633"/>
      <c r="Y46" s="633"/>
      <c r="Z46" s="633"/>
      <c r="AA46" s="633"/>
      <c r="AB46" s="634"/>
      <c r="AC46" s="313"/>
      <c r="AD46" s="314"/>
      <c r="AE46" s="787" t="s">
        <v>233</v>
      </c>
      <c r="AF46" s="788"/>
      <c r="AG46" s="788"/>
      <c r="AH46" s="788"/>
      <c r="AI46" s="788"/>
      <c r="AJ46" s="788"/>
      <c r="AK46" s="788"/>
      <c r="AL46" s="788"/>
      <c r="AM46" s="789"/>
      <c r="AO46" s="30"/>
      <c r="BD46" s="315"/>
      <c r="BE46" s="316"/>
      <c r="BF46" s="316"/>
      <c r="BG46" s="316"/>
      <c r="BH46" s="316"/>
      <c r="BI46" s="316"/>
      <c r="BJ46" s="316"/>
      <c r="BK46" s="316"/>
      <c r="BL46" s="30"/>
      <c r="BM46" s="316"/>
      <c r="BN46" s="316"/>
      <c r="BO46" s="30"/>
      <c r="BP46" s="30"/>
      <c r="BQ46" s="30"/>
      <c r="BR46" s="30"/>
      <c r="BS46" s="4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281"/>
      <c r="CE46" s="281"/>
      <c r="CF46" s="281"/>
      <c r="CG46" s="281"/>
      <c r="CH46" s="281"/>
      <c r="CI46" s="281"/>
      <c r="CJ46" s="281"/>
      <c r="CK46" s="281"/>
      <c r="CL46" s="281"/>
      <c r="CM46" s="281"/>
      <c r="CN46" s="282"/>
    </row>
    <row r="47" spans="1:92" ht="21" x14ac:dyDescent="0.25">
      <c r="A47" s="284"/>
      <c r="B47" s="260"/>
      <c r="D47" s="286"/>
      <c r="E47" s="285"/>
      <c r="F47" s="292">
        <v>8</v>
      </c>
      <c r="G47" s="249"/>
      <c r="H47" s="292">
        <v>7</v>
      </c>
      <c r="I47" s="285"/>
      <c r="J47" s="239"/>
      <c r="M47" s="92"/>
      <c r="N47" s="92"/>
      <c r="P47" s="233"/>
      <c r="Q47" s="783"/>
      <c r="R47" s="781"/>
      <c r="S47" s="782"/>
      <c r="T47" s="632"/>
      <c r="U47" s="633"/>
      <c r="V47" s="633"/>
      <c r="W47" s="633"/>
      <c r="X47" s="633"/>
      <c r="Y47" s="633"/>
      <c r="Z47" s="633"/>
      <c r="AA47" s="633"/>
      <c r="AB47" s="634"/>
      <c r="AC47" s="179"/>
      <c r="AD47" s="185"/>
      <c r="AE47" s="638"/>
      <c r="AF47" s="639"/>
      <c r="AG47" s="639"/>
      <c r="AH47" s="639"/>
      <c r="AI47" s="639"/>
      <c r="AJ47" s="639"/>
      <c r="AK47" s="639"/>
      <c r="AL47" s="639"/>
      <c r="AM47" s="640"/>
      <c r="AO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291"/>
    </row>
    <row r="48" spans="1:92" ht="15.75" x14ac:dyDescent="0.25">
      <c r="A48" s="284"/>
      <c r="B48" s="644" t="s">
        <v>234</v>
      </c>
      <c r="C48" s="645"/>
      <c r="D48" s="286"/>
      <c r="J48" s="239"/>
      <c r="K48" s="234"/>
      <c r="L48" s="239"/>
      <c r="M48" s="239"/>
      <c r="N48" s="239"/>
      <c r="O48" s="317"/>
      <c r="P48" s="233"/>
      <c r="Q48" s="783"/>
      <c r="R48" s="781"/>
      <c r="S48" s="782"/>
      <c r="T48" s="632"/>
      <c r="U48" s="633"/>
      <c r="V48" s="633"/>
      <c r="W48" s="633"/>
      <c r="X48" s="633"/>
      <c r="Y48" s="633"/>
      <c r="Z48" s="633"/>
      <c r="AA48" s="633"/>
      <c r="AB48" s="634"/>
      <c r="AC48" s="179"/>
      <c r="AD48" s="185"/>
      <c r="AE48" s="641"/>
      <c r="AF48" s="642"/>
      <c r="AG48" s="642"/>
      <c r="AH48" s="642"/>
      <c r="AI48" s="642"/>
      <c r="AJ48" s="642"/>
      <c r="AK48" s="642"/>
      <c r="AL48" s="642"/>
      <c r="AM48" s="643"/>
      <c r="AO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291"/>
    </row>
    <row r="49" spans="1:93" x14ac:dyDescent="0.25">
      <c r="A49" s="284"/>
      <c r="B49" s="239"/>
      <c r="C49" s="239"/>
      <c r="D49" s="286"/>
      <c r="L49" s="239"/>
      <c r="M49" s="239"/>
      <c r="N49" s="239"/>
      <c r="O49" s="239"/>
      <c r="P49" s="239"/>
      <c r="Q49" s="783"/>
      <c r="R49" s="781"/>
      <c r="S49" s="782"/>
      <c r="T49" s="632"/>
      <c r="U49" s="633"/>
      <c r="V49" s="633"/>
      <c r="W49" s="633"/>
      <c r="X49" s="633"/>
      <c r="Y49" s="633"/>
      <c r="Z49" s="633"/>
      <c r="AA49" s="633"/>
      <c r="AB49" s="634"/>
      <c r="AC49" s="179"/>
      <c r="AD49" s="185"/>
      <c r="AE49" s="185"/>
      <c r="AF49" s="185"/>
      <c r="AG49" s="185"/>
      <c r="AH49" s="185"/>
      <c r="AI49" s="185"/>
      <c r="AJ49" s="185"/>
      <c r="AK49" s="790" t="s">
        <v>235</v>
      </c>
      <c r="AL49" s="788"/>
      <c r="AM49" s="791"/>
      <c r="AO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291"/>
    </row>
    <row r="50" spans="1:93" ht="20.25" x14ac:dyDescent="0.25">
      <c r="A50" s="284"/>
      <c r="B50" s="239"/>
      <c r="C50" s="239"/>
      <c r="E50" s="286"/>
      <c r="F50" s="318" t="s">
        <v>226</v>
      </c>
      <c r="G50" s="318"/>
      <c r="H50" s="318"/>
      <c r="I50" s="319"/>
      <c r="L50" s="239"/>
      <c r="M50" s="239"/>
      <c r="N50" s="239"/>
      <c r="O50" s="239"/>
      <c r="P50" s="239"/>
      <c r="Q50" s="783"/>
      <c r="R50" s="781"/>
      <c r="S50" s="782"/>
      <c r="T50" s="632"/>
      <c r="U50" s="633"/>
      <c r="V50" s="633"/>
      <c r="W50" s="633"/>
      <c r="X50" s="633"/>
      <c r="Y50" s="633"/>
      <c r="Z50" s="633"/>
      <c r="AA50" s="633"/>
      <c r="AB50" s="634"/>
      <c r="AC50" s="179"/>
      <c r="AD50" s="185"/>
      <c r="AE50" s="185"/>
      <c r="AF50" s="185"/>
      <c r="AG50" s="185"/>
      <c r="AH50" s="185"/>
      <c r="AI50" s="185"/>
      <c r="AJ50" s="185"/>
      <c r="AK50" s="646"/>
      <c r="AL50" s="639"/>
      <c r="AM50" s="647"/>
      <c r="AO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291"/>
    </row>
    <row r="51" spans="1:93" x14ac:dyDescent="0.25">
      <c r="A51" s="284"/>
      <c r="C51" s="239"/>
      <c r="E51" s="286"/>
      <c r="F51" s="239">
        <v>1</v>
      </c>
      <c r="G51" s="239">
        <v>2</v>
      </c>
      <c r="H51" s="239">
        <v>3</v>
      </c>
      <c r="L51" s="239"/>
      <c r="M51" s="239"/>
      <c r="N51" s="239"/>
      <c r="Q51" s="783"/>
      <c r="R51" s="781"/>
      <c r="S51" s="782"/>
      <c r="T51" s="632"/>
      <c r="U51" s="633"/>
      <c r="V51" s="633"/>
      <c r="W51" s="633"/>
      <c r="X51" s="633"/>
      <c r="Y51" s="633"/>
      <c r="Z51" s="633"/>
      <c r="AA51" s="633"/>
      <c r="AB51" s="634"/>
      <c r="AC51" s="792" t="s">
        <v>236</v>
      </c>
      <c r="AD51" s="650"/>
      <c r="AE51" s="650"/>
      <c r="AF51" s="650"/>
      <c r="AG51" s="650"/>
      <c r="AH51" s="650"/>
      <c r="AI51" s="650"/>
      <c r="AJ51" s="651"/>
      <c r="AK51" s="646"/>
      <c r="AL51" s="639"/>
      <c r="AM51" s="647"/>
      <c r="AO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20"/>
    </row>
    <row r="52" spans="1:93" ht="18.75" x14ac:dyDescent="0.25">
      <c r="A52" s="284"/>
      <c r="B52" s="239"/>
      <c r="C52" s="239"/>
      <c r="E52" s="24" t="s">
        <v>237</v>
      </c>
      <c r="F52" s="321" t="s">
        <v>170</v>
      </c>
      <c r="G52" s="321" t="s">
        <v>170</v>
      </c>
      <c r="H52" s="321" t="s">
        <v>170</v>
      </c>
      <c r="I52" s="91" t="s">
        <v>238</v>
      </c>
      <c r="L52" s="239"/>
      <c r="M52" s="239"/>
      <c r="N52" s="239"/>
      <c r="Q52" s="783"/>
      <c r="R52" s="781"/>
      <c r="S52" s="782"/>
      <c r="T52" s="632"/>
      <c r="U52" s="633"/>
      <c r="V52" s="633"/>
      <c r="W52" s="633"/>
      <c r="X52" s="633"/>
      <c r="Y52" s="633"/>
      <c r="Z52" s="633"/>
      <c r="AA52" s="633"/>
      <c r="AB52" s="634"/>
      <c r="AC52" s="632"/>
      <c r="AD52" s="633"/>
      <c r="AE52" s="633"/>
      <c r="AF52" s="633"/>
      <c r="AG52" s="633"/>
      <c r="AH52" s="633"/>
      <c r="AI52" s="633"/>
      <c r="AJ52" s="652"/>
      <c r="AK52" s="648"/>
      <c r="AL52" s="642"/>
      <c r="AM52" s="649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20"/>
    </row>
    <row r="53" spans="1:93" ht="23.25" x14ac:dyDescent="0.25">
      <c r="A53" s="284"/>
      <c r="B53" s="239"/>
      <c r="C53" s="239"/>
      <c r="E53" s="322"/>
      <c r="F53" s="323" t="s">
        <v>139</v>
      </c>
      <c r="G53" s="323" t="s">
        <v>139</v>
      </c>
      <c r="H53" s="323" t="s">
        <v>139</v>
      </c>
      <c r="I53" s="324"/>
      <c r="L53" s="239"/>
      <c r="M53" s="239"/>
      <c r="N53" s="239"/>
      <c r="Q53" s="783"/>
      <c r="R53" s="781"/>
      <c r="S53" s="782"/>
      <c r="T53" s="632"/>
      <c r="U53" s="633"/>
      <c r="V53" s="633"/>
      <c r="W53" s="633"/>
      <c r="X53" s="633"/>
      <c r="Y53" s="633"/>
      <c r="Z53" s="633"/>
      <c r="AA53" s="633"/>
      <c r="AB53" s="634"/>
      <c r="AC53" s="632"/>
      <c r="AD53" s="633"/>
      <c r="AE53" s="633"/>
      <c r="AF53" s="633"/>
      <c r="AG53" s="633"/>
      <c r="AH53" s="633"/>
      <c r="AI53" s="633"/>
      <c r="AJ53" s="652"/>
      <c r="AK53" s="793" t="s">
        <v>239</v>
      </c>
      <c r="AL53" s="794"/>
      <c r="AM53" s="795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20"/>
    </row>
    <row r="54" spans="1:93" ht="24" thickBot="1" x14ac:dyDescent="0.3">
      <c r="A54" s="284"/>
      <c r="B54" s="239" t="s">
        <v>240</v>
      </c>
      <c r="C54" s="239"/>
      <c r="E54" s="325"/>
      <c r="F54" s="323" t="s">
        <v>139</v>
      </c>
      <c r="G54" s="323" t="s">
        <v>139</v>
      </c>
      <c r="H54" s="323" t="s">
        <v>139</v>
      </c>
      <c r="I54" s="324"/>
      <c r="L54" s="239"/>
      <c r="M54" s="239"/>
      <c r="N54" s="239"/>
      <c r="Q54" s="783"/>
      <c r="R54" s="781"/>
      <c r="S54" s="782"/>
      <c r="T54" s="635"/>
      <c r="U54" s="636"/>
      <c r="V54" s="636"/>
      <c r="W54" s="636"/>
      <c r="X54" s="636"/>
      <c r="Y54" s="636"/>
      <c r="Z54" s="636"/>
      <c r="AA54" s="636"/>
      <c r="AB54" s="637"/>
      <c r="AC54" s="635"/>
      <c r="AD54" s="636"/>
      <c r="AE54" s="636"/>
      <c r="AF54" s="636"/>
      <c r="AG54" s="636"/>
      <c r="AH54" s="636"/>
      <c r="AI54" s="636"/>
      <c r="AJ54" s="653"/>
      <c r="AK54" s="654"/>
      <c r="AL54" s="655"/>
      <c r="AM54" s="656"/>
      <c r="CO54" s="13"/>
    </row>
    <row r="55" spans="1:93" ht="15.75" x14ac:dyDescent="0.25">
      <c r="A55" s="284"/>
      <c r="B55" s="326" t="s">
        <v>169</v>
      </c>
      <c r="C55" s="239"/>
      <c r="E55" s="286"/>
      <c r="F55" s="321" t="s">
        <v>170</v>
      </c>
      <c r="G55" s="321" t="s">
        <v>170</v>
      </c>
      <c r="H55" s="321" t="s">
        <v>170</v>
      </c>
      <c r="Q55" s="783"/>
      <c r="R55" s="781"/>
      <c r="S55" s="782"/>
      <c r="T55" s="15"/>
      <c r="U55" s="15"/>
      <c r="V55" s="15"/>
      <c r="W55" s="15"/>
      <c r="X55" s="15"/>
      <c r="Y55" s="15"/>
      <c r="Z55" s="15"/>
      <c r="AA55" s="15"/>
      <c r="AB55" s="327"/>
      <c r="AC55" s="327"/>
      <c r="AD55" s="327"/>
      <c r="AE55" s="327"/>
      <c r="AF55" s="327"/>
      <c r="AG55" s="327"/>
      <c r="AH55" s="327"/>
      <c r="AI55" s="327"/>
      <c r="AJ55" s="327"/>
      <c r="AK55" s="327"/>
      <c r="AL55" s="327"/>
      <c r="AM55" s="327"/>
      <c r="AN55" s="327"/>
      <c r="AO55" s="327"/>
      <c r="AP55" s="327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27"/>
      <c r="BH55" s="327"/>
      <c r="BI55" s="327"/>
      <c r="BJ55" s="327"/>
      <c r="BK55" s="327"/>
      <c r="BL55" s="327"/>
      <c r="BM55" s="327"/>
      <c r="BN55" s="327"/>
      <c r="BO55" s="327"/>
      <c r="BP55" s="327"/>
      <c r="BQ55" s="327"/>
      <c r="BR55" s="327"/>
      <c r="BS55" s="327"/>
      <c r="BT55" s="327"/>
      <c r="BU55" s="327"/>
      <c r="BV55" s="327"/>
      <c r="BW55" s="327"/>
      <c r="BX55" s="327"/>
      <c r="BY55" s="327"/>
      <c r="BZ55" s="327"/>
      <c r="CA55" s="327"/>
      <c r="CB55" s="327"/>
      <c r="CC55" s="327"/>
      <c r="CD55" s="327"/>
      <c r="CE55" s="327"/>
      <c r="CF55" s="327"/>
      <c r="CG55" s="327"/>
      <c r="CH55" s="327"/>
      <c r="CI55" s="327"/>
      <c r="CJ55" s="327"/>
      <c r="CK55" s="327"/>
      <c r="CL55" s="327"/>
      <c r="CM55" s="327"/>
      <c r="CN55" s="327"/>
    </row>
    <row r="56" spans="1:93" ht="15.75" x14ac:dyDescent="0.25">
      <c r="A56" s="284"/>
      <c r="B56" s="326" t="s">
        <v>169</v>
      </c>
      <c r="C56" s="239"/>
      <c r="E56" s="328"/>
      <c r="F56" s="239">
        <v>6</v>
      </c>
      <c r="G56" s="239">
        <v>5</v>
      </c>
      <c r="H56" s="239">
        <v>4</v>
      </c>
      <c r="I56" s="239"/>
      <c r="Q56" s="783"/>
      <c r="R56" s="781"/>
      <c r="S56" s="782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</row>
    <row r="57" spans="1:93" ht="15.75" x14ac:dyDescent="0.25">
      <c r="A57" s="284"/>
      <c r="B57" s="326" t="s">
        <v>169</v>
      </c>
      <c r="C57" s="239"/>
      <c r="D57" s="329"/>
      <c r="J57" s="239"/>
      <c r="Q57" s="783"/>
      <c r="R57" s="781"/>
      <c r="S57" s="782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</row>
    <row r="58" spans="1:93" x14ac:dyDescent="0.25">
      <c r="A58" s="284"/>
      <c r="B58" s="239" t="s">
        <v>241</v>
      </c>
      <c r="C58" s="239"/>
      <c r="Q58" s="783"/>
      <c r="R58" s="781"/>
      <c r="S58" s="782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P58" s="330"/>
      <c r="BQ58" s="330"/>
      <c r="BR58" s="330"/>
      <c r="BS58" s="330"/>
      <c r="BT58" s="330"/>
      <c r="BU58" s="330"/>
      <c r="BV58" s="330"/>
      <c r="BW58" s="330"/>
      <c r="BX58" s="330"/>
      <c r="BY58" s="330"/>
      <c r="BZ58" s="330"/>
      <c r="CA58" s="330"/>
      <c r="CB58" s="330"/>
      <c r="CC58" s="330"/>
      <c r="CD58" s="330"/>
      <c r="CE58" s="330"/>
      <c r="CF58" s="330"/>
      <c r="CG58" s="330"/>
      <c r="CH58" s="330"/>
      <c r="CI58" s="330"/>
      <c r="CJ58" s="330"/>
      <c r="CK58" s="330"/>
      <c r="CL58" s="11"/>
      <c r="CM58" s="11"/>
      <c r="CN58" s="11"/>
    </row>
    <row r="59" spans="1:93" x14ac:dyDescent="0.25">
      <c r="A59" s="284"/>
      <c r="B59" s="285"/>
      <c r="E59" s="239"/>
      <c r="F59" s="331"/>
      <c r="Q59" s="783"/>
      <c r="R59" s="781"/>
      <c r="S59" s="782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330"/>
      <c r="AP59" s="330"/>
      <c r="AQ59" s="330"/>
      <c r="AR59" s="330"/>
      <c r="AS59" s="330"/>
      <c r="AT59" s="330"/>
      <c r="AU59" s="330"/>
      <c r="AV59" s="330"/>
      <c r="AW59" s="330"/>
      <c r="AX59" s="330"/>
      <c r="AY59" s="330"/>
      <c r="AZ59" s="330"/>
      <c r="BA59" s="330"/>
      <c r="BB59" s="330"/>
      <c r="BC59" s="330"/>
      <c r="BD59" s="330"/>
      <c r="BE59" s="330"/>
      <c r="BF59" s="330"/>
      <c r="BG59" s="330"/>
      <c r="BH59" s="330"/>
      <c r="BI59" s="330"/>
      <c r="BJ59" s="330"/>
      <c r="BK59" s="330"/>
      <c r="BL59" s="330"/>
      <c r="BM59" s="330"/>
      <c r="BN59" s="330"/>
      <c r="BO59" s="330"/>
      <c r="BP59" s="330"/>
      <c r="BQ59" s="330"/>
      <c r="BR59" s="330"/>
      <c r="BS59" s="330"/>
      <c r="BT59" s="330"/>
      <c r="BU59" s="330"/>
      <c r="BV59" s="330"/>
      <c r="BW59" s="330"/>
      <c r="BX59" s="330"/>
      <c r="BY59" s="330"/>
      <c r="BZ59" s="330"/>
      <c r="CA59" s="330"/>
      <c r="CB59" s="330"/>
      <c r="CC59" s="330"/>
      <c r="CD59" s="330"/>
      <c r="CE59" s="330"/>
      <c r="CF59" s="330"/>
      <c r="CG59" s="330"/>
      <c r="CH59" s="330"/>
      <c r="CI59" s="330"/>
      <c r="CJ59" s="330"/>
      <c r="CK59" s="330"/>
      <c r="CL59" s="11"/>
      <c r="CM59" s="11"/>
      <c r="CN59" s="11"/>
    </row>
    <row r="60" spans="1:93" ht="15.75" x14ac:dyDescent="0.25">
      <c r="A60" s="284"/>
      <c r="B60" s="193" t="s">
        <v>212</v>
      </c>
      <c r="E60" s="239"/>
      <c r="F60" s="285"/>
      <c r="Q60" s="783"/>
      <c r="R60" s="781"/>
      <c r="S60" s="782"/>
      <c r="T60" s="330"/>
      <c r="U60" s="330"/>
      <c r="V60" s="330"/>
      <c r="W60" s="330"/>
      <c r="X60" s="330"/>
      <c r="Y60" s="330"/>
      <c r="Z60" s="330"/>
      <c r="AA60" s="330"/>
      <c r="AB60" s="330"/>
      <c r="AC60" s="332"/>
      <c r="AD60" s="332"/>
      <c r="AE60" s="332"/>
      <c r="AF60" s="332"/>
      <c r="AG60" s="332"/>
      <c r="AH60" s="330"/>
      <c r="AI60" s="330"/>
      <c r="AJ60" s="330"/>
      <c r="AK60" s="330"/>
      <c r="AL60" s="330"/>
      <c r="AM60" s="330"/>
      <c r="AN60" s="330"/>
      <c r="AO60" s="330"/>
      <c r="AP60" s="330"/>
      <c r="AQ60" s="330"/>
      <c r="AR60" s="330"/>
      <c r="AS60" s="330"/>
      <c r="AT60" s="330"/>
      <c r="AU60" s="330"/>
      <c r="AV60" s="330"/>
      <c r="AW60" s="330"/>
      <c r="AX60" s="330"/>
      <c r="AY60" s="330"/>
      <c r="AZ60" s="330"/>
      <c r="BA60" s="330"/>
      <c r="BB60" s="330"/>
      <c r="BC60" s="330"/>
      <c r="BD60" s="330"/>
      <c r="BE60" s="330"/>
      <c r="BF60" s="330"/>
      <c r="BG60" s="330"/>
      <c r="BH60" s="330"/>
      <c r="BI60" s="330"/>
      <c r="BJ60" s="330"/>
      <c r="BK60" s="330"/>
      <c r="BL60" s="330"/>
      <c r="BM60" s="330"/>
      <c r="BN60" s="330"/>
      <c r="BO60" s="330"/>
      <c r="BP60" s="330"/>
      <c r="BQ60" s="330"/>
      <c r="BR60" s="330"/>
      <c r="BS60" s="330"/>
      <c r="BT60" s="330"/>
      <c r="BU60" s="330"/>
      <c r="BV60" s="330"/>
      <c r="BW60" s="330"/>
      <c r="BX60" s="330"/>
      <c r="BY60" s="330"/>
      <c r="BZ60" s="330"/>
      <c r="CA60" s="330"/>
      <c r="CB60" s="330"/>
      <c r="CC60" s="330"/>
      <c r="CD60" s="330"/>
      <c r="CE60" s="330"/>
      <c r="CF60" s="330"/>
      <c r="CG60" s="330"/>
      <c r="CH60" s="330"/>
      <c r="CI60" s="330"/>
      <c r="CJ60" s="330"/>
      <c r="CK60" s="330"/>
      <c r="CL60" s="11"/>
      <c r="CM60" s="11"/>
      <c r="CN60" s="11"/>
    </row>
    <row r="61" spans="1:93" ht="21" x14ac:dyDescent="0.25">
      <c r="A61" s="284"/>
      <c r="B61" s="193" t="s">
        <v>212</v>
      </c>
      <c r="F61" s="333"/>
      <c r="L61" s="333"/>
      <c r="Q61" s="783"/>
      <c r="R61" s="781"/>
      <c r="S61" s="782"/>
      <c r="T61" s="330"/>
      <c r="U61" s="330"/>
      <c r="V61" s="330"/>
      <c r="W61" s="330"/>
      <c r="X61" s="330"/>
      <c r="Y61" s="330"/>
      <c r="Z61" s="330"/>
      <c r="AA61" s="330"/>
      <c r="AB61" s="330"/>
      <c r="AC61" s="332"/>
      <c r="AD61" s="332"/>
      <c r="AE61" s="332"/>
      <c r="AF61" s="332"/>
      <c r="AG61" s="332"/>
      <c r="AH61" s="330"/>
      <c r="AI61" s="330"/>
      <c r="AJ61" s="330"/>
      <c r="AK61" s="330"/>
      <c r="AL61" s="330"/>
      <c r="AM61" s="330"/>
      <c r="AN61" s="330"/>
      <c r="AO61" s="330"/>
      <c r="AP61" s="330"/>
      <c r="AQ61" s="330"/>
      <c r="AR61" s="330"/>
      <c r="AS61" s="330"/>
      <c r="AT61" s="330"/>
      <c r="AU61" s="330"/>
      <c r="AV61" s="330"/>
      <c r="AW61" s="330"/>
      <c r="AX61" s="330"/>
      <c r="AY61" s="330"/>
      <c r="AZ61" s="330"/>
      <c r="BA61" s="330"/>
      <c r="BB61" s="330"/>
      <c r="BC61" s="330"/>
      <c r="BD61" s="330"/>
      <c r="BE61" s="330"/>
      <c r="BF61" s="330"/>
      <c r="BG61" s="330"/>
      <c r="BH61" s="330"/>
      <c r="BI61" s="330"/>
      <c r="BJ61" s="330"/>
      <c r="BK61" s="330"/>
      <c r="BL61" s="330"/>
      <c r="BM61" s="330"/>
      <c r="BN61" s="330"/>
      <c r="BO61" s="330"/>
      <c r="BP61" s="330"/>
      <c r="BQ61" s="330"/>
      <c r="BR61" s="330"/>
      <c r="BS61" s="330"/>
      <c r="BT61" s="330"/>
      <c r="BU61" s="330"/>
      <c r="BV61" s="330"/>
      <c r="BW61" s="330"/>
      <c r="BX61" s="330"/>
      <c r="BY61" s="330"/>
      <c r="BZ61" s="330"/>
      <c r="CA61" s="330"/>
      <c r="CB61" s="330"/>
      <c r="CC61" s="330"/>
      <c r="CD61" s="330"/>
      <c r="CE61" s="330"/>
      <c r="CF61" s="330"/>
      <c r="CG61" s="330"/>
      <c r="CH61" s="330"/>
      <c r="CI61" s="330"/>
      <c r="CJ61" s="330"/>
      <c r="CK61" s="330"/>
      <c r="CL61" s="11"/>
      <c r="CM61" s="11"/>
      <c r="CN61" s="11"/>
    </row>
    <row r="62" spans="1:93" ht="21" x14ac:dyDescent="0.25">
      <c r="A62" s="284"/>
      <c r="B62" s="334" t="s">
        <v>176</v>
      </c>
      <c r="F62" s="335" t="s">
        <v>234</v>
      </c>
      <c r="G62" s="335"/>
      <c r="H62" s="335"/>
      <c r="I62" s="336"/>
      <c r="J62" s="239"/>
      <c r="K62" s="285"/>
      <c r="P62" s="319"/>
      <c r="Q62" s="783"/>
      <c r="R62" s="781"/>
      <c r="S62" s="782"/>
      <c r="T62" s="330"/>
      <c r="U62" s="330"/>
      <c r="V62" s="330"/>
      <c r="AJ62" s="330"/>
      <c r="AK62" s="330"/>
      <c r="AL62" s="330"/>
      <c r="AM62" s="330"/>
      <c r="AN62" s="330"/>
      <c r="AO62" s="330"/>
      <c r="AP62" s="330"/>
      <c r="AQ62" s="330"/>
      <c r="AR62" s="330"/>
      <c r="AS62" s="330"/>
      <c r="AT62" s="330"/>
      <c r="AU62" s="330"/>
      <c r="AV62" s="330"/>
      <c r="AW62" s="330"/>
      <c r="AX62" s="330"/>
      <c r="AY62" s="330"/>
      <c r="AZ62" s="330"/>
      <c r="BA62" s="330"/>
      <c r="BB62" s="330"/>
      <c r="BC62" s="330"/>
      <c r="BD62" s="330"/>
      <c r="BE62" s="330"/>
      <c r="BF62" s="330"/>
      <c r="BG62" s="330"/>
      <c r="BH62" s="330"/>
      <c r="BI62" s="330"/>
      <c r="BJ62" s="330"/>
      <c r="BK62" s="330"/>
      <c r="BL62" s="330"/>
      <c r="BM62" s="330"/>
      <c r="BN62" s="330"/>
      <c r="BO62" s="330"/>
      <c r="BP62" s="330"/>
      <c r="BQ62" s="330"/>
      <c r="BR62" s="330"/>
      <c r="BS62" s="330"/>
      <c r="BT62" s="330"/>
      <c r="BU62" s="330"/>
      <c r="BV62" s="330"/>
      <c r="BW62" s="330"/>
      <c r="BX62" s="330"/>
      <c r="BY62" s="330"/>
      <c r="BZ62" s="330"/>
      <c r="CA62" s="330"/>
      <c r="CB62" s="330"/>
      <c r="CC62" s="330"/>
      <c r="CD62" s="330"/>
      <c r="CE62" s="330"/>
      <c r="CF62" s="330"/>
      <c r="CG62" s="330"/>
      <c r="CH62" s="330"/>
      <c r="CI62" s="330"/>
      <c r="CJ62" s="330"/>
      <c r="CK62" s="330"/>
      <c r="CL62" s="11"/>
      <c r="CM62" s="11"/>
      <c r="CN62" s="11"/>
    </row>
    <row r="63" spans="1:93" ht="15.75" x14ac:dyDescent="0.25">
      <c r="A63" s="284"/>
      <c r="B63" s="334" t="s">
        <v>176</v>
      </c>
      <c r="F63" s="73">
        <v>1</v>
      </c>
      <c r="G63" s="236">
        <v>2</v>
      </c>
      <c r="H63" s="236">
        <v>3</v>
      </c>
      <c r="I63" s="73"/>
      <c r="K63" s="285"/>
      <c r="L63" s="292">
        <v>1</v>
      </c>
      <c r="M63" s="249"/>
      <c r="N63" s="292">
        <v>2</v>
      </c>
      <c r="O63" s="249"/>
      <c r="Q63" s="783"/>
      <c r="R63" s="781"/>
      <c r="S63" s="782"/>
      <c r="T63" s="330"/>
      <c r="U63" s="330"/>
      <c r="V63" s="330"/>
      <c r="AJ63" s="330"/>
      <c r="AK63" s="330"/>
      <c r="AL63" s="330"/>
      <c r="AM63" s="330"/>
      <c r="AN63" s="330"/>
      <c r="AO63" s="330"/>
      <c r="AP63" s="330"/>
      <c r="AQ63" s="330"/>
      <c r="AR63" s="330"/>
      <c r="AS63" s="330"/>
      <c r="AT63" s="330"/>
      <c r="AU63" s="330"/>
      <c r="AV63" s="330"/>
      <c r="AW63" s="330"/>
      <c r="AX63" s="330"/>
      <c r="AY63" s="330"/>
      <c r="AZ63" s="330"/>
      <c r="BA63" s="330"/>
      <c r="BB63" s="330"/>
      <c r="BC63" s="330"/>
      <c r="BD63" s="330"/>
      <c r="BE63" s="330"/>
      <c r="BF63" s="330"/>
      <c r="BG63" s="330"/>
      <c r="BH63" s="330"/>
      <c r="BI63" s="330"/>
      <c r="BJ63" s="330"/>
      <c r="BK63" s="330"/>
      <c r="BL63" s="330"/>
      <c r="BM63" s="330"/>
      <c r="BN63" s="330"/>
      <c r="BO63" s="330"/>
      <c r="BP63" s="330"/>
      <c r="BQ63" s="330"/>
      <c r="BR63" s="330"/>
      <c r="BS63" s="330"/>
      <c r="BT63" s="330"/>
      <c r="BU63" s="330"/>
      <c r="BV63" s="330"/>
      <c r="BW63" s="330"/>
      <c r="BX63" s="330"/>
      <c r="BY63" s="330"/>
      <c r="BZ63" s="330"/>
      <c r="CA63" s="330"/>
      <c r="CB63" s="330"/>
      <c r="CC63" s="330"/>
      <c r="CD63" s="330"/>
      <c r="CE63" s="330"/>
      <c r="CF63" s="330"/>
      <c r="CG63" s="330"/>
      <c r="CH63" s="330"/>
      <c r="CI63" s="330"/>
      <c r="CJ63" s="330"/>
      <c r="CK63" s="330"/>
      <c r="CL63" s="11"/>
      <c r="CM63" s="11"/>
      <c r="CN63" s="11"/>
    </row>
    <row r="64" spans="1:93" ht="21" x14ac:dyDescent="0.25">
      <c r="A64" s="284"/>
      <c r="B64" s="657" t="s">
        <v>234</v>
      </c>
      <c r="C64" s="658"/>
      <c r="D64" s="658"/>
      <c r="F64" s="133" t="s">
        <v>190</v>
      </c>
      <c r="G64" s="133" t="s">
        <v>190</v>
      </c>
      <c r="H64" s="133" t="s">
        <v>190</v>
      </c>
      <c r="K64" s="297" t="s">
        <v>228</v>
      </c>
      <c r="L64" s="337"/>
      <c r="M64" s="299"/>
      <c r="N64" s="337"/>
      <c r="O64" s="299"/>
      <c r="Q64" s="783"/>
      <c r="R64" s="781"/>
      <c r="S64" s="782"/>
      <c r="T64" s="330"/>
      <c r="U64" s="330"/>
      <c r="V64" s="330"/>
      <c r="AJ64" s="330"/>
      <c r="AK64" s="330"/>
      <c r="AL64" s="330"/>
      <c r="AM64" s="330"/>
      <c r="AN64" s="330"/>
      <c r="AO64" s="330"/>
      <c r="AP64" s="330"/>
      <c r="AQ64" s="330"/>
      <c r="AR64" s="330"/>
      <c r="AS64" s="330"/>
      <c r="AT64" s="330"/>
      <c r="AU64" s="330"/>
      <c r="AV64" s="330"/>
      <c r="AW64" s="330"/>
      <c r="AX64" s="330"/>
      <c r="AY64" s="330"/>
      <c r="AZ64" s="330"/>
      <c r="BA64" s="330"/>
      <c r="BB64" s="330"/>
      <c r="BC64" s="330"/>
      <c r="BD64" s="330"/>
      <c r="BE64" s="330"/>
      <c r="BF64" s="330"/>
      <c r="BG64" s="330"/>
      <c r="BH64" s="330"/>
      <c r="BI64" s="330"/>
      <c r="BJ64" s="330"/>
      <c r="BK64" s="330"/>
      <c r="BL64" s="330"/>
      <c r="BM64" s="330"/>
      <c r="BN64" s="330"/>
      <c r="BO64" s="330"/>
      <c r="BP64" s="330"/>
      <c r="BQ64" s="330"/>
      <c r="BR64" s="330"/>
      <c r="BS64" s="330"/>
      <c r="BT64" s="330"/>
      <c r="BU64" s="330"/>
      <c r="BV64" s="330"/>
      <c r="BW64" s="330"/>
      <c r="BX64" s="330"/>
      <c r="BY64" s="330"/>
      <c r="BZ64" s="330"/>
      <c r="CA64" s="330"/>
      <c r="CB64" s="330"/>
      <c r="CC64" s="330"/>
      <c r="CD64" s="330"/>
      <c r="CE64" s="330"/>
      <c r="CF64" s="330"/>
      <c r="CG64" s="330"/>
      <c r="CH64" s="330"/>
      <c r="CI64" s="330"/>
      <c r="CJ64" s="330"/>
      <c r="CK64" s="330"/>
      <c r="CL64" s="11"/>
      <c r="CM64" s="11"/>
      <c r="CN64" s="11"/>
    </row>
    <row r="65" spans="1:92" ht="23.25" x14ac:dyDescent="0.25">
      <c r="A65" s="284"/>
      <c r="B65" s="134"/>
      <c r="C65" s="24" t="s">
        <v>184</v>
      </c>
      <c r="E65" s="133"/>
      <c r="F65" s="338" t="s">
        <v>61</v>
      </c>
      <c r="G65" s="339" t="s">
        <v>61</v>
      </c>
      <c r="H65" s="340" t="s">
        <v>23</v>
      </c>
      <c r="I65" s="133"/>
      <c r="K65" s="341"/>
      <c r="L65" s="303" t="s">
        <v>175</v>
      </c>
      <c r="M65" s="86"/>
      <c r="N65" s="303" t="s">
        <v>175</v>
      </c>
      <c r="O65" s="341"/>
      <c r="Q65" s="783"/>
      <c r="R65" s="781"/>
      <c r="S65" s="782"/>
      <c r="T65" s="330"/>
      <c r="U65" s="330"/>
      <c r="V65" s="330"/>
      <c r="W65" s="330"/>
      <c r="X65" s="330"/>
      <c r="Y65" s="330"/>
      <c r="Z65" s="330"/>
      <c r="AA65" s="330"/>
      <c r="AB65" s="330"/>
      <c r="AC65" s="332"/>
      <c r="AD65" s="332"/>
      <c r="AE65" s="332"/>
      <c r="AF65" s="332"/>
      <c r="AG65" s="332"/>
      <c r="AH65" s="330"/>
      <c r="AI65" s="330"/>
      <c r="AJ65" s="330"/>
      <c r="AK65" s="330"/>
      <c r="AL65" s="330"/>
      <c r="AM65" s="330"/>
      <c r="AN65" s="330"/>
      <c r="AO65" s="330"/>
      <c r="AP65" s="330"/>
      <c r="AQ65" s="330"/>
      <c r="AR65" s="330"/>
      <c r="AS65" s="330"/>
      <c r="AT65" s="330"/>
      <c r="AU65" s="330"/>
      <c r="AV65" s="330"/>
      <c r="AW65" s="330"/>
      <c r="AX65" s="330"/>
      <c r="AY65" s="330"/>
      <c r="AZ65" s="330"/>
      <c r="BA65" s="330"/>
      <c r="BB65" s="330"/>
      <c r="BC65" s="330"/>
      <c r="BD65" s="330"/>
      <c r="BE65" s="330"/>
      <c r="BF65" s="330"/>
      <c r="BG65" s="330"/>
      <c r="BH65" s="330"/>
      <c r="BI65" s="330"/>
      <c r="BJ65" s="330"/>
      <c r="BK65" s="330"/>
      <c r="BL65" s="330"/>
      <c r="BM65" s="330"/>
      <c r="BN65" s="330"/>
      <c r="BO65" s="330"/>
      <c r="BP65" s="330"/>
      <c r="BQ65" s="330"/>
      <c r="BR65" s="330"/>
      <c r="BS65" s="330"/>
      <c r="BT65" s="330"/>
      <c r="BU65" s="330"/>
      <c r="BV65" s="330"/>
      <c r="BW65" s="330"/>
      <c r="BX65" s="330"/>
      <c r="BY65" s="330"/>
      <c r="BZ65" s="330"/>
      <c r="CA65" s="330"/>
      <c r="CB65" s="330"/>
      <c r="CC65" s="330"/>
      <c r="CD65" s="330"/>
      <c r="CE65" s="330"/>
      <c r="CF65" s="330"/>
      <c r="CG65" s="330"/>
      <c r="CH65" s="330"/>
      <c r="CI65" s="330"/>
      <c r="CJ65" s="330"/>
      <c r="CK65" s="330"/>
      <c r="CL65" s="11"/>
      <c r="CM65" s="11"/>
      <c r="CN65" s="11"/>
    </row>
    <row r="66" spans="1:92" ht="23.25" x14ac:dyDescent="0.25">
      <c r="A66" s="284"/>
      <c r="B66" s="342" t="s">
        <v>27</v>
      </c>
      <c r="C66" s="134" t="s">
        <v>242</v>
      </c>
      <c r="D66" s="286">
        <v>1</v>
      </c>
      <c r="E66" s="133"/>
      <c r="F66" s="338" t="s">
        <v>61</v>
      </c>
      <c r="G66" s="339" t="s">
        <v>61</v>
      </c>
      <c r="H66" s="343" t="s">
        <v>25</v>
      </c>
      <c r="I66" s="133"/>
      <c r="K66" s="341"/>
      <c r="L66" s="303" t="s">
        <v>175</v>
      </c>
      <c r="M66" s="86"/>
      <c r="N66" s="303" t="s">
        <v>175</v>
      </c>
      <c r="O66" s="341"/>
      <c r="Q66" s="783"/>
      <c r="R66" s="781"/>
      <c r="S66" s="782"/>
      <c r="T66" s="330"/>
      <c r="U66" s="330"/>
      <c r="V66" s="330"/>
      <c r="W66" s="330"/>
      <c r="X66" s="330"/>
      <c r="Y66" s="330"/>
      <c r="Z66" s="330"/>
      <c r="AA66" s="330"/>
      <c r="AB66" s="330"/>
      <c r="AC66" s="332"/>
      <c r="AD66" s="332"/>
      <c r="AE66" s="332"/>
      <c r="AF66" s="332"/>
      <c r="AG66" s="332"/>
      <c r="AH66" s="330"/>
      <c r="AI66" s="330"/>
      <c r="AJ66" s="330"/>
      <c r="AK66" s="330"/>
      <c r="AL66" s="330"/>
      <c r="AM66" s="330"/>
      <c r="AN66" s="330"/>
      <c r="AO66" s="330"/>
      <c r="AP66" s="330"/>
      <c r="AQ66" s="330"/>
      <c r="AR66" s="330"/>
      <c r="AS66" s="330"/>
      <c r="AT66" s="330"/>
      <c r="AU66" s="330"/>
      <c r="AV66" s="330"/>
      <c r="AW66" s="330"/>
      <c r="AX66" s="330"/>
      <c r="AY66" s="330"/>
      <c r="AZ66" s="330"/>
      <c r="BA66" s="330"/>
      <c r="BB66" s="330"/>
      <c r="BC66" s="330"/>
      <c r="BD66" s="330"/>
      <c r="BE66" s="330"/>
      <c r="BF66" s="330"/>
      <c r="BG66" s="330"/>
      <c r="BH66" s="330"/>
      <c r="BI66" s="330"/>
      <c r="BJ66" s="330"/>
      <c r="BK66" s="330"/>
      <c r="BL66" s="330"/>
      <c r="BM66" s="330"/>
      <c r="BN66" s="330"/>
      <c r="BO66" s="330"/>
      <c r="BP66" s="330"/>
      <c r="BQ66" s="330"/>
      <c r="BR66" s="330"/>
      <c r="BS66" s="330"/>
      <c r="BT66" s="330"/>
      <c r="BU66" s="330"/>
      <c r="BV66" s="330"/>
      <c r="BW66" s="330"/>
      <c r="BX66" s="330"/>
      <c r="BY66" s="330"/>
      <c r="BZ66" s="330"/>
      <c r="CA66" s="330"/>
      <c r="CB66" s="330"/>
      <c r="CC66" s="330"/>
      <c r="CD66" s="330"/>
      <c r="CE66" s="330"/>
      <c r="CF66" s="330"/>
      <c r="CG66" s="330"/>
      <c r="CH66" s="330"/>
      <c r="CI66" s="330"/>
      <c r="CJ66" s="330"/>
      <c r="CK66" s="330"/>
      <c r="CL66" s="11"/>
      <c r="CM66" s="11"/>
      <c r="CN66" s="11"/>
    </row>
    <row r="67" spans="1:92" ht="21" x14ac:dyDescent="0.25">
      <c r="A67" s="284"/>
      <c r="B67" s="344"/>
      <c r="D67" s="286"/>
      <c r="F67" s="133" t="s">
        <v>190</v>
      </c>
      <c r="G67" s="133" t="s">
        <v>190</v>
      </c>
      <c r="H67" s="133" t="s">
        <v>190</v>
      </c>
      <c r="K67" s="299"/>
      <c r="L67" s="337"/>
      <c r="M67" s="299"/>
      <c r="N67" s="337"/>
      <c r="O67" s="299"/>
      <c r="Q67" s="783"/>
      <c r="R67" s="781"/>
      <c r="S67" s="782"/>
      <c r="T67" s="330"/>
      <c r="U67" s="330"/>
      <c r="V67" s="330"/>
      <c r="W67" s="330"/>
      <c r="X67" s="330"/>
      <c r="Y67" s="330"/>
      <c r="Z67" s="330"/>
      <c r="AA67" s="330"/>
      <c r="AB67" s="330"/>
      <c r="AC67" s="332"/>
      <c r="AD67" s="332"/>
      <c r="AE67" s="332"/>
      <c r="AF67" s="332"/>
      <c r="AG67" s="332"/>
      <c r="AH67" s="330"/>
      <c r="AI67" s="330"/>
      <c r="AJ67" s="330"/>
      <c r="AK67" s="330"/>
      <c r="AL67" s="330"/>
      <c r="AM67" s="330"/>
      <c r="AN67" s="330"/>
      <c r="AO67" s="330"/>
      <c r="AP67" s="330"/>
      <c r="AQ67" s="330"/>
      <c r="AR67" s="330"/>
      <c r="AS67" s="330"/>
      <c r="AT67" s="330"/>
      <c r="AU67" s="330"/>
      <c r="AV67" s="330"/>
      <c r="AW67" s="330"/>
      <c r="AX67" s="330"/>
      <c r="AY67" s="330"/>
      <c r="AZ67" s="330"/>
      <c r="BA67" s="330"/>
      <c r="BB67" s="330"/>
      <c r="BC67" s="330"/>
      <c r="BD67" s="330"/>
      <c r="BE67" s="330"/>
      <c r="BF67" s="330"/>
      <c r="BG67" s="330"/>
      <c r="BH67" s="330"/>
      <c r="BI67" s="330"/>
      <c r="BJ67" s="330"/>
      <c r="BK67" s="330"/>
      <c r="BL67" s="330"/>
      <c r="BM67" s="330"/>
      <c r="BN67" s="330"/>
      <c r="BO67" s="330"/>
      <c r="BP67" s="330"/>
      <c r="BQ67" s="330"/>
      <c r="BR67" s="330"/>
      <c r="BS67" s="330"/>
      <c r="BT67" s="330"/>
      <c r="BU67" s="330"/>
      <c r="BV67" s="330"/>
      <c r="BW67" s="330"/>
      <c r="BX67" s="330"/>
      <c r="BY67" s="330"/>
      <c r="BZ67" s="330"/>
      <c r="CA67" s="330"/>
      <c r="CB67" s="330"/>
      <c r="CC67" s="330"/>
      <c r="CD67" s="330"/>
      <c r="CE67" s="330"/>
      <c r="CF67" s="330"/>
      <c r="CG67" s="330"/>
      <c r="CH67" s="330"/>
      <c r="CI67" s="330"/>
      <c r="CJ67" s="330"/>
      <c r="CK67" s="330"/>
      <c r="CL67" s="11"/>
      <c r="CM67" s="11"/>
      <c r="CN67" s="11"/>
    </row>
    <row r="68" spans="1:92" ht="23.25" x14ac:dyDescent="0.25">
      <c r="A68" s="284"/>
      <c r="B68" s="342" t="s">
        <v>27</v>
      </c>
      <c r="C68" s="134" t="s">
        <v>242</v>
      </c>
      <c r="D68" s="286">
        <v>2</v>
      </c>
      <c r="F68" s="236">
        <v>6</v>
      </c>
      <c r="G68" s="236">
        <v>5</v>
      </c>
      <c r="H68" s="236">
        <v>4</v>
      </c>
      <c r="I68" s="236"/>
      <c r="J68" s="236"/>
      <c r="K68" s="239"/>
      <c r="L68" s="292">
        <v>10</v>
      </c>
      <c r="M68" s="249"/>
      <c r="N68" s="292">
        <v>9</v>
      </c>
      <c r="O68" s="249"/>
      <c r="P68" s="236"/>
      <c r="Q68" s="783"/>
      <c r="R68" s="781"/>
      <c r="S68" s="782"/>
      <c r="T68" s="330"/>
      <c r="U68" s="330"/>
      <c r="V68" s="330"/>
      <c r="W68" s="330"/>
      <c r="X68" s="330"/>
      <c r="Y68" s="330"/>
      <c r="Z68" s="330"/>
      <c r="AA68" s="330"/>
      <c r="AB68" s="330"/>
      <c r="AC68" s="332"/>
      <c r="AD68" s="332"/>
      <c r="AE68" s="332"/>
      <c r="AF68" s="332"/>
      <c r="AG68" s="332"/>
      <c r="AH68" s="330"/>
      <c r="AI68" s="330"/>
      <c r="AJ68" s="330"/>
      <c r="AK68" s="330"/>
      <c r="AL68" s="330"/>
      <c r="AM68" s="330"/>
      <c r="AN68" s="330"/>
      <c r="AO68" s="330"/>
      <c r="AP68" s="330"/>
      <c r="AQ68" s="330"/>
      <c r="AR68" s="330"/>
      <c r="AS68" s="330"/>
      <c r="AT68" s="330"/>
      <c r="AU68" s="330"/>
      <c r="AV68" s="330"/>
      <c r="AW68" s="330"/>
      <c r="AX68" s="330"/>
      <c r="AY68" s="330"/>
      <c r="AZ68" s="330"/>
      <c r="BA68" s="330"/>
      <c r="BB68" s="330"/>
      <c r="BC68" s="330"/>
      <c r="BD68" s="330"/>
      <c r="BE68" s="330"/>
      <c r="BF68" s="330"/>
      <c r="BG68" s="330"/>
      <c r="BH68" s="330"/>
      <c r="BI68" s="330"/>
      <c r="BJ68" s="330"/>
      <c r="BK68" s="330"/>
      <c r="BL68" s="330"/>
      <c r="BM68" s="330"/>
      <c r="BN68" s="330"/>
      <c r="BO68" s="330"/>
      <c r="BP68" s="330"/>
      <c r="BQ68" s="330"/>
      <c r="BR68" s="330"/>
      <c r="BS68" s="330"/>
      <c r="BT68" s="330"/>
      <c r="BU68" s="330"/>
      <c r="BV68" s="330"/>
      <c r="BW68" s="330"/>
      <c r="BX68" s="330"/>
      <c r="BY68" s="330"/>
      <c r="BZ68" s="330"/>
      <c r="CA68" s="330"/>
      <c r="CB68" s="330"/>
      <c r="CC68" s="330"/>
      <c r="CD68" s="330"/>
      <c r="CE68" s="330"/>
      <c r="CF68" s="330"/>
      <c r="CG68" s="330"/>
      <c r="CH68" s="330"/>
      <c r="CI68" s="330"/>
      <c r="CJ68" s="330"/>
      <c r="CK68" s="330"/>
      <c r="CL68" s="11"/>
      <c r="CM68" s="11"/>
      <c r="CN68" s="11"/>
    </row>
    <row r="69" spans="1:92" ht="21" x14ac:dyDescent="0.25">
      <c r="A69" s="284"/>
      <c r="B69" s="344"/>
      <c r="C69" s="331"/>
      <c r="D69" s="286"/>
      <c r="E69" s="331"/>
      <c r="K69" s="239"/>
      <c r="L69" s="625" t="s">
        <v>243</v>
      </c>
      <c r="M69" s="625"/>
      <c r="N69" s="625"/>
      <c r="O69" s="625"/>
      <c r="P69" s="331"/>
      <c r="Q69" s="783"/>
      <c r="R69" s="781"/>
      <c r="S69" s="782"/>
      <c r="T69" s="330"/>
      <c r="U69" s="330"/>
      <c r="V69" s="330"/>
      <c r="W69" s="330"/>
      <c r="X69" s="330"/>
      <c r="Y69" s="330"/>
      <c r="Z69" s="330"/>
      <c r="AA69" s="330"/>
      <c r="AB69" s="330"/>
      <c r="AC69" s="332"/>
      <c r="AD69" s="332"/>
      <c r="AE69" s="332"/>
      <c r="AF69" s="332"/>
      <c r="AG69" s="332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  <c r="AV69" s="330"/>
      <c r="AW69" s="330"/>
      <c r="AX69" s="330"/>
      <c r="AY69" s="330"/>
      <c r="AZ69" s="330"/>
      <c r="BA69" s="330"/>
      <c r="BB69" s="330"/>
      <c r="BC69" s="330"/>
      <c r="BD69" s="330"/>
      <c r="BE69" s="330"/>
      <c r="BF69" s="330"/>
      <c r="BG69" s="330"/>
      <c r="BH69" s="330"/>
      <c r="BI69" s="330"/>
      <c r="BJ69" s="330"/>
      <c r="BK69" s="330"/>
      <c r="BL69" s="330"/>
      <c r="BM69" s="330"/>
      <c r="BN69" s="330"/>
      <c r="BO69" s="330"/>
      <c r="BP69" s="330"/>
      <c r="BQ69" s="330"/>
      <c r="BR69" s="330"/>
      <c r="BS69" s="330"/>
      <c r="BT69" s="330"/>
      <c r="BU69" s="330"/>
      <c r="BV69" s="330"/>
      <c r="BW69" s="330"/>
      <c r="BX69" s="330"/>
      <c r="BY69" s="330"/>
      <c r="BZ69" s="330"/>
      <c r="CA69" s="330"/>
      <c r="CB69" s="330"/>
      <c r="CC69" s="330"/>
      <c r="CD69" s="330"/>
      <c r="CE69" s="330"/>
      <c r="CF69" s="330"/>
      <c r="CG69" s="330"/>
      <c r="CH69" s="330"/>
      <c r="CI69" s="330"/>
      <c r="CJ69" s="330"/>
      <c r="CK69" s="330"/>
      <c r="CL69" s="11"/>
      <c r="CM69" s="11"/>
      <c r="CN69" s="11"/>
    </row>
    <row r="70" spans="1:92" ht="23.25" x14ac:dyDescent="0.25">
      <c r="A70" s="284"/>
      <c r="B70" s="342" t="s">
        <v>27</v>
      </c>
      <c r="C70" s="134" t="s">
        <v>242</v>
      </c>
      <c r="D70" s="286">
        <v>3</v>
      </c>
      <c r="E70" s="331"/>
      <c r="K70" s="331"/>
      <c r="L70" s="331"/>
      <c r="M70" s="233"/>
      <c r="N70" s="233"/>
      <c r="O70" s="331"/>
      <c r="P70" s="331"/>
      <c r="Q70" s="783"/>
      <c r="R70" s="781"/>
      <c r="S70" s="782"/>
      <c r="T70" s="330"/>
      <c r="U70" s="330"/>
      <c r="V70" s="330"/>
      <c r="W70" s="330"/>
      <c r="X70" s="330"/>
      <c r="Y70" s="330"/>
      <c r="Z70" s="330"/>
      <c r="AA70" s="330"/>
      <c r="AB70" s="330"/>
      <c r="AC70" s="332"/>
      <c r="AD70" s="332"/>
      <c r="AE70" s="332"/>
      <c r="AF70" s="332"/>
      <c r="AG70" s="332"/>
      <c r="AH70" s="330"/>
      <c r="AI70" s="330"/>
      <c r="AJ70" s="330"/>
      <c r="AK70" s="330"/>
      <c r="AL70" s="330"/>
      <c r="AM70" s="330"/>
      <c r="AN70" s="330"/>
      <c r="AO70" s="330"/>
      <c r="AP70" s="330"/>
      <c r="AQ70" s="330"/>
      <c r="AR70" s="330"/>
      <c r="AS70" s="330"/>
      <c r="AT70" s="330"/>
      <c r="AU70" s="330"/>
      <c r="AV70" s="330"/>
      <c r="AW70" s="330"/>
      <c r="AX70" s="330"/>
      <c r="AY70" s="330"/>
      <c r="AZ70" s="330"/>
      <c r="BA70" s="330"/>
      <c r="BB70" s="330"/>
      <c r="BC70" s="330"/>
      <c r="BD70" s="330"/>
      <c r="BE70" s="330"/>
      <c r="BF70" s="330"/>
      <c r="BG70" s="330"/>
      <c r="BH70" s="330"/>
      <c r="BI70" s="330"/>
      <c r="BJ70" s="330"/>
      <c r="BK70" s="330"/>
      <c r="BL70" s="330"/>
      <c r="BM70" s="330"/>
      <c r="BN70" s="330"/>
      <c r="BO70" s="330"/>
      <c r="BP70" s="330"/>
      <c r="BQ70" s="330"/>
      <c r="BR70" s="330"/>
      <c r="BS70" s="330"/>
      <c r="BT70" s="330"/>
      <c r="BU70" s="330"/>
      <c r="BV70" s="330"/>
      <c r="BW70" s="330"/>
      <c r="BX70" s="330"/>
      <c r="BY70" s="330"/>
      <c r="BZ70" s="330"/>
      <c r="CA70" s="330"/>
      <c r="CB70" s="330"/>
      <c r="CC70" s="330"/>
      <c r="CD70" s="330"/>
      <c r="CE70" s="330"/>
      <c r="CF70" s="330"/>
      <c r="CG70" s="330"/>
      <c r="CH70" s="330"/>
      <c r="CI70" s="330"/>
      <c r="CJ70" s="330"/>
      <c r="CK70" s="330"/>
      <c r="CL70" s="11"/>
      <c r="CM70" s="11"/>
      <c r="CN70" s="11"/>
    </row>
    <row r="71" spans="1:92" x14ac:dyDescent="0.25">
      <c r="A71" s="284"/>
      <c r="B71" s="344"/>
      <c r="C71" s="331"/>
      <c r="D71" s="345"/>
      <c r="E71" s="285"/>
      <c r="F71" s="239"/>
      <c r="G71" s="239"/>
      <c r="H71" s="239"/>
      <c r="I71" s="331"/>
      <c r="J71" s="331"/>
      <c r="K71" s="331"/>
      <c r="L71" s="331"/>
      <c r="M71" s="233"/>
      <c r="N71" s="233"/>
      <c r="O71" s="331"/>
      <c r="P71" s="331"/>
      <c r="Q71" s="783"/>
      <c r="R71" s="781"/>
      <c r="S71" s="782"/>
      <c r="T71" s="330"/>
      <c r="U71" s="330"/>
      <c r="V71" s="330"/>
      <c r="W71" s="330"/>
      <c r="X71" s="330"/>
      <c r="Y71" s="330"/>
      <c r="Z71" s="330"/>
      <c r="AA71" s="330"/>
      <c r="AB71" s="330"/>
      <c r="AC71" s="332"/>
      <c r="AD71" s="332"/>
      <c r="AE71" s="332"/>
      <c r="AF71" s="332"/>
      <c r="AG71" s="332"/>
      <c r="AH71" s="330"/>
      <c r="AI71" s="330"/>
      <c r="AJ71" s="330"/>
      <c r="AK71" s="330"/>
      <c r="AL71" s="330"/>
      <c r="AM71" s="330"/>
      <c r="AN71" s="330"/>
      <c r="AO71" s="330"/>
      <c r="AP71" s="330"/>
      <c r="AQ71" s="330"/>
      <c r="AR71" s="330"/>
      <c r="AS71" s="330"/>
      <c r="AT71" s="330"/>
      <c r="AU71" s="330"/>
      <c r="AV71" s="330"/>
      <c r="AW71" s="330"/>
      <c r="AX71" s="330"/>
      <c r="AY71" s="330"/>
      <c r="AZ71" s="330"/>
      <c r="BA71" s="330"/>
      <c r="BB71" s="330"/>
      <c r="BC71" s="330"/>
      <c r="BD71" s="330"/>
      <c r="BE71" s="330"/>
      <c r="BF71" s="330"/>
      <c r="BG71" s="330"/>
      <c r="BH71" s="330"/>
      <c r="BI71" s="330"/>
      <c r="BJ71" s="330"/>
      <c r="BK71" s="330"/>
      <c r="BL71" s="330"/>
      <c r="BM71" s="330"/>
      <c r="BN71" s="330"/>
      <c r="BO71" s="330"/>
      <c r="BP71" s="330"/>
      <c r="BQ71" s="330"/>
      <c r="BR71" s="330"/>
      <c r="BS71" s="330"/>
      <c r="BT71" s="330"/>
      <c r="BU71" s="330"/>
      <c r="BV71" s="330"/>
      <c r="BW71" s="330"/>
      <c r="BX71" s="330"/>
      <c r="BY71" s="330"/>
      <c r="BZ71" s="330"/>
      <c r="CA71" s="330"/>
      <c r="CB71" s="330"/>
      <c r="CC71" s="330"/>
      <c r="CD71" s="330"/>
      <c r="CE71" s="330"/>
      <c r="CF71" s="330"/>
      <c r="CG71" s="330"/>
      <c r="CH71" s="330"/>
      <c r="CI71" s="330"/>
      <c r="CJ71" s="330"/>
      <c r="CK71" s="330"/>
      <c r="CL71" s="11"/>
      <c r="CM71" s="11"/>
      <c r="CN71" s="11"/>
    </row>
    <row r="72" spans="1:92" ht="26.25" x14ac:dyDescent="0.4">
      <c r="A72" s="284"/>
      <c r="B72" s="342" t="s">
        <v>27</v>
      </c>
      <c r="C72" s="134" t="s">
        <v>242</v>
      </c>
      <c r="D72" s="286">
        <v>4</v>
      </c>
      <c r="E72" s="239"/>
      <c r="F72" s="346"/>
      <c r="G72" s="346"/>
      <c r="H72" s="346"/>
      <c r="I72" s="346"/>
      <c r="J72" s="346"/>
      <c r="K72" s="346"/>
      <c r="L72" s="346"/>
      <c r="M72" s="331"/>
      <c r="N72" s="347"/>
      <c r="O72" s="331"/>
      <c r="P72" s="331"/>
      <c r="Q72" s="783"/>
      <c r="R72" s="781"/>
      <c r="S72" s="782"/>
      <c r="T72" s="330"/>
      <c r="U72" s="330"/>
      <c r="V72" s="330"/>
      <c r="W72" s="330"/>
      <c r="X72" s="330"/>
      <c r="Y72" s="330"/>
      <c r="Z72" s="330"/>
      <c r="AA72" s="330"/>
      <c r="AB72" s="330"/>
      <c r="AC72" s="332"/>
      <c r="AD72" s="332"/>
      <c r="AE72" s="332"/>
      <c r="AF72" s="332"/>
      <c r="AG72" s="332"/>
      <c r="AH72" s="330"/>
      <c r="AI72" s="330"/>
      <c r="AJ72" s="330"/>
      <c r="AK72" s="330"/>
      <c r="AL72" s="330"/>
      <c r="AM72" s="330"/>
      <c r="AN72" s="330"/>
      <c r="AO72" s="330"/>
      <c r="AP72" s="330"/>
      <c r="AQ72" s="330"/>
      <c r="AR72" s="330"/>
      <c r="AS72" s="330"/>
      <c r="AT72" s="330"/>
      <c r="AU72" s="330"/>
      <c r="AV72" s="330"/>
      <c r="AW72" s="330"/>
      <c r="AX72" s="330"/>
      <c r="AY72" s="330"/>
      <c r="AZ72" s="330"/>
      <c r="BA72" s="330"/>
      <c r="BB72" s="330"/>
      <c r="BC72" s="330"/>
      <c r="BD72" s="330"/>
      <c r="BE72" s="330"/>
      <c r="BF72" s="330"/>
      <c r="BG72" s="330"/>
      <c r="BH72" s="330"/>
      <c r="BI72" s="330"/>
      <c r="BJ72" s="330"/>
      <c r="BK72" s="330"/>
      <c r="BL72" s="330"/>
      <c r="BM72" s="330"/>
      <c r="BN72" s="330"/>
      <c r="BO72" s="330"/>
      <c r="BP72" s="330"/>
      <c r="BQ72" s="330"/>
      <c r="BR72" s="330"/>
      <c r="BS72" s="330"/>
      <c r="BT72" s="330"/>
      <c r="BU72" s="330"/>
      <c r="BV72" s="330"/>
      <c r="BW72" s="330"/>
      <c r="BX72" s="330"/>
      <c r="BY72" s="330"/>
      <c r="BZ72" s="330"/>
      <c r="CA72" s="330"/>
      <c r="CB72" s="330"/>
      <c r="CC72" s="330"/>
      <c r="CD72" s="330"/>
      <c r="CE72" s="330"/>
      <c r="CF72" s="330"/>
      <c r="CG72" s="330"/>
      <c r="CH72" s="330"/>
      <c r="CI72" s="330"/>
      <c r="CJ72" s="330"/>
      <c r="CK72" s="330"/>
      <c r="CL72" s="11"/>
      <c r="CM72" s="11"/>
      <c r="CN72" s="11"/>
    </row>
    <row r="73" spans="1:92" ht="27" thickBot="1" x14ac:dyDescent="0.45">
      <c r="A73" s="284"/>
      <c r="B73" s="348"/>
      <c r="C73" s="349"/>
      <c r="D73" s="349"/>
      <c r="E73" s="349"/>
      <c r="F73" s="42"/>
      <c r="G73" s="50" t="s">
        <v>174</v>
      </c>
      <c r="H73" s="350"/>
      <c r="I73" s="50" t="s">
        <v>174</v>
      </c>
      <c r="J73" s="351"/>
      <c r="K73" s="50" t="s">
        <v>174</v>
      </c>
      <c r="L73" s="351"/>
      <c r="M73" s="50" t="s">
        <v>174</v>
      </c>
      <c r="N73" s="352"/>
      <c r="O73" s="50" t="s">
        <v>174</v>
      </c>
      <c r="P73" s="349"/>
      <c r="Q73" s="784"/>
      <c r="R73" s="785"/>
      <c r="S73" s="786"/>
      <c r="T73" s="330"/>
      <c r="U73" s="330"/>
      <c r="V73" s="330"/>
      <c r="W73" s="330"/>
      <c r="X73" s="330"/>
      <c r="Y73" s="330"/>
      <c r="Z73" s="330"/>
      <c r="AA73" s="330"/>
      <c r="AB73" s="330"/>
      <c r="AC73" s="332"/>
      <c r="AD73" s="332"/>
      <c r="AE73" s="332"/>
      <c r="AF73" s="332"/>
      <c r="AG73" s="332"/>
      <c r="AH73" s="330"/>
      <c r="AI73" s="330"/>
      <c r="AJ73" s="330"/>
      <c r="AK73" s="330"/>
      <c r="AL73" s="330"/>
      <c r="AM73" s="330"/>
      <c r="AN73" s="330"/>
      <c r="AO73" s="330"/>
      <c r="AP73" s="330"/>
      <c r="AQ73" s="330"/>
      <c r="AR73" s="330"/>
      <c r="AS73" s="330"/>
      <c r="AT73" s="330"/>
      <c r="AU73" s="330"/>
      <c r="AV73" s="330"/>
      <c r="AW73" s="330"/>
      <c r="AX73" s="330"/>
      <c r="AY73" s="330"/>
      <c r="AZ73" s="330"/>
      <c r="BA73" s="330"/>
      <c r="BB73" s="330"/>
      <c r="BC73" s="330"/>
      <c r="BD73" s="330"/>
      <c r="BE73" s="330"/>
      <c r="BF73" s="330"/>
      <c r="BG73" s="330"/>
      <c r="BH73" s="330"/>
      <c r="BI73" s="330"/>
      <c r="BJ73" s="330"/>
      <c r="BK73" s="330"/>
      <c r="BL73" s="330"/>
      <c r="BM73" s="330"/>
      <c r="BN73" s="330"/>
      <c r="BO73" s="330"/>
      <c r="BP73" s="330"/>
      <c r="BQ73" s="330"/>
      <c r="BR73" s="330"/>
      <c r="BS73" s="330"/>
      <c r="BT73" s="330"/>
      <c r="BU73" s="330"/>
      <c r="BV73" s="330"/>
      <c r="BW73" s="330"/>
      <c r="BX73" s="330"/>
      <c r="BY73" s="330"/>
      <c r="BZ73" s="330"/>
      <c r="CA73" s="330"/>
      <c r="CB73" s="330"/>
      <c r="CC73" s="330"/>
      <c r="CD73" s="330"/>
      <c r="CE73" s="330"/>
      <c r="CF73" s="330"/>
      <c r="CG73" s="330"/>
      <c r="CH73" s="330"/>
      <c r="CI73" s="330"/>
      <c r="CJ73" s="330"/>
      <c r="CK73" s="330"/>
      <c r="CL73" s="11"/>
      <c r="CM73" s="11"/>
      <c r="CN73" s="11"/>
    </row>
    <row r="74" spans="1:92" x14ac:dyDescent="0.25">
      <c r="A74" s="353"/>
      <c r="B74" s="354"/>
      <c r="C74" s="355"/>
      <c r="D74" s="76"/>
      <c r="E74" s="76"/>
      <c r="H74" s="330"/>
      <c r="I74" s="330"/>
      <c r="J74" s="330"/>
      <c r="K74" s="330"/>
      <c r="L74" s="330"/>
      <c r="M74" s="330"/>
      <c r="N74" s="356"/>
      <c r="O74" s="330"/>
      <c r="P74" s="330"/>
      <c r="Q74" s="330"/>
      <c r="R74" s="330"/>
      <c r="S74" s="330"/>
      <c r="T74" s="330"/>
      <c r="U74" s="330"/>
      <c r="V74" s="330"/>
      <c r="W74" s="330"/>
      <c r="X74" s="330"/>
      <c r="Y74" s="330"/>
      <c r="Z74" s="330"/>
      <c r="AA74" s="330"/>
      <c r="AB74" s="330"/>
      <c r="AC74" s="332"/>
      <c r="AD74" s="332"/>
      <c r="AE74" s="332"/>
      <c r="AF74" s="332"/>
      <c r="AG74" s="332"/>
      <c r="AH74" s="330"/>
      <c r="AI74" s="330"/>
      <c r="AJ74" s="330"/>
      <c r="AK74" s="330"/>
      <c r="AL74" s="330"/>
      <c r="AM74" s="330"/>
      <c r="AN74" s="330"/>
      <c r="AO74" s="330"/>
      <c r="AP74" s="330"/>
      <c r="AQ74" s="330"/>
      <c r="AR74" s="330"/>
      <c r="AS74" s="330"/>
      <c r="AT74" s="330"/>
      <c r="AU74" s="330"/>
      <c r="AV74" s="330"/>
      <c r="AW74" s="330"/>
      <c r="AX74" s="330"/>
      <c r="AY74" s="330"/>
      <c r="AZ74" s="330"/>
      <c r="BA74" s="330"/>
      <c r="BB74" s="330"/>
      <c r="BC74" s="330"/>
      <c r="BD74" s="330"/>
      <c r="BE74" s="330"/>
      <c r="BF74" s="330"/>
      <c r="BG74" s="330"/>
      <c r="BH74" s="330"/>
      <c r="BI74" s="330"/>
      <c r="BJ74" s="330"/>
      <c r="BK74" s="330"/>
      <c r="BL74" s="330"/>
      <c r="BM74" s="330"/>
      <c r="BN74" s="330"/>
      <c r="BO74" s="330"/>
      <c r="BP74" s="330"/>
      <c r="BQ74" s="330"/>
      <c r="BR74" s="330"/>
      <c r="BS74" s="330"/>
      <c r="BT74" s="330"/>
      <c r="BU74" s="330"/>
      <c r="BV74" s="330"/>
      <c r="BW74" s="330"/>
      <c r="BX74" s="330"/>
      <c r="BY74" s="330"/>
      <c r="BZ74" s="330"/>
      <c r="CA74" s="330"/>
      <c r="CB74" s="330"/>
      <c r="CC74" s="330"/>
      <c r="CD74" s="330"/>
      <c r="CE74" s="330"/>
      <c r="CF74" s="330"/>
      <c r="CG74" s="330"/>
      <c r="CH74" s="330"/>
      <c r="CI74" s="330"/>
      <c r="CJ74" s="330"/>
      <c r="CK74" s="330"/>
      <c r="CL74" s="11"/>
      <c r="CM74" s="11"/>
      <c r="CN74" s="11"/>
    </row>
    <row r="75" spans="1:92" x14ac:dyDescent="0.25">
      <c r="A75" s="353"/>
      <c r="B75" s="357"/>
      <c r="C75" s="11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356"/>
      <c r="O75" s="330"/>
      <c r="P75" s="330"/>
      <c r="Q75" s="330"/>
      <c r="R75" s="330"/>
      <c r="S75" s="330"/>
      <c r="T75" s="330"/>
      <c r="U75" s="330"/>
      <c r="V75" s="330"/>
      <c r="W75" s="330"/>
      <c r="X75" s="330"/>
      <c r="Y75" s="330"/>
      <c r="Z75" s="330"/>
      <c r="AA75" s="330"/>
      <c r="AB75" s="330"/>
      <c r="AC75" s="332"/>
      <c r="AD75" s="332"/>
      <c r="AE75" s="332"/>
      <c r="AF75" s="332"/>
      <c r="AG75" s="332"/>
      <c r="AH75" s="330"/>
      <c r="AI75" s="330"/>
      <c r="AJ75" s="330"/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30"/>
      <c r="AW75" s="330"/>
      <c r="AX75" s="330"/>
      <c r="AY75" s="330"/>
      <c r="AZ75" s="330"/>
      <c r="BA75" s="330"/>
      <c r="BB75" s="330"/>
      <c r="BC75" s="330"/>
      <c r="BD75" s="330"/>
      <c r="BE75" s="330"/>
      <c r="BF75" s="330"/>
      <c r="BG75" s="330"/>
      <c r="BH75" s="330"/>
      <c r="BI75" s="330"/>
      <c r="BJ75" s="330"/>
      <c r="BK75" s="330"/>
      <c r="BL75" s="330"/>
      <c r="BM75" s="330"/>
      <c r="BN75" s="330"/>
      <c r="BO75" s="330"/>
      <c r="BP75" s="330"/>
      <c r="BQ75" s="330"/>
      <c r="BR75" s="330"/>
      <c r="BS75" s="330"/>
      <c r="BT75" s="330"/>
      <c r="BU75" s="330"/>
      <c r="BV75" s="330"/>
      <c r="BW75" s="330"/>
      <c r="BX75" s="330"/>
      <c r="BY75" s="330"/>
      <c r="BZ75" s="330"/>
      <c r="CA75" s="330"/>
      <c r="CB75" s="330"/>
      <c r="CC75" s="330"/>
      <c r="CD75" s="330"/>
      <c r="CE75" s="330"/>
      <c r="CF75" s="330"/>
      <c r="CG75" s="330"/>
      <c r="CH75" s="330"/>
      <c r="CI75" s="330"/>
      <c r="CJ75" s="330"/>
      <c r="CK75" s="330"/>
      <c r="CL75" s="11"/>
      <c r="CM75" s="11"/>
      <c r="CN75" s="11"/>
    </row>
    <row r="93" spans="1:29" ht="15.75" thickBot="1" x14ac:dyDescent="0.3"/>
    <row r="94" spans="1:29" ht="24" thickBot="1" x14ac:dyDescent="0.3">
      <c r="A94" s="770" t="s">
        <v>244</v>
      </c>
      <c r="B94" s="771"/>
      <c r="C94" s="771"/>
      <c r="D94" s="771"/>
      <c r="E94" s="771"/>
      <c r="F94" s="771"/>
      <c r="G94" s="771"/>
      <c r="H94" s="771"/>
      <c r="I94" s="772"/>
      <c r="J94" s="773">
        <f>SUM(F102,O102,F205,O205)</f>
        <v>392</v>
      </c>
      <c r="K94" s="774"/>
      <c r="L94" s="774"/>
      <c r="M94" s="775"/>
      <c r="N94" s="82"/>
      <c r="O94" s="82"/>
      <c r="P94" s="82"/>
      <c r="Q94" s="82"/>
      <c r="R94" s="82"/>
      <c r="S94" s="82"/>
      <c r="T94" s="776" t="s">
        <v>245</v>
      </c>
      <c r="U94" s="776"/>
      <c r="V94" s="776"/>
      <c r="W94" s="776"/>
      <c r="X94" s="82"/>
      <c r="Y94" s="82"/>
      <c r="Z94" s="776" t="s">
        <v>246</v>
      </c>
      <c r="AA94" s="776"/>
      <c r="AB94" s="776"/>
      <c r="AC94" s="776"/>
    </row>
    <row r="95" spans="1:29" ht="23.25" x14ac:dyDescent="0.3">
      <c r="A95" s="358" t="s">
        <v>247</v>
      </c>
      <c r="B95" s="359"/>
      <c r="C95" s="359"/>
      <c r="D95" s="359"/>
      <c r="E95" s="359"/>
      <c r="F95" s="359"/>
      <c r="G95" s="359"/>
      <c r="H95" s="359"/>
      <c r="I95" s="359"/>
      <c r="J95" s="360"/>
      <c r="K95" s="360"/>
      <c r="L95" s="360"/>
      <c r="M95" s="360"/>
      <c r="N95" s="82"/>
      <c r="O95" s="82"/>
      <c r="P95" s="82"/>
      <c r="Q95" s="82"/>
      <c r="R95" s="82"/>
      <c r="S95" s="82"/>
      <c r="T95" s="777" t="s">
        <v>248</v>
      </c>
      <c r="U95" s="778"/>
      <c r="V95" s="777" t="s">
        <v>249</v>
      </c>
      <c r="W95" s="778"/>
      <c r="X95" s="82"/>
      <c r="Y95" s="82"/>
      <c r="Z95" s="779" t="s">
        <v>248</v>
      </c>
      <c r="AA95" s="779"/>
      <c r="AB95" s="779" t="s">
        <v>249</v>
      </c>
      <c r="AC95" s="779"/>
    </row>
    <row r="96" spans="1:29" ht="17.25" x14ac:dyDescent="0.3">
      <c r="A96" s="82"/>
      <c r="B96" s="82"/>
      <c r="C96" s="82"/>
      <c r="D96" s="82"/>
      <c r="E96" s="82"/>
      <c r="F96" s="82"/>
      <c r="G96" s="82"/>
      <c r="H96" s="82"/>
      <c r="I96" s="82"/>
      <c r="K96" s="82"/>
      <c r="L96" s="82"/>
      <c r="M96" s="361"/>
      <c r="N96" s="82"/>
      <c r="O96" s="82"/>
      <c r="P96" s="82"/>
      <c r="Q96" s="82"/>
      <c r="R96" s="82"/>
      <c r="S96" s="82"/>
      <c r="T96" s="759"/>
      <c r="U96" s="760"/>
      <c r="V96" s="761"/>
      <c r="W96" s="762"/>
      <c r="X96" s="82"/>
      <c r="Y96" s="82"/>
      <c r="Z96" s="763">
        <v>45162</v>
      </c>
      <c r="AA96" s="763"/>
      <c r="AB96" s="764" t="s">
        <v>250</v>
      </c>
      <c r="AC96" s="764"/>
    </row>
    <row r="97" spans="1:29" ht="23.25" x14ac:dyDescent="0.35">
      <c r="K97" s="82"/>
      <c r="L97" s="362"/>
      <c r="M97" s="363"/>
      <c r="N97" s="82"/>
      <c r="O97" s="82"/>
      <c r="P97" s="82"/>
      <c r="Q97" s="82"/>
      <c r="R97" s="82"/>
      <c r="S97" s="82"/>
      <c r="T97" s="364" t="str">
        <f>IF(B96="","",CONCATENATE(B96," MAQ."))</f>
        <v/>
      </c>
      <c r="U97" s="765" t="s">
        <v>251</v>
      </c>
      <c r="V97" s="766"/>
      <c r="W97" s="767"/>
      <c r="X97" s="768" t="s">
        <v>252</v>
      </c>
      <c r="Y97" s="769"/>
      <c r="Z97" s="364" t="s">
        <v>253</v>
      </c>
      <c r="AA97" s="365" t="s">
        <v>251</v>
      </c>
    </row>
    <row r="98" spans="1:29" ht="33.75" x14ac:dyDescent="0.25">
      <c r="A98" s="752" t="s">
        <v>254</v>
      </c>
      <c r="B98" s="752"/>
      <c r="C98" s="752"/>
      <c r="D98" s="752"/>
      <c r="E98" s="752"/>
      <c r="F98" s="752"/>
      <c r="G98" s="752"/>
      <c r="H98" s="752"/>
      <c r="I98" s="752"/>
      <c r="J98" s="752"/>
      <c r="K98" s="752"/>
      <c r="L98" s="752"/>
      <c r="M98" s="752"/>
      <c r="N98" s="752"/>
      <c r="O98" s="752"/>
      <c r="P98" s="752"/>
      <c r="Q98" s="752"/>
      <c r="R98" s="82"/>
      <c r="S98" s="82"/>
      <c r="T98" s="366" t="s">
        <v>255</v>
      </c>
      <c r="U98" s="367"/>
      <c r="V98" s="82"/>
      <c r="W98" s="82"/>
      <c r="X98" s="82"/>
      <c r="Y98" s="82"/>
      <c r="Z98" s="368" t="s">
        <v>255</v>
      </c>
      <c r="AA98" s="367" t="str">
        <f>IF(ISBLANK(AA97)," ",IFERROR(VLOOKUP(AA97,#REF!,13,0),""))</f>
        <v/>
      </c>
      <c r="AB98" s="369"/>
      <c r="AC98" s="369"/>
    </row>
    <row r="99" spans="1:29" ht="34.5" thickBot="1" x14ac:dyDescent="0.3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82"/>
      <c r="S99" s="82"/>
      <c r="T99" s="371" t="s">
        <v>256</v>
      </c>
      <c r="U99" s="372"/>
      <c r="V99" s="82"/>
      <c r="W99" s="82"/>
      <c r="X99" s="82"/>
      <c r="Y99" s="82"/>
      <c r="Z99" s="371" t="s">
        <v>256</v>
      </c>
      <c r="AA99" s="372" t="str">
        <f>IF(ISBLANK(AA97)," ",IFERROR(VLOOKUP(AA97,#REF!,4,0),""))</f>
        <v/>
      </c>
      <c r="AB99" s="369"/>
      <c r="AC99" s="369"/>
    </row>
    <row r="100" spans="1:29" ht="34.5" thickBot="1" x14ac:dyDescent="0.3">
      <c r="A100" s="370"/>
      <c r="B100" s="370"/>
      <c r="C100" s="370"/>
      <c r="D100" s="370"/>
      <c r="E100" s="753" t="s">
        <v>257</v>
      </c>
      <c r="F100" s="754"/>
      <c r="G100" s="754"/>
      <c r="H100" s="754"/>
      <c r="I100" s="755"/>
      <c r="J100" s="705">
        <f>SUM(F102,O102)</f>
        <v>78</v>
      </c>
      <c r="K100" s="706"/>
      <c r="L100" s="370"/>
      <c r="M100" s="370"/>
      <c r="N100" s="370"/>
      <c r="O100" s="370"/>
      <c r="P100" s="370"/>
      <c r="Q100" s="370"/>
      <c r="R100" s="82"/>
      <c r="S100" s="82"/>
      <c r="T100" s="373" t="s">
        <v>258</v>
      </c>
      <c r="U100" s="374"/>
      <c r="X100" s="82"/>
      <c r="Y100" s="82"/>
      <c r="Z100" s="373" t="s">
        <v>258</v>
      </c>
      <c r="AA100" s="374" t="str">
        <f>IF(ISBLANK(AA97)," ",IFERROR(VLOOKUP(AA97,#REF!,14,0),""))</f>
        <v/>
      </c>
    </row>
    <row r="101" spans="1:29" ht="32.25" thickBot="1" x14ac:dyDescent="0.3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82"/>
      <c r="S101" s="82"/>
      <c r="T101" s="376" t="s">
        <v>259</v>
      </c>
      <c r="U101" s="377"/>
      <c r="Z101" s="376" t="s">
        <v>259</v>
      </c>
      <c r="AA101" s="377" t="str">
        <f>IF(ISBLANK(AA97)," ",IFERROR(VLOOKUP(AA97,#REF!,11,0),""))</f>
        <v/>
      </c>
    </row>
    <row r="102" spans="1:29" ht="21.75" thickBot="1" x14ac:dyDescent="0.4">
      <c r="A102" s="756" t="s">
        <v>260</v>
      </c>
      <c r="B102" s="757"/>
      <c r="C102" s="757"/>
      <c r="D102" s="757"/>
      <c r="E102" s="758"/>
      <c r="F102" s="705">
        <f>G194</f>
        <v>68</v>
      </c>
      <c r="G102" s="706"/>
      <c r="H102" s="82"/>
      <c r="I102" s="82"/>
      <c r="J102" s="756" t="s">
        <v>261</v>
      </c>
      <c r="K102" s="757"/>
      <c r="L102" s="757"/>
      <c r="M102" s="757"/>
      <c r="N102" s="758"/>
      <c r="O102" s="705">
        <f>P194</f>
        <v>10</v>
      </c>
      <c r="P102" s="706"/>
      <c r="Q102" s="82"/>
      <c r="R102" s="82"/>
      <c r="S102" s="82"/>
      <c r="T102" s="378" t="s">
        <v>262</v>
      </c>
      <c r="U102" s="379"/>
      <c r="Z102" s="378" t="s">
        <v>262</v>
      </c>
      <c r="AA102" s="379" t="str">
        <f>IF(ISBLANK(AA97)," ",IFERROR(VLOOKUP(AA97,#REF!,15,0),""))</f>
        <v/>
      </c>
    </row>
    <row r="103" spans="1:29" ht="30" x14ac:dyDescent="0.3">
      <c r="R103" s="82"/>
      <c r="S103" s="82"/>
      <c r="T103" s="380" t="s">
        <v>263</v>
      </c>
      <c r="U103" s="381"/>
      <c r="V103" s="382"/>
      <c r="W103" s="82"/>
      <c r="X103" s="82"/>
      <c r="Y103" s="361"/>
      <c r="Z103" s="380" t="s">
        <v>263</v>
      </c>
      <c r="AA103" s="381" t="str">
        <f>IF(ISBLANK(AA97)," ",IFERROR(VLOOKUP(AA97,#REF!,16,0),""))</f>
        <v/>
      </c>
      <c r="AB103" s="369"/>
      <c r="AC103" s="369"/>
    </row>
    <row r="104" spans="1:29" ht="17.25" x14ac:dyDescent="0.3">
      <c r="R104" s="82"/>
      <c r="S104" s="82"/>
      <c r="T104" s="383" t="s">
        <v>264</v>
      </c>
      <c r="U104" s="384"/>
      <c r="V104" s="382"/>
      <c r="W104" s="82"/>
      <c r="X104" s="82"/>
      <c r="Y104" s="361"/>
      <c r="Z104" s="383" t="s">
        <v>264</v>
      </c>
      <c r="AA104" s="384" t="str">
        <f>IF(ISBLANK(AA97)," ",IFERROR(VLOOKUP(AA97,#REF!,17,0),""))</f>
        <v/>
      </c>
      <c r="AB104" s="369"/>
      <c r="AC104" s="369"/>
    </row>
    <row r="105" spans="1:29" ht="18" thickBot="1" x14ac:dyDescent="0.35">
      <c r="R105" s="82"/>
      <c r="S105" s="82"/>
      <c r="T105" s="385"/>
      <c r="U105" s="382"/>
      <c r="V105" s="382"/>
      <c r="W105" s="82"/>
      <c r="X105" s="82"/>
      <c r="Y105" s="361"/>
      <c r="Z105" s="362"/>
      <c r="AA105" s="363"/>
      <c r="AB105" s="369"/>
      <c r="AC105" s="369"/>
    </row>
    <row r="106" spans="1:29" ht="29.25" thickBot="1" x14ac:dyDescent="0.3">
      <c r="A106" s="737" t="s">
        <v>265</v>
      </c>
      <c r="B106" s="738"/>
      <c r="C106" s="738"/>
      <c r="D106" s="738"/>
      <c r="E106" s="738"/>
      <c r="F106" s="739"/>
      <c r="G106" s="386" t="s">
        <v>251</v>
      </c>
      <c r="J106" s="737" t="s">
        <v>265</v>
      </c>
      <c r="K106" s="738"/>
      <c r="L106" s="738"/>
      <c r="M106" s="738"/>
      <c r="N106" s="738"/>
      <c r="O106" s="739"/>
      <c r="P106" s="386" t="s">
        <v>251</v>
      </c>
      <c r="Q106" s="387" t="s">
        <v>266</v>
      </c>
      <c r="R106" s="82"/>
      <c r="S106" s="82"/>
      <c r="T106" s="740" t="s">
        <v>267</v>
      </c>
      <c r="U106" s="741"/>
      <c r="V106" s="741"/>
      <c r="W106" s="741"/>
      <c r="X106" s="741"/>
      <c r="Y106" s="741"/>
      <c r="Z106" s="741"/>
      <c r="AA106" s="741"/>
      <c r="AB106" s="741"/>
      <c r="AC106" s="742"/>
    </row>
    <row r="107" spans="1:29" ht="23.25" x14ac:dyDescent="0.25">
      <c r="A107" s="732" t="s">
        <v>22</v>
      </c>
      <c r="B107" s="733"/>
      <c r="C107" s="733"/>
      <c r="D107" s="390" t="s">
        <v>268</v>
      </c>
      <c r="E107" s="391"/>
      <c r="F107" s="392" t="s">
        <v>23</v>
      </c>
      <c r="G107" s="393">
        <f>COUNTIF($A$2:$BK$74,F107)</f>
        <v>4</v>
      </c>
      <c r="J107" s="732" t="s">
        <v>22</v>
      </c>
      <c r="K107" s="733"/>
      <c r="L107" s="733"/>
      <c r="M107" s="390" t="s">
        <v>268</v>
      </c>
      <c r="N107" s="391"/>
      <c r="O107" s="392" t="s">
        <v>23</v>
      </c>
      <c r="P107" s="393">
        <f>COUNTIF($BL$3:$CN$45,O107)</f>
        <v>0</v>
      </c>
      <c r="Q107" s="394">
        <f t="shared" ref="Q107:Q193" si="0">G107+P107</f>
        <v>4</v>
      </c>
      <c r="R107" s="82"/>
      <c r="S107" s="82"/>
      <c r="T107" s="743"/>
      <c r="U107" s="744"/>
      <c r="V107" s="744"/>
      <c r="W107" s="744"/>
      <c r="X107" s="744"/>
      <c r="Y107" s="744"/>
      <c r="Z107" s="744"/>
      <c r="AA107" s="744"/>
      <c r="AB107" s="744"/>
      <c r="AC107" s="745"/>
    </row>
    <row r="108" spans="1:29" ht="23.25" x14ac:dyDescent="0.25">
      <c r="A108" s="732" t="s">
        <v>60</v>
      </c>
      <c r="B108" s="733"/>
      <c r="C108" s="733"/>
      <c r="D108" s="390" t="s">
        <v>268</v>
      </c>
      <c r="E108" s="391"/>
      <c r="F108" s="395" t="s">
        <v>61</v>
      </c>
      <c r="G108" s="393">
        <f>COUNTIF($A$2:$BK$74,F108)</f>
        <v>6</v>
      </c>
      <c r="J108" s="732" t="s">
        <v>60</v>
      </c>
      <c r="K108" s="733"/>
      <c r="L108" s="733"/>
      <c r="M108" s="390" t="s">
        <v>268</v>
      </c>
      <c r="N108" s="391"/>
      <c r="O108" s="395" t="s">
        <v>61</v>
      </c>
      <c r="P108" s="393">
        <f>COUNTIF($BL$3:$CN$45,O108)</f>
        <v>0</v>
      </c>
      <c r="Q108" s="396">
        <f t="shared" si="0"/>
        <v>6</v>
      </c>
      <c r="R108" s="82"/>
      <c r="S108" s="82"/>
      <c r="T108" s="746"/>
      <c r="U108" s="747"/>
      <c r="V108" s="747"/>
      <c r="W108" s="747"/>
      <c r="X108" s="747"/>
      <c r="Y108" s="747"/>
      <c r="Z108" s="747"/>
      <c r="AA108" s="747"/>
      <c r="AB108" s="747"/>
      <c r="AC108" s="748"/>
    </row>
    <row r="109" spans="1:29" ht="23.25" x14ac:dyDescent="0.25">
      <c r="A109" s="732" t="s">
        <v>24</v>
      </c>
      <c r="B109" s="733"/>
      <c r="C109" s="733"/>
      <c r="D109" s="390" t="s">
        <v>268</v>
      </c>
      <c r="E109" s="391"/>
      <c r="F109" s="397" t="s">
        <v>25</v>
      </c>
      <c r="G109" s="393">
        <f>COUNTIF($A$2:$BK$74,F109)</f>
        <v>2</v>
      </c>
      <c r="J109" s="732" t="s">
        <v>24</v>
      </c>
      <c r="K109" s="733"/>
      <c r="L109" s="733"/>
      <c r="M109" s="390" t="s">
        <v>268</v>
      </c>
      <c r="N109" s="391"/>
      <c r="O109" s="397" t="s">
        <v>25</v>
      </c>
      <c r="P109" s="393">
        <f>COUNTIF($BL$3:$CN$45,O109)</f>
        <v>0</v>
      </c>
      <c r="Q109" s="396">
        <f t="shared" si="0"/>
        <v>2</v>
      </c>
      <c r="R109" s="82"/>
      <c r="S109" s="82"/>
      <c r="T109" s="746"/>
      <c r="U109" s="747"/>
      <c r="V109" s="747"/>
      <c r="W109" s="747"/>
      <c r="X109" s="747"/>
      <c r="Y109" s="747"/>
      <c r="Z109" s="747"/>
      <c r="AA109" s="747"/>
      <c r="AB109" s="747"/>
      <c r="AC109" s="748"/>
    </row>
    <row r="110" spans="1:29" ht="18" x14ac:dyDescent="0.25">
      <c r="A110" s="734"/>
      <c r="B110" s="735"/>
      <c r="C110" s="735"/>
      <c r="D110" s="398"/>
      <c r="E110" s="399"/>
      <c r="F110" s="400"/>
      <c r="G110" s="401"/>
      <c r="J110" s="734"/>
      <c r="K110" s="735"/>
      <c r="L110" s="735"/>
      <c r="M110" s="398"/>
      <c r="N110" s="399"/>
      <c r="O110" s="400"/>
      <c r="P110" s="401"/>
      <c r="Q110" s="402"/>
      <c r="R110" s="82"/>
      <c r="S110" s="82"/>
      <c r="T110" s="746"/>
      <c r="U110" s="747"/>
      <c r="V110" s="747"/>
      <c r="W110" s="747"/>
      <c r="X110" s="747"/>
      <c r="Y110" s="747"/>
      <c r="Z110" s="747"/>
      <c r="AA110" s="747"/>
      <c r="AB110" s="747"/>
      <c r="AC110" s="748"/>
    </row>
    <row r="111" spans="1:29" ht="23.25" x14ac:dyDescent="0.25">
      <c r="A111" s="732" t="s">
        <v>26</v>
      </c>
      <c r="B111" s="733"/>
      <c r="C111" s="733"/>
      <c r="D111" s="390" t="s">
        <v>269</v>
      </c>
      <c r="E111" s="391"/>
      <c r="F111" s="403" t="s">
        <v>27</v>
      </c>
      <c r="G111" s="393">
        <f>COUNTIF($A$2:$BK$74,F111)</f>
        <v>8</v>
      </c>
      <c r="J111" s="732" t="s">
        <v>26</v>
      </c>
      <c r="K111" s="733"/>
      <c r="L111" s="733"/>
      <c r="M111" s="390" t="s">
        <v>269</v>
      </c>
      <c r="N111" s="391"/>
      <c r="O111" s="403" t="s">
        <v>27</v>
      </c>
      <c r="P111" s="393">
        <f>COUNTIF($BL$3:$CN$45,O111)</f>
        <v>0</v>
      </c>
      <c r="Q111" s="396">
        <f t="shared" ref="Q111:Q113" si="1">G111+P111</f>
        <v>8</v>
      </c>
      <c r="R111" s="82"/>
      <c r="S111" s="82"/>
      <c r="T111" s="746"/>
      <c r="U111" s="747"/>
      <c r="V111" s="747"/>
      <c r="W111" s="747"/>
      <c r="X111" s="747"/>
      <c r="Y111" s="747"/>
      <c r="Z111" s="747"/>
      <c r="AA111" s="747"/>
      <c r="AB111" s="747"/>
      <c r="AC111" s="748"/>
    </row>
    <row r="112" spans="1:29" ht="23.25" x14ac:dyDescent="0.25">
      <c r="A112" s="732" t="s">
        <v>62</v>
      </c>
      <c r="B112" s="733"/>
      <c r="C112" s="733"/>
      <c r="D112" s="390" t="s">
        <v>270</v>
      </c>
      <c r="E112" s="391"/>
      <c r="F112" s="404" t="s">
        <v>63</v>
      </c>
      <c r="G112" s="393">
        <f>COUNTIF($A$2:$BK$74,F112)</f>
        <v>0</v>
      </c>
      <c r="J112" s="732" t="s">
        <v>62</v>
      </c>
      <c r="K112" s="733"/>
      <c r="L112" s="733"/>
      <c r="M112" s="390" t="s">
        <v>270</v>
      </c>
      <c r="N112" s="391"/>
      <c r="O112" s="404" t="s">
        <v>63</v>
      </c>
      <c r="P112" s="393">
        <f>COUNTIF($BL$3:$CN$45,O112)</f>
        <v>0</v>
      </c>
      <c r="Q112" s="396">
        <f t="shared" si="1"/>
        <v>0</v>
      </c>
      <c r="R112" s="82"/>
      <c r="S112" s="82"/>
      <c r="T112" s="746"/>
      <c r="U112" s="747"/>
      <c r="V112" s="747"/>
      <c r="W112" s="747"/>
      <c r="X112" s="747"/>
      <c r="Y112" s="747"/>
      <c r="Z112" s="747"/>
      <c r="AA112" s="747"/>
      <c r="AB112" s="747"/>
      <c r="AC112" s="748"/>
    </row>
    <row r="113" spans="1:29" ht="23.25" x14ac:dyDescent="0.25">
      <c r="A113" s="732" t="s">
        <v>64</v>
      </c>
      <c r="B113" s="733"/>
      <c r="C113" s="733"/>
      <c r="D113" s="390" t="s">
        <v>268</v>
      </c>
      <c r="E113" s="391"/>
      <c r="F113" s="405" t="s">
        <v>65</v>
      </c>
      <c r="G113" s="393">
        <f>COUNTIF($A$2:$BK$74,F113)</f>
        <v>0</v>
      </c>
      <c r="J113" s="732" t="s">
        <v>64</v>
      </c>
      <c r="K113" s="733"/>
      <c r="L113" s="733"/>
      <c r="M113" s="390" t="s">
        <v>268</v>
      </c>
      <c r="N113" s="391"/>
      <c r="O113" s="405" t="s">
        <v>65</v>
      </c>
      <c r="P113" s="393">
        <f>COUNTIF($BL$3:$CN$45,O113)</f>
        <v>0</v>
      </c>
      <c r="Q113" s="396">
        <f t="shared" si="1"/>
        <v>0</v>
      </c>
      <c r="R113" s="82"/>
      <c r="S113" s="82"/>
      <c r="T113" s="746"/>
      <c r="U113" s="747"/>
      <c r="V113" s="747"/>
      <c r="W113" s="747"/>
      <c r="X113" s="747"/>
      <c r="Y113" s="747"/>
      <c r="Z113" s="747"/>
      <c r="AA113" s="747"/>
      <c r="AB113" s="747"/>
      <c r="AC113" s="748"/>
    </row>
    <row r="114" spans="1:29" ht="18" x14ac:dyDescent="0.25">
      <c r="A114" s="734"/>
      <c r="B114" s="735"/>
      <c r="C114" s="735"/>
      <c r="D114" s="398"/>
      <c r="E114" s="399"/>
      <c r="F114" s="400"/>
      <c r="G114" s="401"/>
      <c r="J114" s="734"/>
      <c r="K114" s="735"/>
      <c r="L114" s="735"/>
      <c r="M114" s="398"/>
      <c r="N114" s="399"/>
      <c r="O114" s="400"/>
      <c r="P114" s="401"/>
      <c r="Q114" s="402"/>
      <c r="R114" s="82"/>
      <c r="S114" s="82"/>
      <c r="T114" s="746"/>
      <c r="U114" s="747"/>
      <c r="V114" s="747"/>
      <c r="W114" s="747"/>
      <c r="X114" s="747"/>
      <c r="Y114" s="747"/>
      <c r="Z114" s="747"/>
      <c r="AA114" s="747"/>
      <c r="AB114" s="747"/>
      <c r="AC114" s="748"/>
    </row>
    <row r="115" spans="1:29" ht="23.25" x14ac:dyDescent="0.25">
      <c r="A115" s="732" t="s">
        <v>105</v>
      </c>
      <c r="B115" s="733"/>
      <c r="C115" s="733"/>
      <c r="D115" s="390" t="s">
        <v>271</v>
      </c>
      <c r="E115" s="391"/>
      <c r="F115" s="406" t="s">
        <v>104</v>
      </c>
      <c r="G115" s="393">
        <f>COUNTIF($A$2:$BK$74,F115)</f>
        <v>0</v>
      </c>
      <c r="J115" s="732" t="s">
        <v>105</v>
      </c>
      <c r="K115" s="733"/>
      <c r="L115" s="733"/>
      <c r="M115" s="390" t="s">
        <v>271</v>
      </c>
      <c r="N115" s="391"/>
      <c r="O115" s="406" t="s">
        <v>104</v>
      </c>
      <c r="P115" s="393">
        <f>COUNTIF($BL$3:$CN$45,O115)</f>
        <v>0</v>
      </c>
      <c r="Q115" s="396">
        <f t="shared" ref="Q115:Q118" si="2">G115+P115</f>
        <v>0</v>
      </c>
      <c r="R115" s="82"/>
      <c r="S115" s="82"/>
      <c r="T115" s="746"/>
      <c r="U115" s="747"/>
      <c r="V115" s="747"/>
      <c r="W115" s="747"/>
      <c r="X115" s="747"/>
      <c r="Y115" s="747"/>
      <c r="Z115" s="747"/>
      <c r="AA115" s="747"/>
      <c r="AB115" s="747"/>
      <c r="AC115" s="748"/>
    </row>
    <row r="116" spans="1:29" ht="23.25" x14ac:dyDescent="0.25">
      <c r="A116" s="732" t="s">
        <v>78</v>
      </c>
      <c r="B116" s="733"/>
      <c r="C116" s="733"/>
      <c r="D116" s="390" t="s">
        <v>271</v>
      </c>
      <c r="E116" s="391"/>
      <c r="F116" s="407" t="s">
        <v>77</v>
      </c>
      <c r="G116" s="393">
        <f>COUNTIF($A$2:$BK$74,F116)</f>
        <v>0</v>
      </c>
      <c r="J116" s="732" t="s">
        <v>78</v>
      </c>
      <c r="K116" s="733"/>
      <c r="L116" s="733"/>
      <c r="M116" s="390" t="s">
        <v>271</v>
      </c>
      <c r="N116" s="391"/>
      <c r="O116" s="407" t="s">
        <v>77</v>
      </c>
      <c r="P116" s="393">
        <f>COUNTIF($BL$3:$CN$45,O116)</f>
        <v>0</v>
      </c>
      <c r="Q116" s="396">
        <f t="shared" si="2"/>
        <v>0</v>
      </c>
      <c r="R116" s="82"/>
      <c r="S116" s="82"/>
      <c r="T116" s="746"/>
      <c r="U116" s="747"/>
      <c r="V116" s="747"/>
      <c r="W116" s="747"/>
      <c r="X116" s="747"/>
      <c r="Y116" s="747"/>
      <c r="Z116" s="747"/>
      <c r="AA116" s="747"/>
      <c r="AB116" s="747"/>
      <c r="AC116" s="748"/>
    </row>
    <row r="117" spans="1:29" ht="23.25" x14ac:dyDescent="0.25">
      <c r="A117" s="732" t="s">
        <v>79</v>
      </c>
      <c r="B117" s="733"/>
      <c r="C117" s="733"/>
      <c r="D117" s="390" t="s">
        <v>271</v>
      </c>
      <c r="E117" s="391"/>
      <c r="F117" s="408" t="s">
        <v>76</v>
      </c>
      <c r="G117" s="393">
        <f>COUNTIF($A$2:$BK$74,F117)</f>
        <v>0</v>
      </c>
      <c r="J117" s="732" t="s">
        <v>79</v>
      </c>
      <c r="K117" s="733"/>
      <c r="L117" s="733"/>
      <c r="M117" s="390" t="s">
        <v>271</v>
      </c>
      <c r="N117" s="391"/>
      <c r="O117" s="408" t="s">
        <v>76</v>
      </c>
      <c r="P117" s="393">
        <f>COUNTIF($BL$3:$CN$45,O117)</f>
        <v>0</v>
      </c>
      <c r="Q117" s="396">
        <f t="shared" si="2"/>
        <v>0</v>
      </c>
      <c r="R117" s="82"/>
      <c r="S117" s="82"/>
      <c r="T117" s="746"/>
      <c r="U117" s="747"/>
      <c r="V117" s="747"/>
      <c r="W117" s="747"/>
      <c r="X117" s="747"/>
      <c r="Y117" s="747"/>
      <c r="Z117" s="747"/>
      <c r="AA117" s="747"/>
      <c r="AB117" s="747"/>
      <c r="AC117" s="748"/>
    </row>
    <row r="118" spans="1:29" ht="23.25" x14ac:dyDescent="0.25">
      <c r="A118" s="732" t="s">
        <v>141</v>
      </c>
      <c r="B118" s="733"/>
      <c r="C118" s="733"/>
      <c r="D118" s="390" t="s">
        <v>271</v>
      </c>
      <c r="E118" s="391"/>
      <c r="F118" s="409" t="s">
        <v>106</v>
      </c>
      <c r="G118" s="393">
        <f>COUNTIF($A$2:$BK$74,F118)</f>
        <v>0</v>
      </c>
      <c r="J118" s="732" t="s">
        <v>141</v>
      </c>
      <c r="K118" s="733"/>
      <c r="L118" s="733"/>
      <c r="M118" s="390" t="s">
        <v>271</v>
      </c>
      <c r="N118" s="391"/>
      <c r="O118" s="409" t="s">
        <v>106</v>
      </c>
      <c r="P118" s="393">
        <f>COUNTIF($BL$3:$CN$45,O118)</f>
        <v>0</v>
      </c>
      <c r="Q118" s="396">
        <f t="shared" si="2"/>
        <v>0</v>
      </c>
      <c r="R118" s="82"/>
      <c r="S118" s="82"/>
      <c r="T118" s="746"/>
      <c r="U118" s="747"/>
      <c r="V118" s="747"/>
      <c r="W118" s="747"/>
      <c r="X118" s="747"/>
      <c r="Y118" s="747"/>
      <c r="Z118" s="747"/>
      <c r="AA118" s="747"/>
      <c r="AB118" s="747"/>
      <c r="AC118" s="748"/>
    </row>
    <row r="119" spans="1:29" ht="18" x14ac:dyDescent="0.25">
      <c r="A119" s="734"/>
      <c r="B119" s="735"/>
      <c r="C119" s="735"/>
      <c r="D119" s="398"/>
      <c r="E119" s="399"/>
      <c r="F119" s="400"/>
      <c r="G119" s="401"/>
      <c r="J119" s="734"/>
      <c r="K119" s="735"/>
      <c r="L119" s="735"/>
      <c r="M119" s="398"/>
      <c r="N119" s="399"/>
      <c r="O119" s="400"/>
      <c r="P119" s="401"/>
      <c r="Q119" s="402"/>
      <c r="R119" s="82"/>
      <c r="S119" s="82"/>
      <c r="T119" s="746"/>
      <c r="U119" s="747"/>
      <c r="V119" s="747"/>
      <c r="W119" s="747"/>
      <c r="X119" s="747"/>
      <c r="Y119" s="747"/>
      <c r="Z119" s="747"/>
      <c r="AA119" s="747"/>
      <c r="AB119" s="747"/>
      <c r="AC119" s="748"/>
    </row>
    <row r="120" spans="1:29" ht="24" thickBot="1" x14ac:dyDescent="0.3">
      <c r="A120" s="732" t="s">
        <v>108</v>
      </c>
      <c r="B120" s="733"/>
      <c r="C120" s="733"/>
      <c r="D120" s="390"/>
      <c r="E120" s="391"/>
      <c r="F120" s="410" t="s">
        <v>107</v>
      </c>
      <c r="G120" s="393">
        <f t="shared" ref="G120:G133" si="3">COUNTIF($A$2:$BK$74,F120)</f>
        <v>0</v>
      </c>
      <c r="J120" s="732" t="s">
        <v>108</v>
      </c>
      <c r="K120" s="733"/>
      <c r="L120" s="733"/>
      <c r="M120" s="390"/>
      <c r="N120" s="391"/>
      <c r="O120" s="410" t="s">
        <v>107</v>
      </c>
      <c r="P120" s="393">
        <f t="shared" ref="P120:P133" si="4">COUNTIF($BL$3:$CN$45,O120)</f>
        <v>0</v>
      </c>
      <c r="Q120" s="396">
        <f t="shared" ref="Q120:Q133" si="5">G120+P120</f>
        <v>0</v>
      </c>
      <c r="R120" s="82"/>
      <c r="S120" s="82"/>
      <c r="T120" s="749"/>
      <c r="U120" s="750"/>
      <c r="V120" s="750"/>
      <c r="W120" s="750"/>
      <c r="X120" s="750"/>
      <c r="Y120" s="750"/>
      <c r="Z120" s="750"/>
      <c r="AA120" s="750"/>
      <c r="AB120" s="750"/>
      <c r="AC120" s="751"/>
    </row>
    <row r="121" spans="1:29" ht="23.25" x14ac:dyDescent="0.25">
      <c r="A121" s="732" t="s">
        <v>81</v>
      </c>
      <c r="B121" s="736"/>
      <c r="C121" s="736"/>
      <c r="D121" s="390" t="s">
        <v>270</v>
      </c>
      <c r="E121" s="391"/>
      <c r="F121" s="411" t="s">
        <v>80</v>
      </c>
      <c r="G121" s="393">
        <f t="shared" si="3"/>
        <v>6</v>
      </c>
      <c r="J121" s="732" t="s">
        <v>81</v>
      </c>
      <c r="K121" s="736"/>
      <c r="L121" s="736"/>
      <c r="M121" s="390" t="s">
        <v>270</v>
      </c>
      <c r="N121" s="391"/>
      <c r="O121" s="411" t="s">
        <v>80</v>
      </c>
      <c r="P121" s="393">
        <f t="shared" si="4"/>
        <v>0</v>
      </c>
      <c r="Q121" s="396">
        <f t="shared" si="5"/>
        <v>6</v>
      </c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369"/>
      <c r="AC121" s="369"/>
    </row>
    <row r="122" spans="1:29" ht="23.25" x14ac:dyDescent="0.25">
      <c r="A122" s="732" t="s">
        <v>132</v>
      </c>
      <c r="B122" s="736"/>
      <c r="C122" s="736"/>
      <c r="D122" s="390" t="s">
        <v>272</v>
      </c>
      <c r="E122" s="391"/>
      <c r="F122" s="412" t="s">
        <v>133</v>
      </c>
      <c r="G122" s="393">
        <f t="shared" si="3"/>
        <v>4</v>
      </c>
      <c r="J122" s="732" t="s">
        <v>132</v>
      </c>
      <c r="K122" s="736"/>
      <c r="L122" s="736"/>
      <c r="M122" s="390" t="s">
        <v>272</v>
      </c>
      <c r="N122" s="391"/>
      <c r="O122" s="412" t="s">
        <v>133</v>
      </c>
      <c r="P122" s="393">
        <f t="shared" si="4"/>
        <v>4</v>
      </c>
      <c r="Q122" s="396">
        <f t="shared" si="5"/>
        <v>8</v>
      </c>
      <c r="R122" s="82"/>
      <c r="S122" s="82"/>
      <c r="U122" s="82"/>
      <c r="V122" s="82"/>
      <c r="AC122" s="82"/>
    </row>
    <row r="123" spans="1:29" ht="23.25" x14ac:dyDescent="0.25">
      <c r="A123" s="732" t="s">
        <v>142</v>
      </c>
      <c r="B123" s="736"/>
      <c r="C123" s="736"/>
      <c r="D123" s="390"/>
      <c r="E123" s="391"/>
      <c r="F123" s="413" t="s">
        <v>143</v>
      </c>
      <c r="G123" s="393">
        <f t="shared" si="3"/>
        <v>0</v>
      </c>
      <c r="J123" s="732" t="s">
        <v>142</v>
      </c>
      <c r="K123" s="736"/>
      <c r="L123" s="736"/>
      <c r="M123" s="390"/>
      <c r="N123" s="391"/>
      <c r="O123" s="413" t="s">
        <v>143</v>
      </c>
      <c r="P123" s="393">
        <f t="shared" si="4"/>
        <v>0</v>
      </c>
      <c r="Q123" s="396">
        <f t="shared" si="5"/>
        <v>0</v>
      </c>
      <c r="R123" s="82"/>
      <c r="S123" s="82"/>
      <c r="AC123" s="82"/>
    </row>
    <row r="124" spans="1:29" ht="23.25" x14ac:dyDescent="0.3">
      <c r="A124" s="732" t="s">
        <v>144</v>
      </c>
      <c r="B124" s="736"/>
      <c r="C124" s="736"/>
      <c r="D124" s="390"/>
      <c r="E124" s="391"/>
      <c r="F124" s="414" t="s">
        <v>145</v>
      </c>
      <c r="G124" s="393">
        <f t="shared" si="3"/>
        <v>0</v>
      </c>
      <c r="J124" s="732" t="s">
        <v>144</v>
      </c>
      <c r="K124" s="736"/>
      <c r="L124" s="736"/>
      <c r="M124" s="390"/>
      <c r="N124" s="391"/>
      <c r="O124" s="414" t="s">
        <v>145</v>
      </c>
      <c r="P124" s="393">
        <f t="shared" si="4"/>
        <v>0</v>
      </c>
      <c r="Q124" s="396">
        <f t="shared" si="5"/>
        <v>0</v>
      </c>
      <c r="R124" s="82"/>
      <c r="S124" s="385"/>
      <c r="AC124" s="82"/>
    </row>
    <row r="125" spans="1:29" ht="23.25" x14ac:dyDescent="0.3">
      <c r="A125" s="732" t="s">
        <v>146</v>
      </c>
      <c r="B125" s="736"/>
      <c r="C125" s="736"/>
      <c r="D125" s="390"/>
      <c r="E125" s="391"/>
      <c r="F125" s="415" t="s">
        <v>147</v>
      </c>
      <c r="G125" s="393">
        <f t="shared" si="3"/>
        <v>0</v>
      </c>
      <c r="J125" s="732" t="s">
        <v>146</v>
      </c>
      <c r="K125" s="736"/>
      <c r="L125" s="736"/>
      <c r="M125" s="390"/>
      <c r="N125" s="391"/>
      <c r="O125" s="415" t="s">
        <v>147</v>
      </c>
      <c r="P125" s="393">
        <f t="shared" si="4"/>
        <v>0</v>
      </c>
      <c r="Q125" s="396">
        <f t="shared" si="5"/>
        <v>0</v>
      </c>
      <c r="R125" s="82"/>
      <c r="S125" s="385"/>
      <c r="AC125" s="82"/>
    </row>
    <row r="126" spans="1:29" ht="23.25" x14ac:dyDescent="0.3">
      <c r="A126" s="732" t="s">
        <v>148</v>
      </c>
      <c r="B126" s="736"/>
      <c r="C126" s="736"/>
      <c r="D126" s="390"/>
      <c r="E126" s="391"/>
      <c r="F126" s="323" t="s">
        <v>139</v>
      </c>
      <c r="G126" s="393">
        <f t="shared" si="3"/>
        <v>6</v>
      </c>
      <c r="J126" s="732" t="s">
        <v>148</v>
      </c>
      <c r="K126" s="736"/>
      <c r="L126" s="736"/>
      <c r="M126" s="390"/>
      <c r="N126" s="391"/>
      <c r="O126" s="323" t="s">
        <v>139</v>
      </c>
      <c r="P126" s="393">
        <f t="shared" si="4"/>
        <v>0</v>
      </c>
      <c r="Q126" s="396">
        <f t="shared" si="5"/>
        <v>6</v>
      </c>
      <c r="R126" s="82"/>
      <c r="S126" s="385"/>
      <c r="AC126" s="82"/>
    </row>
    <row r="127" spans="1:29" ht="23.25" x14ac:dyDescent="0.3">
      <c r="A127" s="732" t="s">
        <v>149</v>
      </c>
      <c r="B127" s="736"/>
      <c r="C127" s="736"/>
      <c r="D127" s="390" t="s">
        <v>272</v>
      </c>
      <c r="E127" s="391"/>
      <c r="F127" s="416" t="s">
        <v>109</v>
      </c>
      <c r="G127" s="393">
        <f t="shared" si="3"/>
        <v>0</v>
      </c>
      <c r="J127" s="732" t="s">
        <v>149</v>
      </c>
      <c r="K127" s="736"/>
      <c r="L127" s="736"/>
      <c r="M127" s="390" t="s">
        <v>272</v>
      </c>
      <c r="N127" s="391"/>
      <c r="O127" s="416" t="s">
        <v>109</v>
      </c>
      <c r="P127" s="393">
        <f t="shared" si="4"/>
        <v>0</v>
      </c>
      <c r="Q127" s="396">
        <f t="shared" si="5"/>
        <v>0</v>
      </c>
      <c r="R127" s="82"/>
      <c r="S127" s="385"/>
      <c r="AC127" s="82"/>
    </row>
    <row r="128" spans="1:29" ht="23.25" x14ac:dyDescent="0.3">
      <c r="A128" s="732" t="s">
        <v>150</v>
      </c>
      <c r="B128" s="736"/>
      <c r="C128" s="736"/>
      <c r="D128" s="390"/>
      <c r="E128" s="391"/>
      <c r="F128" s="417" t="s">
        <v>140</v>
      </c>
      <c r="G128" s="393">
        <f t="shared" si="3"/>
        <v>0</v>
      </c>
      <c r="J128" s="732" t="s">
        <v>150</v>
      </c>
      <c r="K128" s="736"/>
      <c r="L128" s="736"/>
      <c r="M128" s="390"/>
      <c r="N128" s="391"/>
      <c r="O128" s="417" t="s">
        <v>140</v>
      </c>
      <c r="P128" s="418">
        <f t="shared" si="4"/>
        <v>0</v>
      </c>
      <c r="Q128" s="396">
        <f t="shared" si="5"/>
        <v>0</v>
      </c>
      <c r="R128" s="82"/>
      <c r="S128" s="385"/>
      <c r="AC128" s="82"/>
    </row>
    <row r="129" spans="1:29" ht="23.25" x14ac:dyDescent="0.3">
      <c r="A129" s="732" t="s">
        <v>83</v>
      </c>
      <c r="B129" s="736"/>
      <c r="C129" s="736"/>
      <c r="D129" s="390" t="s">
        <v>268</v>
      </c>
      <c r="E129" s="391"/>
      <c r="F129" s="419" t="s">
        <v>82</v>
      </c>
      <c r="G129" s="393">
        <f t="shared" si="3"/>
        <v>0</v>
      </c>
      <c r="J129" s="732" t="s">
        <v>83</v>
      </c>
      <c r="K129" s="736"/>
      <c r="L129" s="736"/>
      <c r="M129" s="390" t="s">
        <v>268</v>
      </c>
      <c r="N129" s="391"/>
      <c r="O129" s="419" t="s">
        <v>82</v>
      </c>
      <c r="P129" s="418">
        <f t="shared" si="4"/>
        <v>0</v>
      </c>
      <c r="Q129" s="396">
        <f t="shared" si="5"/>
        <v>0</v>
      </c>
      <c r="R129" s="82"/>
      <c r="S129" s="385"/>
      <c r="AC129" s="82"/>
    </row>
    <row r="130" spans="1:29" ht="23.25" x14ac:dyDescent="0.3">
      <c r="A130" s="732" t="s">
        <v>151</v>
      </c>
      <c r="B130" s="736"/>
      <c r="C130" s="736"/>
      <c r="D130" s="390"/>
      <c r="E130" s="391"/>
      <c r="F130" s="420" t="s">
        <v>152</v>
      </c>
      <c r="G130" s="393">
        <f t="shared" si="3"/>
        <v>0</v>
      </c>
      <c r="J130" s="732" t="s">
        <v>151</v>
      </c>
      <c r="K130" s="736"/>
      <c r="L130" s="736"/>
      <c r="M130" s="390"/>
      <c r="N130" s="391"/>
      <c r="O130" s="420" t="s">
        <v>152</v>
      </c>
      <c r="P130" s="418">
        <f t="shared" si="4"/>
        <v>0</v>
      </c>
      <c r="Q130" s="396">
        <f t="shared" si="5"/>
        <v>0</v>
      </c>
      <c r="R130" s="82"/>
      <c r="S130" s="385"/>
      <c r="AC130" s="82"/>
    </row>
    <row r="131" spans="1:29" ht="23.25" x14ac:dyDescent="0.3">
      <c r="A131" s="732" t="s">
        <v>111</v>
      </c>
      <c r="B131" s="736"/>
      <c r="C131" s="736"/>
      <c r="D131" s="390"/>
      <c r="E131" s="391"/>
      <c r="F131" s="421" t="s">
        <v>110</v>
      </c>
      <c r="G131" s="393">
        <f t="shared" si="3"/>
        <v>0</v>
      </c>
      <c r="J131" s="732" t="s">
        <v>111</v>
      </c>
      <c r="K131" s="736"/>
      <c r="L131" s="736"/>
      <c r="M131" s="390"/>
      <c r="N131" s="391"/>
      <c r="O131" s="421" t="s">
        <v>110</v>
      </c>
      <c r="P131" s="418">
        <f t="shared" si="4"/>
        <v>0</v>
      </c>
      <c r="Q131" s="396">
        <f t="shared" si="5"/>
        <v>0</v>
      </c>
      <c r="R131" s="82"/>
      <c r="S131" s="385"/>
      <c r="U131" s="82"/>
      <c r="V131" s="82"/>
      <c r="AC131" s="82"/>
    </row>
    <row r="132" spans="1:29" ht="23.25" x14ac:dyDescent="0.3">
      <c r="A132" s="732" t="s">
        <v>153</v>
      </c>
      <c r="B132" s="736"/>
      <c r="C132" s="736"/>
      <c r="D132" s="390" t="s">
        <v>272</v>
      </c>
      <c r="E132" s="391"/>
      <c r="F132" s="422" t="s">
        <v>123</v>
      </c>
      <c r="G132" s="393">
        <f t="shared" si="3"/>
        <v>0</v>
      </c>
      <c r="J132" s="732" t="s">
        <v>153</v>
      </c>
      <c r="K132" s="736"/>
      <c r="L132" s="736"/>
      <c r="M132" s="390" t="s">
        <v>272</v>
      </c>
      <c r="N132" s="391"/>
      <c r="O132" s="422" t="s">
        <v>123</v>
      </c>
      <c r="P132" s="418">
        <f t="shared" si="4"/>
        <v>0</v>
      </c>
      <c r="Q132" s="396">
        <f t="shared" si="5"/>
        <v>0</v>
      </c>
      <c r="R132" s="82"/>
      <c r="S132" s="385"/>
      <c r="U132" s="82"/>
      <c r="V132" s="82"/>
      <c r="AC132" s="82"/>
    </row>
    <row r="133" spans="1:29" ht="23.25" x14ac:dyDescent="0.3">
      <c r="A133" s="732" t="s">
        <v>85</v>
      </c>
      <c r="B133" s="736"/>
      <c r="C133" s="736"/>
      <c r="D133" s="390" t="s">
        <v>272</v>
      </c>
      <c r="E133" s="391"/>
      <c r="F133" s="423" t="s">
        <v>84</v>
      </c>
      <c r="G133" s="393">
        <f t="shared" si="3"/>
        <v>0</v>
      </c>
      <c r="J133" s="732" t="s">
        <v>85</v>
      </c>
      <c r="K133" s="736"/>
      <c r="L133" s="736"/>
      <c r="M133" s="390" t="s">
        <v>272</v>
      </c>
      <c r="N133" s="391"/>
      <c r="O133" s="423" t="s">
        <v>84</v>
      </c>
      <c r="P133" s="418">
        <f t="shared" si="4"/>
        <v>0</v>
      </c>
      <c r="Q133" s="396">
        <f t="shared" si="5"/>
        <v>0</v>
      </c>
      <c r="R133" s="82"/>
      <c r="S133" s="385"/>
      <c r="U133" s="82"/>
      <c r="V133" s="82"/>
      <c r="AC133" s="82"/>
    </row>
    <row r="134" spans="1:29" ht="18" x14ac:dyDescent="0.3">
      <c r="A134" s="734"/>
      <c r="B134" s="735"/>
      <c r="C134" s="735"/>
      <c r="D134" s="398"/>
      <c r="E134" s="399"/>
      <c r="F134" s="424"/>
      <c r="G134" s="401"/>
      <c r="J134" s="734"/>
      <c r="K134" s="735"/>
      <c r="L134" s="735"/>
      <c r="M134" s="398"/>
      <c r="N134" s="399"/>
      <c r="O134" s="400"/>
      <c r="P134" s="425"/>
      <c r="Q134" s="402"/>
      <c r="R134" s="82"/>
      <c r="S134" s="385"/>
      <c r="U134" s="82"/>
      <c r="V134" s="82"/>
      <c r="AC134" s="82"/>
    </row>
    <row r="135" spans="1:29" ht="23.25" x14ac:dyDescent="0.3">
      <c r="A135" s="732" t="s">
        <v>68</v>
      </c>
      <c r="B135" s="733"/>
      <c r="C135" s="733"/>
      <c r="D135" s="426"/>
      <c r="E135" s="427"/>
      <c r="F135" s="428" t="s">
        <v>69</v>
      </c>
      <c r="G135" s="393">
        <f>COUNTIF($A$2:$BK$74,F135)</f>
        <v>0</v>
      </c>
      <c r="J135" s="732" t="s">
        <v>68</v>
      </c>
      <c r="K135" s="733"/>
      <c r="L135" s="733"/>
      <c r="M135" s="426"/>
      <c r="N135" s="427"/>
      <c r="O135" s="428" t="s">
        <v>69</v>
      </c>
      <c r="P135" s="393">
        <f>COUNTIF($BL$3:$CN$45,O135)</f>
        <v>0</v>
      </c>
      <c r="Q135" s="396">
        <f t="shared" ref="Q135:Q136" si="6">G135+P135</f>
        <v>0</v>
      </c>
      <c r="R135" s="82"/>
      <c r="S135" s="385"/>
      <c r="U135" s="82"/>
      <c r="V135" s="82"/>
      <c r="AC135" s="82"/>
    </row>
    <row r="136" spans="1:29" ht="23.25" x14ac:dyDescent="0.25">
      <c r="A136" s="732" t="s">
        <v>87</v>
      </c>
      <c r="B136" s="733"/>
      <c r="C136" s="733"/>
      <c r="D136" s="426" t="s">
        <v>269</v>
      </c>
      <c r="E136" s="427"/>
      <c r="F136" s="429" t="s">
        <v>86</v>
      </c>
      <c r="G136" s="393">
        <f>COUNTIF($A$2:$BK$74,F136)</f>
        <v>0</v>
      </c>
      <c r="J136" s="732" t="s">
        <v>87</v>
      </c>
      <c r="K136" s="733"/>
      <c r="L136" s="733"/>
      <c r="M136" s="426" t="s">
        <v>269</v>
      </c>
      <c r="N136" s="427"/>
      <c r="O136" s="429" t="s">
        <v>86</v>
      </c>
      <c r="P136" s="393">
        <f>COUNTIF($BL$3:$CN$45,O136)</f>
        <v>0</v>
      </c>
      <c r="Q136" s="396">
        <f t="shared" si="6"/>
        <v>0</v>
      </c>
      <c r="U136" s="82"/>
      <c r="V136" s="82"/>
      <c r="AC136" s="82"/>
    </row>
    <row r="137" spans="1:29" ht="18" x14ac:dyDescent="0.25">
      <c r="A137" s="734"/>
      <c r="B137" s="735"/>
      <c r="C137" s="735"/>
      <c r="D137" s="398"/>
      <c r="E137" s="399"/>
      <c r="F137" s="400"/>
      <c r="G137" s="401"/>
      <c r="J137" s="734"/>
      <c r="K137" s="735"/>
      <c r="L137" s="735"/>
      <c r="M137" s="398"/>
      <c r="N137" s="399"/>
      <c r="O137" s="400"/>
      <c r="P137" s="401"/>
      <c r="Q137" s="402"/>
      <c r="U137" s="82"/>
      <c r="V137" s="82"/>
      <c r="AC137" s="82"/>
    </row>
    <row r="138" spans="1:29" ht="23.25" x14ac:dyDescent="0.25">
      <c r="A138" s="732" t="s">
        <v>89</v>
      </c>
      <c r="B138" s="733"/>
      <c r="C138" s="733"/>
      <c r="D138" s="390" t="s">
        <v>268</v>
      </c>
      <c r="E138" s="391"/>
      <c r="F138" s="430" t="s">
        <v>88</v>
      </c>
      <c r="G138" s="393">
        <f t="shared" ref="G138:G147" si="7">COUNTIF($A$2:$BK$74,F138)</f>
        <v>0</v>
      </c>
      <c r="J138" s="732" t="s">
        <v>89</v>
      </c>
      <c r="K138" s="733"/>
      <c r="L138" s="733"/>
      <c r="M138" s="390" t="s">
        <v>268</v>
      </c>
      <c r="N138" s="391"/>
      <c r="O138" s="430" t="s">
        <v>88</v>
      </c>
      <c r="P138" s="393">
        <f t="shared" ref="P138:P147" si="8">COUNTIF($BL$3:$CN$45,O138)</f>
        <v>0</v>
      </c>
      <c r="Q138" s="396">
        <f t="shared" ref="Q138:Q147" si="9">G138+P138</f>
        <v>0</v>
      </c>
      <c r="U138" s="82"/>
      <c r="V138" s="82"/>
      <c r="AC138" s="82"/>
    </row>
    <row r="139" spans="1:29" ht="23.25" x14ac:dyDescent="0.25">
      <c r="A139" s="732" t="s">
        <v>91</v>
      </c>
      <c r="B139" s="733"/>
      <c r="C139" s="733"/>
      <c r="D139" s="390" t="s">
        <v>269</v>
      </c>
      <c r="E139" s="391"/>
      <c r="F139" s="431" t="s">
        <v>90</v>
      </c>
      <c r="G139" s="393">
        <f t="shared" si="7"/>
        <v>0</v>
      </c>
      <c r="J139" s="732" t="s">
        <v>91</v>
      </c>
      <c r="K139" s="733"/>
      <c r="L139" s="733"/>
      <c r="M139" s="390" t="s">
        <v>269</v>
      </c>
      <c r="N139" s="391"/>
      <c r="O139" s="431" t="s">
        <v>90</v>
      </c>
      <c r="P139" s="393">
        <f t="shared" si="8"/>
        <v>0</v>
      </c>
      <c r="Q139" s="396">
        <f t="shared" si="9"/>
        <v>0</v>
      </c>
      <c r="U139" s="82"/>
      <c r="V139" s="82"/>
      <c r="AC139" s="82"/>
    </row>
    <row r="140" spans="1:29" ht="23.25" x14ac:dyDescent="0.25">
      <c r="A140" s="732" t="s">
        <v>125</v>
      </c>
      <c r="B140" s="733"/>
      <c r="C140" s="733"/>
      <c r="D140" s="390"/>
      <c r="E140" s="391"/>
      <c r="F140" s="432" t="s">
        <v>124</v>
      </c>
      <c r="G140" s="393">
        <f t="shared" si="7"/>
        <v>0</v>
      </c>
      <c r="J140" s="732" t="s">
        <v>125</v>
      </c>
      <c r="K140" s="733"/>
      <c r="L140" s="733"/>
      <c r="M140" s="390"/>
      <c r="N140" s="391"/>
      <c r="O140" s="432" t="s">
        <v>124</v>
      </c>
      <c r="P140" s="393">
        <f t="shared" si="8"/>
        <v>0</v>
      </c>
      <c r="Q140" s="396">
        <f t="shared" si="9"/>
        <v>0</v>
      </c>
      <c r="U140" s="82"/>
      <c r="V140" s="82"/>
      <c r="AC140" s="82"/>
    </row>
    <row r="141" spans="1:29" ht="23.25" x14ac:dyDescent="0.25">
      <c r="A141" s="732" t="s">
        <v>93</v>
      </c>
      <c r="B141" s="733"/>
      <c r="C141" s="733"/>
      <c r="D141" s="390"/>
      <c r="E141" s="391"/>
      <c r="F141" s="433" t="s">
        <v>92</v>
      </c>
      <c r="G141" s="393">
        <f t="shared" si="7"/>
        <v>0</v>
      </c>
      <c r="J141" s="732" t="s">
        <v>93</v>
      </c>
      <c r="K141" s="733"/>
      <c r="L141" s="733"/>
      <c r="M141" s="390"/>
      <c r="N141" s="391"/>
      <c r="O141" s="433" t="s">
        <v>92</v>
      </c>
      <c r="P141" s="393">
        <f t="shared" si="8"/>
        <v>0</v>
      </c>
      <c r="Q141" s="396">
        <f t="shared" si="9"/>
        <v>0</v>
      </c>
      <c r="R141" s="82"/>
      <c r="S141" s="82"/>
      <c r="U141" s="82"/>
      <c r="V141" s="82"/>
      <c r="AC141" s="82"/>
    </row>
    <row r="142" spans="1:29" ht="23.25" x14ac:dyDescent="0.25">
      <c r="A142" s="732" t="s">
        <v>95</v>
      </c>
      <c r="B142" s="733"/>
      <c r="C142" s="733"/>
      <c r="D142" s="390"/>
      <c r="E142" s="427"/>
      <c r="F142" s="434" t="s">
        <v>94</v>
      </c>
      <c r="G142" s="393">
        <f t="shared" si="7"/>
        <v>0</v>
      </c>
      <c r="J142" s="732" t="s">
        <v>95</v>
      </c>
      <c r="K142" s="733"/>
      <c r="L142" s="733"/>
      <c r="M142" s="390"/>
      <c r="N142" s="427"/>
      <c r="O142" s="434" t="s">
        <v>94</v>
      </c>
      <c r="P142" s="393">
        <f t="shared" si="8"/>
        <v>0</v>
      </c>
      <c r="Q142" s="396">
        <f t="shared" si="9"/>
        <v>0</v>
      </c>
      <c r="U142" s="82"/>
      <c r="V142" s="82"/>
      <c r="AC142" s="82"/>
    </row>
    <row r="143" spans="1:29" ht="23.25" x14ac:dyDescent="0.25">
      <c r="A143" s="732" t="s">
        <v>97</v>
      </c>
      <c r="B143" s="733"/>
      <c r="C143" s="733"/>
      <c r="D143" s="390"/>
      <c r="E143" s="427"/>
      <c r="F143" s="435" t="s">
        <v>96</v>
      </c>
      <c r="G143" s="393">
        <f t="shared" si="7"/>
        <v>0</v>
      </c>
      <c r="J143" s="732" t="s">
        <v>97</v>
      </c>
      <c r="K143" s="733"/>
      <c r="L143" s="733"/>
      <c r="M143" s="390"/>
      <c r="N143" s="427"/>
      <c r="O143" s="435" t="s">
        <v>96</v>
      </c>
      <c r="P143" s="393">
        <f t="shared" si="8"/>
        <v>0</v>
      </c>
      <c r="Q143" s="396">
        <f t="shared" si="9"/>
        <v>0</v>
      </c>
      <c r="U143" s="82"/>
      <c r="V143" s="82"/>
      <c r="AC143" s="82"/>
    </row>
    <row r="144" spans="1:29" ht="23.25" x14ac:dyDescent="0.25">
      <c r="A144" s="732" t="s">
        <v>99</v>
      </c>
      <c r="B144" s="733"/>
      <c r="C144" s="733"/>
      <c r="D144" s="390"/>
      <c r="E144" s="427"/>
      <c r="F144" s="436" t="s">
        <v>98</v>
      </c>
      <c r="G144" s="393">
        <f t="shared" si="7"/>
        <v>0</v>
      </c>
      <c r="J144" s="732" t="s">
        <v>99</v>
      </c>
      <c r="K144" s="733"/>
      <c r="L144" s="733"/>
      <c r="M144" s="390"/>
      <c r="N144" s="427"/>
      <c r="O144" s="436" t="s">
        <v>98</v>
      </c>
      <c r="P144" s="393">
        <f t="shared" si="8"/>
        <v>0</v>
      </c>
      <c r="Q144" s="396">
        <f t="shared" si="9"/>
        <v>0</v>
      </c>
      <c r="U144" s="82"/>
      <c r="V144" s="82"/>
      <c r="AC144" s="82"/>
    </row>
    <row r="145" spans="1:29" ht="23.25" x14ac:dyDescent="0.25">
      <c r="A145" s="732" t="s">
        <v>101</v>
      </c>
      <c r="B145" s="733"/>
      <c r="C145" s="733"/>
      <c r="D145" s="390"/>
      <c r="E145" s="427"/>
      <c r="F145" s="437" t="s">
        <v>100</v>
      </c>
      <c r="G145" s="393">
        <f t="shared" si="7"/>
        <v>0</v>
      </c>
      <c r="J145" s="732" t="s">
        <v>101</v>
      </c>
      <c r="K145" s="733"/>
      <c r="L145" s="733"/>
      <c r="M145" s="390"/>
      <c r="N145" s="427"/>
      <c r="O145" s="437" t="s">
        <v>100</v>
      </c>
      <c r="P145" s="393">
        <f t="shared" si="8"/>
        <v>0</v>
      </c>
      <c r="Q145" s="396">
        <f t="shared" si="9"/>
        <v>0</v>
      </c>
      <c r="U145" s="82"/>
      <c r="V145" s="82"/>
      <c r="AC145" s="82"/>
    </row>
    <row r="146" spans="1:29" ht="23.25" x14ac:dyDescent="0.25">
      <c r="A146" s="732" t="s">
        <v>154</v>
      </c>
      <c r="B146" s="733"/>
      <c r="C146" s="733"/>
      <c r="D146" s="390" t="s">
        <v>268</v>
      </c>
      <c r="E146" s="391"/>
      <c r="F146" s="438" t="s">
        <v>112</v>
      </c>
      <c r="G146" s="393">
        <f t="shared" si="7"/>
        <v>6</v>
      </c>
      <c r="J146" s="732" t="s">
        <v>154</v>
      </c>
      <c r="K146" s="733"/>
      <c r="L146" s="733"/>
      <c r="M146" s="390" t="s">
        <v>268</v>
      </c>
      <c r="N146" s="391"/>
      <c r="O146" s="438" t="s">
        <v>112</v>
      </c>
      <c r="P146" s="393">
        <f t="shared" si="8"/>
        <v>0</v>
      </c>
      <c r="Q146" s="396">
        <f t="shared" si="9"/>
        <v>6</v>
      </c>
      <c r="U146" s="82"/>
      <c r="V146" s="82"/>
      <c r="AC146" s="82"/>
    </row>
    <row r="147" spans="1:29" ht="23.25" x14ac:dyDescent="0.25">
      <c r="A147" s="732" t="s">
        <v>155</v>
      </c>
      <c r="B147" s="733"/>
      <c r="C147" s="733"/>
      <c r="D147" s="390" t="s">
        <v>268</v>
      </c>
      <c r="E147" s="427"/>
      <c r="F147" s="439" t="s">
        <v>137</v>
      </c>
      <c r="G147" s="393">
        <f t="shared" si="7"/>
        <v>4</v>
      </c>
      <c r="J147" s="732" t="s">
        <v>155</v>
      </c>
      <c r="K147" s="733"/>
      <c r="L147" s="733"/>
      <c r="M147" s="390" t="s">
        <v>268</v>
      </c>
      <c r="N147" s="427"/>
      <c r="O147" s="439" t="s">
        <v>137</v>
      </c>
      <c r="P147" s="393">
        <f t="shared" si="8"/>
        <v>0</v>
      </c>
      <c r="Q147" s="396">
        <f t="shared" si="9"/>
        <v>4</v>
      </c>
      <c r="U147" s="82"/>
      <c r="V147" s="82"/>
      <c r="AC147" s="82"/>
    </row>
    <row r="148" spans="1:29" ht="18" x14ac:dyDescent="0.25">
      <c r="A148" s="734"/>
      <c r="B148" s="735"/>
      <c r="C148" s="735"/>
      <c r="D148" s="398"/>
      <c r="E148" s="399"/>
      <c r="F148" s="400"/>
      <c r="G148" s="401"/>
      <c r="J148" s="734"/>
      <c r="K148" s="735"/>
      <c r="L148" s="735"/>
      <c r="M148" s="398"/>
      <c r="N148" s="399"/>
      <c r="O148" s="400"/>
      <c r="P148" s="401"/>
      <c r="Q148" s="402"/>
      <c r="U148" s="82"/>
      <c r="V148" s="82"/>
      <c r="AC148" s="82"/>
    </row>
    <row r="149" spans="1:29" ht="23.25" x14ac:dyDescent="0.25">
      <c r="A149" s="732" t="s">
        <v>52</v>
      </c>
      <c r="B149" s="733"/>
      <c r="C149" s="733"/>
      <c r="D149" s="390" t="s">
        <v>273</v>
      </c>
      <c r="E149" s="391"/>
      <c r="F149" s="440" t="s">
        <v>53</v>
      </c>
      <c r="G149" s="393">
        <f>COUNTIF($A$2:$BK$74,F149)</f>
        <v>0</v>
      </c>
      <c r="J149" s="732" t="s">
        <v>52</v>
      </c>
      <c r="K149" s="733"/>
      <c r="L149" s="733"/>
      <c r="M149" s="390" t="s">
        <v>273</v>
      </c>
      <c r="N149" s="391"/>
      <c r="O149" s="440" t="s">
        <v>53</v>
      </c>
      <c r="P149" s="393">
        <f>COUNTIF($BL$3:$CN$45,O149)</f>
        <v>0</v>
      </c>
      <c r="Q149" s="396">
        <f t="shared" ref="Q149" si="10">G149+P149</f>
        <v>0</v>
      </c>
      <c r="U149" s="82"/>
      <c r="V149" s="82"/>
      <c r="AC149" s="82"/>
    </row>
    <row r="150" spans="1:29" ht="23.25" x14ac:dyDescent="0.25">
      <c r="A150" s="732" t="s">
        <v>54</v>
      </c>
      <c r="B150" s="733"/>
      <c r="C150" s="733"/>
      <c r="D150" s="390" t="s">
        <v>273</v>
      </c>
      <c r="E150" s="427"/>
      <c r="F150" s="441" t="s">
        <v>55</v>
      </c>
      <c r="G150" s="393">
        <f>COUNTIF($A$2:$BK$74,F150)</f>
        <v>0</v>
      </c>
      <c r="J150" s="732" t="s">
        <v>54</v>
      </c>
      <c r="K150" s="733"/>
      <c r="L150" s="733"/>
      <c r="M150" s="390" t="s">
        <v>273</v>
      </c>
      <c r="N150" s="427"/>
      <c r="O150" s="441" t="s">
        <v>55</v>
      </c>
      <c r="P150" s="393">
        <f>COUNTIF($BL$3:$CN$45,O150)</f>
        <v>0</v>
      </c>
      <c r="Q150" s="396">
        <f t="shared" si="0"/>
        <v>0</v>
      </c>
      <c r="U150" s="82"/>
      <c r="V150" s="82"/>
      <c r="AC150" s="82"/>
    </row>
    <row r="151" spans="1:29" ht="23.25" x14ac:dyDescent="0.25">
      <c r="A151" s="732" t="s">
        <v>56</v>
      </c>
      <c r="B151" s="733"/>
      <c r="C151" s="733"/>
      <c r="D151" s="390" t="s">
        <v>273</v>
      </c>
      <c r="E151" s="427"/>
      <c r="F151" s="442" t="s">
        <v>57</v>
      </c>
      <c r="G151" s="393">
        <f>COUNTIF($A$2:$BK$74,F151)</f>
        <v>0</v>
      </c>
      <c r="J151" s="732" t="s">
        <v>56</v>
      </c>
      <c r="K151" s="733"/>
      <c r="L151" s="733"/>
      <c r="M151" s="390" t="s">
        <v>273</v>
      </c>
      <c r="N151" s="427"/>
      <c r="O151" s="442" t="s">
        <v>57</v>
      </c>
      <c r="P151" s="393">
        <f>COUNTIF($BL$3:$CN$45,O151)</f>
        <v>0</v>
      </c>
      <c r="Q151" s="396">
        <f t="shared" si="0"/>
        <v>0</v>
      </c>
      <c r="AC151" s="369"/>
    </row>
    <row r="152" spans="1:29" ht="23.25" x14ac:dyDescent="0.25">
      <c r="A152" s="732" t="s">
        <v>19</v>
      </c>
      <c r="B152" s="733"/>
      <c r="C152" s="733"/>
      <c r="D152" s="390" t="s">
        <v>273</v>
      </c>
      <c r="E152" s="427"/>
      <c r="F152" s="443" t="s">
        <v>16</v>
      </c>
      <c r="G152" s="393">
        <f>COUNTIF($A$2:$BK$74,F152)</f>
        <v>0</v>
      </c>
      <c r="J152" s="732" t="s">
        <v>19</v>
      </c>
      <c r="K152" s="733"/>
      <c r="L152" s="733"/>
      <c r="M152" s="390" t="s">
        <v>273</v>
      </c>
      <c r="N152" s="427"/>
      <c r="O152" s="443" t="s">
        <v>16</v>
      </c>
      <c r="P152" s="393">
        <f>COUNTIF($BL$3:$CN$45,O152)</f>
        <v>0</v>
      </c>
      <c r="Q152" s="396">
        <f t="shared" si="0"/>
        <v>0</v>
      </c>
      <c r="AC152" s="369"/>
    </row>
    <row r="153" spans="1:29" ht="23.25" x14ac:dyDescent="0.25">
      <c r="A153" s="732" t="s">
        <v>58</v>
      </c>
      <c r="B153" s="733"/>
      <c r="C153" s="733"/>
      <c r="D153" s="390" t="s">
        <v>273</v>
      </c>
      <c r="E153" s="427"/>
      <c r="F153" s="444" t="s">
        <v>59</v>
      </c>
      <c r="G153" s="393">
        <f>COUNTIF($A$2:$BK$74,F153)</f>
        <v>0</v>
      </c>
      <c r="J153" s="732" t="s">
        <v>58</v>
      </c>
      <c r="K153" s="733"/>
      <c r="L153" s="733"/>
      <c r="M153" s="390" t="s">
        <v>273</v>
      </c>
      <c r="N153" s="427"/>
      <c r="O153" s="444" t="s">
        <v>59</v>
      </c>
      <c r="P153" s="393">
        <f>COUNTIF($BL$3:$CN$45,O153)</f>
        <v>0</v>
      </c>
      <c r="Q153" s="396">
        <f t="shared" si="0"/>
        <v>0</v>
      </c>
      <c r="R153" s="82"/>
      <c r="AB153" s="369"/>
      <c r="AC153" s="369"/>
    </row>
    <row r="154" spans="1:29" ht="18" x14ac:dyDescent="0.25">
      <c r="A154" s="734"/>
      <c r="B154" s="735"/>
      <c r="C154" s="735"/>
      <c r="D154" s="398"/>
      <c r="E154" s="399"/>
      <c r="F154" s="400"/>
      <c r="G154" s="401"/>
      <c r="J154" s="734"/>
      <c r="K154" s="735"/>
      <c r="L154" s="735"/>
      <c r="M154" s="398"/>
      <c r="N154" s="399"/>
      <c r="O154" s="400"/>
      <c r="P154" s="401"/>
      <c r="Q154" s="402"/>
      <c r="R154" s="82"/>
      <c r="AB154" s="369"/>
      <c r="AC154" s="369"/>
    </row>
    <row r="155" spans="1:29" ht="23.25" x14ac:dyDescent="0.25">
      <c r="A155" s="732" t="s">
        <v>66</v>
      </c>
      <c r="B155" s="733"/>
      <c r="C155" s="733"/>
      <c r="D155" s="390"/>
      <c r="E155" s="391"/>
      <c r="F155" s="445" t="s">
        <v>67</v>
      </c>
      <c r="G155" s="393">
        <f t="shared" ref="G155:G193" si="11">COUNTIF($A$2:$BK$74,F155)</f>
        <v>0</v>
      </c>
      <c r="J155" s="732" t="s">
        <v>66</v>
      </c>
      <c r="K155" s="733"/>
      <c r="L155" s="733"/>
      <c r="M155" s="390"/>
      <c r="N155" s="391"/>
      <c r="O155" s="445" t="s">
        <v>67</v>
      </c>
      <c r="P155" s="393">
        <f t="shared" ref="P155:P193" si="12">COUNTIF($BL$3:$CN$45,O155)</f>
        <v>0</v>
      </c>
      <c r="Q155" s="396">
        <f t="shared" ref="Q155" si="13">G155+P155</f>
        <v>0</v>
      </c>
      <c r="R155" s="82"/>
      <c r="AB155" s="369"/>
      <c r="AC155" s="369"/>
    </row>
    <row r="156" spans="1:29" ht="23.25" x14ac:dyDescent="0.25">
      <c r="A156" s="732" t="s">
        <v>20</v>
      </c>
      <c r="B156" s="733"/>
      <c r="C156" s="733"/>
      <c r="D156" s="390"/>
      <c r="E156" s="391"/>
      <c r="F156" s="446" t="s">
        <v>21</v>
      </c>
      <c r="G156" s="393">
        <f t="shared" si="11"/>
        <v>0</v>
      </c>
      <c r="J156" s="732" t="s">
        <v>20</v>
      </c>
      <c r="K156" s="733"/>
      <c r="L156" s="733"/>
      <c r="M156" s="390"/>
      <c r="N156" s="391"/>
      <c r="O156" s="446" t="s">
        <v>21</v>
      </c>
      <c r="P156" s="418">
        <f t="shared" si="12"/>
        <v>0</v>
      </c>
      <c r="Q156" s="396">
        <f t="shared" si="0"/>
        <v>0</v>
      </c>
      <c r="R156" s="82"/>
      <c r="AB156" s="369"/>
      <c r="AC156" s="369"/>
    </row>
    <row r="157" spans="1:29" ht="23.25" x14ac:dyDescent="0.25">
      <c r="A157" s="732" t="s">
        <v>126</v>
      </c>
      <c r="B157" s="733"/>
      <c r="C157" s="733"/>
      <c r="D157" s="390"/>
      <c r="E157" s="391"/>
      <c r="F157" s="447" t="s">
        <v>127</v>
      </c>
      <c r="G157" s="393">
        <f t="shared" si="11"/>
        <v>0</v>
      </c>
      <c r="J157" s="732" t="s">
        <v>126</v>
      </c>
      <c r="K157" s="733"/>
      <c r="L157" s="733"/>
      <c r="M157" s="390"/>
      <c r="N157" s="391"/>
      <c r="O157" s="447" t="s">
        <v>127</v>
      </c>
      <c r="P157" s="393">
        <f t="shared" si="12"/>
        <v>0</v>
      </c>
      <c r="Q157" s="396">
        <f t="shared" si="0"/>
        <v>0</v>
      </c>
      <c r="R157" s="82"/>
      <c r="AB157" s="369"/>
      <c r="AC157" s="369"/>
    </row>
    <row r="158" spans="1:29" ht="23.25" x14ac:dyDescent="0.25">
      <c r="A158" s="732" t="s">
        <v>14</v>
      </c>
      <c r="B158" s="733"/>
      <c r="C158" s="733"/>
      <c r="D158" s="390"/>
      <c r="E158" s="391"/>
      <c r="F158" s="448" t="s">
        <v>13</v>
      </c>
      <c r="G158" s="393">
        <f t="shared" si="11"/>
        <v>0</v>
      </c>
      <c r="J158" s="732" t="s">
        <v>14</v>
      </c>
      <c r="K158" s="733"/>
      <c r="L158" s="733"/>
      <c r="M158" s="390"/>
      <c r="N158" s="391"/>
      <c r="O158" s="448" t="s">
        <v>13</v>
      </c>
      <c r="P158" s="393">
        <f t="shared" si="12"/>
        <v>0</v>
      </c>
      <c r="Q158" s="396">
        <f t="shared" si="0"/>
        <v>0</v>
      </c>
      <c r="R158" s="82"/>
      <c r="AB158" s="369"/>
      <c r="AC158" s="369"/>
    </row>
    <row r="159" spans="1:29" ht="23.25" x14ac:dyDescent="0.25">
      <c r="A159" s="732" t="s">
        <v>28</v>
      </c>
      <c r="B159" s="733"/>
      <c r="C159" s="733"/>
      <c r="D159" s="390"/>
      <c r="E159" s="391"/>
      <c r="F159" s="449" t="s">
        <v>29</v>
      </c>
      <c r="G159" s="393">
        <f t="shared" si="11"/>
        <v>0</v>
      </c>
      <c r="J159" s="732" t="s">
        <v>28</v>
      </c>
      <c r="K159" s="733"/>
      <c r="L159" s="733"/>
      <c r="M159" s="390"/>
      <c r="N159" s="391"/>
      <c r="O159" s="449" t="s">
        <v>29</v>
      </c>
      <c r="P159" s="393">
        <f t="shared" si="12"/>
        <v>0</v>
      </c>
      <c r="Q159" s="396">
        <f t="shared" si="0"/>
        <v>0</v>
      </c>
      <c r="R159" s="82"/>
      <c r="AB159" s="369"/>
      <c r="AC159" s="369"/>
    </row>
    <row r="160" spans="1:29" ht="23.25" x14ac:dyDescent="0.25">
      <c r="A160" s="732" t="s">
        <v>156</v>
      </c>
      <c r="B160" s="733"/>
      <c r="C160" s="733"/>
      <c r="D160" s="390"/>
      <c r="E160" s="391"/>
      <c r="F160" s="450" t="s">
        <v>157</v>
      </c>
      <c r="G160" s="393">
        <f t="shared" si="11"/>
        <v>0</v>
      </c>
      <c r="J160" s="732" t="s">
        <v>156</v>
      </c>
      <c r="K160" s="733"/>
      <c r="L160" s="733"/>
      <c r="M160" s="390"/>
      <c r="N160" s="391"/>
      <c r="O160" s="450" t="s">
        <v>157</v>
      </c>
      <c r="P160" s="393">
        <f t="shared" si="12"/>
        <v>0</v>
      </c>
      <c r="Q160" s="396">
        <f t="shared" si="0"/>
        <v>0</v>
      </c>
      <c r="R160" s="82"/>
      <c r="AB160" s="369"/>
      <c r="AC160" s="369"/>
    </row>
    <row r="161" spans="1:29" ht="23.25" x14ac:dyDescent="0.25">
      <c r="A161" s="388" t="s">
        <v>114</v>
      </c>
      <c r="B161" s="389"/>
      <c r="C161" s="389"/>
      <c r="D161" s="390"/>
      <c r="E161" s="391"/>
      <c r="F161" s="451" t="s">
        <v>113</v>
      </c>
      <c r="G161" s="393">
        <f t="shared" si="11"/>
        <v>0</v>
      </c>
      <c r="J161" s="388" t="s">
        <v>114</v>
      </c>
      <c r="K161" s="389"/>
      <c r="L161" s="389"/>
      <c r="M161" s="390"/>
      <c r="N161" s="391"/>
      <c r="O161" s="451" t="s">
        <v>113</v>
      </c>
      <c r="P161" s="393">
        <f t="shared" si="12"/>
        <v>0</v>
      </c>
      <c r="Q161" s="396">
        <f t="shared" si="0"/>
        <v>0</v>
      </c>
      <c r="R161" s="82"/>
      <c r="AB161" s="369"/>
      <c r="AC161" s="369"/>
    </row>
    <row r="162" spans="1:29" ht="23.25" x14ac:dyDescent="0.25">
      <c r="A162" s="732" t="s">
        <v>116</v>
      </c>
      <c r="B162" s="733"/>
      <c r="C162" s="733"/>
      <c r="D162" s="390"/>
      <c r="E162" s="391"/>
      <c r="F162" s="452" t="s">
        <v>115</v>
      </c>
      <c r="G162" s="393">
        <f t="shared" si="11"/>
        <v>0</v>
      </c>
      <c r="J162" s="732" t="s">
        <v>116</v>
      </c>
      <c r="K162" s="733"/>
      <c r="L162" s="733"/>
      <c r="M162" s="390"/>
      <c r="N162" s="391"/>
      <c r="O162" s="452" t="s">
        <v>115</v>
      </c>
      <c r="P162" s="393">
        <f t="shared" si="12"/>
        <v>0</v>
      </c>
      <c r="Q162" s="396">
        <f t="shared" si="0"/>
        <v>0</v>
      </c>
      <c r="R162" s="82"/>
      <c r="AB162" s="369"/>
      <c r="AC162" s="369"/>
    </row>
    <row r="163" spans="1:29" ht="23.25" x14ac:dyDescent="0.25">
      <c r="A163" s="732" t="s">
        <v>30</v>
      </c>
      <c r="B163" s="733"/>
      <c r="C163" s="733"/>
      <c r="D163" s="426"/>
      <c r="E163" s="427"/>
      <c r="F163" s="453" t="s">
        <v>31</v>
      </c>
      <c r="G163" s="393">
        <f t="shared" si="11"/>
        <v>0</v>
      </c>
      <c r="J163" s="732" t="s">
        <v>30</v>
      </c>
      <c r="K163" s="733"/>
      <c r="L163" s="733"/>
      <c r="M163" s="426"/>
      <c r="N163" s="427"/>
      <c r="O163" s="453" t="s">
        <v>31</v>
      </c>
      <c r="P163" s="393">
        <f t="shared" si="12"/>
        <v>0</v>
      </c>
      <c r="Q163" s="396">
        <f t="shared" si="0"/>
        <v>0</v>
      </c>
      <c r="R163" s="82"/>
      <c r="AB163" s="369"/>
      <c r="AC163" s="369"/>
    </row>
    <row r="164" spans="1:29" ht="23.25" x14ac:dyDescent="0.25">
      <c r="A164" s="732" t="s">
        <v>32</v>
      </c>
      <c r="B164" s="733"/>
      <c r="C164" s="733"/>
      <c r="D164" s="426"/>
      <c r="E164" s="427"/>
      <c r="F164" s="454" t="s">
        <v>33</v>
      </c>
      <c r="G164" s="393">
        <f t="shared" si="11"/>
        <v>0</v>
      </c>
      <c r="J164" s="732" t="s">
        <v>32</v>
      </c>
      <c r="K164" s="733"/>
      <c r="L164" s="733"/>
      <c r="M164" s="426"/>
      <c r="N164" s="427"/>
      <c r="O164" s="454" t="s">
        <v>33</v>
      </c>
      <c r="P164" s="393">
        <f t="shared" si="12"/>
        <v>0</v>
      </c>
      <c r="Q164" s="396">
        <f t="shared" si="0"/>
        <v>0</v>
      </c>
      <c r="R164" s="82"/>
      <c r="AB164" s="369"/>
      <c r="AC164" s="369"/>
    </row>
    <row r="165" spans="1:29" ht="23.25" x14ac:dyDescent="0.25">
      <c r="A165" s="732" t="s">
        <v>34</v>
      </c>
      <c r="B165" s="733"/>
      <c r="C165" s="733"/>
      <c r="D165" s="426"/>
      <c r="E165" s="427"/>
      <c r="F165" s="455" t="s">
        <v>35</v>
      </c>
      <c r="G165" s="393">
        <f t="shared" si="11"/>
        <v>0</v>
      </c>
      <c r="J165" s="732" t="s">
        <v>34</v>
      </c>
      <c r="K165" s="733"/>
      <c r="L165" s="733"/>
      <c r="M165" s="426"/>
      <c r="N165" s="427"/>
      <c r="O165" s="455" t="s">
        <v>35</v>
      </c>
      <c r="P165" s="393">
        <f t="shared" si="12"/>
        <v>0</v>
      </c>
      <c r="Q165" s="396">
        <f t="shared" si="0"/>
        <v>0</v>
      </c>
      <c r="R165" s="82"/>
      <c r="AB165" s="369"/>
      <c r="AC165" s="369"/>
    </row>
    <row r="166" spans="1:29" ht="23.25" x14ac:dyDescent="0.25">
      <c r="A166" s="732" t="s">
        <v>36</v>
      </c>
      <c r="B166" s="733"/>
      <c r="C166" s="733"/>
      <c r="D166" s="426"/>
      <c r="E166" s="427"/>
      <c r="F166" s="456" t="s">
        <v>37</v>
      </c>
      <c r="G166" s="393">
        <f t="shared" si="11"/>
        <v>0</v>
      </c>
      <c r="J166" s="732" t="s">
        <v>36</v>
      </c>
      <c r="K166" s="733"/>
      <c r="L166" s="733"/>
      <c r="M166" s="426"/>
      <c r="N166" s="427"/>
      <c r="O166" s="456" t="s">
        <v>37</v>
      </c>
      <c r="P166" s="418">
        <f t="shared" si="12"/>
        <v>0</v>
      </c>
      <c r="Q166" s="396">
        <f t="shared" si="0"/>
        <v>0</v>
      </c>
      <c r="R166" s="82"/>
      <c r="AB166" s="369"/>
      <c r="AC166" s="369"/>
    </row>
    <row r="167" spans="1:29" ht="23.25" x14ac:dyDescent="0.25">
      <c r="A167" s="732" t="s">
        <v>6</v>
      </c>
      <c r="B167" s="733"/>
      <c r="C167" s="733"/>
      <c r="D167" s="426"/>
      <c r="E167" s="427"/>
      <c r="F167" s="457" t="s">
        <v>7</v>
      </c>
      <c r="G167" s="393">
        <f t="shared" si="11"/>
        <v>0</v>
      </c>
      <c r="J167" s="732" t="s">
        <v>6</v>
      </c>
      <c r="K167" s="733"/>
      <c r="L167" s="733"/>
      <c r="M167" s="426"/>
      <c r="N167" s="427"/>
      <c r="O167" s="457" t="s">
        <v>7</v>
      </c>
      <c r="P167" s="418">
        <f t="shared" si="12"/>
        <v>0</v>
      </c>
      <c r="Q167" s="396">
        <f t="shared" si="0"/>
        <v>0</v>
      </c>
      <c r="R167" s="82"/>
      <c r="AB167" s="369"/>
      <c r="AC167" s="369"/>
    </row>
    <row r="168" spans="1:29" ht="23.25" x14ac:dyDescent="0.25">
      <c r="A168" s="732" t="s">
        <v>70</v>
      </c>
      <c r="B168" s="733"/>
      <c r="C168" s="733"/>
      <c r="D168" s="426"/>
      <c r="E168" s="427"/>
      <c r="F168" s="458" t="s">
        <v>71</v>
      </c>
      <c r="G168" s="393">
        <f t="shared" si="11"/>
        <v>0</v>
      </c>
      <c r="J168" s="732" t="s">
        <v>70</v>
      </c>
      <c r="K168" s="733"/>
      <c r="L168" s="733"/>
      <c r="M168" s="426"/>
      <c r="N168" s="427"/>
      <c r="O168" s="458" t="s">
        <v>71</v>
      </c>
      <c r="P168" s="418">
        <f t="shared" si="12"/>
        <v>0</v>
      </c>
      <c r="Q168" s="396">
        <f t="shared" si="0"/>
        <v>0</v>
      </c>
      <c r="R168" s="82"/>
      <c r="AB168" s="369"/>
      <c r="AC168" s="369"/>
    </row>
    <row r="169" spans="1:29" ht="23.25" x14ac:dyDescent="0.25">
      <c r="A169" s="732" t="s">
        <v>118</v>
      </c>
      <c r="B169" s="733"/>
      <c r="C169" s="733"/>
      <c r="D169" s="426"/>
      <c r="E169" s="427"/>
      <c r="F169" s="459" t="s">
        <v>117</v>
      </c>
      <c r="G169" s="393">
        <f t="shared" si="11"/>
        <v>0</v>
      </c>
      <c r="J169" s="732" t="s">
        <v>118</v>
      </c>
      <c r="K169" s="733"/>
      <c r="L169" s="733"/>
      <c r="M169" s="426"/>
      <c r="N169" s="427"/>
      <c r="O169" s="459" t="s">
        <v>117</v>
      </c>
      <c r="P169" s="418">
        <f t="shared" si="12"/>
        <v>0</v>
      </c>
      <c r="Q169" s="396">
        <f t="shared" si="0"/>
        <v>0</v>
      </c>
      <c r="R169" s="82"/>
      <c r="AB169" s="369"/>
      <c r="AC169" s="369"/>
    </row>
    <row r="170" spans="1:29" ht="23.25" x14ac:dyDescent="0.25">
      <c r="A170" s="732" t="s">
        <v>158</v>
      </c>
      <c r="B170" s="733"/>
      <c r="C170" s="733"/>
      <c r="D170" s="426"/>
      <c r="E170" s="427"/>
      <c r="F170" s="460" t="s">
        <v>134</v>
      </c>
      <c r="G170" s="393">
        <f t="shared" si="11"/>
        <v>0</v>
      </c>
      <c r="J170" s="732" t="s">
        <v>158</v>
      </c>
      <c r="K170" s="733"/>
      <c r="L170" s="733"/>
      <c r="M170" s="426"/>
      <c r="N170" s="427"/>
      <c r="O170" s="460" t="s">
        <v>134</v>
      </c>
      <c r="P170" s="418">
        <f t="shared" si="12"/>
        <v>0</v>
      </c>
      <c r="Q170" s="396">
        <f t="shared" si="0"/>
        <v>0</v>
      </c>
      <c r="R170" s="82"/>
      <c r="AB170" s="369"/>
      <c r="AC170" s="369"/>
    </row>
    <row r="171" spans="1:29" ht="23.25" x14ac:dyDescent="0.25">
      <c r="A171" s="732" t="s">
        <v>72</v>
      </c>
      <c r="B171" s="733"/>
      <c r="C171" s="733"/>
      <c r="D171" s="426"/>
      <c r="E171" s="427"/>
      <c r="F171" s="461" t="s">
        <v>73</v>
      </c>
      <c r="G171" s="393">
        <f t="shared" si="11"/>
        <v>0</v>
      </c>
      <c r="J171" s="732" t="s">
        <v>72</v>
      </c>
      <c r="K171" s="733"/>
      <c r="L171" s="733"/>
      <c r="M171" s="426"/>
      <c r="N171" s="427"/>
      <c r="O171" s="461" t="s">
        <v>73</v>
      </c>
      <c r="P171" s="418">
        <f t="shared" si="12"/>
        <v>0</v>
      </c>
      <c r="Q171" s="396">
        <f t="shared" si="0"/>
        <v>0</v>
      </c>
      <c r="R171" s="82"/>
      <c r="AB171" s="369"/>
      <c r="AC171" s="369"/>
    </row>
    <row r="172" spans="1:29" ht="23.25" x14ac:dyDescent="0.25">
      <c r="A172" s="732" t="s">
        <v>8</v>
      </c>
      <c r="B172" s="733"/>
      <c r="C172" s="733"/>
      <c r="D172" s="426"/>
      <c r="E172" s="427"/>
      <c r="F172" s="433" t="s">
        <v>9</v>
      </c>
      <c r="G172" s="393">
        <f t="shared" si="11"/>
        <v>10</v>
      </c>
      <c r="J172" s="732" t="s">
        <v>8</v>
      </c>
      <c r="K172" s="733"/>
      <c r="L172" s="733"/>
      <c r="M172" s="426"/>
      <c r="N172" s="427"/>
      <c r="O172" s="433" t="s">
        <v>9</v>
      </c>
      <c r="P172" s="393">
        <f t="shared" si="12"/>
        <v>0</v>
      </c>
      <c r="Q172" s="396">
        <f t="shared" si="0"/>
        <v>10</v>
      </c>
      <c r="R172" s="82"/>
      <c r="AB172" s="369"/>
      <c r="AC172" s="369"/>
    </row>
    <row r="173" spans="1:29" ht="23.25" x14ac:dyDescent="0.25">
      <c r="A173" s="732" t="s">
        <v>38</v>
      </c>
      <c r="B173" s="733"/>
      <c r="C173" s="733"/>
      <c r="D173" s="426"/>
      <c r="E173" s="427"/>
      <c r="F173" s="462" t="s">
        <v>39</v>
      </c>
      <c r="G173" s="393">
        <f t="shared" si="11"/>
        <v>0</v>
      </c>
      <c r="J173" s="732" t="s">
        <v>38</v>
      </c>
      <c r="K173" s="733"/>
      <c r="L173" s="733"/>
      <c r="M173" s="426"/>
      <c r="N173" s="427"/>
      <c r="O173" s="462" t="s">
        <v>39</v>
      </c>
      <c r="P173" s="393">
        <f t="shared" si="12"/>
        <v>0</v>
      </c>
      <c r="Q173" s="396">
        <f t="shared" si="0"/>
        <v>0</v>
      </c>
      <c r="R173" s="82"/>
      <c r="AB173" s="369"/>
      <c r="AC173" s="369"/>
    </row>
    <row r="174" spans="1:29" ht="23.25" x14ac:dyDescent="0.25">
      <c r="A174" s="732" t="s">
        <v>128</v>
      </c>
      <c r="B174" s="733"/>
      <c r="C174" s="733"/>
      <c r="D174" s="426"/>
      <c r="E174" s="427"/>
      <c r="F174" s="463" t="s">
        <v>129</v>
      </c>
      <c r="G174" s="393">
        <f t="shared" si="11"/>
        <v>0</v>
      </c>
      <c r="J174" s="732" t="s">
        <v>128</v>
      </c>
      <c r="K174" s="733"/>
      <c r="L174" s="733"/>
      <c r="M174" s="426"/>
      <c r="N174" s="427"/>
      <c r="O174" s="463" t="s">
        <v>129</v>
      </c>
      <c r="P174" s="393">
        <f t="shared" si="12"/>
        <v>0</v>
      </c>
      <c r="Q174" s="396">
        <f>G174+P174</f>
        <v>0</v>
      </c>
      <c r="R174" s="82"/>
      <c r="AB174" s="369"/>
      <c r="AC174" s="369"/>
    </row>
    <row r="175" spans="1:29" ht="23.25" x14ac:dyDescent="0.25">
      <c r="A175" s="732" t="s">
        <v>10</v>
      </c>
      <c r="B175" s="733"/>
      <c r="C175" s="733"/>
      <c r="D175" s="426"/>
      <c r="E175" s="427"/>
      <c r="F175" s="464" t="s">
        <v>11</v>
      </c>
      <c r="G175" s="393">
        <f t="shared" si="11"/>
        <v>4</v>
      </c>
      <c r="J175" s="732" t="s">
        <v>10</v>
      </c>
      <c r="K175" s="733"/>
      <c r="L175" s="733"/>
      <c r="M175" s="426"/>
      <c r="N175" s="427"/>
      <c r="O175" s="464" t="s">
        <v>11</v>
      </c>
      <c r="P175" s="393">
        <f t="shared" si="12"/>
        <v>0</v>
      </c>
      <c r="Q175" s="396">
        <f t="shared" si="0"/>
        <v>4</v>
      </c>
      <c r="R175" s="82"/>
      <c r="AB175" s="369"/>
      <c r="AC175" s="369"/>
    </row>
    <row r="176" spans="1:29" ht="23.25" x14ac:dyDescent="0.25">
      <c r="A176" s="732" t="s">
        <v>40</v>
      </c>
      <c r="B176" s="733"/>
      <c r="C176" s="733"/>
      <c r="D176" s="426"/>
      <c r="E176" s="427"/>
      <c r="F176" s="465" t="s">
        <v>41</v>
      </c>
      <c r="G176" s="393">
        <f t="shared" si="11"/>
        <v>0</v>
      </c>
      <c r="J176" s="732" t="s">
        <v>40</v>
      </c>
      <c r="K176" s="733"/>
      <c r="L176" s="733"/>
      <c r="M176" s="426"/>
      <c r="N176" s="427"/>
      <c r="O176" s="465" t="s">
        <v>41</v>
      </c>
      <c r="P176" s="393">
        <f t="shared" si="12"/>
        <v>0</v>
      </c>
      <c r="Q176" s="396">
        <f t="shared" si="0"/>
        <v>0</v>
      </c>
      <c r="R176" s="82"/>
      <c r="AB176" s="369"/>
      <c r="AC176" s="369"/>
    </row>
    <row r="177" spans="1:29" ht="23.25" x14ac:dyDescent="0.25">
      <c r="A177" s="732" t="s">
        <v>130</v>
      </c>
      <c r="B177" s="733"/>
      <c r="C177" s="733"/>
      <c r="D177" s="426"/>
      <c r="E177" s="427"/>
      <c r="F177" s="466" t="s">
        <v>131</v>
      </c>
      <c r="G177" s="393">
        <f t="shared" si="11"/>
        <v>0</v>
      </c>
      <c r="J177" s="732" t="s">
        <v>130</v>
      </c>
      <c r="K177" s="733"/>
      <c r="L177" s="733"/>
      <c r="M177" s="426"/>
      <c r="N177" s="427"/>
      <c r="O177" s="466" t="s">
        <v>131</v>
      </c>
      <c r="P177" s="393">
        <f t="shared" si="12"/>
        <v>0</v>
      </c>
      <c r="Q177" s="396">
        <f t="shared" si="0"/>
        <v>0</v>
      </c>
      <c r="R177" s="82"/>
      <c r="AB177" s="369"/>
      <c r="AC177" s="369"/>
    </row>
    <row r="178" spans="1:29" ht="23.25" x14ac:dyDescent="0.25">
      <c r="A178" s="732" t="s">
        <v>74</v>
      </c>
      <c r="B178" s="733"/>
      <c r="C178" s="733"/>
      <c r="D178" s="390"/>
      <c r="E178" s="391"/>
      <c r="F178" s="467" t="s">
        <v>75</v>
      </c>
      <c r="G178" s="393">
        <f t="shared" si="11"/>
        <v>0</v>
      </c>
      <c r="J178" s="732" t="s">
        <v>74</v>
      </c>
      <c r="K178" s="733"/>
      <c r="L178" s="733"/>
      <c r="M178" s="390"/>
      <c r="N178" s="391"/>
      <c r="O178" s="467" t="s">
        <v>75</v>
      </c>
      <c r="P178" s="418">
        <f t="shared" si="12"/>
        <v>0</v>
      </c>
      <c r="Q178" s="396">
        <f t="shared" si="0"/>
        <v>0</v>
      </c>
      <c r="R178" s="82"/>
      <c r="AB178" s="369"/>
      <c r="AC178" s="369"/>
    </row>
    <row r="179" spans="1:29" ht="23.25" x14ac:dyDescent="0.25">
      <c r="A179" s="732" t="s">
        <v>159</v>
      </c>
      <c r="B179" s="733"/>
      <c r="C179" s="733"/>
      <c r="D179" s="390"/>
      <c r="E179" s="427"/>
      <c r="F179" s="468" t="s">
        <v>160</v>
      </c>
      <c r="G179" s="393">
        <f t="shared" si="11"/>
        <v>0</v>
      </c>
      <c r="J179" s="732" t="s">
        <v>159</v>
      </c>
      <c r="K179" s="733"/>
      <c r="L179" s="733"/>
      <c r="M179" s="390"/>
      <c r="N179" s="427"/>
      <c r="O179" s="468" t="s">
        <v>160</v>
      </c>
      <c r="P179" s="393">
        <f t="shared" si="12"/>
        <v>0</v>
      </c>
      <c r="Q179" s="396">
        <f t="shared" si="0"/>
        <v>0</v>
      </c>
      <c r="R179" s="82"/>
      <c r="AB179" s="369"/>
      <c r="AC179" s="369"/>
    </row>
    <row r="180" spans="1:29" ht="23.25" x14ac:dyDescent="0.25">
      <c r="A180" s="732" t="s">
        <v>1</v>
      </c>
      <c r="B180" s="733"/>
      <c r="C180" s="733"/>
      <c r="D180" s="390"/>
      <c r="E180" s="391"/>
      <c r="F180" s="469" t="s">
        <v>0</v>
      </c>
      <c r="G180" s="393">
        <f t="shared" si="11"/>
        <v>0</v>
      </c>
      <c r="J180" s="732" t="s">
        <v>1</v>
      </c>
      <c r="K180" s="733"/>
      <c r="L180" s="733"/>
      <c r="M180" s="390"/>
      <c r="N180" s="391"/>
      <c r="O180" s="469" t="s">
        <v>0</v>
      </c>
      <c r="P180" s="418">
        <f t="shared" si="12"/>
        <v>0</v>
      </c>
      <c r="Q180" s="396">
        <f t="shared" si="0"/>
        <v>0</v>
      </c>
      <c r="R180" s="82"/>
      <c r="AB180" s="369"/>
      <c r="AC180" s="369"/>
    </row>
    <row r="181" spans="1:29" ht="23.25" x14ac:dyDescent="0.25">
      <c r="A181" s="732" t="s">
        <v>3</v>
      </c>
      <c r="B181" s="733"/>
      <c r="C181" s="733"/>
      <c r="D181" s="390"/>
      <c r="E181" s="391"/>
      <c r="F181" s="470" t="s">
        <v>2</v>
      </c>
      <c r="G181" s="393">
        <f t="shared" si="11"/>
        <v>1</v>
      </c>
      <c r="J181" s="732" t="s">
        <v>3</v>
      </c>
      <c r="K181" s="733"/>
      <c r="L181" s="733"/>
      <c r="M181" s="390"/>
      <c r="N181" s="391"/>
      <c r="O181" s="470" t="s">
        <v>2</v>
      </c>
      <c r="P181" s="418">
        <f t="shared" si="12"/>
        <v>0</v>
      </c>
      <c r="Q181" s="396">
        <f t="shared" si="0"/>
        <v>1</v>
      </c>
      <c r="R181" s="82"/>
      <c r="AB181" s="369"/>
      <c r="AC181" s="369"/>
    </row>
    <row r="182" spans="1:29" ht="23.25" x14ac:dyDescent="0.25">
      <c r="A182" s="732" t="s">
        <v>42</v>
      </c>
      <c r="B182" s="733"/>
      <c r="C182" s="733"/>
      <c r="D182" s="390"/>
      <c r="E182" s="391"/>
      <c r="F182" s="471" t="s">
        <v>43</v>
      </c>
      <c r="G182" s="393">
        <f t="shared" si="11"/>
        <v>0</v>
      </c>
      <c r="J182" s="732" t="s">
        <v>42</v>
      </c>
      <c r="K182" s="733"/>
      <c r="L182" s="733"/>
      <c r="M182" s="390"/>
      <c r="N182" s="391"/>
      <c r="O182" s="471" t="s">
        <v>43</v>
      </c>
      <c r="P182" s="393">
        <f t="shared" si="12"/>
        <v>0</v>
      </c>
      <c r="Q182" s="396">
        <f t="shared" si="0"/>
        <v>0</v>
      </c>
      <c r="R182" s="82"/>
      <c r="AB182" s="369"/>
      <c r="AC182" s="369"/>
    </row>
    <row r="183" spans="1:29" ht="23.25" x14ac:dyDescent="0.25">
      <c r="A183" s="732" t="s">
        <v>44</v>
      </c>
      <c r="B183" s="733"/>
      <c r="C183" s="733"/>
      <c r="D183" s="390"/>
      <c r="E183" s="391"/>
      <c r="F183" s="471" t="s">
        <v>45</v>
      </c>
      <c r="G183" s="393">
        <f t="shared" si="11"/>
        <v>0</v>
      </c>
      <c r="J183" s="732" t="s">
        <v>44</v>
      </c>
      <c r="K183" s="733"/>
      <c r="L183" s="733"/>
      <c r="M183" s="390"/>
      <c r="N183" s="391"/>
      <c r="O183" s="471" t="s">
        <v>45</v>
      </c>
      <c r="P183" s="418">
        <f t="shared" si="12"/>
        <v>0</v>
      </c>
      <c r="Q183" s="396">
        <f t="shared" si="0"/>
        <v>0</v>
      </c>
      <c r="R183" s="82"/>
      <c r="AB183" s="369"/>
      <c r="AC183" s="369"/>
    </row>
    <row r="184" spans="1:29" ht="23.25" x14ac:dyDescent="0.25">
      <c r="A184" s="732" t="s">
        <v>46</v>
      </c>
      <c r="B184" s="733"/>
      <c r="C184" s="733"/>
      <c r="D184" s="390"/>
      <c r="E184" s="391"/>
      <c r="F184" s="471" t="s">
        <v>47</v>
      </c>
      <c r="G184" s="393">
        <f t="shared" si="11"/>
        <v>0</v>
      </c>
      <c r="J184" s="732" t="s">
        <v>46</v>
      </c>
      <c r="K184" s="733"/>
      <c r="L184" s="733"/>
      <c r="M184" s="390"/>
      <c r="N184" s="391"/>
      <c r="O184" s="471" t="s">
        <v>47</v>
      </c>
      <c r="P184" s="393">
        <f t="shared" si="12"/>
        <v>0</v>
      </c>
      <c r="Q184" s="396">
        <f t="shared" si="0"/>
        <v>0</v>
      </c>
      <c r="R184" s="82"/>
      <c r="AB184" s="369"/>
      <c r="AC184" s="369"/>
    </row>
    <row r="185" spans="1:29" ht="23.25" x14ac:dyDescent="0.25">
      <c r="A185" s="732" t="s">
        <v>5</v>
      </c>
      <c r="B185" s="733"/>
      <c r="C185" s="733"/>
      <c r="D185" s="390"/>
      <c r="E185" s="391"/>
      <c r="F185" s="472" t="s">
        <v>4</v>
      </c>
      <c r="G185" s="393">
        <f t="shared" si="11"/>
        <v>1</v>
      </c>
      <c r="J185" s="732" t="s">
        <v>5</v>
      </c>
      <c r="K185" s="733"/>
      <c r="L185" s="733"/>
      <c r="M185" s="390"/>
      <c r="N185" s="391"/>
      <c r="O185" s="472" t="s">
        <v>4</v>
      </c>
      <c r="P185" s="418">
        <f t="shared" si="12"/>
        <v>0</v>
      </c>
      <c r="Q185" s="396">
        <f t="shared" si="0"/>
        <v>1</v>
      </c>
      <c r="R185" s="82"/>
      <c r="AB185" s="369"/>
      <c r="AC185" s="369"/>
    </row>
    <row r="186" spans="1:29" ht="23.25" x14ac:dyDescent="0.25">
      <c r="A186" s="732" t="s">
        <v>17</v>
      </c>
      <c r="B186" s="733"/>
      <c r="C186" s="733"/>
      <c r="D186" s="390"/>
      <c r="E186" s="391"/>
      <c r="F186" s="409" t="s">
        <v>18</v>
      </c>
      <c r="G186" s="393">
        <f t="shared" si="11"/>
        <v>0</v>
      </c>
      <c r="J186" s="732" t="s">
        <v>17</v>
      </c>
      <c r="K186" s="733"/>
      <c r="L186" s="733"/>
      <c r="M186" s="390"/>
      <c r="N186" s="391"/>
      <c r="O186" s="409" t="s">
        <v>18</v>
      </c>
      <c r="P186" s="418">
        <f t="shared" si="12"/>
        <v>0</v>
      </c>
      <c r="Q186" s="396">
        <f t="shared" si="0"/>
        <v>0</v>
      </c>
      <c r="R186" s="82"/>
      <c r="AB186" s="369"/>
      <c r="AC186" s="369"/>
    </row>
    <row r="187" spans="1:29" ht="23.25" x14ac:dyDescent="0.25">
      <c r="A187" s="388" t="s">
        <v>120</v>
      </c>
      <c r="B187" s="389"/>
      <c r="C187" s="389"/>
      <c r="D187" s="390"/>
      <c r="E187" s="427"/>
      <c r="F187" s="473" t="s">
        <v>119</v>
      </c>
      <c r="G187" s="393">
        <f t="shared" si="11"/>
        <v>0</v>
      </c>
      <c r="J187" s="388" t="s">
        <v>120</v>
      </c>
      <c r="K187" s="389"/>
      <c r="L187" s="389"/>
      <c r="M187" s="390"/>
      <c r="N187" s="427"/>
      <c r="O187" s="473" t="s">
        <v>119</v>
      </c>
      <c r="P187" s="418">
        <f t="shared" si="12"/>
        <v>0</v>
      </c>
      <c r="Q187" s="396">
        <f t="shared" si="0"/>
        <v>0</v>
      </c>
      <c r="R187" s="82"/>
      <c r="AB187" s="369"/>
      <c r="AC187" s="369"/>
    </row>
    <row r="188" spans="1:29" ht="23.25" x14ac:dyDescent="0.25">
      <c r="A188" s="732" t="s">
        <v>136</v>
      </c>
      <c r="B188" s="733"/>
      <c r="C188" s="733"/>
      <c r="D188" s="390"/>
      <c r="E188" s="391"/>
      <c r="F188" s="474" t="s">
        <v>135</v>
      </c>
      <c r="G188" s="393">
        <f t="shared" si="11"/>
        <v>0</v>
      </c>
      <c r="J188" s="732" t="s">
        <v>136</v>
      </c>
      <c r="K188" s="733"/>
      <c r="L188" s="733"/>
      <c r="M188" s="390"/>
      <c r="N188" s="391"/>
      <c r="O188" s="474" t="s">
        <v>135</v>
      </c>
      <c r="P188" s="418">
        <f t="shared" si="12"/>
        <v>0</v>
      </c>
      <c r="Q188" s="396">
        <f t="shared" si="0"/>
        <v>0</v>
      </c>
      <c r="R188" s="82"/>
      <c r="AB188" s="369"/>
      <c r="AC188" s="369"/>
    </row>
    <row r="189" spans="1:29" ht="23.25" x14ac:dyDescent="0.25">
      <c r="A189" s="388" t="s">
        <v>103</v>
      </c>
      <c r="B189" s="389"/>
      <c r="C189" s="389"/>
      <c r="D189" s="390"/>
      <c r="E189" s="427"/>
      <c r="F189" s="475" t="s">
        <v>102</v>
      </c>
      <c r="G189" s="393">
        <f t="shared" si="11"/>
        <v>6</v>
      </c>
      <c r="J189" s="388" t="s">
        <v>103</v>
      </c>
      <c r="K189" s="389"/>
      <c r="L189" s="389"/>
      <c r="M189" s="390"/>
      <c r="N189" s="427"/>
      <c r="O189" s="475" t="s">
        <v>102</v>
      </c>
      <c r="P189" s="418">
        <f t="shared" si="12"/>
        <v>6</v>
      </c>
      <c r="Q189" s="396">
        <f t="shared" si="0"/>
        <v>12</v>
      </c>
      <c r="R189" s="82"/>
      <c r="AB189" s="369"/>
      <c r="AC189" s="369"/>
    </row>
    <row r="190" spans="1:29" ht="23.25" x14ac:dyDescent="0.25">
      <c r="A190" s="732" t="s">
        <v>48</v>
      </c>
      <c r="B190" s="733"/>
      <c r="C190" s="733"/>
      <c r="D190" s="426"/>
      <c r="E190" s="427"/>
      <c r="F190" s="476" t="s">
        <v>49</v>
      </c>
      <c r="G190" s="393">
        <f t="shared" si="11"/>
        <v>0</v>
      </c>
      <c r="J190" s="732" t="s">
        <v>48</v>
      </c>
      <c r="K190" s="733"/>
      <c r="L190" s="733"/>
      <c r="M190" s="426"/>
      <c r="N190" s="427"/>
      <c r="O190" s="476" t="s">
        <v>49</v>
      </c>
      <c r="P190" s="418">
        <f t="shared" si="12"/>
        <v>0</v>
      </c>
      <c r="Q190" s="396">
        <f t="shared" si="0"/>
        <v>0</v>
      </c>
      <c r="R190" s="82"/>
      <c r="AB190" s="369"/>
      <c r="AC190" s="369"/>
    </row>
    <row r="191" spans="1:29" ht="23.25" x14ac:dyDescent="0.25">
      <c r="A191" s="732" t="s">
        <v>50</v>
      </c>
      <c r="B191" s="733"/>
      <c r="C191" s="733"/>
      <c r="D191" s="426"/>
      <c r="E191" s="427"/>
      <c r="F191" s="477" t="s">
        <v>51</v>
      </c>
      <c r="G191" s="393">
        <f t="shared" si="11"/>
        <v>0</v>
      </c>
      <c r="J191" s="732" t="s">
        <v>50</v>
      </c>
      <c r="K191" s="733"/>
      <c r="L191" s="733"/>
      <c r="M191" s="426"/>
      <c r="N191" s="427"/>
      <c r="O191" s="477" t="s">
        <v>51</v>
      </c>
      <c r="P191" s="418">
        <f t="shared" si="12"/>
        <v>0</v>
      </c>
      <c r="Q191" s="396">
        <f t="shared" si="0"/>
        <v>0</v>
      </c>
      <c r="R191" s="82"/>
      <c r="AB191" s="369"/>
      <c r="AC191" s="369"/>
    </row>
    <row r="192" spans="1:29" ht="23.25" x14ac:dyDescent="0.25">
      <c r="A192" s="732" t="s">
        <v>15</v>
      </c>
      <c r="B192" s="733"/>
      <c r="C192" s="733"/>
      <c r="D192" s="426"/>
      <c r="E192" s="427"/>
      <c r="F192" s="478" t="s">
        <v>12</v>
      </c>
      <c r="G192" s="393">
        <f t="shared" si="11"/>
        <v>0</v>
      </c>
      <c r="J192" s="732" t="s">
        <v>15</v>
      </c>
      <c r="K192" s="733"/>
      <c r="L192" s="733"/>
      <c r="M192" s="426"/>
      <c r="N192" s="427"/>
      <c r="O192" s="478" t="s">
        <v>12</v>
      </c>
      <c r="P192" s="418">
        <f t="shared" si="12"/>
        <v>0</v>
      </c>
      <c r="Q192" s="396">
        <f t="shared" si="0"/>
        <v>0</v>
      </c>
      <c r="R192" s="82"/>
      <c r="AB192" s="369"/>
      <c r="AC192" s="369"/>
    </row>
    <row r="193" spans="1:29" ht="23.25" x14ac:dyDescent="0.25">
      <c r="A193" s="732" t="s">
        <v>122</v>
      </c>
      <c r="B193" s="733"/>
      <c r="C193" s="733"/>
      <c r="D193" s="426"/>
      <c r="E193" s="427"/>
      <c r="F193" s="479" t="s">
        <v>121</v>
      </c>
      <c r="G193" s="393">
        <f t="shared" si="11"/>
        <v>0</v>
      </c>
      <c r="J193" s="732" t="s">
        <v>122</v>
      </c>
      <c r="K193" s="733"/>
      <c r="L193" s="733"/>
      <c r="M193" s="426"/>
      <c r="N193" s="427"/>
      <c r="O193" s="479" t="s">
        <v>121</v>
      </c>
      <c r="P193" s="418">
        <f t="shared" si="12"/>
        <v>0</v>
      </c>
      <c r="Q193" s="396">
        <f t="shared" si="0"/>
        <v>0</v>
      </c>
      <c r="R193" s="82"/>
      <c r="AB193" s="369"/>
      <c r="AC193" s="369"/>
    </row>
    <row r="194" spans="1:29" ht="18" x14ac:dyDescent="0.25">
      <c r="A194" s="727" t="s">
        <v>251</v>
      </c>
      <c r="B194" s="728"/>
      <c r="C194" s="729"/>
      <c r="D194" s="480"/>
      <c r="E194" s="391"/>
      <c r="F194" s="481"/>
      <c r="G194" s="396">
        <f>SUM(G107:G193)</f>
        <v>68</v>
      </c>
      <c r="J194" s="727" t="s">
        <v>251</v>
      </c>
      <c r="K194" s="728"/>
      <c r="L194" s="728"/>
      <c r="M194" s="480"/>
      <c r="N194" s="391"/>
      <c r="O194" s="482"/>
      <c r="P194" s="396">
        <f>SUM(P107:P193)</f>
        <v>10</v>
      </c>
      <c r="Q194" s="396">
        <f>SUM(Q107:Q193)</f>
        <v>78</v>
      </c>
      <c r="R194" s="82"/>
      <c r="AB194" s="369"/>
      <c r="AC194" s="369"/>
    </row>
    <row r="195" spans="1:29" x14ac:dyDescent="0.25">
      <c r="R195" s="82"/>
      <c r="AB195" s="369"/>
      <c r="AC195" s="369"/>
    </row>
    <row r="196" spans="1:29" x14ac:dyDescent="0.25">
      <c r="A196" s="730" t="s">
        <v>274</v>
      </c>
      <c r="B196" s="730"/>
      <c r="C196" s="730"/>
      <c r="D196" s="730"/>
      <c r="E196" s="730"/>
      <c r="F196" s="730"/>
      <c r="G196" s="730"/>
      <c r="H196" s="730"/>
      <c r="I196" s="730"/>
      <c r="J196" s="730"/>
      <c r="K196" s="730"/>
      <c r="L196" s="730"/>
      <c r="M196" s="730"/>
      <c r="N196" s="730"/>
      <c r="O196" s="730"/>
      <c r="P196" s="730"/>
      <c r="Q196" s="730"/>
      <c r="R196" s="82"/>
      <c r="AB196" s="369"/>
      <c r="AC196" s="369"/>
    </row>
    <row r="197" spans="1:29" x14ac:dyDescent="0.25">
      <c r="A197" s="730"/>
      <c r="B197" s="730"/>
      <c r="C197" s="730"/>
      <c r="D197" s="730"/>
      <c r="E197" s="730"/>
      <c r="F197" s="730"/>
      <c r="G197" s="730"/>
      <c r="H197" s="730"/>
      <c r="I197" s="730"/>
      <c r="J197" s="730"/>
      <c r="K197" s="730"/>
      <c r="L197" s="730"/>
      <c r="M197" s="730"/>
      <c r="N197" s="730"/>
      <c r="O197" s="730"/>
      <c r="P197" s="730"/>
      <c r="Q197" s="730"/>
      <c r="R197" s="82"/>
      <c r="AB197" s="369"/>
      <c r="AC197" s="369"/>
    </row>
    <row r="198" spans="1:29" x14ac:dyDescent="0.25">
      <c r="R198" s="82"/>
      <c r="AB198" s="369"/>
      <c r="AC198" s="369"/>
    </row>
    <row r="199" spans="1:29" x14ac:dyDescent="0.25">
      <c r="R199" s="82"/>
      <c r="AB199" s="369"/>
      <c r="AC199" s="369"/>
    </row>
    <row r="200" spans="1:29" x14ac:dyDescent="0.25">
      <c r="A200" s="731" t="s">
        <v>275</v>
      </c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1"/>
      <c r="P200" s="731"/>
      <c r="Q200" s="731"/>
      <c r="R200" s="82"/>
      <c r="AB200" s="369"/>
      <c r="AC200" s="369"/>
    </row>
    <row r="201" spans="1:29" x14ac:dyDescent="0.25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1"/>
      <c r="P201" s="731"/>
      <c r="Q201" s="731"/>
      <c r="R201" s="82"/>
      <c r="AB201" s="369"/>
      <c r="AC201" s="369"/>
    </row>
    <row r="202" spans="1:29" x14ac:dyDescent="0.25">
      <c r="Q202" s="82"/>
      <c r="R202" s="82"/>
      <c r="AB202" s="369"/>
      <c r="AC202" s="369"/>
    </row>
    <row r="203" spans="1:29" x14ac:dyDescent="0.25">
      <c r="R203" s="82"/>
      <c r="AB203" s="369"/>
      <c r="AC203" s="369"/>
    </row>
    <row r="204" spans="1:29" ht="15.75" thickBot="1" x14ac:dyDescent="0.3">
      <c r="R204" s="82"/>
      <c r="AB204" s="369"/>
      <c r="AC204" s="369"/>
    </row>
    <row r="205" spans="1:29" ht="21.75" thickBot="1" x14ac:dyDescent="0.4">
      <c r="A205" s="702" t="s">
        <v>276</v>
      </c>
      <c r="B205" s="703"/>
      <c r="C205" s="703"/>
      <c r="D205" s="703"/>
      <c r="E205" s="704"/>
      <c r="F205" s="705">
        <f>SUM(F207,F209)</f>
        <v>207</v>
      </c>
      <c r="G205" s="706"/>
      <c r="J205" s="702" t="s">
        <v>277</v>
      </c>
      <c r="K205" s="703"/>
      <c r="L205" s="703"/>
      <c r="M205" s="703"/>
      <c r="N205" s="704"/>
      <c r="O205" s="705">
        <f>SUM(O207,O209)</f>
        <v>107</v>
      </c>
      <c r="P205" s="706"/>
      <c r="R205" s="82"/>
      <c r="AB205" s="369"/>
      <c r="AC205" s="369"/>
    </row>
    <row r="206" spans="1:29" ht="21.75" thickBot="1" x14ac:dyDescent="0.4">
      <c r="A206" s="485"/>
      <c r="B206" s="485"/>
      <c r="C206" s="485"/>
      <c r="D206" s="485"/>
      <c r="E206" s="485"/>
      <c r="F206" s="486"/>
      <c r="G206" s="486"/>
      <c r="J206" s="485"/>
      <c r="K206" s="485"/>
      <c r="L206" s="485"/>
      <c r="M206" s="485"/>
      <c r="N206" s="485"/>
      <c r="O206" s="486"/>
      <c r="P206" s="486"/>
      <c r="R206" s="82"/>
      <c r="AB206" s="369"/>
      <c r="AC206" s="369"/>
    </row>
    <row r="207" spans="1:29" ht="21.75" thickBot="1" x14ac:dyDescent="0.4">
      <c r="A207" s="702" t="s">
        <v>278</v>
      </c>
      <c r="B207" s="703"/>
      <c r="C207" s="703"/>
      <c r="D207" s="703"/>
      <c r="E207" s="704"/>
      <c r="F207" s="705">
        <f>SUM(D215:D238)</f>
        <v>108</v>
      </c>
      <c r="G207" s="706"/>
      <c r="J207" s="702" t="s">
        <v>279</v>
      </c>
      <c r="K207" s="703"/>
      <c r="L207" s="703"/>
      <c r="M207" s="703"/>
      <c r="N207" s="704"/>
      <c r="O207" s="705">
        <f>SUM(M215:M238)</f>
        <v>39</v>
      </c>
      <c r="P207" s="706"/>
      <c r="R207" s="82"/>
      <c r="AB207" s="369"/>
      <c r="AC207" s="369"/>
    </row>
    <row r="208" spans="1:29" ht="21.75" thickBot="1" x14ac:dyDescent="0.4">
      <c r="A208" s="485"/>
      <c r="B208" s="485"/>
      <c r="C208" s="485"/>
      <c r="D208" s="485"/>
      <c r="E208" s="485"/>
      <c r="F208" s="486"/>
      <c r="G208" s="486"/>
      <c r="J208" s="485"/>
      <c r="K208" s="485"/>
      <c r="L208" s="485"/>
      <c r="M208" s="485"/>
      <c r="N208" s="485"/>
      <c r="O208" s="486"/>
      <c r="P208" s="486"/>
      <c r="R208" s="82"/>
      <c r="AB208" s="369"/>
      <c r="AC208" s="369"/>
    </row>
    <row r="209" spans="1:18" ht="21.75" thickBot="1" x14ac:dyDescent="0.4">
      <c r="A209" s="702" t="s">
        <v>280</v>
      </c>
      <c r="B209" s="703"/>
      <c r="C209" s="703"/>
      <c r="D209" s="703"/>
      <c r="E209" s="704"/>
      <c r="F209" s="705">
        <f>SUM(D240:D311)</f>
        <v>99</v>
      </c>
      <c r="G209" s="706"/>
      <c r="J209" s="702" t="s">
        <v>281</v>
      </c>
      <c r="K209" s="703"/>
      <c r="L209" s="703"/>
      <c r="M209" s="703"/>
      <c r="N209" s="704"/>
      <c r="O209" s="705">
        <f>SUM(M240:M311)</f>
        <v>68</v>
      </c>
      <c r="P209" s="706"/>
      <c r="R209" s="82"/>
    </row>
    <row r="210" spans="1:18" x14ac:dyDescent="0.25">
      <c r="A210" s="82"/>
      <c r="B210" s="82"/>
      <c r="C210" s="82"/>
      <c r="D210" s="82"/>
      <c r="E210" s="82"/>
      <c r="F210" s="82"/>
      <c r="G210" s="82"/>
      <c r="I210" s="82"/>
      <c r="J210" s="82"/>
      <c r="K210" s="82"/>
      <c r="L210" s="82"/>
      <c r="M210" s="361"/>
      <c r="N210" s="82"/>
      <c r="O210" s="82"/>
      <c r="P210" s="82"/>
      <c r="Q210" s="82"/>
      <c r="R210" s="82"/>
    </row>
    <row r="211" spans="1:18" ht="21.75" thickBot="1" x14ac:dyDescent="0.4">
      <c r="A211" s="485"/>
      <c r="B211" s="485"/>
      <c r="C211" s="485"/>
      <c r="D211" s="485"/>
      <c r="E211" s="485"/>
      <c r="F211" s="486"/>
      <c r="G211" s="486"/>
      <c r="J211" s="485"/>
      <c r="K211" s="485"/>
      <c r="L211" s="485"/>
      <c r="M211" s="485"/>
      <c r="N211" s="485"/>
      <c r="O211" s="486"/>
      <c r="P211" s="486"/>
      <c r="R211" s="82"/>
    </row>
    <row r="212" spans="1:18" ht="20.25" thickTop="1" thickBot="1" x14ac:dyDescent="0.3">
      <c r="O212" s="82"/>
      <c r="P212" s="719" t="s">
        <v>282</v>
      </c>
      <c r="Q212" s="720"/>
      <c r="R212" s="82"/>
    </row>
    <row r="213" spans="1:18" ht="20.25" thickTop="1" thickBot="1" x14ac:dyDescent="0.35">
      <c r="A213" s="721" t="s">
        <v>283</v>
      </c>
      <c r="B213" s="722"/>
      <c r="C213" s="722"/>
      <c r="D213" s="487" t="s">
        <v>284</v>
      </c>
      <c r="E213" s="723" t="s">
        <v>251</v>
      </c>
      <c r="F213" s="724"/>
      <c r="J213" s="721" t="s">
        <v>283</v>
      </c>
      <c r="K213" s="722"/>
      <c r="L213" s="722"/>
      <c r="M213" s="487" t="s">
        <v>284</v>
      </c>
      <c r="N213" s="723" t="s">
        <v>251</v>
      </c>
      <c r="O213" s="724"/>
      <c r="P213" s="488" t="s">
        <v>284</v>
      </c>
      <c r="Q213" s="489" t="s">
        <v>285</v>
      </c>
    </row>
    <row r="214" spans="1:18" ht="21.75" thickBot="1" x14ac:dyDescent="0.3">
      <c r="A214" s="725" t="s">
        <v>286</v>
      </c>
      <c r="B214" s="725"/>
      <c r="C214" s="726"/>
      <c r="D214" s="725"/>
      <c r="E214" s="705">
        <f>SUM(D215:D238)</f>
        <v>108</v>
      </c>
      <c r="F214" s="706"/>
      <c r="J214" s="725" t="s">
        <v>286</v>
      </c>
      <c r="K214" s="725"/>
      <c r="L214" s="726"/>
      <c r="M214" s="725"/>
      <c r="N214" s="705">
        <f>SUM(M215:M238)</f>
        <v>39</v>
      </c>
      <c r="O214" s="706"/>
      <c r="P214" s="715" t="s">
        <v>287</v>
      </c>
      <c r="Q214" s="716"/>
    </row>
    <row r="215" spans="1:18" ht="18" x14ac:dyDescent="0.25">
      <c r="A215" s="717" t="s">
        <v>288</v>
      </c>
      <c r="B215" s="718"/>
      <c r="C215" s="55" t="s">
        <v>175</v>
      </c>
      <c r="D215" s="393">
        <f t="shared" ref="D215:D238" si="14">COUNTIF($A$2:$BK$74,C215)</f>
        <v>59</v>
      </c>
      <c r="J215" s="717" t="s">
        <v>288</v>
      </c>
      <c r="K215" s="718"/>
      <c r="L215" s="55" t="s">
        <v>175</v>
      </c>
      <c r="M215" s="393">
        <f t="shared" ref="M215:M238" si="15">COUNTIF($BL$3:$CN$45,L215)</f>
        <v>17</v>
      </c>
      <c r="N215" s="82"/>
      <c r="O215" s="82"/>
      <c r="P215" s="490">
        <f>D215+M215</f>
        <v>76</v>
      </c>
      <c r="Q215" s="491" t="str">
        <f>IFERROR(P215/$J$4,"")</f>
        <v/>
      </c>
    </row>
    <row r="216" spans="1:18" ht="15.75" x14ac:dyDescent="0.25">
      <c r="A216" s="707" t="s">
        <v>174</v>
      </c>
      <c r="B216" s="708"/>
      <c r="C216" s="492" t="s">
        <v>174</v>
      </c>
      <c r="D216" s="493">
        <f t="shared" si="14"/>
        <v>25</v>
      </c>
      <c r="J216" s="707" t="s">
        <v>174</v>
      </c>
      <c r="K216" s="708"/>
      <c r="L216" s="492" t="s">
        <v>174</v>
      </c>
      <c r="M216" s="493">
        <f t="shared" si="15"/>
        <v>16</v>
      </c>
      <c r="N216" s="82"/>
      <c r="O216" s="82"/>
      <c r="P216" s="490">
        <f t="shared" ref="P216:P238" si="16">D216+M216</f>
        <v>41</v>
      </c>
      <c r="Q216" s="491" t="str">
        <f t="shared" ref="Q216:Q283" si="17">IFERROR(P216/$J$4,"")</f>
        <v/>
      </c>
    </row>
    <row r="217" spans="1:18" ht="15.75" x14ac:dyDescent="0.25">
      <c r="A217" s="707" t="s">
        <v>289</v>
      </c>
      <c r="B217" s="708" t="s">
        <v>289</v>
      </c>
      <c r="C217" s="494" t="s">
        <v>290</v>
      </c>
      <c r="D217" s="493">
        <f t="shared" si="14"/>
        <v>0</v>
      </c>
      <c r="J217" s="707" t="s">
        <v>289</v>
      </c>
      <c r="K217" s="708" t="s">
        <v>289</v>
      </c>
      <c r="L217" s="494" t="s">
        <v>290</v>
      </c>
      <c r="M217" s="493">
        <f t="shared" si="15"/>
        <v>0</v>
      </c>
      <c r="N217" s="82"/>
      <c r="O217" s="82"/>
      <c r="P217" s="490">
        <f t="shared" si="16"/>
        <v>0</v>
      </c>
      <c r="Q217" s="491" t="str">
        <f t="shared" si="17"/>
        <v/>
      </c>
    </row>
    <row r="218" spans="1:18" ht="15.75" x14ac:dyDescent="0.25">
      <c r="A218" s="707" t="s">
        <v>291</v>
      </c>
      <c r="B218" s="708" t="s">
        <v>291</v>
      </c>
      <c r="C218" s="495" t="s">
        <v>292</v>
      </c>
      <c r="D218" s="493">
        <f t="shared" si="14"/>
        <v>0</v>
      </c>
      <c r="J218" s="707" t="s">
        <v>291</v>
      </c>
      <c r="K218" s="708" t="s">
        <v>291</v>
      </c>
      <c r="L218" s="495" t="s">
        <v>292</v>
      </c>
      <c r="M218" s="493">
        <f t="shared" si="15"/>
        <v>0</v>
      </c>
      <c r="N218" s="82"/>
      <c r="O218" s="82"/>
      <c r="P218" s="490">
        <f t="shared" si="16"/>
        <v>0</v>
      </c>
      <c r="Q218" s="491" t="str">
        <f t="shared" si="17"/>
        <v/>
      </c>
    </row>
    <row r="219" spans="1:18" ht="15.75" x14ac:dyDescent="0.25">
      <c r="A219" s="707" t="s">
        <v>293</v>
      </c>
      <c r="B219" s="708" t="s">
        <v>293</v>
      </c>
      <c r="C219" s="496" t="s">
        <v>294</v>
      </c>
      <c r="D219" s="493">
        <f t="shared" si="14"/>
        <v>0</v>
      </c>
      <c r="J219" s="707" t="s">
        <v>293</v>
      </c>
      <c r="K219" s="708" t="s">
        <v>293</v>
      </c>
      <c r="L219" s="496" t="s">
        <v>294</v>
      </c>
      <c r="M219" s="493">
        <f t="shared" si="15"/>
        <v>0</v>
      </c>
      <c r="N219" s="82"/>
      <c r="O219" s="82"/>
      <c r="P219" s="490">
        <f t="shared" si="16"/>
        <v>0</v>
      </c>
      <c r="Q219" s="491" t="str">
        <f t="shared" si="17"/>
        <v/>
      </c>
    </row>
    <row r="220" spans="1:18" ht="15.75" x14ac:dyDescent="0.25">
      <c r="A220" s="707" t="s">
        <v>193</v>
      </c>
      <c r="B220" s="708" t="s">
        <v>193</v>
      </c>
      <c r="C220" s="497" t="s">
        <v>193</v>
      </c>
      <c r="D220" s="493">
        <f t="shared" si="14"/>
        <v>24</v>
      </c>
      <c r="J220" s="707" t="s">
        <v>193</v>
      </c>
      <c r="K220" s="708" t="s">
        <v>193</v>
      </c>
      <c r="L220" s="497" t="s">
        <v>193</v>
      </c>
      <c r="M220" s="493">
        <f t="shared" si="15"/>
        <v>6</v>
      </c>
      <c r="N220" s="82"/>
      <c r="O220" s="82"/>
      <c r="P220" s="490">
        <f t="shared" si="16"/>
        <v>30</v>
      </c>
      <c r="Q220" s="491" t="str">
        <f t="shared" si="17"/>
        <v/>
      </c>
    </row>
    <row r="221" spans="1:18" ht="15.75" x14ac:dyDescent="0.25">
      <c r="A221" s="707" t="s">
        <v>295</v>
      </c>
      <c r="B221" s="708" t="s">
        <v>295</v>
      </c>
      <c r="C221" s="498" t="s">
        <v>295</v>
      </c>
      <c r="D221" s="493">
        <f t="shared" si="14"/>
        <v>0</v>
      </c>
      <c r="J221" s="707" t="s">
        <v>295</v>
      </c>
      <c r="K221" s="708" t="s">
        <v>295</v>
      </c>
      <c r="L221" s="498" t="s">
        <v>295</v>
      </c>
      <c r="M221" s="493">
        <f t="shared" si="15"/>
        <v>0</v>
      </c>
      <c r="N221" s="82"/>
      <c r="O221" s="82"/>
      <c r="P221" s="490">
        <f t="shared" si="16"/>
        <v>0</v>
      </c>
      <c r="Q221" s="491" t="str">
        <f t="shared" si="17"/>
        <v/>
      </c>
    </row>
    <row r="222" spans="1:18" ht="15.75" x14ac:dyDescent="0.25">
      <c r="A222" s="707" t="s">
        <v>296</v>
      </c>
      <c r="B222" s="708" t="s">
        <v>296</v>
      </c>
      <c r="C222" s="499" t="s">
        <v>297</v>
      </c>
      <c r="D222" s="493">
        <f t="shared" si="14"/>
        <v>0</v>
      </c>
      <c r="J222" s="707" t="s">
        <v>296</v>
      </c>
      <c r="K222" s="708" t="s">
        <v>296</v>
      </c>
      <c r="L222" s="499" t="s">
        <v>297</v>
      </c>
      <c r="M222" s="493">
        <f t="shared" si="15"/>
        <v>0</v>
      </c>
      <c r="N222" s="82"/>
      <c r="O222" s="82"/>
      <c r="P222" s="490">
        <f t="shared" si="16"/>
        <v>0</v>
      </c>
      <c r="Q222" s="491" t="str">
        <f t="shared" si="17"/>
        <v/>
      </c>
    </row>
    <row r="223" spans="1:18" ht="15.75" x14ac:dyDescent="0.25">
      <c r="A223" s="707" t="s">
        <v>298</v>
      </c>
      <c r="B223" s="708" t="s">
        <v>298</v>
      </c>
      <c r="C223" s="500" t="s">
        <v>299</v>
      </c>
      <c r="D223" s="493">
        <f t="shared" si="14"/>
        <v>0</v>
      </c>
      <c r="J223" s="707" t="s">
        <v>298</v>
      </c>
      <c r="K223" s="708" t="s">
        <v>298</v>
      </c>
      <c r="L223" s="500" t="s">
        <v>299</v>
      </c>
      <c r="M223" s="493">
        <f t="shared" si="15"/>
        <v>0</v>
      </c>
      <c r="N223" s="82"/>
      <c r="O223" s="82"/>
      <c r="P223" s="490">
        <f t="shared" si="16"/>
        <v>0</v>
      </c>
      <c r="Q223" s="491" t="str">
        <f t="shared" si="17"/>
        <v/>
      </c>
    </row>
    <row r="224" spans="1:18" ht="15.75" x14ac:dyDescent="0.25">
      <c r="A224" s="707" t="s">
        <v>300</v>
      </c>
      <c r="B224" s="708" t="s">
        <v>300</v>
      </c>
      <c r="C224" s="501" t="s">
        <v>301</v>
      </c>
      <c r="D224" s="493">
        <f t="shared" si="14"/>
        <v>0</v>
      </c>
      <c r="J224" s="707" t="s">
        <v>300</v>
      </c>
      <c r="K224" s="708" t="s">
        <v>300</v>
      </c>
      <c r="L224" s="501" t="s">
        <v>301</v>
      </c>
      <c r="M224" s="493">
        <f t="shared" si="15"/>
        <v>0</v>
      </c>
      <c r="N224" s="82"/>
      <c r="O224" s="82"/>
      <c r="P224" s="490">
        <f t="shared" si="16"/>
        <v>0</v>
      </c>
      <c r="Q224" s="491" t="str">
        <f t="shared" si="17"/>
        <v/>
      </c>
    </row>
    <row r="225" spans="1:17" ht="15.75" x14ac:dyDescent="0.25">
      <c r="A225" s="707" t="s">
        <v>302</v>
      </c>
      <c r="B225" s="708" t="s">
        <v>302</v>
      </c>
      <c r="C225" s="502" t="s">
        <v>303</v>
      </c>
      <c r="D225" s="493">
        <f t="shared" si="14"/>
        <v>0</v>
      </c>
      <c r="J225" s="707" t="s">
        <v>302</v>
      </c>
      <c r="K225" s="708" t="s">
        <v>302</v>
      </c>
      <c r="L225" s="502" t="s">
        <v>303</v>
      </c>
      <c r="M225" s="493">
        <f t="shared" si="15"/>
        <v>0</v>
      </c>
      <c r="N225" s="82"/>
      <c r="O225" s="82"/>
      <c r="P225" s="490">
        <f t="shared" si="16"/>
        <v>0</v>
      </c>
      <c r="Q225" s="491" t="str">
        <f t="shared" si="17"/>
        <v/>
      </c>
    </row>
    <row r="226" spans="1:17" ht="15.75" x14ac:dyDescent="0.25">
      <c r="A226" s="707" t="s">
        <v>304</v>
      </c>
      <c r="B226" s="708" t="s">
        <v>304</v>
      </c>
      <c r="C226" s="503" t="s">
        <v>304</v>
      </c>
      <c r="D226" s="493">
        <f t="shared" si="14"/>
        <v>0</v>
      </c>
      <c r="J226" s="707" t="s">
        <v>304</v>
      </c>
      <c r="K226" s="708" t="s">
        <v>304</v>
      </c>
      <c r="L226" s="503" t="s">
        <v>304</v>
      </c>
      <c r="M226" s="493">
        <f t="shared" si="15"/>
        <v>0</v>
      </c>
      <c r="N226" s="82"/>
      <c r="O226" s="82"/>
      <c r="P226" s="490">
        <f t="shared" si="16"/>
        <v>0</v>
      </c>
      <c r="Q226" s="491" t="str">
        <f t="shared" si="17"/>
        <v/>
      </c>
    </row>
    <row r="227" spans="1:17" ht="15.75" x14ac:dyDescent="0.25">
      <c r="A227" s="707" t="s">
        <v>305</v>
      </c>
      <c r="B227" s="708" t="s">
        <v>305</v>
      </c>
      <c r="C227" s="504" t="s">
        <v>306</v>
      </c>
      <c r="D227" s="493">
        <f t="shared" si="14"/>
        <v>0</v>
      </c>
      <c r="J227" s="707" t="s">
        <v>305</v>
      </c>
      <c r="K227" s="708" t="s">
        <v>305</v>
      </c>
      <c r="L227" s="504" t="s">
        <v>306</v>
      </c>
      <c r="M227" s="493">
        <f t="shared" si="15"/>
        <v>0</v>
      </c>
      <c r="N227" s="82"/>
      <c r="O227" s="82"/>
      <c r="P227" s="490">
        <f t="shared" si="16"/>
        <v>0</v>
      </c>
      <c r="Q227" s="491" t="str">
        <f t="shared" si="17"/>
        <v/>
      </c>
    </row>
    <row r="228" spans="1:17" ht="15.75" x14ac:dyDescent="0.25">
      <c r="A228" s="707" t="s">
        <v>307</v>
      </c>
      <c r="B228" s="708" t="s">
        <v>307</v>
      </c>
      <c r="C228" s="505" t="s">
        <v>308</v>
      </c>
      <c r="D228" s="493">
        <f t="shared" si="14"/>
        <v>0</v>
      </c>
      <c r="J228" s="707" t="s">
        <v>307</v>
      </c>
      <c r="K228" s="708" t="s">
        <v>307</v>
      </c>
      <c r="L228" s="505" t="s">
        <v>308</v>
      </c>
      <c r="M228" s="493">
        <f t="shared" si="15"/>
        <v>0</v>
      </c>
      <c r="N228" s="82"/>
      <c r="O228" s="82"/>
      <c r="P228" s="490">
        <f t="shared" si="16"/>
        <v>0</v>
      </c>
      <c r="Q228" s="491" t="str">
        <f t="shared" si="17"/>
        <v/>
      </c>
    </row>
    <row r="229" spans="1:17" ht="15.75" x14ac:dyDescent="0.25">
      <c r="A229" s="707" t="s">
        <v>309</v>
      </c>
      <c r="B229" s="708" t="s">
        <v>309</v>
      </c>
      <c r="C229" s="506" t="s">
        <v>310</v>
      </c>
      <c r="D229" s="493">
        <f t="shared" si="14"/>
        <v>0</v>
      </c>
      <c r="J229" s="707" t="s">
        <v>309</v>
      </c>
      <c r="K229" s="708" t="s">
        <v>309</v>
      </c>
      <c r="L229" s="506" t="s">
        <v>310</v>
      </c>
      <c r="M229" s="493">
        <f t="shared" si="15"/>
        <v>0</v>
      </c>
      <c r="N229" s="82"/>
      <c r="O229" s="82"/>
      <c r="P229" s="490">
        <f t="shared" si="16"/>
        <v>0</v>
      </c>
      <c r="Q229" s="491" t="str">
        <f t="shared" si="17"/>
        <v/>
      </c>
    </row>
    <row r="230" spans="1:17" ht="15.75" x14ac:dyDescent="0.25">
      <c r="A230" s="707" t="s">
        <v>311</v>
      </c>
      <c r="B230" s="708" t="s">
        <v>311</v>
      </c>
      <c r="C230" s="507" t="s">
        <v>312</v>
      </c>
      <c r="D230" s="493">
        <f t="shared" si="14"/>
        <v>0</v>
      </c>
      <c r="J230" s="707" t="s">
        <v>311</v>
      </c>
      <c r="K230" s="708" t="s">
        <v>311</v>
      </c>
      <c r="L230" s="507" t="s">
        <v>312</v>
      </c>
      <c r="M230" s="493">
        <f t="shared" si="15"/>
        <v>0</v>
      </c>
      <c r="N230" s="82"/>
      <c r="O230" s="82"/>
      <c r="P230" s="490">
        <f t="shared" si="16"/>
        <v>0</v>
      </c>
      <c r="Q230" s="491" t="str">
        <f t="shared" si="17"/>
        <v/>
      </c>
    </row>
    <row r="231" spans="1:17" ht="15.75" x14ac:dyDescent="0.25">
      <c r="A231" s="707" t="s">
        <v>313</v>
      </c>
      <c r="B231" s="708"/>
      <c r="C231" s="508" t="s">
        <v>314</v>
      </c>
      <c r="D231" s="493">
        <f t="shared" si="14"/>
        <v>0</v>
      </c>
      <c r="J231" s="707" t="s">
        <v>313</v>
      </c>
      <c r="K231" s="708"/>
      <c r="L231" s="508" t="s">
        <v>314</v>
      </c>
      <c r="M231" s="493">
        <f t="shared" si="15"/>
        <v>0</v>
      </c>
      <c r="N231" s="82"/>
      <c r="O231" s="82"/>
      <c r="P231" s="490">
        <f t="shared" si="16"/>
        <v>0</v>
      </c>
      <c r="Q231" s="491" t="str">
        <f t="shared" si="17"/>
        <v/>
      </c>
    </row>
    <row r="232" spans="1:17" ht="15.75" x14ac:dyDescent="0.25">
      <c r="A232" s="707" t="s">
        <v>203</v>
      </c>
      <c r="B232" s="708" t="s">
        <v>203</v>
      </c>
      <c r="C232" s="155" t="s">
        <v>315</v>
      </c>
      <c r="D232" s="493">
        <f t="shared" si="14"/>
        <v>0</v>
      </c>
      <c r="J232" s="707" t="s">
        <v>203</v>
      </c>
      <c r="K232" s="708" t="s">
        <v>203</v>
      </c>
      <c r="L232" s="155" t="s">
        <v>315</v>
      </c>
      <c r="M232" s="493">
        <f t="shared" si="15"/>
        <v>0</v>
      </c>
      <c r="N232" s="82"/>
      <c r="O232" s="82"/>
      <c r="P232" s="490">
        <f t="shared" si="16"/>
        <v>0</v>
      </c>
      <c r="Q232" s="491" t="str">
        <f t="shared" si="17"/>
        <v/>
      </c>
    </row>
    <row r="233" spans="1:17" ht="15.75" x14ac:dyDescent="0.25">
      <c r="A233" s="707" t="s">
        <v>316</v>
      </c>
      <c r="B233" s="708" t="s">
        <v>316</v>
      </c>
      <c r="C233" s="509" t="s">
        <v>317</v>
      </c>
      <c r="D233" s="493">
        <f t="shared" si="14"/>
        <v>0</v>
      </c>
      <c r="J233" s="707" t="s">
        <v>316</v>
      </c>
      <c r="K233" s="708" t="s">
        <v>316</v>
      </c>
      <c r="L233" s="509" t="s">
        <v>317</v>
      </c>
      <c r="M233" s="493">
        <f t="shared" si="15"/>
        <v>0</v>
      </c>
      <c r="N233" s="82"/>
      <c r="O233" s="82"/>
      <c r="P233" s="490">
        <f t="shared" si="16"/>
        <v>0</v>
      </c>
      <c r="Q233" s="491" t="str">
        <f t="shared" si="17"/>
        <v/>
      </c>
    </row>
    <row r="234" spans="1:17" ht="15.75" x14ac:dyDescent="0.25">
      <c r="A234" s="707" t="s">
        <v>318</v>
      </c>
      <c r="B234" s="708"/>
      <c r="C234" s="510" t="s">
        <v>319</v>
      </c>
      <c r="D234" s="493">
        <f t="shared" si="14"/>
        <v>0</v>
      </c>
      <c r="J234" s="707" t="s">
        <v>318</v>
      </c>
      <c r="K234" s="708"/>
      <c r="L234" s="510" t="s">
        <v>319</v>
      </c>
      <c r="M234" s="493">
        <f t="shared" si="15"/>
        <v>0</v>
      </c>
      <c r="N234" s="82"/>
      <c r="O234" s="82"/>
      <c r="P234" s="490">
        <f t="shared" si="16"/>
        <v>0</v>
      </c>
      <c r="Q234" s="491" t="str">
        <f t="shared" si="17"/>
        <v/>
      </c>
    </row>
    <row r="235" spans="1:17" ht="15.75" x14ac:dyDescent="0.25">
      <c r="A235" s="707" t="s">
        <v>320</v>
      </c>
      <c r="B235" s="708" t="s">
        <v>320</v>
      </c>
      <c r="C235" s="511" t="s">
        <v>321</v>
      </c>
      <c r="D235" s="493">
        <f t="shared" si="14"/>
        <v>0</v>
      </c>
      <c r="J235" s="707" t="s">
        <v>320</v>
      </c>
      <c r="K235" s="708" t="s">
        <v>320</v>
      </c>
      <c r="L235" s="511" t="s">
        <v>321</v>
      </c>
      <c r="M235" s="493">
        <f t="shared" si="15"/>
        <v>0</v>
      </c>
      <c r="N235" s="82"/>
      <c r="O235" s="82"/>
      <c r="P235" s="490">
        <f t="shared" si="16"/>
        <v>0</v>
      </c>
      <c r="Q235" s="491" t="str">
        <f t="shared" si="17"/>
        <v/>
      </c>
    </row>
    <row r="236" spans="1:17" ht="15.75" x14ac:dyDescent="0.25">
      <c r="A236" s="707" t="s">
        <v>322</v>
      </c>
      <c r="B236" s="708" t="s">
        <v>323</v>
      </c>
      <c r="C236" s="512" t="s">
        <v>324</v>
      </c>
      <c r="D236" s="493">
        <f t="shared" si="14"/>
        <v>0</v>
      </c>
      <c r="J236" s="707" t="s">
        <v>322</v>
      </c>
      <c r="K236" s="708" t="s">
        <v>323</v>
      </c>
      <c r="L236" s="512" t="s">
        <v>324</v>
      </c>
      <c r="M236" s="493">
        <f t="shared" si="15"/>
        <v>0</v>
      </c>
      <c r="N236" s="82"/>
      <c r="O236" s="82"/>
      <c r="P236" s="490">
        <f t="shared" si="16"/>
        <v>0</v>
      </c>
      <c r="Q236" s="491" t="str">
        <f t="shared" si="17"/>
        <v/>
      </c>
    </row>
    <row r="237" spans="1:17" ht="15.75" x14ac:dyDescent="0.25">
      <c r="A237" s="707" t="s">
        <v>325</v>
      </c>
      <c r="B237" s="708" t="s">
        <v>326</v>
      </c>
      <c r="C237" s="513" t="s">
        <v>327</v>
      </c>
      <c r="D237" s="493">
        <f t="shared" si="14"/>
        <v>0</v>
      </c>
      <c r="J237" s="707" t="s">
        <v>325</v>
      </c>
      <c r="K237" s="708"/>
      <c r="L237" s="513" t="s">
        <v>327</v>
      </c>
      <c r="M237" s="493">
        <f t="shared" si="15"/>
        <v>0</v>
      </c>
      <c r="N237" s="82"/>
      <c r="O237" s="82"/>
      <c r="P237" s="490">
        <f t="shared" si="16"/>
        <v>0</v>
      </c>
      <c r="Q237" s="491" t="str">
        <f t="shared" si="17"/>
        <v/>
      </c>
    </row>
    <row r="238" spans="1:17" ht="16.5" thickBot="1" x14ac:dyDescent="0.3">
      <c r="A238" s="707" t="s">
        <v>328</v>
      </c>
      <c r="B238" s="708" t="s">
        <v>326</v>
      </c>
      <c r="C238" s="512" t="s">
        <v>329</v>
      </c>
      <c r="D238" s="493">
        <f t="shared" si="14"/>
        <v>0</v>
      </c>
      <c r="J238" s="707" t="s">
        <v>328</v>
      </c>
      <c r="K238" s="708" t="s">
        <v>326</v>
      </c>
      <c r="L238" s="512" t="s">
        <v>329</v>
      </c>
      <c r="M238" s="493">
        <f t="shared" si="15"/>
        <v>0</v>
      </c>
      <c r="N238" s="82"/>
      <c r="O238" s="82"/>
      <c r="P238" s="490">
        <f t="shared" si="16"/>
        <v>0</v>
      </c>
      <c r="Q238" s="491" t="str">
        <f t="shared" si="17"/>
        <v/>
      </c>
    </row>
    <row r="239" spans="1:17" ht="21.75" thickBot="1" x14ac:dyDescent="0.3">
      <c r="A239" s="713" t="s">
        <v>330</v>
      </c>
      <c r="B239" s="713"/>
      <c r="C239" s="713"/>
      <c r="D239" s="713"/>
      <c r="E239" s="705">
        <f>SUM(D240:D307)</f>
        <v>95</v>
      </c>
      <c r="F239" s="706"/>
      <c r="J239" s="713" t="s">
        <v>330</v>
      </c>
      <c r="K239" s="713"/>
      <c r="L239" s="713"/>
      <c r="M239" s="714"/>
      <c r="N239" s="705">
        <f>SUM(M240:M307)</f>
        <v>68</v>
      </c>
      <c r="O239" s="706"/>
      <c r="P239" s="715" t="s">
        <v>331</v>
      </c>
      <c r="Q239" s="716"/>
    </row>
    <row r="240" spans="1:17" ht="15.75" x14ac:dyDescent="0.25">
      <c r="A240" s="707" t="s">
        <v>332</v>
      </c>
      <c r="B240" s="708"/>
      <c r="C240" s="514" t="s">
        <v>212</v>
      </c>
      <c r="D240" s="493">
        <f t="shared" ref="D240:D303" si="18">COUNTIF($A$2:$BK$74,C240)</f>
        <v>16</v>
      </c>
      <c r="J240" s="707" t="s">
        <v>332</v>
      </c>
      <c r="K240" s="708"/>
      <c r="L240" s="514" t="s">
        <v>212</v>
      </c>
      <c r="M240" s="493">
        <f t="shared" ref="M240:M303" si="19">COUNTIF($BL$3:$CN$45,L240)</f>
        <v>0</v>
      </c>
      <c r="N240" s="82"/>
      <c r="O240" s="82"/>
      <c r="P240" s="490">
        <f t="shared" ref="P240:P303" si="20">D240+M240</f>
        <v>16</v>
      </c>
      <c r="Q240" s="491" t="str">
        <f t="shared" si="17"/>
        <v/>
      </c>
    </row>
    <row r="241" spans="1:17" ht="15.75" x14ac:dyDescent="0.25">
      <c r="A241" s="707" t="s">
        <v>333</v>
      </c>
      <c r="B241" s="708"/>
      <c r="C241" s="515" t="s">
        <v>167</v>
      </c>
      <c r="D241" s="493">
        <f t="shared" si="18"/>
        <v>0</v>
      </c>
      <c r="J241" s="707" t="s">
        <v>333</v>
      </c>
      <c r="K241" s="708"/>
      <c r="L241" s="515" t="s">
        <v>167</v>
      </c>
      <c r="M241" s="493">
        <f t="shared" si="19"/>
        <v>3</v>
      </c>
      <c r="N241" s="82"/>
      <c r="O241" s="82"/>
      <c r="P241" s="490">
        <f t="shared" si="20"/>
        <v>3</v>
      </c>
      <c r="Q241" s="491" t="str">
        <f t="shared" si="17"/>
        <v/>
      </c>
    </row>
    <row r="242" spans="1:17" ht="15.75" x14ac:dyDescent="0.25">
      <c r="A242" s="707" t="s">
        <v>334</v>
      </c>
      <c r="B242" s="708"/>
      <c r="C242" s="516" t="s">
        <v>335</v>
      </c>
      <c r="D242" s="493">
        <f t="shared" si="18"/>
        <v>0</v>
      </c>
      <c r="J242" s="707" t="s">
        <v>334</v>
      </c>
      <c r="K242" s="708"/>
      <c r="L242" s="516" t="s">
        <v>335</v>
      </c>
      <c r="M242" s="493">
        <f t="shared" si="19"/>
        <v>0</v>
      </c>
      <c r="N242" s="82"/>
      <c r="O242" s="82"/>
      <c r="P242" s="490">
        <f t="shared" si="20"/>
        <v>0</v>
      </c>
      <c r="Q242" s="491" t="str">
        <f t="shared" si="17"/>
        <v/>
      </c>
    </row>
    <row r="243" spans="1:17" ht="15.75" x14ac:dyDescent="0.25">
      <c r="A243" s="707" t="s">
        <v>336</v>
      </c>
      <c r="B243" s="708"/>
      <c r="C243" s="517" t="s">
        <v>337</v>
      </c>
      <c r="D243" s="493">
        <f t="shared" si="18"/>
        <v>0</v>
      </c>
      <c r="J243" s="707" t="s">
        <v>336</v>
      </c>
      <c r="K243" s="708"/>
      <c r="L243" s="517" t="s">
        <v>337</v>
      </c>
      <c r="M243" s="493">
        <f t="shared" si="19"/>
        <v>0</v>
      </c>
      <c r="N243" s="82"/>
      <c r="O243" s="82"/>
      <c r="P243" s="490">
        <f t="shared" si="20"/>
        <v>0</v>
      </c>
      <c r="Q243" s="491" t="str">
        <f t="shared" si="17"/>
        <v/>
      </c>
    </row>
    <row r="244" spans="1:17" ht="15.75" x14ac:dyDescent="0.25">
      <c r="A244" s="707" t="s">
        <v>203</v>
      </c>
      <c r="B244" s="708"/>
      <c r="C244" s="155" t="s">
        <v>203</v>
      </c>
      <c r="D244" s="493">
        <f t="shared" si="18"/>
        <v>18</v>
      </c>
      <c r="J244" s="707" t="s">
        <v>203</v>
      </c>
      <c r="K244" s="708"/>
      <c r="L244" s="155" t="s">
        <v>203</v>
      </c>
      <c r="M244" s="493">
        <f t="shared" si="19"/>
        <v>0</v>
      </c>
      <c r="N244" s="82"/>
      <c r="O244" s="82"/>
      <c r="P244" s="490">
        <f t="shared" si="20"/>
        <v>18</v>
      </c>
      <c r="Q244" s="491" t="str">
        <f t="shared" si="17"/>
        <v/>
      </c>
    </row>
    <row r="245" spans="1:17" ht="15.75" x14ac:dyDescent="0.25">
      <c r="A245" s="707" t="s">
        <v>338</v>
      </c>
      <c r="B245" s="708"/>
      <c r="C245" s="518" t="s">
        <v>339</v>
      </c>
      <c r="D245" s="493">
        <f t="shared" si="18"/>
        <v>0</v>
      </c>
      <c r="J245" s="707" t="s">
        <v>338</v>
      </c>
      <c r="K245" s="708"/>
      <c r="L245" s="518" t="s">
        <v>339</v>
      </c>
      <c r="M245" s="493">
        <f t="shared" si="19"/>
        <v>0</v>
      </c>
      <c r="N245" s="82"/>
      <c r="O245" s="82"/>
      <c r="P245" s="490">
        <f t="shared" si="20"/>
        <v>0</v>
      </c>
      <c r="Q245" s="491" t="str">
        <f t="shared" si="17"/>
        <v/>
      </c>
    </row>
    <row r="246" spans="1:17" ht="15.75" x14ac:dyDescent="0.25">
      <c r="A246" s="707" t="s">
        <v>340</v>
      </c>
      <c r="B246" s="708"/>
      <c r="C246" s="519" t="s">
        <v>341</v>
      </c>
      <c r="D246" s="493">
        <f t="shared" si="18"/>
        <v>0</v>
      </c>
      <c r="J246" s="707" t="s">
        <v>340</v>
      </c>
      <c r="K246" s="708"/>
      <c r="L246" s="519" t="s">
        <v>341</v>
      </c>
      <c r="M246" s="493">
        <f t="shared" si="19"/>
        <v>0</v>
      </c>
      <c r="N246" s="82"/>
      <c r="O246" s="82"/>
      <c r="P246" s="490">
        <f t="shared" si="20"/>
        <v>0</v>
      </c>
      <c r="Q246" s="491" t="str">
        <f t="shared" si="17"/>
        <v/>
      </c>
    </row>
    <row r="247" spans="1:17" ht="15.75" x14ac:dyDescent="0.25">
      <c r="A247" s="707" t="s">
        <v>342</v>
      </c>
      <c r="B247" s="708"/>
      <c r="C247" s="520" t="s">
        <v>342</v>
      </c>
      <c r="D247" s="493">
        <f t="shared" si="18"/>
        <v>0</v>
      </c>
      <c r="J247" s="707" t="s">
        <v>342</v>
      </c>
      <c r="K247" s="708"/>
      <c r="L247" s="520" t="s">
        <v>342</v>
      </c>
      <c r="M247" s="493">
        <f t="shared" si="19"/>
        <v>0</v>
      </c>
      <c r="N247" s="82"/>
      <c r="O247" s="82"/>
      <c r="P247" s="490">
        <f t="shared" si="20"/>
        <v>0</v>
      </c>
      <c r="Q247" s="491" t="str">
        <f t="shared" si="17"/>
        <v/>
      </c>
    </row>
    <row r="248" spans="1:17" ht="15.75" x14ac:dyDescent="0.25">
      <c r="A248" s="707" t="s">
        <v>343</v>
      </c>
      <c r="B248" s="708"/>
      <c r="C248" s="49" t="s">
        <v>173</v>
      </c>
      <c r="D248" s="493">
        <f t="shared" si="18"/>
        <v>15</v>
      </c>
      <c r="J248" s="707" t="s">
        <v>343</v>
      </c>
      <c r="K248" s="708"/>
      <c r="L248" s="49" t="s">
        <v>173</v>
      </c>
      <c r="M248" s="493">
        <f t="shared" si="19"/>
        <v>0</v>
      </c>
      <c r="N248" s="82"/>
      <c r="O248" s="82"/>
      <c r="P248" s="490">
        <f t="shared" si="20"/>
        <v>15</v>
      </c>
      <c r="Q248" s="491" t="str">
        <f t="shared" si="17"/>
        <v/>
      </c>
    </row>
    <row r="249" spans="1:17" ht="15.75" x14ac:dyDescent="0.25">
      <c r="A249" s="707" t="s">
        <v>344</v>
      </c>
      <c r="B249" s="708"/>
      <c r="C249" s="521" t="s">
        <v>225</v>
      </c>
      <c r="D249" s="493">
        <f t="shared" si="18"/>
        <v>6</v>
      </c>
      <c r="J249" s="707" t="s">
        <v>344</v>
      </c>
      <c r="K249" s="708"/>
      <c r="L249" s="521" t="s">
        <v>225</v>
      </c>
      <c r="M249" s="493">
        <f t="shared" si="19"/>
        <v>0</v>
      </c>
      <c r="N249" s="82"/>
      <c r="O249" s="82"/>
      <c r="P249" s="490">
        <f t="shared" si="20"/>
        <v>6</v>
      </c>
      <c r="Q249" s="491" t="str">
        <f t="shared" si="17"/>
        <v/>
      </c>
    </row>
    <row r="250" spans="1:17" ht="15.75" x14ac:dyDescent="0.25">
      <c r="A250" s="707" t="s">
        <v>345</v>
      </c>
      <c r="B250" s="708"/>
      <c r="C250" s="522" t="s">
        <v>345</v>
      </c>
      <c r="D250" s="493">
        <f t="shared" si="18"/>
        <v>0</v>
      </c>
      <c r="J250" s="707" t="s">
        <v>345</v>
      </c>
      <c r="K250" s="708"/>
      <c r="L250" s="522" t="s">
        <v>345</v>
      </c>
      <c r="M250" s="493">
        <f t="shared" si="19"/>
        <v>0</v>
      </c>
      <c r="N250" s="82"/>
      <c r="O250" s="82"/>
      <c r="P250" s="490">
        <f t="shared" si="20"/>
        <v>0</v>
      </c>
      <c r="Q250" s="491" t="str">
        <f t="shared" si="17"/>
        <v/>
      </c>
    </row>
    <row r="251" spans="1:17" ht="15.75" x14ac:dyDescent="0.25">
      <c r="A251" s="707" t="s">
        <v>346</v>
      </c>
      <c r="B251" s="708"/>
      <c r="C251" s="523" t="s">
        <v>347</v>
      </c>
      <c r="D251" s="493">
        <f t="shared" si="18"/>
        <v>0</v>
      </c>
      <c r="J251" s="707" t="s">
        <v>346</v>
      </c>
      <c r="K251" s="708"/>
      <c r="L251" s="523" t="s">
        <v>347</v>
      </c>
      <c r="M251" s="493">
        <f t="shared" si="19"/>
        <v>0</v>
      </c>
      <c r="N251" s="82"/>
      <c r="O251" s="82"/>
      <c r="P251" s="490">
        <f t="shared" si="20"/>
        <v>0</v>
      </c>
      <c r="Q251" s="491" t="str">
        <f t="shared" si="17"/>
        <v/>
      </c>
    </row>
    <row r="252" spans="1:17" ht="15.75" x14ac:dyDescent="0.25">
      <c r="A252" s="707" t="s">
        <v>348</v>
      </c>
      <c r="B252" s="708"/>
      <c r="C252" s="109" t="s">
        <v>192</v>
      </c>
      <c r="D252" s="493">
        <f t="shared" si="18"/>
        <v>6</v>
      </c>
      <c r="J252" s="707" t="s">
        <v>348</v>
      </c>
      <c r="K252" s="708"/>
      <c r="L252" s="109" t="s">
        <v>192</v>
      </c>
      <c r="M252" s="493">
        <f t="shared" si="19"/>
        <v>0</v>
      </c>
      <c r="N252" s="82"/>
      <c r="O252" s="82"/>
      <c r="P252" s="490">
        <f t="shared" si="20"/>
        <v>6</v>
      </c>
      <c r="Q252" s="491" t="str">
        <f t="shared" si="17"/>
        <v/>
      </c>
    </row>
    <row r="253" spans="1:17" ht="15.75" x14ac:dyDescent="0.25">
      <c r="A253" s="707" t="s">
        <v>349</v>
      </c>
      <c r="B253" s="708"/>
      <c r="C253" s="515" t="s">
        <v>350</v>
      </c>
      <c r="D253" s="493">
        <f t="shared" si="18"/>
        <v>0</v>
      </c>
      <c r="J253" s="707" t="s">
        <v>349</v>
      </c>
      <c r="K253" s="708"/>
      <c r="L253" s="515" t="s">
        <v>350</v>
      </c>
      <c r="M253" s="493">
        <f t="shared" si="19"/>
        <v>0</v>
      </c>
      <c r="N253" s="82"/>
      <c r="O253" s="82"/>
      <c r="P253" s="490">
        <f t="shared" si="20"/>
        <v>0</v>
      </c>
      <c r="Q253" s="491"/>
    </row>
    <row r="254" spans="1:17" ht="15.75" x14ac:dyDescent="0.25">
      <c r="A254" s="707" t="s">
        <v>351</v>
      </c>
      <c r="B254" s="708"/>
      <c r="C254" s="524" t="s">
        <v>352</v>
      </c>
      <c r="D254" s="493">
        <f t="shared" si="18"/>
        <v>0</v>
      </c>
      <c r="J254" s="707" t="s">
        <v>351</v>
      </c>
      <c r="K254" s="708"/>
      <c r="L254" s="524" t="s">
        <v>352</v>
      </c>
      <c r="M254" s="493">
        <f t="shared" si="19"/>
        <v>0</v>
      </c>
      <c r="N254" s="82"/>
      <c r="O254" s="82"/>
      <c r="P254" s="490">
        <f t="shared" si="20"/>
        <v>0</v>
      </c>
      <c r="Q254" s="491" t="str">
        <f t="shared" si="17"/>
        <v/>
      </c>
    </row>
    <row r="255" spans="1:17" ht="15.75" x14ac:dyDescent="0.25">
      <c r="A255" s="707" t="s">
        <v>353</v>
      </c>
      <c r="B255" s="708"/>
      <c r="C255" s="505" t="s">
        <v>354</v>
      </c>
      <c r="D255" s="493">
        <f t="shared" si="18"/>
        <v>0</v>
      </c>
      <c r="J255" s="707" t="s">
        <v>353</v>
      </c>
      <c r="K255" s="708"/>
      <c r="L255" s="505" t="s">
        <v>354</v>
      </c>
      <c r="M255" s="493">
        <f t="shared" si="19"/>
        <v>0</v>
      </c>
      <c r="N255" s="82"/>
      <c r="O255" s="82"/>
      <c r="P255" s="490">
        <f t="shared" si="20"/>
        <v>0</v>
      </c>
      <c r="Q255" s="491" t="str">
        <f t="shared" si="17"/>
        <v/>
      </c>
    </row>
    <row r="256" spans="1:17" ht="15.75" x14ac:dyDescent="0.25">
      <c r="A256" s="707" t="s">
        <v>305</v>
      </c>
      <c r="B256" s="708"/>
      <c r="C256" s="525" t="s">
        <v>355</v>
      </c>
      <c r="D256" s="493">
        <f t="shared" si="18"/>
        <v>0</v>
      </c>
      <c r="J256" s="707" t="s">
        <v>305</v>
      </c>
      <c r="K256" s="708"/>
      <c r="L256" s="525" t="s">
        <v>355</v>
      </c>
      <c r="M256" s="493">
        <f t="shared" si="19"/>
        <v>0</v>
      </c>
      <c r="N256" s="82"/>
      <c r="O256" s="82"/>
      <c r="P256" s="490">
        <f t="shared" si="20"/>
        <v>0</v>
      </c>
      <c r="Q256" s="491" t="str">
        <f t="shared" si="17"/>
        <v/>
      </c>
    </row>
    <row r="257" spans="1:17" ht="15.75" x14ac:dyDescent="0.25">
      <c r="A257" s="707" t="s">
        <v>356</v>
      </c>
      <c r="B257" s="708"/>
      <c r="C257" s="526" t="s">
        <v>357</v>
      </c>
      <c r="D257" s="493">
        <f t="shared" si="18"/>
        <v>0</v>
      </c>
      <c r="J257" s="707" t="s">
        <v>356</v>
      </c>
      <c r="K257" s="708"/>
      <c r="L257" s="526" t="s">
        <v>357</v>
      </c>
      <c r="M257" s="493">
        <f t="shared" si="19"/>
        <v>0</v>
      </c>
      <c r="N257" s="82"/>
      <c r="O257" s="82"/>
      <c r="P257" s="490">
        <f t="shared" si="20"/>
        <v>0</v>
      </c>
      <c r="Q257" s="491" t="str">
        <f t="shared" si="17"/>
        <v/>
      </c>
    </row>
    <row r="258" spans="1:17" ht="15.75" x14ac:dyDescent="0.25">
      <c r="A258" s="707" t="s">
        <v>358</v>
      </c>
      <c r="B258" s="708"/>
      <c r="C258" s="527" t="s">
        <v>359</v>
      </c>
      <c r="D258" s="493">
        <f t="shared" si="18"/>
        <v>0</v>
      </c>
      <c r="J258" s="707" t="s">
        <v>358</v>
      </c>
      <c r="K258" s="708"/>
      <c r="L258" s="527" t="s">
        <v>359</v>
      </c>
      <c r="M258" s="493">
        <f t="shared" si="19"/>
        <v>0</v>
      </c>
      <c r="N258" s="82"/>
      <c r="O258" s="82"/>
      <c r="P258" s="490">
        <f t="shared" si="20"/>
        <v>0</v>
      </c>
      <c r="Q258" s="491" t="str">
        <f t="shared" si="17"/>
        <v/>
      </c>
    </row>
    <row r="259" spans="1:17" ht="15.75" x14ac:dyDescent="0.25">
      <c r="A259" s="707" t="s">
        <v>360</v>
      </c>
      <c r="B259" s="708"/>
      <c r="C259" s="528" t="s">
        <v>361</v>
      </c>
      <c r="D259" s="493">
        <f t="shared" si="18"/>
        <v>0</v>
      </c>
      <c r="J259" s="707" t="s">
        <v>360</v>
      </c>
      <c r="K259" s="708"/>
      <c r="L259" s="528" t="s">
        <v>361</v>
      </c>
      <c r="M259" s="493">
        <f t="shared" si="19"/>
        <v>0</v>
      </c>
      <c r="N259" s="82"/>
      <c r="O259" s="82"/>
      <c r="P259" s="490">
        <f t="shared" si="20"/>
        <v>0</v>
      </c>
      <c r="Q259" s="491" t="str">
        <f t="shared" si="17"/>
        <v/>
      </c>
    </row>
    <row r="260" spans="1:17" ht="15.75" x14ac:dyDescent="0.25">
      <c r="A260" s="707" t="s">
        <v>362</v>
      </c>
      <c r="B260" s="708"/>
      <c r="C260" s="529" t="s">
        <v>363</v>
      </c>
      <c r="D260" s="493">
        <f t="shared" si="18"/>
        <v>0</v>
      </c>
      <c r="J260" s="707" t="s">
        <v>362</v>
      </c>
      <c r="K260" s="708"/>
      <c r="L260" s="529" t="s">
        <v>363</v>
      </c>
      <c r="M260" s="493">
        <f t="shared" si="19"/>
        <v>0</v>
      </c>
      <c r="N260" s="82"/>
      <c r="O260" s="82"/>
      <c r="P260" s="490">
        <f t="shared" si="20"/>
        <v>0</v>
      </c>
      <c r="Q260" s="491" t="str">
        <f t="shared" si="17"/>
        <v/>
      </c>
    </row>
    <row r="261" spans="1:17" ht="15.75" x14ac:dyDescent="0.25">
      <c r="A261" s="707" t="s">
        <v>364</v>
      </c>
      <c r="B261" s="708"/>
      <c r="C261" s="530" t="s">
        <v>365</v>
      </c>
      <c r="D261" s="493">
        <f t="shared" si="18"/>
        <v>0</v>
      </c>
      <c r="J261" s="707" t="s">
        <v>364</v>
      </c>
      <c r="K261" s="708"/>
      <c r="L261" s="530" t="s">
        <v>365</v>
      </c>
      <c r="M261" s="493">
        <f t="shared" si="19"/>
        <v>0</v>
      </c>
      <c r="N261" s="82"/>
      <c r="O261" s="82"/>
      <c r="P261" s="490">
        <f t="shared" si="20"/>
        <v>0</v>
      </c>
      <c r="Q261" s="491" t="str">
        <f t="shared" si="17"/>
        <v/>
      </c>
    </row>
    <row r="262" spans="1:17" ht="15.75" x14ac:dyDescent="0.25">
      <c r="A262" s="707" t="s">
        <v>366</v>
      </c>
      <c r="B262" s="708"/>
      <c r="C262" s="531" t="s">
        <v>366</v>
      </c>
      <c r="D262" s="493">
        <f t="shared" si="18"/>
        <v>0</v>
      </c>
      <c r="J262" s="707" t="s">
        <v>366</v>
      </c>
      <c r="K262" s="708"/>
      <c r="L262" s="531" t="s">
        <v>366</v>
      </c>
      <c r="M262" s="493">
        <f t="shared" si="19"/>
        <v>0</v>
      </c>
      <c r="N262" s="82"/>
      <c r="O262" s="82"/>
      <c r="P262" s="490">
        <f t="shared" si="20"/>
        <v>0</v>
      </c>
      <c r="Q262" s="491" t="str">
        <f t="shared" si="17"/>
        <v/>
      </c>
    </row>
    <row r="263" spans="1:17" ht="15.75" x14ac:dyDescent="0.25">
      <c r="A263" s="707" t="s">
        <v>367</v>
      </c>
      <c r="B263" s="708"/>
      <c r="C263" s="532" t="s">
        <v>368</v>
      </c>
      <c r="D263" s="493">
        <f t="shared" si="18"/>
        <v>0</v>
      </c>
      <c r="J263" s="707" t="s">
        <v>367</v>
      </c>
      <c r="K263" s="708"/>
      <c r="L263" s="532" t="s">
        <v>368</v>
      </c>
      <c r="M263" s="493">
        <f t="shared" si="19"/>
        <v>0</v>
      </c>
      <c r="N263" s="82"/>
      <c r="O263" s="82"/>
      <c r="P263" s="490">
        <f t="shared" si="20"/>
        <v>0</v>
      </c>
      <c r="Q263" s="491" t="str">
        <f t="shared" si="17"/>
        <v/>
      </c>
    </row>
    <row r="264" spans="1:17" ht="15.75" x14ac:dyDescent="0.25">
      <c r="A264" s="707" t="s">
        <v>369</v>
      </c>
      <c r="B264" s="708"/>
      <c r="C264" s="533" t="s">
        <v>370</v>
      </c>
      <c r="D264" s="493">
        <f t="shared" si="18"/>
        <v>0</v>
      </c>
      <c r="J264" s="707" t="s">
        <v>369</v>
      </c>
      <c r="K264" s="708"/>
      <c r="L264" s="533" t="s">
        <v>370</v>
      </c>
      <c r="M264" s="493">
        <f t="shared" si="19"/>
        <v>0</v>
      </c>
      <c r="N264" s="82"/>
      <c r="O264" s="82"/>
      <c r="P264" s="490">
        <f t="shared" si="20"/>
        <v>0</v>
      </c>
      <c r="Q264" s="491" t="str">
        <f t="shared" si="17"/>
        <v/>
      </c>
    </row>
    <row r="265" spans="1:17" ht="15.75" x14ac:dyDescent="0.25">
      <c r="A265" s="707" t="s">
        <v>371</v>
      </c>
      <c r="B265" s="708"/>
      <c r="C265" s="60" t="s">
        <v>177</v>
      </c>
      <c r="D265" s="493">
        <f t="shared" si="18"/>
        <v>0</v>
      </c>
      <c r="J265" s="707" t="s">
        <v>371</v>
      </c>
      <c r="K265" s="708"/>
      <c r="L265" s="60" t="s">
        <v>177</v>
      </c>
      <c r="M265" s="493">
        <f t="shared" si="19"/>
        <v>6</v>
      </c>
      <c r="N265" s="82"/>
      <c r="O265" s="82"/>
      <c r="P265" s="490">
        <f t="shared" si="20"/>
        <v>6</v>
      </c>
      <c r="Q265" s="491"/>
    </row>
    <row r="266" spans="1:17" ht="15.75" x14ac:dyDescent="0.25">
      <c r="A266" s="707" t="s">
        <v>372</v>
      </c>
      <c r="B266" s="708"/>
      <c r="C266" s="534" t="s">
        <v>373</v>
      </c>
      <c r="D266" s="493">
        <f t="shared" si="18"/>
        <v>0</v>
      </c>
      <c r="J266" s="707" t="s">
        <v>372</v>
      </c>
      <c r="K266" s="708"/>
      <c r="L266" s="534" t="s">
        <v>373</v>
      </c>
      <c r="M266" s="493">
        <f t="shared" si="19"/>
        <v>0</v>
      </c>
      <c r="N266" s="82"/>
      <c r="O266" s="82"/>
      <c r="P266" s="490">
        <f t="shared" si="20"/>
        <v>0</v>
      </c>
      <c r="Q266" s="491" t="str">
        <f t="shared" ref="Q266" si="21">IFERROR(P266/$J$4,"")</f>
        <v/>
      </c>
    </row>
    <row r="267" spans="1:17" ht="15.75" x14ac:dyDescent="0.25">
      <c r="A267" s="707" t="s">
        <v>374</v>
      </c>
      <c r="B267" s="708"/>
      <c r="C267" s="535" t="s">
        <v>375</v>
      </c>
      <c r="D267" s="493">
        <f t="shared" si="18"/>
        <v>0</v>
      </c>
      <c r="J267" s="707" t="s">
        <v>374</v>
      </c>
      <c r="K267" s="708"/>
      <c r="L267" s="535" t="s">
        <v>375</v>
      </c>
      <c r="M267" s="493">
        <f t="shared" si="19"/>
        <v>0</v>
      </c>
      <c r="N267" s="82"/>
      <c r="O267" s="82"/>
      <c r="P267" s="490">
        <f t="shared" si="20"/>
        <v>0</v>
      </c>
      <c r="Q267" s="491" t="str">
        <f t="shared" si="17"/>
        <v/>
      </c>
    </row>
    <row r="268" spans="1:17" ht="15.75" x14ac:dyDescent="0.25">
      <c r="A268" s="707" t="s">
        <v>376</v>
      </c>
      <c r="B268" s="708"/>
      <c r="C268" s="536" t="s">
        <v>377</v>
      </c>
      <c r="D268" s="493">
        <f t="shared" si="18"/>
        <v>0</v>
      </c>
      <c r="J268" s="707" t="s">
        <v>376</v>
      </c>
      <c r="K268" s="708"/>
      <c r="L268" s="536" t="s">
        <v>377</v>
      </c>
      <c r="M268" s="493">
        <f t="shared" si="19"/>
        <v>0</v>
      </c>
      <c r="N268" s="82"/>
      <c r="O268" s="82"/>
      <c r="P268" s="490">
        <f t="shared" si="20"/>
        <v>0</v>
      </c>
      <c r="Q268" s="491" t="str">
        <f t="shared" si="17"/>
        <v/>
      </c>
    </row>
    <row r="269" spans="1:17" ht="15.75" x14ac:dyDescent="0.25">
      <c r="A269" s="707" t="s">
        <v>176</v>
      </c>
      <c r="B269" s="708"/>
      <c r="C269" s="58" t="s">
        <v>176</v>
      </c>
      <c r="D269" s="493">
        <f t="shared" si="18"/>
        <v>12</v>
      </c>
      <c r="J269" s="707" t="s">
        <v>176</v>
      </c>
      <c r="K269" s="708"/>
      <c r="L269" s="58" t="s">
        <v>176</v>
      </c>
      <c r="M269" s="493">
        <f t="shared" si="19"/>
        <v>18</v>
      </c>
      <c r="N269" s="82"/>
      <c r="O269" s="82"/>
      <c r="P269" s="490">
        <f t="shared" si="20"/>
        <v>30</v>
      </c>
      <c r="Q269" s="491" t="str">
        <f t="shared" si="17"/>
        <v/>
      </c>
    </row>
    <row r="270" spans="1:17" ht="15.75" x14ac:dyDescent="0.25">
      <c r="A270" s="707" t="s">
        <v>378</v>
      </c>
      <c r="B270" s="708"/>
      <c r="C270" s="537" t="s">
        <v>379</v>
      </c>
      <c r="D270" s="493">
        <f t="shared" si="18"/>
        <v>0</v>
      </c>
      <c r="J270" s="707" t="s">
        <v>378</v>
      </c>
      <c r="K270" s="708"/>
      <c r="L270" s="537" t="s">
        <v>379</v>
      </c>
      <c r="M270" s="493">
        <f t="shared" si="19"/>
        <v>0</v>
      </c>
      <c r="N270" s="82"/>
      <c r="O270" s="82"/>
      <c r="P270" s="490">
        <f t="shared" si="20"/>
        <v>0</v>
      </c>
      <c r="Q270" s="491" t="str">
        <f t="shared" si="17"/>
        <v/>
      </c>
    </row>
    <row r="271" spans="1:17" ht="15.75" x14ac:dyDescent="0.25">
      <c r="A271" s="707" t="s">
        <v>380</v>
      </c>
      <c r="B271" s="708"/>
      <c r="C271" s="538" t="s">
        <v>381</v>
      </c>
      <c r="D271" s="493">
        <f t="shared" si="18"/>
        <v>0</v>
      </c>
      <c r="J271" s="707" t="s">
        <v>380</v>
      </c>
      <c r="K271" s="708"/>
      <c r="L271" s="538" t="s">
        <v>381</v>
      </c>
      <c r="M271" s="493">
        <f t="shared" si="19"/>
        <v>0</v>
      </c>
      <c r="N271" s="82"/>
      <c r="O271" s="82"/>
      <c r="P271" s="490">
        <f t="shared" si="20"/>
        <v>0</v>
      </c>
      <c r="Q271" s="491" t="str">
        <f t="shared" si="17"/>
        <v/>
      </c>
    </row>
    <row r="272" spans="1:17" ht="15.75" x14ac:dyDescent="0.25">
      <c r="A272" s="707" t="s">
        <v>382</v>
      </c>
      <c r="B272" s="708"/>
      <c r="C272" s="539" t="s">
        <v>383</v>
      </c>
      <c r="D272" s="493">
        <f t="shared" si="18"/>
        <v>0</v>
      </c>
      <c r="J272" s="707" t="s">
        <v>382</v>
      </c>
      <c r="K272" s="708"/>
      <c r="L272" s="539" t="s">
        <v>383</v>
      </c>
      <c r="M272" s="493">
        <f t="shared" si="19"/>
        <v>0</v>
      </c>
      <c r="N272" s="82"/>
      <c r="O272" s="82"/>
      <c r="P272" s="490">
        <f t="shared" si="20"/>
        <v>0</v>
      </c>
      <c r="Q272" s="491" t="str">
        <f t="shared" si="17"/>
        <v/>
      </c>
    </row>
    <row r="273" spans="1:17" ht="15.75" x14ac:dyDescent="0.25">
      <c r="A273" s="707" t="s">
        <v>384</v>
      </c>
      <c r="B273" s="708"/>
      <c r="C273" s="539" t="s">
        <v>385</v>
      </c>
      <c r="D273" s="493">
        <f t="shared" si="18"/>
        <v>0</v>
      </c>
      <c r="J273" s="707" t="s">
        <v>384</v>
      </c>
      <c r="K273" s="708"/>
      <c r="L273" s="539" t="s">
        <v>385</v>
      </c>
      <c r="M273" s="493">
        <f t="shared" si="19"/>
        <v>0</v>
      </c>
      <c r="N273" s="82"/>
      <c r="O273" s="82"/>
      <c r="P273" s="490">
        <f t="shared" si="20"/>
        <v>0</v>
      </c>
      <c r="Q273" s="491" t="str">
        <f t="shared" si="17"/>
        <v/>
      </c>
    </row>
    <row r="274" spans="1:17" ht="15.75" x14ac:dyDescent="0.25">
      <c r="A274" s="707" t="s">
        <v>386</v>
      </c>
      <c r="B274" s="708"/>
      <c r="C274" s="540" t="s">
        <v>387</v>
      </c>
      <c r="D274" s="493">
        <f t="shared" si="18"/>
        <v>0</v>
      </c>
      <c r="J274" s="707" t="s">
        <v>386</v>
      </c>
      <c r="K274" s="708"/>
      <c r="L274" s="540" t="s">
        <v>387</v>
      </c>
      <c r="M274" s="493">
        <f t="shared" si="19"/>
        <v>0</v>
      </c>
      <c r="N274" s="82"/>
      <c r="O274" s="82"/>
      <c r="P274" s="490">
        <f t="shared" si="20"/>
        <v>0</v>
      </c>
      <c r="Q274" s="491" t="str">
        <f t="shared" si="17"/>
        <v/>
      </c>
    </row>
    <row r="275" spans="1:17" ht="15.75" x14ac:dyDescent="0.25">
      <c r="A275" s="707" t="s">
        <v>388</v>
      </c>
      <c r="B275" s="708"/>
      <c r="C275" s="541" t="s">
        <v>389</v>
      </c>
      <c r="D275" s="493">
        <f t="shared" si="18"/>
        <v>0</v>
      </c>
      <c r="J275" s="707" t="s">
        <v>388</v>
      </c>
      <c r="K275" s="708"/>
      <c r="L275" s="541" t="s">
        <v>389</v>
      </c>
      <c r="M275" s="493">
        <f t="shared" si="19"/>
        <v>0</v>
      </c>
      <c r="N275" s="82"/>
      <c r="O275" s="82"/>
      <c r="P275" s="490">
        <f t="shared" si="20"/>
        <v>0</v>
      </c>
      <c r="Q275" s="491" t="str">
        <f t="shared" si="17"/>
        <v/>
      </c>
    </row>
    <row r="276" spans="1:17" ht="15.75" x14ac:dyDescent="0.25">
      <c r="A276" s="707" t="s">
        <v>390</v>
      </c>
      <c r="B276" s="708"/>
      <c r="C276" s="541" t="s">
        <v>391</v>
      </c>
      <c r="D276" s="493">
        <f t="shared" si="18"/>
        <v>0</v>
      </c>
      <c r="J276" s="707" t="s">
        <v>390</v>
      </c>
      <c r="K276" s="708"/>
      <c r="L276" s="541" t="s">
        <v>391</v>
      </c>
      <c r="M276" s="493">
        <f t="shared" si="19"/>
        <v>0</v>
      </c>
      <c r="N276" s="82"/>
      <c r="O276" s="82"/>
      <c r="P276" s="490">
        <f t="shared" si="20"/>
        <v>0</v>
      </c>
      <c r="Q276" s="491" t="str">
        <f t="shared" si="17"/>
        <v/>
      </c>
    </row>
    <row r="277" spans="1:17" ht="15.75" x14ac:dyDescent="0.25">
      <c r="A277" s="707" t="s">
        <v>392</v>
      </c>
      <c r="B277" s="708"/>
      <c r="C277" s="542" t="s">
        <v>393</v>
      </c>
      <c r="D277" s="493">
        <f t="shared" si="18"/>
        <v>0</v>
      </c>
      <c r="J277" s="707" t="s">
        <v>392</v>
      </c>
      <c r="K277" s="708"/>
      <c r="L277" s="542" t="s">
        <v>393</v>
      </c>
      <c r="M277" s="493">
        <f t="shared" si="19"/>
        <v>0</v>
      </c>
      <c r="N277" s="82"/>
      <c r="O277" s="82"/>
      <c r="P277" s="490">
        <f t="shared" si="20"/>
        <v>0</v>
      </c>
      <c r="Q277" s="491" t="str">
        <f t="shared" si="17"/>
        <v/>
      </c>
    </row>
    <row r="278" spans="1:17" ht="15.75" x14ac:dyDescent="0.25">
      <c r="A278" s="707" t="s">
        <v>394</v>
      </c>
      <c r="B278" s="708"/>
      <c r="C278" s="543" t="s">
        <v>395</v>
      </c>
      <c r="D278" s="493">
        <f t="shared" si="18"/>
        <v>0</v>
      </c>
      <c r="J278" s="707" t="s">
        <v>394</v>
      </c>
      <c r="K278" s="708"/>
      <c r="L278" s="543" t="s">
        <v>395</v>
      </c>
      <c r="M278" s="493">
        <f t="shared" si="19"/>
        <v>0</v>
      </c>
      <c r="N278" s="82"/>
      <c r="O278" s="82"/>
      <c r="P278" s="490">
        <f t="shared" si="20"/>
        <v>0</v>
      </c>
      <c r="Q278" s="491" t="str">
        <f t="shared" si="17"/>
        <v/>
      </c>
    </row>
    <row r="279" spans="1:17" ht="15.75" x14ac:dyDescent="0.25">
      <c r="A279" s="707" t="s">
        <v>396</v>
      </c>
      <c r="B279" s="708"/>
      <c r="C279" s="544" t="s">
        <v>397</v>
      </c>
      <c r="D279" s="493">
        <f t="shared" si="18"/>
        <v>0</v>
      </c>
      <c r="J279" s="707" t="s">
        <v>396</v>
      </c>
      <c r="K279" s="708"/>
      <c r="L279" s="544" t="s">
        <v>397</v>
      </c>
      <c r="M279" s="493">
        <f t="shared" si="19"/>
        <v>0</v>
      </c>
      <c r="N279" s="82"/>
      <c r="O279" s="82"/>
      <c r="P279" s="490">
        <f t="shared" si="20"/>
        <v>0</v>
      </c>
      <c r="Q279" s="491" t="str">
        <f t="shared" si="17"/>
        <v/>
      </c>
    </row>
    <row r="280" spans="1:17" ht="15.75" x14ac:dyDescent="0.25">
      <c r="A280" s="707" t="s">
        <v>171</v>
      </c>
      <c r="B280" s="708"/>
      <c r="C280" s="545" t="s">
        <v>171</v>
      </c>
      <c r="D280" s="493">
        <f t="shared" si="18"/>
        <v>0</v>
      </c>
      <c r="J280" s="707" t="s">
        <v>171</v>
      </c>
      <c r="K280" s="708"/>
      <c r="L280" s="545" t="s">
        <v>171</v>
      </c>
      <c r="M280" s="493">
        <f t="shared" si="19"/>
        <v>3</v>
      </c>
      <c r="N280" s="82"/>
      <c r="O280" s="82"/>
      <c r="P280" s="490">
        <f t="shared" si="20"/>
        <v>3</v>
      </c>
      <c r="Q280" s="491" t="str">
        <f t="shared" si="17"/>
        <v/>
      </c>
    </row>
    <row r="281" spans="1:17" ht="15.75" x14ac:dyDescent="0.25">
      <c r="A281" s="707" t="s">
        <v>398</v>
      </c>
      <c r="B281" s="708"/>
      <c r="C281" s="546" t="s">
        <v>399</v>
      </c>
      <c r="D281" s="493">
        <f t="shared" si="18"/>
        <v>0</v>
      </c>
      <c r="J281" s="707" t="s">
        <v>398</v>
      </c>
      <c r="K281" s="708"/>
      <c r="L281" s="546" t="s">
        <v>399</v>
      </c>
      <c r="M281" s="493">
        <f t="shared" si="19"/>
        <v>0</v>
      </c>
      <c r="N281" s="82"/>
      <c r="O281" s="82"/>
      <c r="P281" s="490">
        <f t="shared" si="20"/>
        <v>0</v>
      </c>
      <c r="Q281" s="491" t="str">
        <f t="shared" si="17"/>
        <v/>
      </c>
    </row>
    <row r="282" spans="1:17" ht="15.75" x14ac:dyDescent="0.25">
      <c r="A282" s="707" t="s">
        <v>400</v>
      </c>
      <c r="B282" s="708"/>
      <c r="C282" s="547" t="s">
        <v>401</v>
      </c>
      <c r="D282" s="493">
        <f t="shared" si="18"/>
        <v>0</v>
      </c>
      <c r="J282" s="707" t="s">
        <v>400</v>
      </c>
      <c r="K282" s="708"/>
      <c r="L282" s="547" t="s">
        <v>401</v>
      </c>
      <c r="M282" s="493">
        <f t="shared" si="19"/>
        <v>0</v>
      </c>
      <c r="N282" s="82"/>
      <c r="O282" s="82"/>
      <c r="P282" s="490">
        <f t="shared" si="20"/>
        <v>0</v>
      </c>
      <c r="Q282" s="491" t="str">
        <f t="shared" si="17"/>
        <v/>
      </c>
    </row>
    <row r="283" spans="1:17" ht="15.75" x14ac:dyDescent="0.25">
      <c r="A283" s="707" t="s">
        <v>402</v>
      </c>
      <c r="B283" s="708"/>
      <c r="C283" s="513" t="s">
        <v>403</v>
      </c>
      <c r="D283" s="493">
        <f t="shared" si="18"/>
        <v>0</v>
      </c>
      <c r="J283" s="707" t="s">
        <v>402</v>
      </c>
      <c r="K283" s="708"/>
      <c r="L283" s="513" t="s">
        <v>403</v>
      </c>
      <c r="M283" s="493">
        <f t="shared" si="19"/>
        <v>0</v>
      </c>
      <c r="N283" s="82"/>
      <c r="O283" s="82"/>
      <c r="P283" s="490">
        <f t="shared" si="20"/>
        <v>0</v>
      </c>
      <c r="Q283" s="491" t="str">
        <f t="shared" si="17"/>
        <v/>
      </c>
    </row>
    <row r="284" spans="1:17" ht="15.75" x14ac:dyDescent="0.25">
      <c r="A284" s="707" t="s">
        <v>326</v>
      </c>
      <c r="B284" s="708"/>
      <c r="C284" s="513" t="s">
        <v>404</v>
      </c>
      <c r="D284" s="493">
        <f t="shared" si="18"/>
        <v>0</v>
      </c>
      <c r="J284" s="707" t="s">
        <v>326</v>
      </c>
      <c r="K284" s="708"/>
      <c r="L284" s="513" t="s">
        <v>404</v>
      </c>
      <c r="M284" s="493">
        <f t="shared" si="19"/>
        <v>0</v>
      </c>
      <c r="N284" s="82"/>
      <c r="O284" s="82"/>
      <c r="P284" s="490">
        <f t="shared" si="20"/>
        <v>0</v>
      </c>
      <c r="Q284" s="491" t="str">
        <f t="shared" ref="Q284:Q311" si="22">IFERROR(P284/$J$4,"")</f>
        <v/>
      </c>
    </row>
    <row r="285" spans="1:17" ht="15.75" x14ac:dyDescent="0.25">
      <c r="A285" s="707" t="s">
        <v>405</v>
      </c>
      <c r="B285" s="708"/>
      <c r="C285" s="513" t="s">
        <v>406</v>
      </c>
      <c r="D285" s="493">
        <f t="shared" si="18"/>
        <v>0</v>
      </c>
      <c r="J285" s="707" t="s">
        <v>405</v>
      </c>
      <c r="K285" s="708"/>
      <c r="L285" s="513" t="s">
        <v>406</v>
      </c>
      <c r="M285" s="493">
        <f t="shared" si="19"/>
        <v>0</v>
      </c>
      <c r="N285" s="82"/>
      <c r="O285" s="82"/>
      <c r="P285" s="490">
        <f t="shared" si="20"/>
        <v>0</v>
      </c>
      <c r="Q285" s="491" t="str">
        <f t="shared" si="22"/>
        <v/>
      </c>
    </row>
    <row r="286" spans="1:17" ht="15.75" x14ac:dyDescent="0.25">
      <c r="A286" s="707" t="s">
        <v>407</v>
      </c>
      <c r="B286" s="708"/>
      <c r="C286" s="548" t="s">
        <v>408</v>
      </c>
      <c r="D286" s="493">
        <f t="shared" si="18"/>
        <v>0</v>
      </c>
      <c r="J286" s="707" t="s">
        <v>407</v>
      </c>
      <c r="K286" s="708"/>
      <c r="L286" s="548" t="s">
        <v>408</v>
      </c>
      <c r="M286" s="493">
        <f t="shared" si="19"/>
        <v>0</v>
      </c>
      <c r="N286" s="82"/>
      <c r="O286" s="82"/>
      <c r="P286" s="490">
        <f t="shared" si="20"/>
        <v>0</v>
      </c>
      <c r="Q286" s="491" t="str">
        <f t="shared" si="22"/>
        <v/>
      </c>
    </row>
    <row r="287" spans="1:17" ht="15.75" x14ac:dyDescent="0.25">
      <c r="A287" s="707" t="s">
        <v>409</v>
      </c>
      <c r="B287" s="708"/>
      <c r="C287" s="549" t="s">
        <v>409</v>
      </c>
      <c r="D287" s="493">
        <f t="shared" si="18"/>
        <v>0</v>
      </c>
      <c r="J287" s="707" t="s">
        <v>409</v>
      </c>
      <c r="K287" s="708"/>
      <c r="L287" s="549" t="s">
        <v>409</v>
      </c>
      <c r="M287" s="493">
        <f t="shared" si="19"/>
        <v>0</v>
      </c>
      <c r="N287" s="82"/>
      <c r="O287" s="82"/>
      <c r="P287" s="490">
        <f t="shared" si="20"/>
        <v>0</v>
      </c>
      <c r="Q287" s="491" t="str">
        <f t="shared" si="22"/>
        <v/>
      </c>
    </row>
    <row r="288" spans="1:17" ht="15.75" x14ac:dyDescent="0.25">
      <c r="A288" s="707" t="s">
        <v>410</v>
      </c>
      <c r="B288" s="708"/>
      <c r="C288" s="500" t="s">
        <v>411</v>
      </c>
      <c r="D288" s="493">
        <f t="shared" si="18"/>
        <v>0</v>
      </c>
      <c r="J288" s="707" t="s">
        <v>410</v>
      </c>
      <c r="K288" s="708"/>
      <c r="L288" s="500" t="s">
        <v>411</v>
      </c>
      <c r="M288" s="493">
        <f t="shared" si="19"/>
        <v>0</v>
      </c>
      <c r="N288" s="82"/>
      <c r="O288" s="82"/>
      <c r="P288" s="490">
        <f t="shared" si="20"/>
        <v>0</v>
      </c>
      <c r="Q288" s="491" t="str">
        <f t="shared" si="22"/>
        <v/>
      </c>
    </row>
    <row r="289" spans="1:17" ht="15.75" x14ac:dyDescent="0.25">
      <c r="A289" s="707" t="s">
        <v>412</v>
      </c>
      <c r="B289" s="708"/>
      <c r="C289" s="550" t="s">
        <v>413</v>
      </c>
      <c r="D289" s="493">
        <f t="shared" si="18"/>
        <v>0</v>
      </c>
      <c r="J289" s="707" t="s">
        <v>412</v>
      </c>
      <c r="K289" s="708"/>
      <c r="L289" s="550" t="s">
        <v>413</v>
      </c>
      <c r="M289" s="493">
        <f t="shared" si="19"/>
        <v>0</v>
      </c>
      <c r="N289" s="82"/>
      <c r="O289" s="82"/>
      <c r="P289" s="490">
        <f t="shared" si="20"/>
        <v>0</v>
      </c>
      <c r="Q289" s="491" t="str">
        <f t="shared" si="22"/>
        <v/>
      </c>
    </row>
    <row r="290" spans="1:17" ht="15.75" x14ac:dyDescent="0.25">
      <c r="A290" s="707" t="s">
        <v>414</v>
      </c>
      <c r="B290" s="708"/>
      <c r="C290" s="26" t="s">
        <v>169</v>
      </c>
      <c r="D290" s="493">
        <f t="shared" si="18"/>
        <v>12</v>
      </c>
      <c r="J290" s="707" t="s">
        <v>414</v>
      </c>
      <c r="K290" s="708"/>
      <c r="L290" s="26" t="s">
        <v>169</v>
      </c>
      <c r="M290" s="493">
        <f t="shared" si="19"/>
        <v>4</v>
      </c>
      <c r="N290" s="82"/>
      <c r="O290" s="82"/>
      <c r="P290" s="490">
        <f t="shared" si="20"/>
        <v>16</v>
      </c>
      <c r="Q290" s="491" t="str">
        <f t="shared" si="22"/>
        <v/>
      </c>
    </row>
    <row r="291" spans="1:17" ht="15.75" x14ac:dyDescent="0.25">
      <c r="A291" s="707" t="s">
        <v>415</v>
      </c>
      <c r="B291" s="708"/>
      <c r="C291" s="551" t="s">
        <v>416</v>
      </c>
      <c r="D291" s="493">
        <f t="shared" si="18"/>
        <v>0</v>
      </c>
      <c r="J291" s="707" t="s">
        <v>415</v>
      </c>
      <c r="K291" s="708"/>
      <c r="L291" s="551" t="s">
        <v>416</v>
      </c>
      <c r="M291" s="493">
        <f t="shared" si="19"/>
        <v>0</v>
      </c>
      <c r="N291" s="82"/>
      <c r="O291" s="82"/>
      <c r="P291" s="490">
        <f t="shared" si="20"/>
        <v>0</v>
      </c>
      <c r="Q291" s="491" t="str">
        <f t="shared" si="22"/>
        <v/>
      </c>
    </row>
    <row r="292" spans="1:17" ht="15.75" x14ac:dyDescent="0.25">
      <c r="A292" s="707" t="s">
        <v>417</v>
      </c>
      <c r="B292" s="708"/>
      <c r="C292" s="552" t="s">
        <v>165</v>
      </c>
      <c r="D292" s="493">
        <f t="shared" si="18"/>
        <v>0</v>
      </c>
      <c r="J292" s="707" t="s">
        <v>417</v>
      </c>
      <c r="K292" s="708"/>
      <c r="L292" s="552" t="s">
        <v>165</v>
      </c>
      <c r="M292" s="493">
        <f t="shared" si="19"/>
        <v>9</v>
      </c>
      <c r="N292" s="82"/>
      <c r="O292" s="82"/>
      <c r="P292" s="490">
        <f t="shared" si="20"/>
        <v>9</v>
      </c>
      <c r="Q292" s="491" t="str">
        <f t="shared" si="22"/>
        <v/>
      </c>
    </row>
    <row r="293" spans="1:17" ht="15.75" x14ac:dyDescent="0.25">
      <c r="A293" s="707" t="s">
        <v>418</v>
      </c>
      <c r="B293" s="708"/>
      <c r="C293" s="550" t="s">
        <v>419</v>
      </c>
      <c r="D293" s="493">
        <f t="shared" si="18"/>
        <v>0</v>
      </c>
      <c r="J293" s="707" t="s">
        <v>418</v>
      </c>
      <c r="K293" s="708"/>
      <c r="L293" s="550" t="s">
        <v>419</v>
      </c>
      <c r="M293" s="493">
        <f t="shared" si="19"/>
        <v>0</v>
      </c>
      <c r="N293" s="82"/>
      <c r="O293" s="82"/>
      <c r="P293" s="490">
        <f t="shared" si="20"/>
        <v>0</v>
      </c>
      <c r="Q293" s="491" t="str">
        <f t="shared" si="22"/>
        <v/>
      </c>
    </row>
    <row r="294" spans="1:17" ht="15.75" x14ac:dyDescent="0.25">
      <c r="A294" s="707" t="s">
        <v>420</v>
      </c>
      <c r="B294" s="708"/>
      <c r="C294" s="553" t="s">
        <v>421</v>
      </c>
      <c r="D294" s="493">
        <f t="shared" si="18"/>
        <v>0</v>
      </c>
      <c r="J294" s="707" t="s">
        <v>420</v>
      </c>
      <c r="K294" s="708"/>
      <c r="L294" s="553" t="s">
        <v>421</v>
      </c>
      <c r="M294" s="493">
        <f t="shared" si="19"/>
        <v>0</v>
      </c>
      <c r="N294" s="82"/>
      <c r="O294" s="82"/>
      <c r="P294" s="490">
        <f t="shared" si="20"/>
        <v>0</v>
      </c>
      <c r="Q294" s="491" t="str">
        <f t="shared" si="22"/>
        <v/>
      </c>
    </row>
    <row r="295" spans="1:17" ht="15.75" x14ac:dyDescent="0.25">
      <c r="A295" s="707" t="s">
        <v>422</v>
      </c>
      <c r="B295" s="708"/>
      <c r="C295" s="554" t="s">
        <v>423</v>
      </c>
      <c r="D295" s="493">
        <f t="shared" si="18"/>
        <v>0</v>
      </c>
      <c r="J295" s="707" t="s">
        <v>422</v>
      </c>
      <c r="K295" s="708"/>
      <c r="L295" s="554" t="s">
        <v>423</v>
      </c>
      <c r="M295" s="493">
        <f t="shared" si="19"/>
        <v>0</v>
      </c>
      <c r="N295" s="82"/>
      <c r="O295" s="82"/>
      <c r="P295" s="490">
        <f t="shared" si="20"/>
        <v>0</v>
      </c>
      <c r="Q295" s="491" t="str">
        <f t="shared" si="22"/>
        <v/>
      </c>
    </row>
    <row r="296" spans="1:17" ht="15.75" x14ac:dyDescent="0.25">
      <c r="A296" s="707" t="s">
        <v>424</v>
      </c>
      <c r="B296" s="708"/>
      <c r="C296" s="555" t="s">
        <v>425</v>
      </c>
      <c r="D296" s="493">
        <f t="shared" si="18"/>
        <v>0</v>
      </c>
      <c r="J296" s="707" t="s">
        <v>424</v>
      </c>
      <c r="K296" s="708"/>
      <c r="L296" s="555" t="s">
        <v>425</v>
      </c>
      <c r="M296" s="493">
        <f t="shared" si="19"/>
        <v>0</v>
      </c>
      <c r="N296" s="82"/>
      <c r="O296" s="82"/>
      <c r="P296" s="490">
        <f t="shared" si="20"/>
        <v>0</v>
      </c>
      <c r="Q296" s="491" t="str">
        <f t="shared" si="22"/>
        <v/>
      </c>
    </row>
    <row r="297" spans="1:17" ht="15.75" x14ac:dyDescent="0.25">
      <c r="A297" s="707" t="s">
        <v>426</v>
      </c>
      <c r="B297" s="708"/>
      <c r="C297" s="556" t="s">
        <v>427</v>
      </c>
      <c r="D297" s="493">
        <f t="shared" si="18"/>
        <v>0</v>
      </c>
      <c r="J297" s="707" t="s">
        <v>426</v>
      </c>
      <c r="K297" s="708"/>
      <c r="L297" s="556" t="s">
        <v>427</v>
      </c>
      <c r="M297" s="493">
        <f t="shared" si="19"/>
        <v>0</v>
      </c>
      <c r="N297" s="82"/>
      <c r="O297" s="82"/>
      <c r="P297" s="490">
        <f t="shared" si="20"/>
        <v>0</v>
      </c>
      <c r="Q297" s="491" t="str">
        <f t="shared" si="22"/>
        <v/>
      </c>
    </row>
    <row r="298" spans="1:17" ht="15.75" x14ac:dyDescent="0.25">
      <c r="A298" s="707" t="s">
        <v>323</v>
      </c>
      <c r="B298" s="708"/>
      <c r="C298" s="556" t="s">
        <v>323</v>
      </c>
      <c r="D298" s="493">
        <f t="shared" si="18"/>
        <v>0</v>
      </c>
      <c r="J298" s="707" t="s">
        <v>323</v>
      </c>
      <c r="K298" s="708"/>
      <c r="L298" s="556" t="s">
        <v>323</v>
      </c>
      <c r="M298" s="493">
        <f t="shared" si="19"/>
        <v>0</v>
      </c>
      <c r="N298" s="82"/>
      <c r="O298" s="82"/>
      <c r="P298" s="490">
        <f t="shared" si="20"/>
        <v>0</v>
      </c>
      <c r="Q298" s="491" t="str">
        <f t="shared" si="22"/>
        <v/>
      </c>
    </row>
    <row r="299" spans="1:17" ht="15.75" x14ac:dyDescent="0.25">
      <c r="A299" s="707" t="s">
        <v>293</v>
      </c>
      <c r="B299" s="708"/>
      <c r="C299" s="557" t="s">
        <v>428</v>
      </c>
      <c r="D299" s="493">
        <f t="shared" si="18"/>
        <v>0</v>
      </c>
      <c r="J299" s="707" t="s">
        <v>293</v>
      </c>
      <c r="K299" s="708"/>
      <c r="L299" s="557" t="s">
        <v>428</v>
      </c>
      <c r="M299" s="493">
        <f t="shared" si="19"/>
        <v>0</v>
      </c>
      <c r="N299" s="82"/>
      <c r="O299" s="82"/>
      <c r="P299" s="490">
        <f t="shared" si="20"/>
        <v>0</v>
      </c>
      <c r="Q299" s="491" t="str">
        <f t="shared" si="22"/>
        <v/>
      </c>
    </row>
    <row r="300" spans="1:17" ht="15.75" x14ac:dyDescent="0.25">
      <c r="A300" s="707" t="s">
        <v>429</v>
      </c>
      <c r="B300" s="708"/>
      <c r="C300" s="12" t="s">
        <v>164</v>
      </c>
      <c r="D300" s="493">
        <f t="shared" si="18"/>
        <v>10</v>
      </c>
      <c r="J300" s="707" t="s">
        <v>429</v>
      </c>
      <c r="K300" s="708"/>
      <c r="L300" s="12" t="s">
        <v>164</v>
      </c>
      <c r="M300" s="493">
        <f t="shared" si="19"/>
        <v>25</v>
      </c>
      <c r="N300" s="82"/>
      <c r="O300" s="82"/>
      <c r="P300" s="490">
        <f t="shared" si="20"/>
        <v>35</v>
      </c>
      <c r="Q300" s="491" t="str">
        <f t="shared" si="22"/>
        <v/>
      </c>
    </row>
    <row r="301" spans="1:17" ht="15.75" x14ac:dyDescent="0.25">
      <c r="A301" s="707" t="s">
        <v>430</v>
      </c>
      <c r="B301" s="708"/>
      <c r="C301" s="558" t="s">
        <v>431</v>
      </c>
      <c r="D301" s="493">
        <f t="shared" si="18"/>
        <v>0</v>
      </c>
      <c r="J301" s="707" t="s">
        <v>430</v>
      </c>
      <c r="K301" s="708"/>
      <c r="L301" s="558" t="s">
        <v>431</v>
      </c>
      <c r="M301" s="493">
        <f t="shared" si="19"/>
        <v>0</v>
      </c>
      <c r="N301" s="82"/>
      <c r="O301" s="82"/>
      <c r="P301" s="490">
        <f t="shared" si="20"/>
        <v>0</v>
      </c>
      <c r="Q301" s="491" t="str">
        <f t="shared" si="22"/>
        <v/>
      </c>
    </row>
    <row r="302" spans="1:17" ht="15.75" x14ac:dyDescent="0.25">
      <c r="A302" s="707" t="s">
        <v>432</v>
      </c>
      <c r="B302" s="708"/>
      <c r="C302" s="559" t="s">
        <v>433</v>
      </c>
      <c r="D302" s="493">
        <f t="shared" si="18"/>
        <v>0</v>
      </c>
      <c r="J302" s="707" t="s">
        <v>432</v>
      </c>
      <c r="K302" s="708"/>
      <c r="L302" s="559" t="s">
        <v>433</v>
      </c>
      <c r="M302" s="493">
        <f t="shared" si="19"/>
        <v>0</v>
      </c>
      <c r="N302" s="82"/>
      <c r="O302" s="82"/>
      <c r="P302" s="490">
        <f t="shared" si="20"/>
        <v>0</v>
      </c>
      <c r="Q302" s="491" t="str">
        <f t="shared" si="22"/>
        <v/>
      </c>
    </row>
    <row r="303" spans="1:17" ht="15.75" x14ac:dyDescent="0.25">
      <c r="A303" s="707" t="s">
        <v>434</v>
      </c>
      <c r="B303" s="708"/>
      <c r="C303" s="559" t="s">
        <v>435</v>
      </c>
      <c r="D303" s="493">
        <f t="shared" si="18"/>
        <v>0</v>
      </c>
      <c r="J303" s="707" t="s">
        <v>434</v>
      </c>
      <c r="K303" s="708"/>
      <c r="L303" s="559" t="s">
        <v>435</v>
      </c>
      <c r="M303" s="493">
        <f t="shared" si="19"/>
        <v>0</v>
      </c>
      <c r="N303" s="82"/>
      <c r="O303" s="82"/>
      <c r="P303" s="490">
        <f t="shared" si="20"/>
        <v>0</v>
      </c>
      <c r="Q303" s="491" t="str">
        <f t="shared" si="22"/>
        <v/>
      </c>
    </row>
    <row r="304" spans="1:17" ht="15.75" x14ac:dyDescent="0.25">
      <c r="A304" s="707" t="s">
        <v>436</v>
      </c>
      <c r="B304" s="708"/>
      <c r="C304" s="560" t="s">
        <v>437</v>
      </c>
      <c r="D304" s="493">
        <f t="shared" ref="D304:D311" si="23">COUNTIF($A$2:$BK$74,C304)</f>
        <v>0</v>
      </c>
      <c r="J304" s="707" t="s">
        <v>436</v>
      </c>
      <c r="K304" s="708"/>
      <c r="L304" s="560" t="s">
        <v>437</v>
      </c>
      <c r="M304" s="493">
        <f t="shared" ref="M304:M311" si="24">COUNTIF($BL$3:$CN$45,L304)</f>
        <v>0</v>
      </c>
      <c r="N304" s="82"/>
      <c r="O304" s="82"/>
      <c r="P304" s="490">
        <f t="shared" ref="P304:P311" si="25">D304+M304</f>
        <v>0</v>
      </c>
      <c r="Q304" s="491" t="str">
        <f t="shared" si="22"/>
        <v/>
      </c>
    </row>
    <row r="305" spans="1:17" ht="15.75" x14ac:dyDescent="0.25">
      <c r="A305" s="707" t="s">
        <v>438</v>
      </c>
      <c r="B305" s="708"/>
      <c r="C305" s="552" t="s">
        <v>439</v>
      </c>
      <c r="D305" s="493">
        <f t="shared" si="23"/>
        <v>0</v>
      </c>
      <c r="J305" s="707" t="s">
        <v>438</v>
      </c>
      <c r="K305" s="708"/>
      <c r="L305" s="552" t="s">
        <v>439</v>
      </c>
      <c r="M305" s="493">
        <f t="shared" si="24"/>
        <v>0</v>
      </c>
      <c r="N305" s="82"/>
      <c r="O305" s="82"/>
      <c r="P305" s="490">
        <f t="shared" si="25"/>
        <v>0</v>
      </c>
      <c r="Q305" s="491" t="str">
        <f t="shared" si="22"/>
        <v/>
      </c>
    </row>
    <row r="306" spans="1:17" ht="15.75" x14ac:dyDescent="0.25">
      <c r="A306" s="707" t="s">
        <v>440</v>
      </c>
      <c r="B306" s="708"/>
      <c r="C306" s="558" t="s">
        <v>441</v>
      </c>
      <c r="D306" s="493">
        <f t="shared" si="23"/>
        <v>0</v>
      </c>
      <c r="J306" s="707" t="s">
        <v>440</v>
      </c>
      <c r="K306" s="708"/>
      <c r="L306" s="558" t="s">
        <v>441</v>
      </c>
      <c r="M306" s="493">
        <f t="shared" si="24"/>
        <v>0</v>
      </c>
      <c r="N306" s="82"/>
      <c r="O306" s="82"/>
      <c r="P306" s="490">
        <f t="shared" si="25"/>
        <v>0</v>
      </c>
      <c r="Q306" s="491" t="str">
        <f t="shared" si="22"/>
        <v/>
      </c>
    </row>
    <row r="307" spans="1:17" ht="15.75" x14ac:dyDescent="0.25">
      <c r="A307" s="707" t="s">
        <v>442</v>
      </c>
      <c r="B307" s="708"/>
      <c r="C307" s="561" t="s">
        <v>443</v>
      </c>
      <c r="D307" s="493">
        <f t="shared" si="23"/>
        <v>0</v>
      </c>
      <c r="J307" s="707" t="s">
        <v>442</v>
      </c>
      <c r="K307" s="708"/>
      <c r="L307" s="561" t="s">
        <v>443</v>
      </c>
      <c r="M307" s="493">
        <f t="shared" si="24"/>
        <v>0</v>
      </c>
      <c r="P307" s="490">
        <f t="shared" si="25"/>
        <v>0</v>
      </c>
      <c r="Q307" s="491" t="str">
        <f t="shared" si="22"/>
        <v/>
      </c>
    </row>
    <row r="308" spans="1:17" ht="15.75" x14ac:dyDescent="0.25">
      <c r="A308" s="707" t="s">
        <v>444</v>
      </c>
      <c r="B308" s="708"/>
      <c r="C308" s="562" t="s">
        <v>444</v>
      </c>
      <c r="D308" s="493">
        <f t="shared" si="23"/>
        <v>0</v>
      </c>
      <c r="J308" s="707" t="s">
        <v>444</v>
      </c>
      <c r="K308" s="708"/>
      <c r="L308" s="562" t="s">
        <v>444</v>
      </c>
      <c r="M308" s="493">
        <f t="shared" si="24"/>
        <v>0</v>
      </c>
      <c r="P308" s="490">
        <f t="shared" si="25"/>
        <v>0</v>
      </c>
      <c r="Q308" s="491" t="str">
        <f t="shared" si="22"/>
        <v/>
      </c>
    </row>
    <row r="309" spans="1:17" ht="15.75" x14ac:dyDescent="0.25">
      <c r="A309" s="707" t="s">
        <v>445</v>
      </c>
      <c r="B309" s="708"/>
      <c r="C309" s="501" t="s">
        <v>216</v>
      </c>
      <c r="D309" s="493">
        <f t="shared" si="23"/>
        <v>4</v>
      </c>
      <c r="J309" s="707" t="s">
        <v>445</v>
      </c>
      <c r="K309" s="708"/>
      <c r="L309" s="501" t="s">
        <v>216</v>
      </c>
      <c r="M309" s="493">
        <f t="shared" si="24"/>
        <v>0</v>
      </c>
      <c r="P309" s="490">
        <f t="shared" si="25"/>
        <v>4</v>
      </c>
      <c r="Q309" s="491" t="str">
        <f t="shared" si="22"/>
        <v/>
      </c>
    </row>
    <row r="310" spans="1:17" ht="15.75" x14ac:dyDescent="0.25">
      <c r="A310" s="707" t="s">
        <v>446</v>
      </c>
      <c r="B310" s="708"/>
      <c r="C310" s="540" t="s">
        <v>447</v>
      </c>
      <c r="D310" s="493">
        <f t="shared" si="23"/>
        <v>0</v>
      </c>
      <c r="J310" s="707" t="s">
        <v>446</v>
      </c>
      <c r="K310" s="708"/>
      <c r="L310" s="540" t="s">
        <v>447</v>
      </c>
      <c r="M310" s="493">
        <f t="shared" si="24"/>
        <v>0</v>
      </c>
      <c r="P310" s="490">
        <f t="shared" si="25"/>
        <v>0</v>
      </c>
      <c r="Q310" s="491" t="str">
        <f t="shared" si="22"/>
        <v/>
      </c>
    </row>
    <row r="311" spans="1:17" ht="16.5" thickBot="1" x14ac:dyDescent="0.3">
      <c r="A311" s="707" t="s">
        <v>448</v>
      </c>
      <c r="B311" s="708"/>
      <c r="C311" s="563" t="s">
        <v>449</v>
      </c>
      <c r="D311" s="493">
        <f t="shared" si="23"/>
        <v>0</v>
      </c>
      <c r="J311" s="707" t="s">
        <v>448</v>
      </c>
      <c r="K311" s="708"/>
      <c r="L311" s="563" t="s">
        <v>449</v>
      </c>
      <c r="M311" s="493">
        <f t="shared" si="24"/>
        <v>0</v>
      </c>
      <c r="P311" s="490">
        <f t="shared" si="25"/>
        <v>0</v>
      </c>
      <c r="Q311" s="564" t="str">
        <f t="shared" si="22"/>
        <v/>
      </c>
    </row>
    <row r="312" spans="1:17" ht="15.75" thickTop="1" x14ac:dyDescent="0.25"/>
    <row r="317" spans="1:17" x14ac:dyDescent="0.25">
      <c r="A317" s="709" t="s">
        <v>450</v>
      </c>
      <c r="B317" s="709"/>
      <c r="C317" s="709"/>
      <c r="D317" s="709"/>
      <c r="E317" s="709"/>
      <c r="F317" s="709"/>
      <c r="G317" s="709"/>
      <c r="H317" s="709"/>
      <c r="I317" s="709"/>
      <c r="J317" s="709"/>
      <c r="K317" s="709"/>
      <c r="L317" s="709"/>
      <c r="M317" s="709"/>
      <c r="N317" s="709"/>
      <c r="O317" s="709"/>
      <c r="P317" s="709"/>
      <c r="Q317" s="709"/>
    </row>
    <row r="318" spans="1:17" x14ac:dyDescent="0.25">
      <c r="A318" s="709"/>
      <c r="B318" s="709"/>
      <c r="C318" s="709"/>
      <c r="D318" s="709"/>
      <c r="E318" s="709"/>
      <c r="F318" s="709"/>
      <c r="G318" s="709"/>
      <c r="H318" s="709"/>
      <c r="I318" s="709"/>
      <c r="J318" s="709"/>
      <c r="K318" s="709"/>
      <c r="L318" s="709"/>
      <c r="M318" s="709"/>
      <c r="N318" s="709"/>
      <c r="O318" s="709"/>
      <c r="P318" s="709"/>
      <c r="Q318" s="709"/>
    </row>
    <row r="319" spans="1:17" ht="15.75" thickBot="1" x14ac:dyDescent="0.3"/>
    <row r="320" spans="1:17" ht="27" thickBot="1" x14ac:dyDescent="0.3">
      <c r="A320" s="710" t="s">
        <v>451</v>
      </c>
      <c r="B320" s="711"/>
      <c r="C320" s="711"/>
      <c r="D320" s="712"/>
      <c r="E320" s="565">
        <f>F322+O322</f>
        <v>5</v>
      </c>
    </row>
    <row r="321" spans="1:17" ht="15.75" thickBot="1" x14ac:dyDescent="0.3"/>
    <row r="322" spans="1:17" ht="21.75" thickBot="1" x14ac:dyDescent="0.4">
      <c r="A322" s="702" t="s">
        <v>452</v>
      </c>
      <c r="B322" s="703"/>
      <c r="C322" s="703"/>
      <c r="D322" s="703"/>
      <c r="E322" s="704"/>
      <c r="F322" s="705">
        <f>SUM(E432,E353,E457,E465,E471,E485,E497)</f>
        <v>5</v>
      </c>
      <c r="G322" s="706"/>
      <c r="J322" s="702" t="s">
        <v>453</v>
      </c>
      <c r="K322" s="703"/>
      <c r="L322" s="703"/>
      <c r="M322" s="703"/>
      <c r="N322" s="704"/>
      <c r="O322" s="705">
        <f>SUM(N353,N432,N457,N465,N471,N485,N497)</f>
        <v>0</v>
      </c>
      <c r="P322" s="706"/>
    </row>
    <row r="323" spans="1:17" ht="21.75" thickBot="1" x14ac:dyDescent="0.4">
      <c r="A323" s="483"/>
      <c r="B323" s="484"/>
      <c r="C323" s="484"/>
      <c r="D323" s="484"/>
      <c r="E323" s="485"/>
      <c r="F323" s="485"/>
      <c r="G323" s="485"/>
      <c r="J323" s="485"/>
      <c r="K323" s="485"/>
      <c r="L323" s="485"/>
      <c r="M323" s="485"/>
      <c r="N323" s="485"/>
      <c r="O323" s="485"/>
      <c r="P323" s="485"/>
      <c r="Q323" s="485"/>
    </row>
    <row r="324" spans="1:17" ht="18.75" thickBot="1" x14ac:dyDescent="0.3">
      <c r="A324" s="696" t="s">
        <v>454</v>
      </c>
      <c r="B324" s="697"/>
      <c r="C324" s="697"/>
      <c r="D324" s="698"/>
      <c r="J324" s="696" t="s">
        <v>454</v>
      </c>
      <c r="K324" s="697"/>
      <c r="L324" s="697"/>
      <c r="M324" s="698"/>
    </row>
    <row r="325" spans="1:17" ht="15.75" x14ac:dyDescent="0.25">
      <c r="A325" s="692" t="s">
        <v>455</v>
      </c>
      <c r="B325" s="693"/>
      <c r="C325" s="694"/>
      <c r="D325" s="91" t="s">
        <v>456</v>
      </c>
      <c r="E325" s="493">
        <f t="shared" ref="E325:E352" si="26">COUNTIF($A$2:$BK$74,D325)</f>
        <v>0</v>
      </c>
      <c r="J325" s="692" t="s">
        <v>455</v>
      </c>
      <c r="K325" s="693"/>
      <c r="L325" s="694"/>
      <c r="M325" s="91" t="s">
        <v>456</v>
      </c>
      <c r="N325" s="493">
        <f t="shared" ref="N325:N352" si="27">COUNTIF($BL$3:$CN$45,M325)</f>
        <v>0</v>
      </c>
    </row>
    <row r="326" spans="1:17" ht="15.75" x14ac:dyDescent="0.25">
      <c r="A326" s="692" t="s">
        <v>457</v>
      </c>
      <c r="B326" s="693"/>
      <c r="C326" s="694"/>
      <c r="D326" s="91" t="s">
        <v>458</v>
      </c>
      <c r="E326" s="493">
        <f t="shared" si="26"/>
        <v>0</v>
      </c>
      <c r="J326" s="692" t="s">
        <v>457</v>
      </c>
      <c r="K326" s="693"/>
      <c r="L326" s="694"/>
      <c r="M326" s="91" t="s">
        <v>458</v>
      </c>
      <c r="N326" s="493">
        <f t="shared" si="27"/>
        <v>0</v>
      </c>
    </row>
    <row r="327" spans="1:17" ht="15.75" x14ac:dyDescent="0.25">
      <c r="A327" s="692" t="s">
        <v>459</v>
      </c>
      <c r="B327" s="693"/>
      <c r="C327" s="694"/>
      <c r="D327" s="91" t="s">
        <v>460</v>
      </c>
      <c r="E327" s="493">
        <f t="shared" si="26"/>
        <v>0</v>
      </c>
      <c r="J327" s="692" t="s">
        <v>459</v>
      </c>
      <c r="K327" s="693"/>
      <c r="L327" s="694"/>
      <c r="M327" s="91" t="s">
        <v>460</v>
      </c>
      <c r="N327" s="493">
        <f t="shared" si="27"/>
        <v>0</v>
      </c>
    </row>
    <row r="328" spans="1:17" ht="15.75" x14ac:dyDescent="0.25">
      <c r="A328" s="692" t="s">
        <v>461</v>
      </c>
      <c r="B328" s="693"/>
      <c r="C328" s="694"/>
      <c r="D328" s="91" t="s">
        <v>462</v>
      </c>
      <c r="E328" s="493">
        <f t="shared" si="26"/>
        <v>0</v>
      </c>
      <c r="J328" s="692" t="s">
        <v>461</v>
      </c>
      <c r="K328" s="693"/>
      <c r="L328" s="694"/>
      <c r="M328" s="91" t="s">
        <v>462</v>
      </c>
      <c r="N328" s="493">
        <f t="shared" si="27"/>
        <v>0</v>
      </c>
    </row>
    <row r="329" spans="1:17" ht="15.75" x14ac:dyDescent="0.25">
      <c r="A329" s="692" t="s">
        <v>463</v>
      </c>
      <c r="B329" s="693"/>
      <c r="C329" s="694"/>
      <c r="D329" s="91" t="s">
        <v>464</v>
      </c>
      <c r="E329" s="493">
        <f t="shared" si="26"/>
        <v>0</v>
      </c>
      <c r="J329" s="692" t="s">
        <v>463</v>
      </c>
      <c r="K329" s="693"/>
      <c r="L329" s="694"/>
      <c r="M329" s="91" t="s">
        <v>464</v>
      </c>
      <c r="N329" s="493">
        <f t="shared" si="27"/>
        <v>0</v>
      </c>
    </row>
    <row r="330" spans="1:17" ht="15.75" x14ac:dyDescent="0.25">
      <c r="A330" s="692" t="s">
        <v>465</v>
      </c>
      <c r="B330" s="693"/>
      <c r="C330" s="694"/>
      <c r="D330" s="91" t="s">
        <v>466</v>
      </c>
      <c r="E330" s="493">
        <f t="shared" si="26"/>
        <v>0</v>
      </c>
      <c r="J330" s="692" t="s">
        <v>465</v>
      </c>
      <c r="K330" s="693"/>
      <c r="L330" s="694"/>
      <c r="M330" s="91" t="s">
        <v>466</v>
      </c>
      <c r="N330" s="493">
        <f t="shared" si="27"/>
        <v>0</v>
      </c>
    </row>
    <row r="331" spans="1:17" ht="15.75" x14ac:dyDescent="0.25">
      <c r="A331" s="692" t="s">
        <v>467</v>
      </c>
      <c r="B331" s="693"/>
      <c r="C331" s="694"/>
      <c r="D331" s="91" t="s">
        <v>468</v>
      </c>
      <c r="E331" s="493">
        <f t="shared" si="26"/>
        <v>0</v>
      </c>
      <c r="J331" s="692" t="s">
        <v>467</v>
      </c>
      <c r="K331" s="693"/>
      <c r="L331" s="694"/>
      <c r="M331" s="91" t="s">
        <v>468</v>
      </c>
      <c r="N331" s="493">
        <f t="shared" si="27"/>
        <v>0</v>
      </c>
    </row>
    <row r="332" spans="1:17" ht="15.75" x14ac:dyDescent="0.25">
      <c r="A332" s="692" t="s">
        <v>469</v>
      </c>
      <c r="B332" s="693"/>
      <c r="C332" s="694"/>
      <c r="D332" s="91" t="s">
        <v>470</v>
      </c>
      <c r="E332" s="493">
        <f t="shared" si="26"/>
        <v>0</v>
      </c>
      <c r="J332" s="692" t="s">
        <v>469</v>
      </c>
      <c r="K332" s="693"/>
      <c r="L332" s="694"/>
      <c r="M332" s="91" t="s">
        <v>470</v>
      </c>
      <c r="N332" s="493">
        <f t="shared" si="27"/>
        <v>0</v>
      </c>
    </row>
    <row r="333" spans="1:17" ht="15.75" x14ac:dyDescent="0.25">
      <c r="A333" s="692" t="s">
        <v>471</v>
      </c>
      <c r="B333" s="693"/>
      <c r="C333" s="694"/>
      <c r="D333" s="91" t="s">
        <v>472</v>
      </c>
      <c r="E333" s="493">
        <f t="shared" si="26"/>
        <v>0</v>
      </c>
      <c r="J333" s="692" t="s">
        <v>471</v>
      </c>
      <c r="K333" s="693"/>
      <c r="L333" s="694"/>
      <c r="M333" s="91" t="s">
        <v>472</v>
      </c>
      <c r="N333" s="493">
        <f t="shared" si="27"/>
        <v>0</v>
      </c>
    </row>
    <row r="334" spans="1:17" ht="15.75" x14ac:dyDescent="0.25">
      <c r="A334" s="692" t="s">
        <v>473</v>
      </c>
      <c r="B334" s="693"/>
      <c r="C334" s="694"/>
      <c r="D334" s="91" t="s">
        <v>474</v>
      </c>
      <c r="E334" s="493">
        <f t="shared" si="26"/>
        <v>0</v>
      </c>
      <c r="J334" s="692" t="s">
        <v>473</v>
      </c>
      <c r="K334" s="693"/>
      <c r="L334" s="694"/>
      <c r="M334" s="91" t="s">
        <v>474</v>
      </c>
      <c r="N334" s="493">
        <f t="shared" si="27"/>
        <v>0</v>
      </c>
    </row>
    <row r="335" spans="1:17" ht="15.75" x14ac:dyDescent="0.25">
      <c r="A335" s="692" t="s">
        <v>475</v>
      </c>
      <c r="B335" s="693"/>
      <c r="C335" s="694"/>
      <c r="D335" s="91" t="s">
        <v>476</v>
      </c>
      <c r="E335" s="493">
        <f t="shared" si="26"/>
        <v>0</v>
      </c>
      <c r="J335" s="692" t="s">
        <v>475</v>
      </c>
      <c r="K335" s="693"/>
      <c r="L335" s="694"/>
      <c r="M335" s="91" t="s">
        <v>476</v>
      </c>
      <c r="N335" s="493">
        <f t="shared" si="27"/>
        <v>0</v>
      </c>
    </row>
    <row r="336" spans="1:17" ht="15.75" x14ac:dyDescent="0.25">
      <c r="A336" s="692" t="s">
        <v>477</v>
      </c>
      <c r="B336" s="693"/>
      <c r="C336" s="694"/>
      <c r="D336" s="91" t="s">
        <v>478</v>
      </c>
      <c r="E336" s="493">
        <f t="shared" si="26"/>
        <v>0</v>
      </c>
      <c r="J336" s="692" t="s">
        <v>477</v>
      </c>
      <c r="K336" s="693"/>
      <c r="L336" s="694"/>
      <c r="M336" s="91" t="s">
        <v>478</v>
      </c>
      <c r="N336" s="493">
        <f t="shared" si="27"/>
        <v>0</v>
      </c>
    </row>
    <row r="337" spans="1:14" ht="15.75" x14ac:dyDescent="0.25">
      <c r="A337" s="692" t="s">
        <v>479</v>
      </c>
      <c r="B337" s="693"/>
      <c r="C337" s="694"/>
      <c r="D337" s="91" t="s">
        <v>480</v>
      </c>
      <c r="E337" s="493">
        <f t="shared" si="26"/>
        <v>0</v>
      </c>
      <c r="J337" s="692" t="s">
        <v>479</v>
      </c>
      <c r="K337" s="693"/>
      <c r="L337" s="694"/>
      <c r="M337" s="91" t="s">
        <v>480</v>
      </c>
      <c r="N337" s="493">
        <f t="shared" si="27"/>
        <v>0</v>
      </c>
    </row>
    <row r="338" spans="1:14" ht="15.75" x14ac:dyDescent="0.25">
      <c r="A338" s="692" t="s">
        <v>481</v>
      </c>
      <c r="B338" s="693"/>
      <c r="C338" s="694"/>
      <c r="D338" s="91" t="s">
        <v>482</v>
      </c>
      <c r="E338" s="493">
        <f t="shared" si="26"/>
        <v>0</v>
      </c>
      <c r="J338" s="692" t="s">
        <v>481</v>
      </c>
      <c r="K338" s="693"/>
      <c r="L338" s="694"/>
      <c r="M338" s="91" t="s">
        <v>482</v>
      </c>
      <c r="N338" s="493">
        <f t="shared" si="27"/>
        <v>0</v>
      </c>
    </row>
    <row r="339" spans="1:14" ht="15.75" x14ac:dyDescent="0.25">
      <c r="A339" s="692" t="s">
        <v>483</v>
      </c>
      <c r="B339" s="693"/>
      <c r="C339" s="694"/>
      <c r="D339" s="91" t="s">
        <v>484</v>
      </c>
      <c r="E339" s="493">
        <f t="shared" si="26"/>
        <v>0</v>
      </c>
      <c r="J339" s="692" t="s">
        <v>483</v>
      </c>
      <c r="K339" s="693"/>
      <c r="L339" s="694"/>
      <c r="M339" s="91" t="s">
        <v>484</v>
      </c>
      <c r="N339" s="493">
        <f t="shared" si="27"/>
        <v>0</v>
      </c>
    </row>
    <row r="340" spans="1:14" ht="15.75" x14ac:dyDescent="0.25">
      <c r="A340" s="692" t="s">
        <v>485</v>
      </c>
      <c r="B340" s="693"/>
      <c r="C340" s="694"/>
      <c r="D340" s="91" t="s">
        <v>486</v>
      </c>
      <c r="E340" s="493">
        <f t="shared" si="26"/>
        <v>0</v>
      </c>
      <c r="J340" s="692" t="s">
        <v>485</v>
      </c>
      <c r="K340" s="693"/>
      <c r="L340" s="694"/>
      <c r="M340" s="91" t="s">
        <v>486</v>
      </c>
      <c r="N340" s="493">
        <f t="shared" si="27"/>
        <v>0</v>
      </c>
    </row>
    <row r="341" spans="1:14" ht="15.75" x14ac:dyDescent="0.25">
      <c r="A341" s="692" t="s">
        <v>487</v>
      </c>
      <c r="B341" s="693"/>
      <c r="C341" s="694"/>
      <c r="D341" s="91" t="s">
        <v>488</v>
      </c>
      <c r="E341" s="493">
        <f t="shared" si="26"/>
        <v>0</v>
      </c>
      <c r="J341" s="692" t="s">
        <v>487</v>
      </c>
      <c r="K341" s="693"/>
      <c r="L341" s="694"/>
      <c r="M341" s="91" t="s">
        <v>488</v>
      </c>
      <c r="N341" s="493">
        <f t="shared" si="27"/>
        <v>0</v>
      </c>
    </row>
    <row r="342" spans="1:14" ht="15.75" x14ac:dyDescent="0.25">
      <c r="A342" s="692" t="s">
        <v>489</v>
      </c>
      <c r="B342" s="693"/>
      <c r="C342" s="694"/>
      <c r="D342" s="91" t="s">
        <v>490</v>
      </c>
      <c r="E342" s="493">
        <f t="shared" si="26"/>
        <v>0</v>
      </c>
      <c r="J342" s="692" t="s">
        <v>489</v>
      </c>
      <c r="K342" s="693"/>
      <c r="L342" s="694"/>
      <c r="M342" s="91" t="s">
        <v>490</v>
      </c>
      <c r="N342" s="493">
        <f t="shared" si="27"/>
        <v>0</v>
      </c>
    </row>
    <row r="343" spans="1:14" ht="15.75" x14ac:dyDescent="0.25">
      <c r="A343" s="692" t="s">
        <v>491</v>
      </c>
      <c r="B343" s="693"/>
      <c r="C343" s="694"/>
      <c r="D343" s="91" t="s">
        <v>492</v>
      </c>
      <c r="E343" s="493">
        <f t="shared" si="26"/>
        <v>0</v>
      </c>
      <c r="J343" s="692" t="s">
        <v>491</v>
      </c>
      <c r="K343" s="693"/>
      <c r="L343" s="694"/>
      <c r="M343" s="91" t="s">
        <v>492</v>
      </c>
      <c r="N343" s="493">
        <f t="shared" si="27"/>
        <v>0</v>
      </c>
    </row>
    <row r="344" spans="1:14" ht="15.75" x14ac:dyDescent="0.25">
      <c r="A344" s="692" t="s">
        <v>493</v>
      </c>
      <c r="B344" s="693"/>
      <c r="C344" s="694"/>
      <c r="D344" s="91" t="s">
        <v>494</v>
      </c>
      <c r="E344" s="493">
        <f t="shared" si="26"/>
        <v>0</v>
      </c>
      <c r="J344" s="692" t="s">
        <v>493</v>
      </c>
      <c r="K344" s="693"/>
      <c r="L344" s="694"/>
      <c r="M344" s="91" t="s">
        <v>494</v>
      </c>
      <c r="N344" s="493">
        <f t="shared" si="27"/>
        <v>0</v>
      </c>
    </row>
    <row r="345" spans="1:14" ht="15.75" x14ac:dyDescent="0.25">
      <c r="A345" s="692" t="s">
        <v>495</v>
      </c>
      <c r="B345" s="693"/>
      <c r="C345" s="694"/>
      <c r="D345" s="91" t="s">
        <v>496</v>
      </c>
      <c r="E345" s="493">
        <f t="shared" si="26"/>
        <v>0</v>
      </c>
      <c r="J345" s="692" t="s">
        <v>495</v>
      </c>
      <c r="K345" s="693"/>
      <c r="L345" s="694"/>
      <c r="M345" s="91" t="s">
        <v>496</v>
      </c>
      <c r="N345" s="493">
        <f t="shared" si="27"/>
        <v>0</v>
      </c>
    </row>
    <row r="346" spans="1:14" ht="15.75" x14ac:dyDescent="0.25">
      <c r="A346" s="692" t="s">
        <v>497</v>
      </c>
      <c r="B346" s="693"/>
      <c r="C346" s="694"/>
      <c r="D346" s="91" t="s">
        <v>498</v>
      </c>
      <c r="E346" s="493">
        <f t="shared" si="26"/>
        <v>0</v>
      </c>
      <c r="J346" s="692" t="s">
        <v>497</v>
      </c>
      <c r="K346" s="693"/>
      <c r="L346" s="694"/>
      <c r="M346" s="91" t="s">
        <v>498</v>
      </c>
      <c r="N346" s="493">
        <f t="shared" si="27"/>
        <v>0</v>
      </c>
    </row>
    <row r="347" spans="1:14" ht="15.75" x14ac:dyDescent="0.25">
      <c r="A347" s="692" t="s">
        <v>499</v>
      </c>
      <c r="B347" s="693"/>
      <c r="C347" s="694"/>
      <c r="D347" s="91" t="s">
        <v>500</v>
      </c>
      <c r="E347" s="493">
        <f t="shared" si="26"/>
        <v>0</v>
      </c>
      <c r="J347" s="692" t="s">
        <v>499</v>
      </c>
      <c r="K347" s="693"/>
      <c r="L347" s="694"/>
      <c r="M347" s="91" t="s">
        <v>500</v>
      </c>
      <c r="N347" s="493">
        <f t="shared" si="27"/>
        <v>0</v>
      </c>
    </row>
    <row r="348" spans="1:14" ht="15.75" x14ac:dyDescent="0.25">
      <c r="A348" s="692" t="s">
        <v>501</v>
      </c>
      <c r="B348" s="693"/>
      <c r="C348" s="694"/>
      <c r="D348" s="91" t="s">
        <v>502</v>
      </c>
      <c r="E348" s="493">
        <f t="shared" si="26"/>
        <v>0</v>
      </c>
      <c r="J348" s="692" t="s">
        <v>501</v>
      </c>
      <c r="K348" s="693"/>
      <c r="L348" s="694"/>
      <c r="M348" s="91" t="s">
        <v>502</v>
      </c>
      <c r="N348" s="493">
        <f t="shared" si="27"/>
        <v>0</v>
      </c>
    </row>
    <row r="349" spans="1:14" ht="15.75" x14ac:dyDescent="0.25">
      <c r="A349" s="692" t="s">
        <v>503</v>
      </c>
      <c r="B349" s="693"/>
      <c r="C349" s="694"/>
      <c r="D349" s="91" t="s">
        <v>504</v>
      </c>
      <c r="E349" s="493">
        <f t="shared" si="26"/>
        <v>0</v>
      </c>
      <c r="J349" s="692" t="s">
        <v>503</v>
      </c>
      <c r="K349" s="693"/>
      <c r="L349" s="694"/>
      <c r="M349" s="91" t="s">
        <v>504</v>
      </c>
      <c r="N349" s="493">
        <f t="shared" si="27"/>
        <v>0</v>
      </c>
    </row>
    <row r="350" spans="1:14" ht="15.75" x14ac:dyDescent="0.25">
      <c r="A350" s="692" t="s">
        <v>505</v>
      </c>
      <c r="B350" s="693"/>
      <c r="C350" s="694"/>
      <c r="D350" s="91" t="s">
        <v>506</v>
      </c>
      <c r="E350" s="493">
        <f t="shared" si="26"/>
        <v>0</v>
      </c>
      <c r="J350" s="692" t="s">
        <v>505</v>
      </c>
      <c r="K350" s="693"/>
      <c r="L350" s="694"/>
      <c r="M350" s="91" t="s">
        <v>506</v>
      </c>
      <c r="N350" s="493">
        <f t="shared" si="27"/>
        <v>0</v>
      </c>
    </row>
    <row r="351" spans="1:14" ht="15.75" x14ac:dyDescent="0.25">
      <c r="A351" s="692" t="s">
        <v>507</v>
      </c>
      <c r="B351" s="693"/>
      <c r="C351" s="694"/>
      <c r="D351" s="91" t="s">
        <v>508</v>
      </c>
      <c r="E351" s="493">
        <f t="shared" si="26"/>
        <v>0</v>
      </c>
      <c r="J351" s="692" t="s">
        <v>507</v>
      </c>
      <c r="K351" s="693"/>
      <c r="L351" s="694"/>
      <c r="M351" s="91" t="s">
        <v>508</v>
      </c>
      <c r="N351" s="493">
        <f t="shared" si="27"/>
        <v>0</v>
      </c>
    </row>
    <row r="352" spans="1:14" ht="15.75" x14ac:dyDescent="0.25">
      <c r="A352" s="692" t="s">
        <v>509</v>
      </c>
      <c r="B352" s="693"/>
      <c r="C352" s="694"/>
      <c r="D352" s="91" t="s">
        <v>510</v>
      </c>
      <c r="E352" s="493">
        <f t="shared" si="26"/>
        <v>0</v>
      </c>
      <c r="J352" s="692" t="s">
        <v>509</v>
      </c>
      <c r="K352" s="693"/>
      <c r="L352" s="694"/>
      <c r="M352" s="91" t="s">
        <v>510</v>
      </c>
      <c r="N352" s="493">
        <f t="shared" si="27"/>
        <v>0</v>
      </c>
    </row>
    <row r="353" spans="1:14" ht="18.75" thickBot="1" x14ac:dyDescent="0.3">
      <c r="A353" s="695" t="s">
        <v>251</v>
      </c>
      <c r="B353" s="695"/>
      <c r="C353" s="695"/>
      <c r="D353" s="695"/>
      <c r="E353" s="566">
        <f>SUM(E325:E352)</f>
        <v>0</v>
      </c>
      <c r="J353" s="695" t="s">
        <v>251</v>
      </c>
      <c r="K353" s="695"/>
      <c r="L353" s="695"/>
      <c r="M353" s="695"/>
      <c r="N353" s="566">
        <f>SUM(N325:N352)</f>
        <v>0</v>
      </c>
    </row>
    <row r="354" spans="1:14" ht="18.75" thickBot="1" x14ac:dyDescent="0.3">
      <c r="A354" s="696" t="s">
        <v>511</v>
      </c>
      <c r="B354" s="697"/>
      <c r="C354" s="697"/>
      <c r="D354" s="698"/>
      <c r="J354" s="696" t="s">
        <v>511</v>
      </c>
      <c r="K354" s="697"/>
      <c r="L354" s="697"/>
      <c r="M354" s="698"/>
    </row>
    <row r="355" spans="1:14" ht="15.75" x14ac:dyDescent="0.25">
      <c r="A355" s="692" t="s">
        <v>512</v>
      </c>
      <c r="B355" s="693"/>
      <c r="C355" s="694"/>
      <c r="D355" s="91" t="s">
        <v>513</v>
      </c>
      <c r="E355" s="493">
        <f t="shared" ref="E355:E418" si="28">COUNTIF($A$2:$BK$74,D355)</f>
        <v>0</v>
      </c>
      <c r="J355" s="692" t="s">
        <v>512</v>
      </c>
      <c r="K355" s="693"/>
      <c r="L355" s="694"/>
      <c r="M355" s="91" t="s">
        <v>513</v>
      </c>
      <c r="N355" s="493">
        <f t="shared" ref="N355:N418" si="29">COUNTIF($BL$3:$CN$45,M355)</f>
        <v>0</v>
      </c>
    </row>
    <row r="356" spans="1:14" ht="15.75" x14ac:dyDescent="0.25">
      <c r="A356" s="692" t="s">
        <v>514</v>
      </c>
      <c r="B356" s="693"/>
      <c r="C356" s="694"/>
      <c r="D356" s="91" t="s">
        <v>515</v>
      </c>
      <c r="E356" s="493">
        <f t="shared" si="28"/>
        <v>0</v>
      </c>
      <c r="J356" s="692" t="s">
        <v>514</v>
      </c>
      <c r="K356" s="693"/>
      <c r="L356" s="694"/>
      <c r="M356" s="91" t="s">
        <v>515</v>
      </c>
      <c r="N356" s="493">
        <f t="shared" si="29"/>
        <v>0</v>
      </c>
    </row>
    <row r="357" spans="1:14" ht="15.75" x14ac:dyDescent="0.25">
      <c r="A357" s="692" t="s">
        <v>516</v>
      </c>
      <c r="B357" s="693"/>
      <c r="C357" s="694"/>
      <c r="D357" s="91" t="s">
        <v>517</v>
      </c>
      <c r="E357" s="493">
        <f t="shared" si="28"/>
        <v>0</v>
      </c>
      <c r="J357" s="692" t="s">
        <v>516</v>
      </c>
      <c r="K357" s="693"/>
      <c r="L357" s="694"/>
      <c r="M357" s="91" t="s">
        <v>517</v>
      </c>
      <c r="N357" s="493">
        <f t="shared" si="29"/>
        <v>0</v>
      </c>
    </row>
    <row r="358" spans="1:14" ht="15.75" x14ac:dyDescent="0.25">
      <c r="A358" s="692" t="s">
        <v>518</v>
      </c>
      <c r="B358" s="693"/>
      <c r="C358" s="694"/>
      <c r="D358" s="91" t="s">
        <v>519</v>
      </c>
      <c r="E358" s="493">
        <f t="shared" si="28"/>
        <v>0</v>
      </c>
      <c r="J358" s="692" t="s">
        <v>518</v>
      </c>
      <c r="K358" s="693"/>
      <c r="L358" s="694"/>
      <c r="M358" s="91" t="s">
        <v>519</v>
      </c>
      <c r="N358" s="493">
        <f t="shared" si="29"/>
        <v>0</v>
      </c>
    </row>
    <row r="359" spans="1:14" ht="15.75" x14ac:dyDescent="0.25">
      <c r="A359" s="692" t="s">
        <v>520</v>
      </c>
      <c r="B359" s="693"/>
      <c r="C359" s="694"/>
      <c r="D359" s="91" t="s">
        <v>521</v>
      </c>
      <c r="E359" s="493">
        <f t="shared" si="28"/>
        <v>0</v>
      </c>
      <c r="J359" s="692" t="s">
        <v>520</v>
      </c>
      <c r="K359" s="693"/>
      <c r="L359" s="694"/>
      <c r="M359" s="91" t="s">
        <v>521</v>
      </c>
      <c r="N359" s="493">
        <f t="shared" si="29"/>
        <v>0</v>
      </c>
    </row>
    <row r="360" spans="1:14" ht="15.75" x14ac:dyDescent="0.25">
      <c r="A360" s="692" t="s">
        <v>522</v>
      </c>
      <c r="B360" s="693"/>
      <c r="C360" s="694"/>
      <c r="D360" s="91" t="s">
        <v>523</v>
      </c>
      <c r="E360" s="493">
        <f t="shared" si="28"/>
        <v>0</v>
      </c>
      <c r="J360" s="692" t="s">
        <v>522</v>
      </c>
      <c r="K360" s="693"/>
      <c r="L360" s="694"/>
      <c r="M360" s="91" t="s">
        <v>523</v>
      </c>
      <c r="N360" s="493">
        <f t="shared" si="29"/>
        <v>0</v>
      </c>
    </row>
    <row r="361" spans="1:14" ht="15.75" x14ac:dyDescent="0.25">
      <c r="A361" s="692" t="s">
        <v>524</v>
      </c>
      <c r="B361" s="693"/>
      <c r="C361" s="694"/>
      <c r="D361" s="91" t="s">
        <v>525</v>
      </c>
      <c r="E361" s="493">
        <f t="shared" si="28"/>
        <v>0</v>
      </c>
      <c r="J361" s="692" t="s">
        <v>524</v>
      </c>
      <c r="K361" s="693"/>
      <c r="L361" s="694"/>
      <c r="M361" s="91" t="s">
        <v>525</v>
      </c>
      <c r="N361" s="493">
        <f t="shared" si="29"/>
        <v>0</v>
      </c>
    </row>
    <row r="362" spans="1:14" ht="15.75" x14ac:dyDescent="0.25">
      <c r="A362" s="692" t="s">
        <v>526</v>
      </c>
      <c r="B362" s="693"/>
      <c r="C362" s="694"/>
      <c r="D362" s="91" t="s">
        <v>527</v>
      </c>
      <c r="E362" s="493">
        <f t="shared" si="28"/>
        <v>0</v>
      </c>
      <c r="J362" s="692" t="s">
        <v>526</v>
      </c>
      <c r="K362" s="693"/>
      <c r="L362" s="694"/>
      <c r="M362" s="91" t="s">
        <v>527</v>
      </c>
      <c r="N362" s="493">
        <f t="shared" si="29"/>
        <v>0</v>
      </c>
    </row>
    <row r="363" spans="1:14" ht="15.75" x14ac:dyDescent="0.25">
      <c r="A363" s="692" t="s">
        <v>528</v>
      </c>
      <c r="B363" s="693"/>
      <c r="C363" s="694"/>
      <c r="D363" s="91" t="s">
        <v>529</v>
      </c>
      <c r="E363" s="493">
        <f t="shared" si="28"/>
        <v>0</v>
      </c>
      <c r="J363" s="692" t="s">
        <v>528</v>
      </c>
      <c r="K363" s="693"/>
      <c r="L363" s="694"/>
      <c r="M363" s="91" t="s">
        <v>529</v>
      </c>
      <c r="N363" s="493">
        <f t="shared" si="29"/>
        <v>0</v>
      </c>
    </row>
    <row r="364" spans="1:14" ht="15.75" x14ac:dyDescent="0.25">
      <c r="A364" s="692" t="s">
        <v>530</v>
      </c>
      <c r="B364" s="693"/>
      <c r="C364" s="694"/>
      <c r="D364" s="91" t="s">
        <v>224</v>
      </c>
      <c r="E364" s="493">
        <f t="shared" si="28"/>
        <v>1</v>
      </c>
      <c r="J364" s="692" t="s">
        <v>530</v>
      </c>
      <c r="K364" s="693"/>
      <c r="L364" s="694"/>
      <c r="M364" s="91" t="s">
        <v>224</v>
      </c>
      <c r="N364" s="493">
        <f t="shared" si="29"/>
        <v>0</v>
      </c>
    </row>
    <row r="365" spans="1:14" ht="15.75" x14ac:dyDescent="0.25">
      <c r="A365" s="692" t="s">
        <v>531</v>
      </c>
      <c r="B365" s="693"/>
      <c r="C365" s="694"/>
      <c r="D365" s="91" t="s">
        <v>532</v>
      </c>
      <c r="E365" s="493">
        <f t="shared" si="28"/>
        <v>0</v>
      </c>
      <c r="J365" s="692" t="s">
        <v>531</v>
      </c>
      <c r="K365" s="693"/>
      <c r="L365" s="694"/>
      <c r="M365" s="91" t="s">
        <v>532</v>
      </c>
      <c r="N365" s="493">
        <f t="shared" si="29"/>
        <v>0</v>
      </c>
    </row>
    <row r="366" spans="1:14" ht="15.75" x14ac:dyDescent="0.25">
      <c r="A366" s="692" t="s">
        <v>533</v>
      </c>
      <c r="B366" s="693"/>
      <c r="C366" s="694"/>
      <c r="D366" s="91" t="s">
        <v>534</v>
      </c>
      <c r="E366" s="493">
        <f t="shared" si="28"/>
        <v>0</v>
      </c>
      <c r="J366" s="692" t="s">
        <v>533</v>
      </c>
      <c r="K366" s="693"/>
      <c r="L366" s="694"/>
      <c r="M366" s="91" t="s">
        <v>534</v>
      </c>
      <c r="N366" s="493">
        <f t="shared" si="29"/>
        <v>0</v>
      </c>
    </row>
    <row r="367" spans="1:14" ht="15.75" x14ac:dyDescent="0.25">
      <c r="A367" s="692" t="s">
        <v>535</v>
      </c>
      <c r="B367" s="693"/>
      <c r="C367" s="694"/>
      <c r="D367" s="91" t="s">
        <v>536</v>
      </c>
      <c r="E367" s="493">
        <f t="shared" si="28"/>
        <v>0</v>
      </c>
      <c r="J367" s="692" t="s">
        <v>535</v>
      </c>
      <c r="K367" s="693"/>
      <c r="L367" s="694"/>
      <c r="M367" s="91" t="s">
        <v>536</v>
      </c>
      <c r="N367" s="493">
        <f t="shared" si="29"/>
        <v>0</v>
      </c>
    </row>
    <row r="368" spans="1:14" ht="15.75" x14ac:dyDescent="0.25">
      <c r="A368" s="692" t="s">
        <v>537</v>
      </c>
      <c r="B368" s="693"/>
      <c r="C368" s="694"/>
      <c r="D368" s="91" t="s">
        <v>538</v>
      </c>
      <c r="E368" s="493">
        <f t="shared" si="28"/>
        <v>0</v>
      </c>
      <c r="J368" s="692" t="s">
        <v>537</v>
      </c>
      <c r="K368" s="693"/>
      <c r="L368" s="694"/>
      <c r="M368" s="91" t="s">
        <v>538</v>
      </c>
      <c r="N368" s="493">
        <f t="shared" si="29"/>
        <v>0</v>
      </c>
    </row>
    <row r="369" spans="1:17" ht="15.75" x14ac:dyDescent="0.25">
      <c r="A369" s="692" t="s">
        <v>539</v>
      </c>
      <c r="B369" s="693"/>
      <c r="C369" s="694"/>
      <c r="D369" s="91" t="s">
        <v>540</v>
      </c>
      <c r="E369" s="493">
        <f t="shared" si="28"/>
        <v>0</v>
      </c>
      <c r="J369" s="692" t="s">
        <v>539</v>
      </c>
      <c r="K369" s="693"/>
      <c r="L369" s="694"/>
      <c r="M369" s="91" t="s">
        <v>540</v>
      </c>
      <c r="N369" s="493">
        <f t="shared" si="29"/>
        <v>0</v>
      </c>
    </row>
    <row r="370" spans="1:17" ht="15.75" x14ac:dyDescent="0.25">
      <c r="A370" s="692" t="s">
        <v>541</v>
      </c>
      <c r="B370" s="693"/>
      <c r="C370" s="694"/>
      <c r="D370" s="91" t="s">
        <v>542</v>
      </c>
      <c r="E370" s="493">
        <f t="shared" si="28"/>
        <v>0</v>
      </c>
      <c r="J370" s="692" t="s">
        <v>541</v>
      </c>
      <c r="K370" s="693"/>
      <c r="L370" s="694"/>
      <c r="M370" s="91" t="s">
        <v>542</v>
      </c>
      <c r="N370" s="493">
        <f t="shared" si="29"/>
        <v>0</v>
      </c>
    </row>
    <row r="371" spans="1:17" ht="15.75" x14ac:dyDescent="0.25">
      <c r="A371" s="692" t="s">
        <v>543</v>
      </c>
      <c r="B371" s="693"/>
      <c r="C371" s="694"/>
      <c r="D371" s="91" t="s">
        <v>544</v>
      </c>
      <c r="E371" s="493">
        <f t="shared" si="28"/>
        <v>0</v>
      </c>
      <c r="J371" s="692" t="s">
        <v>543</v>
      </c>
      <c r="K371" s="693"/>
      <c r="L371" s="694"/>
      <c r="M371" s="91" t="s">
        <v>544</v>
      </c>
      <c r="N371" s="493">
        <f t="shared" si="29"/>
        <v>0</v>
      </c>
    </row>
    <row r="372" spans="1:17" ht="15.75" x14ac:dyDescent="0.25">
      <c r="A372" s="692" t="s">
        <v>545</v>
      </c>
      <c r="B372" s="693"/>
      <c r="C372" s="694"/>
      <c r="D372" s="91" t="s">
        <v>546</v>
      </c>
      <c r="E372" s="493">
        <f t="shared" si="28"/>
        <v>0</v>
      </c>
      <c r="J372" s="692" t="s">
        <v>545</v>
      </c>
      <c r="K372" s="693"/>
      <c r="L372" s="694"/>
      <c r="M372" s="91" t="s">
        <v>546</v>
      </c>
      <c r="N372" s="493">
        <f t="shared" si="29"/>
        <v>0</v>
      </c>
      <c r="O372" s="567"/>
      <c r="P372" s="567"/>
      <c r="Q372" s="567"/>
    </row>
    <row r="373" spans="1:17" ht="15.75" x14ac:dyDescent="0.25">
      <c r="A373" s="692" t="s">
        <v>547</v>
      </c>
      <c r="B373" s="693"/>
      <c r="C373" s="694"/>
      <c r="D373" s="91" t="s">
        <v>548</v>
      </c>
      <c r="E373" s="493">
        <f t="shared" si="28"/>
        <v>0</v>
      </c>
      <c r="J373" s="692" t="s">
        <v>547</v>
      </c>
      <c r="K373" s="693"/>
      <c r="L373" s="694"/>
      <c r="M373" s="91" t="s">
        <v>548</v>
      </c>
      <c r="N373" s="493">
        <f t="shared" si="29"/>
        <v>0</v>
      </c>
    </row>
    <row r="374" spans="1:17" ht="15.75" x14ac:dyDescent="0.25">
      <c r="A374" s="692" t="s">
        <v>549</v>
      </c>
      <c r="B374" s="693"/>
      <c r="C374" s="694"/>
      <c r="D374" s="91" t="s">
        <v>550</v>
      </c>
      <c r="E374" s="493">
        <f t="shared" si="28"/>
        <v>0</v>
      </c>
      <c r="J374" s="692" t="s">
        <v>549</v>
      </c>
      <c r="K374" s="693"/>
      <c r="L374" s="694"/>
      <c r="M374" s="91" t="s">
        <v>550</v>
      </c>
      <c r="N374" s="493">
        <f t="shared" si="29"/>
        <v>0</v>
      </c>
    </row>
    <row r="375" spans="1:17" ht="15.75" x14ac:dyDescent="0.25">
      <c r="A375" s="692" t="s">
        <v>551</v>
      </c>
      <c r="B375" s="693"/>
      <c r="C375" s="694"/>
      <c r="D375" s="91" t="s">
        <v>552</v>
      </c>
      <c r="E375" s="493">
        <f t="shared" si="28"/>
        <v>0</v>
      </c>
      <c r="J375" s="692" t="s">
        <v>551</v>
      </c>
      <c r="K375" s="693"/>
      <c r="L375" s="694"/>
      <c r="M375" s="91" t="s">
        <v>552</v>
      </c>
      <c r="N375" s="493">
        <f t="shared" si="29"/>
        <v>0</v>
      </c>
    </row>
    <row r="376" spans="1:17" ht="15.75" x14ac:dyDescent="0.25">
      <c r="A376" s="692" t="s">
        <v>553</v>
      </c>
      <c r="B376" s="693"/>
      <c r="C376" s="694"/>
      <c r="D376" s="91" t="s">
        <v>554</v>
      </c>
      <c r="E376" s="493">
        <f t="shared" si="28"/>
        <v>0</v>
      </c>
      <c r="J376" s="692" t="s">
        <v>553</v>
      </c>
      <c r="K376" s="693"/>
      <c r="L376" s="694"/>
      <c r="M376" s="91" t="s">
        <v>554</v>
      </c>
      <c r="N376" s="493">
        <f t="shared" si="29"/>
        <v>0</v>
      </c>
    </row>
    <row r="377" spans="1:17" ht="15.75" x14ac:dyDescent="0.25">
      <c r="A377" s="692" t="s">
        <v>555</v>
      </c>
      <c r="B377" s="693"/>
      <c r="C377" s="694"/>
      <c r="D377" s="91" t="s">
        <v>556</v>
      </c>
      <c r="E377" s="493">
        <f t="shared" si="28"/>
        <v>0</v>
      </c>
      <c r="J377" s="692" t="s">
        <v>555</v>
      </c>
      <c r="K377" s="693"/>
      <c r="L377" s="694"/>
      <c r="M377" s="91" t="s">
        <v>556</v>
      </c>
      <c r="N377" s="493">
        <f t="shared" si="29"/>
        <v>0</v>
      </c>
    </row>
    <row r="378" spans="1:17" ht="15.75" x14ac:dyDescent="0.25">
      <c r="A378" s="692" t="s">
        <v>557</v>
      </c>
      <c r="B378" s="693"/>
      <c r="C378" s="694"/>
      <c r="D378" s="91" t="s">
        <v>558</v>
      </c>
      <c r="E378" s="493">
        <f t="shared" si="28"/>
        <v>0</v>
      </c>
      <c r="J378" s="692" t="s">
        <v>557</v>
      </c>
      <c r="K378" s="693"/>
      <c r="L378" s="694"/>
      <c r="M378" s="91" t="s">
        <v>558</v>
      </c>
      <c r="N378" s="493">
        <f t="shared" si="29"/>
        <v>0</v>
      </c>
    </row>
    <row r="379" spans="1:17" ht="15.75" x14ac:dyDescent="0.25">
      <c r="A379" s="692" t="s">
        <v>559</v>
      </c>
      <c r="B379" s="693"/>
      <c r="C379" s="694"/>
      <c r="D379" s="91" t="s">
        <v>560</v>
      </c>
      <c r="E379" s="493">
        <f t="shared" si="28"/>
        <v>0</v>
      </c>
      <c r="J379" s="692" t="s">
        <v>559</v>
      </c>
      <c r="K379" s="693"/>
      <c r="L379" s="694"/>
      <c r="M379" s="91" t="s">
        <v>560</v>
      </c>
      <c r="N379" s="493">
        <f t="shared" si="29"/>
        <v>0</v>
      </c>
    </row>
    <row r="380" spans="1:17" ht="15.75" x14ac:dyDescent="0.25">
      <c r="A380" s="692" t="s">
        <v>561</v>
      </c>
      <c r="B380" s="693"/>
      <c r="C380" s="694"/>
      <c r="D380" s="91" t="s">
        <v>562</v>
      </c>
      <c r="E380" s="493">
        <f t="shared" si="28"/>
        <v>0</v>
      </c>
      <c r="J380" s="692" t="s">
        <v>561</v>
      </c>
      <c r="K380" s="693"/>
      <c r="L380" s="694"/>
      <c r="M380" s="91" t="s">
        <v>562</v>
      </c>
      <c r="N380" s="493">
        <f t="shared" si="29"/>
        <v>0</v>
      </c>
    </row>
    <row r="381" spans="1:17" ht="15.75" x14ac:dyDescent="0.25">
      <c r="A381" s="692" t="s">
        <v>563</v>
      </c>
      <c r="B381" s="693"/>
      <c r="C381" s="694"/>
      <c r="D381" s="91" t="s">
        <v>189</v>
      </c>
      <c r="E381" s="493">
        <f t="shared" si="28"/>
        <v>2</v>
      </c>
      <c r="J381" s="692" t="s">
        <v>563</v>
      </c>
      <c r="K381" s="693"/>
      <c r="L381" s="694"/>
      <c r="M381" s="91" t="s">
        <v>189</v>
      </c>
      <c r="N381" s="493">
        <f t="shared" si="29"/>
        <v>0</v>
      </c>
    </row>
    <row r="382" spans="1:17" ht="15.75" x14ac:dyDescent="0.25">
      <c r="A382" s="692" t="s">
        <v>564</v>
      </c>
      <c r="B382" s="693"/>
      <c r="C382" s="694"/>
      <c r="D382" s="91" t="s">
        <v>565</v>
      </c>
      <c r="E382" s="493">
        <f t="shared" si="28"/>
        <v>0</v>
      </c>
      <c r="J382" s="692" t="s">
        <v>564</v>
      </c>
      <c r="K382" s="693"/>
      <c r="L382" s="694"/>
      <c r="M382" s="91" t="s">
        <v>565</v>
      </c>
      <c r="N382" s="493">
        <f t="shared" si="29"/>
        <v>0</v>
      </c>
    </row>
    <row r="383" spans="1:17" ht="15.75" x14ac:dyDescent="0.25">
      <c r="A383" s="692" t="s">
        <v>566</v>
      </c>
      <c r="B383" s="693"/>
      <c r="C383" s="694"/>
      <c r="D383" s="91" t="s">
        <v>567</v>
      </c>
      <c r="E383" s="493">
        <f t="shared" si="28"/>
        <v>0</v>
      </c>
      <c r="J383" s="692" t="s">
        <v>566</v>
      </c>
      <c r="K383" s="693"/>
      <c r="L383" s="694"/>
      <c r="M383" s="91" t="s">
        <v>567</v>
      </c>
      <c r="N383" s="493">
        <f t="shared" si="29"/>
        <v>0</v>
      </c>
    </row>
    <row r="384" spans="1:17" ht="15.75" x14ac:dyDescent="0.25">
      <c r="A384" s="692" t="s">
        <v>568</v>
      </c>
      <c r="B384" s="693"/>
      <c r="C384" s="694"/>
      <c r="D384" s="91" t="s">
        <v>569</v>
      </c>
      <c r="E384" s="493">
        <f t="shared" si="28"/>
        <v>0</v>
      </c>
      <c r="J384" s="692" t="s">
        <v>568</v>
      </c>
      <c r="K384" s="693"/>
      <c r="L384" s="694"/>
      <c r="M384" s="91" t="s">
        <v>569</v>
      </c>
      <c r="N384" s="493">
        <f t="shared" si="29"/>
        <v>0</v>
      </c>
    </row>
    <row r="385" spans="1:14" ht="15.75" x14ac:dyDescent="0.25">
      <c r="A385" s="692" t="s">
        <v>570</v>
      </c>
      <c r="B385" s="693"/>
      <c r="C385" s="694"/>
      <c r="D385" s="91" t="s">
        <v>571</v>
      </c>
      <c r="E385" s="493">
        <f t="shared" si="28"/>
        <v>0</v>
      </c>
      <c r="J385" s="692" t="s">
        <v>570</v>
      </c>
      <c r="K385" s="693"/>
      <c r="L385" s="694"/>
      <c r="M385" s="91" t="s">
        <v>571</v>
      </c>
      <c r="N385" s="493">
        <f t="shared" si="29"/>
        <v>0</v>
      </c>
    </row>
    <row r="386" spans="1:14" ht="15.75" x14ac:dyDescent="0.25">
      <c r="A386" s="692" t="s">
        <v>572</v>
      </c>
      <c r="B386" s="693"/>
      <c r="C386" s="694"/>
      <c r="D386" s="91" t="s">
        <v>573</v>
      </c>
      <c r="E386" s="493">
        <f t="shared" si="28"/>
        <v>0</v>
      </c>
      <c r="J386" s="692" t="s">
        <v>572</v>
      </c>
      <c r="K386" s="693"/>
      <c r="L386" s="694"/>
      <c r="M386" s="91" t="s">
        <v>573</v>
      </c>
      <c r="N386" s="493">
        <f t="shared" si="29"/>
        <v>0</v>
      </c>
    </row>
    <row r="387" spans="1:14" ht="15.75" x14ac:dyDescent="0.25">
      <c r="A387" s="692" t="s">
        <v>574</v>
      </c>
      <c r="B387" s="693"/>
      <c r="C387" s="694"/>
      <c r="D387" s="91" t="s">
        <v>575</v>
      </c>
      <c r="E387" s="493">
        <f t="shared" si="28"/>
        <v>0</v>
      </c>
      <c r="J387" s="692" t="s">
        <v>574</v>
      </c>
      <c r="K387" s="693"/>
      <c r="L387" s="694"/>
      <c r="M387" s="91" t="s">
        <v>575</v>
      </c>
      <c r="N387" s="493">
        <f t="shared" si="29"/>
        <v>0</v>
      </c>
    </row>
    <row r="388" spans="1:14" ht="15.75" x14ac:dyDescent="0.25">
      <c r="A388" s="692" t="s">
        <v>576</v>
      </c>
      <c r="B388" s="693"/>
      <c r="C388" s="694"/>
      <c r="D388" s="91" t="s">
        <v>577</v>
      </c>
      <c r="E388" s="493">
        <f t="shared" si="28"/>
        <v>0</v>
      </c>
      <c r="J388" s="692" t="s">
        <v>576</v>
      </c>
      <c r="K388" s="693"/>
      <c r="L388" s="694"/>
      <c r="M388" s="91" t="s">
        <v>577</v>
      </c>
      <c r="N388" s="493">
        <f t="shared" si="29"/>
        <v>0</v>
      </c>
    </row>
    <row r="389" spans="1:14" ht="15.75" x14ac:dyDescent="0.25">
      <c r="A389" s="692" t="s">
        <v>578</v>
      </c>
      <c r="B389" s="693"/>
      <c r="C389" s="694"/>
      <c r="D389" s="91" t="s">
        <v>579</v>
      </c>
      <c r="E389" s="493">
        <f t="shared" si="28"/>
        <v>0</v>
      </c>
      <c r="J389" s="692" t="s">
        <v>578</v>
      </c>
      <c r="K389" s="693"/>
      <c r="L389" s="694"/>
      <c r="M389" s="91" t="s">
        <v>579</v>
      </c>
      <c r="N389" s="493">
        <f t="shared" si="29"/>
        <v>0</v>
      </c>
    </row>
    <row r="390" spans="1:14" ht="15.75" x14ac:dyDescent="0.25">
      <c r="A390" s="692" t="s">
        <v>580</v>
      </c>
      <c r="B390" s="693"/>
      <c r="C390" s="694"/>
      <c r="D390" s="91" t="s">
        <v>581</v>
      </c>
      <c r="E390" s="493">
        <f t="shared" si="28"/>
        <v>0</v>
      </c>
      <c r="J390" s="692" t="s">
        <v>580</v>
      </c>
      <c r="K390" s="693"/>
      <c r="L390" s="694"/>
      <c r="M390" s="91" t="s">
        <v>581</v>
      </c>
      <c r="N390" s="493">
        <f t="shared" si="29"/>
        <v>0</v>
      </c>
    </row>
    <row r="391" spans="1:14" ht="15.75" x14ac:dyDescent="0.25">
      <c r="A391" s="692" t="s">
        <v>582</v>
      </c>
      <c r="B391" s="693"/>
      <c r="C391" s="694"/>
      <c r="D391" s="91" t="s">
        <v>583</v>
      </c>
      <c r="E391" s="493">
        <f t="shared" si="28"/>
        <v>0</v>
      </c>
      <c r="J391" s="692" t="s">
        <v>582</v>
      </c>
      <c r="K391" s="693"/>
      <c r="L391" s="694"/>
      <c r="M391" s="91" t="s">
        <v>583</v>
      </c>
      <c r="N391" s="493">
        <f t="shared" si="29"/>
        <v>0</v>
      </c>
    </row>
    <row r="392" spans="1:14" ht="15.75" x14ac:dyDescent="0.25">
      <c r="A392" s="692" t="s">
        <v>584</v>
      </c>
      <c r="B392" s="693"/>
      <c r="C392" s="694"/>
      <c r="D392" s="91" t="s">
        <v>585</v>
      </c>
      <c r="E392" s="493">
        <f t="shared" si="28"/>
        <v>0</v>
      </c>
      <c r="J392" s="692" t="s">
        <v>584</v>
      </c>
      <c r="K392" s="693"/>
      <c r="L392" s="694"/>
      <c r="M392" s="91" t="s">
        <v>585</v>
      </c>
      <c r="N392" s="493">
        <f t="shared" si="29"/>
        <v>0</v>
      </c>
    </row>
    <row r="393" spans="1:14" ht="15.75" x14ac:dyDescent="0.25">
      <c r="A393" s="692" t="s">
        <v>586</v>
      </c>
      <c r="B393" s="693"/>
      <c r="C393" s="694"/>
      <c r="D393" s="91" t="s">
        <v>587</v>
      </c>
      <c r="E393" s="493">
        <f t="shared" si="28"/>
        <v>0</v>
      </c>
      <c r="J393" s="692" t="s">
        <v>586</v>
      </c>
      <c r="K393" s="693"/>
      <c r="L393" s="694"/>
      <c r="M393" s="91" t="s">
        <v>587</v>
      </c>
      <c r="N393" s="493">
        <f t="shared" si="29"/>
        <v>0</v>
      </c>
    </row>
    <row r="394" spans="1:14" ht="15.75" x14ac:dyDescent="0.25">
      <c r="A394" s="692" t="s">
        <v>588</v>
      </c>
      <c r="B394" s="693"/>
      <c r="C394" s="694"/>
      <c r="D394" s="91" t="s">
        <v>589</v>
      </c>
      <c r="E394" s="493">
        <f t="shared" si="28"/>
        <v>0</v>
      </c>
      <c r="J394" s="692" t="s">
        <v>588</v>
      </c>
      <c r="K394" s="693"/>
      <c r="L394" s="694"/>
      <c r="M394" s="91" t="s">
        <v>589</v>
      </c>
      <c r="N394" s="493">
        <f t="shared" si="29"/>
        <v>0</v>
      </c>
    </row>
    <row r="395" spans="1:14" ht="15.75" x14ac:dyDescent="0.25">
      <c r="A395" s="692" t="s">
        <v>590</v>
      </c>
      <c r="B395" s="693"/>
      <c r="C395" s="694"/>
      <c r="D395" s="91" t="s">
        <v>591</v>
      </c>
      <c r="E395" s="493">
        <f t="shared" si="28"/>
        <v>0</v>
      </c>
      <c r="J395" s="692" t="s">
        <v>590</v>
      </c>
      <c r="K395" s="693"/>
      <c r="L395" s="694"/>
      <c r="M395" s="91" t="s">
        <v>591</v>
      </c>
      <c r="N395" s="493">
        <f t="shared" si="29"/>
        <v>0</v>
      </c>
    </row>
    <row r="396" spans="1:14" ht="15.75" x14ac:dyDescent="0.25">
      <c r="A396" s="692" t="s">
        <v>592</v>
      </c>
      <c r="B396" s="693"/>
      <c r="C396" s="694"/>
      <c r="D396" s="91" t="s">
        <v>593</v>
      </c>
      <c r="E396" s="493">
        <f t="shared" si="28"/>
        <v>0</v>
      </c>
      <c r="F396" s="567"/>
      <c r="G396" s="567"/>
      <c r="H396" s="567"/>
      <c r="I396" s="567"/>
      <c r="J396" s="692" t="s">
        <v>592</v>
      </c>
      <c r="K396" s="693"/>
      <c r="L396" s="694"/>
      <c r="M396" s="91" t="s">
        <v>593</v>
      </c>
      <c r="N396" s="493">
        <f t="shared" si="29"/>
        <v>0</v>
      </c>
    </row>
    <row r="397" spans="1:14" ht="15.75" x14ac:dyDescent="0.25">
      <c r="A397" s="692" t="s">
        <v>594</v>
      </c>
      <c r="B397" s="693"/>
      <c r="C397" s="694"/>
      <c r="D397" s="91" t="s">
        <v>595</v>
      </c>
      <c r="E397" s="493">
        <f t="shared" si="28"/>
        <v>0</v>
      </c>
      <c r="J397" s="692" t="s">
        <v>594</v>
      </c>
      <c r="K397" s="693"/>
      <c r="L397" s="694"/>
      <c r="M397" s="91" t="s">
        <v>595</v>
      </c>
      <c r="N397" s="493">
        <f t="shared" si="29"/>
        <v>0</v>
      </c>
    </row>
    <row r="398" spans="1:14" ht="15.75" x14ac:dyDescent="0.25">
      <c r="A398" s="692" t="s">
        <v>596</v>
      </c>
      <c r="B398" s="693"/>
      <c r="C398" s="694"/>
      <c r="D398" s="91" t="s">
        <v>597</v>
      </c>
      <c r="E398" s="493">
        <f t="shared" si="28"/>
        <v>0</v>
      </c>
      <c r="J398" s="692" t="s">
        <v>596</v>
      </c>
      <c r="K398" s="693"/>
      <c r="L398" s="694"/>
      <c r="M398" s="91" t="s">
        <v>597</v>
      </c>
      <c r="N398" s="493">
        <f t="shared" si="29"/>
        <v>0</v>
      </c>
    </row>
    <row r="399" spans="1:14" ht="15.75" x14ac:dyDescent="0.25">
      <c r="A399" s="692" t="s">
        <v>598</v>
      </c>
      <c r="B399" s="693"/>
      <c r="C399" s="694"/>
      <c r="D399" s="91" t="s">
        <v>599</v>
      </c>
      <c r="E399" s="493">
        <f t="shared" si="28"/>
        <v>0</v>
      </c>
      <c r="J399" s="692" t="s">
        <v>598</v>
      </c>
      <c r="K399" s="693"/>
      <c r="L399" s="694"/>
      <c r="M399" s="91" t="s">
        <v>599</v>
      </c>
      <c r="N399" s="493">
        <f t="shared" si="29"/>
        <v>0</v>
      </c>
    </row>
    <row r="400" spans="1:14" ht="15.75" x14ac:dyDescent="0.25">
      <c r="A400" s="692" t="s">
        <v>600</v>
      </c>
      <c r="B400" s="693"/>
      <c r="C400" s="694"/>
      <c r="D400" s="91" t="s">
        <v>601</v>
      </c>
      <c r="E400" s="493">
        <f t="shared" si="28"/>
        <v>0</v>
      </c>
      <c r="F400" s="567"/>
      <c r="G400" s="567"/>
      <c r="H400" s="567"/>
      <c r="I400" s="567"/>
      <c r="J400" s="692" t="s">
        <v>600</v>
      </c>
      <c r="K400" s="693"/>
      <c r="L400" s="694"/>
      <c r="M400" s="91" t="s">
        <v>601</v>
      </c>
      <c r="N400" s="493">
        <f t="shared" si="29"/>
        <v>0</v>
      </c>
    </row>
    <row r="401" spans="1:14" ht="15.75" x14ac:dyDescent="0.25">
      <c r="A401" s="692" t="s">
        <v>602</v>
      </c>
      <c r="B401" s="693"/>
      <c r="C401" s="694"/>
      <c r="D401" s="91" t="s">
        <v>603</v>
      </c>
      <c r="E401" s="493">
        <f t="shared" si="28"/>
        <v>0</v>
      </c>
      <c r="J401" s="692" t="s">
        <v>602</v>
      </c>
      <c r="K401" s="693"/>
      <c r="L401" s="694"/>
      <c r="M401" s="91" t="s">
        <v>603</v>
      </c>
      <c r="N401" s="493">
        <f t="shared" si="29"/>
        <v>0</v>
      </c>
    </row>
    <row r="402" spans="1:14" ht="15.75" x14ac:dyDescent="0.25">
      <c r="A402" s="692" t="s">
        <v>604</v>
      </c>
      <c r="B402" s="693"/>
      <c r="C402" s="694"/>
      <c r="D402" s="91" t="s">
        <v>605</v>
      </c>
      <c r="E402" s="493">
        <f t="shared" si="28"/>
        <v>0</v>
      </c>
      <c r="J402" s="692" t="s">
        <v>604</v>
      </c>
      <c r="K402" s="693"/>
      <c r="L402" s="694"/>
      <c r="M402" s="91" t="s">
        <v>605</v>
      </c>
      <c r="N402" s="493">
        <f t="shared" si="29"/>
        <v>0</v>
      </c>
    </row>
    <row r="403" spans="1:14" ht="15.75" x14ac:dyDescent="0.25">
      <c r="A403" s="692" t="s">
        <v>604</v>
      </c>
      <c r="B403" s="693"/>
      <c r="C403" s="694"/>
      <c r="D403" s="91" t="s">
        <v>605</v>
      </c>
      <c r="E403" s="493">
        <f t="shared" si="28"/>
        <v>0</v>
      </c>
      <c r="J403" s="692" t="s">
        <v>604</v>
      </c>
      <c r="K403" s="693"/>
      <c r="L403" s="694"/>
      <c r="M403" s="91" t="s">
        <v>605</v>
      </c>
      <c r="N403" s="493">
        <f t="shared" si="29"/>
        <v>0</v>
      </c>
    </row>
    <row r="404" spans="1:14" ht="15.75" x14ac:dyDescent="0.25">
      <c r="A404" s="692" t="s">
        <v>606</v>
      </c>
      <c r="B404" s="693"/>
      <c r="C404" s="694"/>
      <c r="D404" s="91" t="s">
        <v>607</v>
      </c>
      <c r="E404" s="493">
        <f t="shared" si="28"/>
        <v>0</v>
      </c>
      <c r="J404" s="692" t="s">
        <v>606</v>
      </c>
      <c r="K404" s="693"/>
      <c r="L404" s="694"/>
      <c r="M404" s="91" t="s">
        <v>607</v>
      </c>
      <c r="N404" s="493">
        <f t="shared" si="29"/>
        <v>0</v>
      </c>
    </row>
    <row r="405" spans="1:14" ht="15.75" x14ac:dyDescent="0.25">
      <c r="A405" s="692" t="s">
        <v>608</v>
      </c>
      <c r="B405" s="693"/>
      <c r="C405" s="694"/>
      <c r="D405" s="91" t="s">
        <v>609</v>
      </c>
      <c r="E405" s="493">
        <f t="shared" si="28"/>
        <v>0</v>
      </c>
      <c r="J405" s="692" t="s">
        <v>608</v>
      </c>
      <c r="K405" s="693"/>
      <c r="L405" s="694"/>
      <c r="M405" s="91" t="s">
        <v>609</v>
      </c>
      <c r="N405" s="493">
        <f t="shared" si="29"/>
        <v>0</v>
      </c>
    </row>
    <row r="406" spans="1:14" ht="15.75" x14ac:dyDescent="0.25">
      <c r="A406" s="692" t="s">
        <v>610</v>
      </c>
      <c r="B406" s="693"/>
      <c r="C406" s="694"/>
      <c r="D406" s="91" t="s">
        <v>611</v>
      </c>
      <c r="E406" s="493">
        <f t="shared" si="28"/>
        <v>0</v>
      </c>
      <c r="J406" s="692" t="s">
        <v>610</v>
      </c>
      <c r="K406" s="693"/>
      <c r="L406" s="694"/>
      <c r="M406" s="91" t="s">
        <v>611</v>
      </c>
      <c r="N406" s="493">
        <f t="shared" si="29"/>
        <v>0</v>
      </c>
    </row>
    <row r="407" spans="1:14" ht="15.75" x14ac:dyDescent="0.25">
      <c r="A407" s="692" t="s">
        <v>612</v>
      </c>
      <c r="B407" s="693"/>
      <c r="C407" s="694"/>
      <c r="D407" s="91" t="s">
        <v>613</v>
      </c>
      <c r="E407" s="493">
        <f t="shared" si="28"/>
        <v>0</v>
      </c>
      <c r="J407" s="692" t="s">
        <v>612</v>
      </c>
      <c r="K407" s="693"/>
      <c r="L407" s="694"/>
      <c r="M407" s="91" t="s">
        <v>613</v>
      </c>
      <c r="N407" s="493">
        <f t="shared" si="29"/>
        <v>0</v>
      </c>
    </row>
    <row r="408" spans="1:14" ht="15.75" x14ac:dyDescent="0.25">
      <c r="A408" s="692" t="s">
        <v>614</v>
      </c>
      <c r="B408" s="693"/>
      <c r="C408" s="694"/>
      <c r="D408" s="91" t="s">
        <v>615</v>
      </c>
      <c r="E408" s="493">
        <f t="shared" si="28"/>
        <v>0</v>
      </c>
      <c r="J408" s="692" t="s">
        <v>614</v>
      </c>
      <c r="K408" s="693"/>
      <c r="L408" s="694"/>
      <c r="M408" s="91" t="s">
        <v>615</v>
      </c>
      <c r="N408" s="493">
        <f t="shared" si="29"/>
        <v>0</v>
      </c>
    </row>
    <row r="409" spans="1:14" ht="15.75" x14ac:dyDescent="0.25">
      <c r="A409" s="692" t="s">
        <v>616</v>
      </c>
      <c r="B409" s="693"/>
      <c r="C409" s="694"/>
      <c r="D409" s="91" t="s">
        <v>617</v>
      </c>
      <c r="E409" s="493">
        <f t="shared" si="28"/>
        <v>0</v>
      </c>
      <c r="J409" s="692" t="s">
        <v>616</v>
      </c>
      <c r="K409" s="693"/>
      <c r="L409" s="694"/>
      <c r="M409" s="91" t="s">
        <v>617</v>
      </c>
      <c r="N409" s="493">
        <f t="shared" si="29"/>
        <v>0</v>
      </c>
    </row>
    <row r="410" spans="1:14" ht="15.75" x14ac:dyDescent="0.25">
      <c r="A410" s="692" t="s">
        <v>618</v>
      </c>
      <c r="B410" s="693"/>
      <c r="C410" s="694"/>
      <c r="D410" s="91" t="s">
        <v>619</v>
      </c>
      <c r="E410" s="493">
        <f t="shared" si="28"/>
        <v>0</v>
      </c>
      <c r="J410" s="692" t="s">
        <v>618</v>
      </c>
      <c r="K410" s="693"/>
      <c r="L410" s="694"/>
      <c r="M410" s="91" t="s">
        <v>619</v>
      </c>
      <c r="N410" s="493">
        <f t="shared" si="29"/>
        <v>0</v>
      </c>
    </row>
    <row r="411" spans="1:14" ht="15.75" x14ac:dyDescent="0.25">
      <c r="A411" s="692" t="s">
        <v>620</v>
      </c>
      <c r="B411" s="693"/>
      <c r="C411" s="694"/>
      <c r="D411" s="91" t="s">
        <v>621</v>
      </c>
      <c r="E411" s="493">
        <f t="shared" si="28"/>
        <v>0</v>
      </c>
      <c r="J411" s="692" t="s">
        <v>620</v>
      </c>
      <c r="K411" s="693"/>
      <c r="L411" s="694"/>
      <c r="M411" s="91" t="s">
        <v>621</v>
      </c>
      <c r="N411" s="493">
        <f t="shared" si="29"/>
        <v>0</v>
      </c>
    </row>
    <row r="412" spans="1:14" ht="15.75" x14ac:dyDescent="0.25">
      <c r="A412" s="692" t="s">
        <v>622</v>
      </c>
      <c r="B412" s="693"/>
      <c r="C412" s="694"/>
      <c r="D412" s="91" t="s">
        <v>621</v>
      </c>
      <c r="E412" s="493">
        <f t="shared" si="28"/>
        <v>0</v>
      </c>
      <c r="J412" s="692" t="s">
        <v>622</v>
      </c>
      <c r="K412" s="693"/>
      <c r="L412" s="694"/>
      <c r="M412" s="91" t="s">
        <v>621</v>
      </c>
      <c r="N412" s="493">
        <f t="shared" si="29"/>
        <v>0</v>
      </c>
    </row>
    <row r="413" spans="1:14" ht="15.75" x14ac:dyDescent="0.25">
      <c r="A413" s="692" t="s">
        <v>623</v>
      </c>
      <c r="B413" s="693"/>
      <c r="C413" s="694"/>
      <c r="D413" s="91" t="s">
        <v>222</v>
      </c>
      <c r="E413" s="493">
        <f t="shared" si="28"/>
        <v>1</v>
      </c>
      <c r="J413" s="692" t="s">
        <v>623</v>
      </c>
      <c r="K413" s="693"/>
      <c r="L413" s="694"/>
      <c r="M413" s="91" t="s">
        <v>222</v>
      </c>
      <c r="N413" s="493">
        <f t="shared" si="29"/>
        <v>0</v>
      </c>
    </row>
    <row r="414" spans="1:14" ht="15.75" x14ac:dyDescent="0.25">
      <c r="A414" s="692" t="s">
        <v>624</v>
      </c>
      <c r="B414" s="693"/>
      <c r="C414" s="694"/>
      <c r="D414" s="91" t="s">
        <v>625</v>
      </c>
      <c r="E414" s="493">
        <f t="shared" si="28"/>
        <v>0</v>
      </c>
      <c r="J414" s="692" t="s">
        <v>624</v>
      </c>
      <c r="K414" s="693"/>
      <c r="L414" s="694"/>
      <c r="M414" s="91" t="s">
        <v>625</v>
      </c>
      <c r="N414" s="493">
        <f t="shared" si="29"/>
        <v>0</v>
      </c>
    </row>
    <row r="415" spans="1:14" ht="15.75" x14ac:dyDescent="0.25">
      <c r="A415" s="692" t="s">
        <v>626</v>
      </c>
      <c r="B415" s="693"/>
      <c r="C415" s="694"/>
      <c r="D415" s="91" t="s">
        <v>627</v>
      </c>
      <c r="E415" s="493">
        <f t="shared" si="28"/>
        <v>0</v>
      </c>
      <c r="J415" s="692" t="s">
        <v>626</v>
      </c>
      <c r="K415" s="693"/>
      <c r="L415" s="694"/>
      <c r="M415" s="91" t="s">
        <v>627</v>
      </c>
      <c r="N415" s="493">
        <f t="shared" si="29"/>
        <v>0</v>
      </c>
    </row>
    <row r="416" spans="1:14" ht="15.75" x14ac:dyDescent="0.25">
      <c r="A416" s="692" t="s">
        <v>628</v>
      </c>
      <c r="B416" s="693"/>
      <c r="C416" s="694"/>
      <c r="D416" s="91" t="s">
        <v>629</v>
      </c>
      <c r="E416" s="493">
        <f t="shared" si="28"/>
        <v>0</v>
      </c>
      <c r="J416" s="692" t="s">
        <v>628</v>
      </c>
      <c r="K416" s="693"/>
      <c r="L416" s="694"/>
      <c r="M416" s="91" t="s">
        <v>629</v>
      </c>
      <c r="N416" s="493">
        <f t="shared" si="29"/>
        <v>0</v>
      </c>
    </row>
    <row r="417" spans="1:17" ht="15.75" x14ac:dyDescent="0.25">
      <c r="A417" s="692" t="s">
        <v>630</v>
      </c>
      <c r="B417" s="693"/>
      <c r="C417" s="694"/>
      <c r="D417" s="91" t="s">
        <v>631</v>
      </c>
      <c r="E417" s="493">
        <f t="shared" si="28"/>
        <v>0</v>
      </c>
      <c r="J417" s="692" t="s">
        <v>630</v>
      </c>
      <c r="K417" s="693"/>
      <c r="L417" s="694"/>
      <c r="M417" s="91" t="s">
        <v>631</v>
      </c>
      <c r="N417" s="493">
        <f t="shared" si="29"/>
        <v>0</v>
      </c>
    </row>
    <row r="418" spans="1:17" ht="15.75" x14ac:dyDescent="0.25">
      <c r="A418" s="692" t="s">
        <v>632</v>
      </c>
      <c r="B418" s="693"/>
      <c r="C418" s="694"/>
      <c r="D418" s="91" t="s">
        <v>633</v>
      </c>
      <c r="E418" s="493">
        <f t="shared" si="28"/>
        <v>0</v>
      </c>
      <c r="J418" s="692" t="s">
        <v>632</v>
      </c>
      <c r="K418" s="693"/>
      <c r="L418" s="694"/>
      <c r="M418" s="91" t="s">
        <v>633</v>
      </c>
      <c r="N418" s="493">
        <f t="shared" si="29"/>
        <v>0</v>
      </c>
    </row>
    <row r="419" spans="1:17" ht="15.75" x14ac:dyDescent="0.25">
      <c r="A419" s="692" t="s">
        <v>634</v>
      </c>
      <c r="B419" s="693"/>
      <c r="C419" s="694"/>
      <c r="D419" s="91" t="s">
        <v>635</v>
      </c>
      <c r="E419" s="493">
        <f t="shared" ref="E419:E431" si="30">COUNTIF($A$2:$BK$74,D419)</f>
        <v>0</v>
      </c>
      <c r="J419" s="692" t="s">
        <v>634</v>
      </c>
      <c r="K419" s="693"/>
      <c r="L419" s="694"/>
      <c r="M419" s="91" t="s">
        <v>635</v>
      </c>
      <c r="N419" s="493">
        <f t="shared" ref="N419:N431" si="31">COUNTIF($BL$3:$CN$45,M419)</f>
        <v>0</v>
      </c>
    </row>
    <row r="420" spans="1:17" ht="15.75" x14ac:dyDescent="0.25">
      <c r="A420" s="692" t="s">
        <v>636</v>
      </c>
      <c r="B420" s="693"/>
      <c r="C420" s="694"/>
      <c r="D420" s="91" t="s">
        <v>637</v>
      </c>
      <c r="E420" s="493">
        <f t="shared" si="30"/>
        <v>0</v>
      </c>
      <c r="J420" s="692" t="s">
        <v>636</v>
      </c>
      <c r="K420" s="693"/>
      <c r="L420" s="694"/>
      <c r="M420" s="91" t="s">
        <v>637</v>
      </c>
      <c r="N420" s="493">
        <f t="shared" si="31"/>
        <v>0</v>
      </c>
    </row>
    <row r="421" spans="1:17" ht="15.75" x14ac:dyDescent="0.25">
      <c r="A421" s="692" t="s">
        <v>638</v>
      </c>
      <c r="B421" s="693"/>
      <c r="C421" s="694"/>
      <c r="D421" s="91" t="s">
        <v>639</v>
      </c>
      <c r="E421" s="493">
        <f t="shared" si="30"/>
        <v>0</v>
      </c>
      <c r="J421" s="692" t="s">
        <v>638</v>
      </c>
      <c r="K421" s="693"/>
      <c r="L421" s="694"/>
      <c r="M421" s="91" t="s">
        <v>639</v>
      </c>
      <c r="N421" s="493">
        <f t="shared" si="31"/>
        <v>0</v>
      </c>
    </row>
    <row r="422" spans="1:17" ht="15.75" x14ac:dyDescent="0.25">
      <c r="A422" s="692" t="s">
        <v>640</v>
      </c>
      <c r="B422" s="693"/>
      <c r="C422" s="694"/>
      <c r="D422" s="91" t="s">
        <v>206</v>
      </c>
      <c r="E422" s="493">
        <f t="shared" si="30"/>
        <v>1</v>
      </c>
      <c r="J422" s="692" t="s">
        <v>640</v>
      </c>
      <c r="K422" s="693"/>
      <c r="L422" s="694"/>
      <c r="M422" s="91" t="s">
        <v>206</v>
      </c>
      <c r="N422" s="493">
        <f t="shared" si="31"/>
        <v>0</v>
      </c>
    </row>
    <row r="423" spans="1:17" ht="15.75" x14ac:dyDescent="0.25">
      <c r="A423" s="692" t="s">
        <v>641</v>
      </c>
      <c r="B423" s="693"/>
      <c r="C423" s="694"/>
      <c r="D423" s="91" t="s">
        <v>642</v>
      </c>
      <c r="E423" s="493">
        <f t="shared" si="30"/>
        <v>0</v>
      </c>
      <c r="J423" s="692" t="s">
        <v>641</v>
      </c>
      <c r="K423" s="693"/>
      <c r="L423" s="694"/>
      <c r="M423" s="91" t="s">
        <v>642</v>
      </c>
      <c r="N423" s="493">
        <f t="shared" si="31"/>
        <v>0</v>
      </c>
    </row>
    <row r="424" spans="1:17" ht="15.75" x14ac:dyDescent="0.25">
      <c r="A424" s="692" t="s">
        <v>643</v>
      </c>
      <c r="B424" s="693"/>
      <c r="C424" s="694"/>
      <c r="D424" s="91" t="s">
        <v>644</v>
      </c>
      <c r="E424" s="493">
        <f t="shared" si="30"/>
        <v>0</v>
      </c>
      <c r="J424" s="692" t="s">
        <v>643</v>
      </c>
      <c r="K424" s="693"/>
      <c r="L424" s="694"/>
      <c r="M424" s="91" t="s">
        <v>644</v>
      </c>
      <c r="N424" s="493">
        <f t="shared" si="31"/>
        <v>0</v>
      </c>
    </row>
    <row r="425" spans="1:17" ht="15.75" x14ac:dyDescent="0.25">
      <c r="A425" s="692" t="s">
        <v>645</v>
      </c>
      <c r="B425" s="693"/>
      <c r="C425" s="694"/>
      <c r="D425" s="91" t="s">
        <v>646</v>
      </c>
      <c r="E425" s="493">
        <f t="shared" si="30"/>
        <v>0</v>
      </c>
      <c r="J425" s="692" t="s">
        <v>645</v>
      </c>
      <c r="K425" s="693"/>
      <c r="L425" s="694"/>
      <c r="M425" s="91" t="s">
        <v>646</v>
      </c>
      <c r="N425" s="493">
        <f t="shared" si="31"/>
        <v>0</v>
      </c>
    </row>
    <row r="426" spans="1:17" ht="15.75" x14ac:dyDescent="0.25">
      <c r="A426" s="692" t="s">
        <v>647</v>
      </c>
      <c r="B426" s="693"/>
      <c r="C426" s="694"/>
      <c r="D426" s="91" t="s">
        <v>648</v>
      </c>
      <c r="E426" s="493">
        <f t="shared" si="30"/>
        <v>0</v>
      </c>
      <c r="J426" s="692" t="s">
        <v>647</v>
      </c>
      <c r="K426" s="693"/>
      <c r="L426" s="694"/>
      <c r="M426" s="91" t="s">
        <v>648</v>
      </c>
      <c r="N426" s="493">
        <f t="shared" si="31"/>
        <v>0</v>
      </c>
    </row>
    <row r="427" spans="1:17" ht="15.75" x14ac:dyDescent="0.25">
      <c r="A427" s="692" t="s">
        <v>649</v>
      </c>
      <c r="B427" s="693"/>
      <c r="C427" s="694"/>
      <c r="D427" s="91" t="s">
        <v>650</v>
      </c>
      <c r="E427" s="493">
        <f t="shared" si="30"/>
        <v>0</v>
      </c>
      <c r="J427" s="692" t="s">
        <v>649</v>
      </c>
      <c r="K427" s="693"/>
      <c r="L427" s="694"/>
      <c r="M427" s="91" t="s">
        <v>650</v>
      </c>
      <c r="N427" s="493">
        <f t="shared" si="31"/>
        <v>0</v>
      </c>
    </row>
    <row r="428" spans="1:17" ht="15.75" x14ac:dyDescent="0.25">
      <c r="A428" s="692" t="s">
        <v>651</v>
      </c>
      <c r="B428" s="693"/>
      <c r="C428" s="694"/>
      <c r="D428" s="91" t="s">
        <v>652</v>
      </c>
      <c r="E428" s="493">
        <f t="shared" si="30"/>
        <v>0</v>
      </c>
      <c r="J428" s="692" t="s">
        <v>651</v>
      </c>
      <c r="K428" s="693"/>
      <c r="L428" s="694"/>
      <c r="M428" s="91" t="s">
        <v>652</v>
      </c>
      <c r="N428" s="493">
        <f t="shared" si="31"/>
        <v>0</v>
      </c>
      <c r="O428" s="567"/>
      <c r="P428" s="567"/>
      <c r="Q428" s="567"/>
    </row>
    <row r="429" spans="1:17" ht="15.75" x14ac:dyDescent="0.25">
      <c r="A429" s="692" t="s">
        <v>653</v>
      </c>
      <c r="B429" s="693"/>
      <c r="C429" s="694"/>
      <c r="D429" s="91" t="s">
        <v>654</v>
      </c>
      <c r="E429" s="493">
        <f t="shared" si="30"/>
        <v>0</v>
      </c>
      <c r="J429" s="692" t="s">
        <v>653</v>
      </c>
      <c r="K429" s="693"/>
      <c r="L429" s="694"/>
      <c r="M429" s="91" t="s">
        <v>654</v>
      </c>
      <c r="N429" s="493">
        <f t="shared" si="31"/>
        <v>0</v>
      </c>
    </row>
    <row r="430" spans="1:17" ht="15.75" x14ac:dyDescent="0.25">
      <c r="A430" s="692" t="s">
        <v>655</v>
      </c>
      <c r="B430" s="693"/>
      <c r="C430" s="694"/>
      <c r="D430" s="91" t="s">
        <v>656</v>
      </c>
      <c r="E430" s="493">
        <f t="shared" si="30"/>
        <v>0</v>
      </c>
      <c r="J430" s="692" t="s">
        <v>655</v>
      </c>
      <c r="K430" s="693"/>
      <c r="L430" s="694"/>
      <c r="M430" s="91" t="s">
        <v>656</v>
      </c>
      <c r="N430" s="493">
        <f t="shared" si="31"/>
        <v>0</v>
      </c>
    </row>
    <row r="431" spans="1:17" ht="15.75" x14ac:dyDescent="0.25">
      <c r="A431" s="692" t="s">
        <v>657</v>
      </c>
      <c r="B431" s="693"/>
      <c r="C431" s="694"/>
      <c r="D431" s="91" t="s">
        <v>658</v>
      </c>
      <c r="E431" s="493">
        <f t="shared" si="30"/>
        <v>0</v>
      </c>
      <c r="J431" s="692" t="s">
        <v>657</v>
      </c>
      <c r="K431" s="693"/>
      <c r="L431" s="694"/>
      <c r="M431" s="91" t="s">
        <v>658</v>
      </c>
      <c r="N431" s="493">
        <f t="shared" si="31"/>
        <v>0</v>
      </c>
    </row>
    <row r="432" spans="1:17" ht="18.75" thickBot="1" x14ac:dyDescent="0.3">
      <c r="A432" s="699" t="s">
        <v>251</v>
      </c>
      <c r="B432" s="700"/>
      <c r="C432" s="700"/>
      <c r="D432" s="701"/>
      <c r="E432" s="566">
        <f>SUM(E355:E431)</f>
        <v>5</v>
      </c>
      <c r="J432" s="695" t="s">
        <v>251</v>
      </c>
      <c r="K432" s="695"/>
      <c r="L432" s="695"/>
      <c r="M432" s="695"/>
      <c r="N432" s="566">
        <f>SUM(N355:N431)</f>
        <v>0</v>
      </c>
    </row>
    <row r="433" spans="1:17" ht="18.75" thickBot="1" x14ac:dyDescent="0.3">
      <c r="A433" s="696" t="s">
        <v>659</v>
      </c>
      <c r="B433" s="697"/>
      <c r="C433" s="697"/>
      <c r="D433" s="698"/>
      <c r="J433" s="696" t="s">
        <v>659</v>
      </c>
      <c r="K433" s="697"/>
      <c r="L433" s="697"/>
      <c r="M433" s="698"/>
    </row>
    <row r="434" spans="1:17" ht="15.75" x14ac:dyDescent="0.25">
      <c r="A434" s="692" t="s">
        <v>660</v>
      </c>
      <c r="B434" s="693"/>
      <c r="C434" s="694"/>
      <c r="D434" s="91" t="s">
        <v>661</v>
      </c>
      <c r="E434" s="493">
        <f t="shared" ref="E434:E456" si="32">COUNTIF($A$2:$BK$74,D434)</f>
        <v>0</v>
      </c>
      <c r="J434" s="692" t="s">
        <v>660</v>
      </c>
      <c r="K434" s="693"/>
      <c r="L434" s="694"/>
      <c r="M434" s="91" t="s">
        <v>661</v>
      </c>
      <c r="N434" s="493">
        <f t="shared" ref="N434:N456" si="33">COUNTIF($BL$3:$CN$45,M434)</f>
        <v>0</v>
      </c>
    </row>
    <row r="435" spans="1:17" ht="15.75" x14ac:dyDescent="0.25">
      <c r="A435" s="692" t="s">
        <v>662</v>
      </c>
      <c r="B435" s="693"/>
      <c r="C435" s="694"/>
      <c r="D435" s="91" t="s">
        <v>663</v>
      </c>
      <c r="E435" s="493">
        <f t="shared" si="32"/>
        <v>0</v>
      </c>
      <c r="J435" s="692" t="s">
        <v>662</v>
      </c>
      <c r="K435" s="693"/>
      <c r="L435" s="694"/>
      <c r="M435" s="91" t="s">
        <v>663</v>
      </c>
      <c r="N435" s="493">
        <f t="shared" si="33"/>
        <v>0</v>
      </c>
    </row>
    <row r="436" spans="1:17" ht="15.75" x14ac:dyDescent="0.25">
      <c r="A436" s="692" t="s">
        <v>664</v>
      </c>
      <c r="B436" s="693"/>
      <c r="C436" s="694"/>
      <c r="D436" s="91" t="s">
        <v>665</v>
      </c>
      <c r="E436" s="493">
        <f t="shared" si="32"/>
        <v>0</v>
      </c>
      <c r="J436" s="692" t="s">
        <v>664</v>
      </c>
      <c r="K436" s="693"/>
      <c r="L436" s="694"/>
      <c r="M436" s="91" t="s">
        <v>665</v>
      </c>
      <c r="N436" s="493">
        <f t="shared" si="33"/>
        <v>0</v>
      </c>
      <c r="O436" s="567"/>
      <c r="P436" s="567"/>
      <c r="Q436" s="567"/>
    </row>
    <row r="437" spans="1:17" ht="15.75" x14ac:dyDescent="0.25">
      <c r="A437" s="692" t="s">
        <v>666</v>
      </c>
      <c r="B437" s="693"/>
      <c r="C437" s="694"/>
      <c r="D437" s="91" t="s">
        <v>667</v>
      </c>
      <c r="E437" s="493">
        <f t="shared" si="32"/>
        <v>0</v>
      </c>
      <c r="J437" s="692" t="s">
        <v>666</v>
      </c>
      <c r="K437" s="693"/>
      <c r="L437" s="694"/>
      <c r="M437" s="91" t="s">
        <v>667</v>
      </c>
      <c r="N437" s="493">
        <f t="shared" si="33"/>
        <v>0</v>
      </c>
    </row>
    <row r="438" spans="1:17" ht="15.75" x14ac:dyDescent="0.25">
      <c r="A438" s="692" t="s">
        <v>668</v>
      </c>
      <c r="B438" s="693"/>
      <c r="C438" s="694"/>
      <c r="D438" s="91" t="s">
        <v>669</v>
      </c>
      <c r="E438" s="493">
        <f t="shared" si="32"/>
        <v>0</v>
      </c>
      <c r="J438" s="692" t="s">
        <v>668</v>
      </c>
      <c r="K438" s="693"/>
      <c r="L438" s="694"/>
      <c r="M438" s="91" t="s">
        <v>669</v>
      </c>
      <c r="N438" s="493">
        <f t="shared" si="33"/>
        <v>0</v>
      </c>
    </row>
    <row r="439" spans="1:17" ht="15.75" x14ac:dyDescent="0.25">
      <c r="A439" s="692" t="s">
        <v>670</v>
      </c>
      <c r="B439" s="693"/>
      <c r="C439" s="694"/>
      <c r="D439" s="91" t="s">
        <v>671</v>
      </c>
      <c r="E439" s="493">
        <f t="shared" si="32"/>
        <v>0</v>
      </c>
      <c r="J439" s="692" t="s">
        <v>670</v>
      </c>
      <c r="K439" s="693"/>
      <c r="L439" s="694"/>
      <c r="M439" s="91" t="s">
        <v>671</v>
      </c>
      <c r="N439" s="493">
        <f t="shared" si="33"/>
        <v>0</v>
      </c>
    </row>
    <row r="440" spans="1:17" ht="15.75" x14ac:dyDescent="0.25">
      <c r="A440" s="692" t="s">
        <v>672</v>
      </c>
      <c r="B440" s="693"/>
      <c r="C440" s="694"/>
      <c r="D440" s="91" t="s">
        <v>673</v>
      </c>
      <c r="E440" s="493">
        <f t="shared" si="32"/>
        <v>0</v>
      </c>
      <c r="J440" s="692" t="s">
        <v>672</v>
      </c>
      <c r="K440" s="693"/>
      <c r="L440" s="694"/>
      <c r="M440" s="91" t="s">
        <v>673</v>
      </c>
      <c r="N440" s="493">
        <f t="shared" si="33"/>
        <v>0</v>
      </c>
      <c r="O440" s="567"/>
      <c r="P440" s="567"/>
      <c r="Q440" s="567"/>
    </row>
    <row r="441" spans="1:17" ht="15.75" x14ac:dyDescent="0.25">
      <c r="A441" s="692" t="s">
        <v>674</v>
      </c>
      <c r="B441" s="693"/>
      <c r="C441" s="694"/>
      <c r="D441" s="91" t="s">
        <v>675</v>
      </c>
      <c r="E441" s="493">
        <f t="shared" si="32"/>
        <v>0</v>
      </c>
      <c r="J441" s="692" t="s">
        <v>674</v>
      </c>
      <c r="K441" s="693"/>
      <c r="L441" s="694"/>
      <c r="M441" s="91" t="s">
        <v>675</v>
      </c>
      <c r="N441" s="493">
        <f t="shared" si="33"/>
        <v>0</v>
      </c>
    </row>
    <row r="442" spans="1:17" ht="15.75" x14ac:dyDescent="0.25">
      <c r="A442" s="692" t="s">
        <v>125</v>
      </c>
      <c r="B442" s="693"/>
      <c r="C442" s="694"/>
      <c r="D442" s="91" t="s">
        <v>676</v>
      </c>
      <c r="E442" s="493">
        <f t="shared" si="32"/>
        <v>0</v>
      </c>
      <c r="J442" s="692" t="s">
        <v>125</v>
      </c>
      <c r="K442" s="693"/>
      <c r="L442" s="694"/>
      <c r="M442" s="91" t="s">
        <v>676</v>
      </c>
      <c r="N442" s="493">
        <f t="shared" si="33"/>
        <v>0</v>
      </c>
    </row>
    <row r="443" spans="1:17" ht="15.75" x14ac:dyDescent="0.25">
      <c r="A443" s="692" t="s">
        <v>677</v>
      </c>
      <c r="B443" s="693"/>
      <c r="C443" s="694"/>
      <c r="D443" s="91" t="s">
        <v>678</v>
      </c>
      <c r="E443" s="493">
        <f t="shared" si="32"/>
        <v>0</v>
      </c>
      <c r="J443" s="692" t="s">
        <v>677</v>
      </c>
      <c r="K443" s="693"/>
      <c r="L443" s="694"/>
      <c r="M443" s="91" t="s">
        <v>678</v>
      </c>
      <c r="N443" s="493">
        <f t="shared" si="33"/>
        <v>0</v>
      </c>
      <c r="O443" s="567"/>
      <c r="P443" s="567"/>
      <c r="Q443" s="567"/>
    </row>
    <row r="444" spans="1:17" ht="15.75" x14ac:dyDescent="0.25">
      <c r="A444" s="692" t="s">
        <v>679</v>
      </c>
      <c r="B444" s="693"/>
      <c r="C444" s="694"/>
      <c r="D444" s="91" t="s">
        <v>680</v>
      </c>
      <c r="E444" s="493">
        <f t="shared" si="32"/>
        <v>0</v>
      </c>
      <c r="J444" s="692" t="s">
        <v>679</v>
      </c>
      <c r="K444" s="693"/>
      <c r="L444" s="694"/>
      <c r="M444" s="91" t="s">
        <v>680</v>
      </c>
      <c r="N444" s="493">
        <f t="shared" si="33"/>
        <v>0</v>
      </c>
    </row>
    <row r="445" spans="1:17" ht="15.75" x14ac:dyDescent="0.25">
      <c r="A445" s="692" t="s">
        <v>681</v>
      </c>
      <c r="B445" s="693"/>
      <c r="C445" s="694"/>
      <c r="D445" s="91" t="s">
        <v>682</v>
      </c>
      <c r="E445" s="493">
        <f t="shared" si="32"/>
        <v>0</v>
      </c>
      <c r="J445" s="692" t="s">
        <v>681</v>
      </c>
      <c r="K445" s="693"/>
      <c r="L445" s="694"/>
      <c r="M445" s="91" t="s">
        <v>682</v>
      </c>
      <c r="N445" s="493">
        <f t="shared" si="33"/>
        <v>0</v>
      </c>
    </row>
    <row r="446" spans="1:17" ht="15.75" x14ac:dyDescent="0.25">
      <c r="A446" s="692" t="s">
        <v>683</v>
      </c>
      <c r="B446" s="693"/>
      <c r="C446" s="694"/>
      <c r="D446" s="91" t="s">
        <v>684</v>
      </c>
      <c r="E446" s="493">
        <f t="shared" si="32"/>
        <v>0</v>
      </c>
      <c r="J446" s="692" t="s">
        <v>683</v>
      </c>
      <c r="K446" s="693"/>
      <c r="L446" s="694"/>
      <c r="M446" s="91" t="s">
        <v>684</v>
      </c>
      <c r="N446" s="493">
        <f t="shared" si="33"/>
        <v>0</v>
      </c>
    </row>
    <row r="447" spans="1:17" ht="15.75" x14ac:dyDescent="0.25">
      <c r="A447" s="692" t="s">
        <v>118</v>
      </c>
      <c r="B447" s="693"/>
      <c r="C447" s="694"/>
      <c r="D447" s="91" t="s">
        <v>685</v>
      </c>
      <c r="E447" s="493">
        <f t="shared" si="32"/>
        <v>0</v>
      </c>
      <c r="J447" s="692" t="s">
        <v>118</v>
      </c>
      <c r="K447" s="693"/>
      <c r="L447" s="694"/>
      <c r="M447" s="91" t="s">
        <v>685</v>
      </c>
      <c r="N447" s="493">
        <f t="shared" si="33"/>
        <v>0</v>
      </c>
    </row>
    <row r="448" spans="1:17" ht="15.75" x14ac:dyDescent="0.25">
      <c r="A448" s="692" t="s">
        <v>686</v>
      </c>
      <c r="B448" s="693"/>
      <c r="C448" s="694"/>
      <c r="D448" s="91" t="s">
        <v>687</v>
      </c>
      <c r="E448" s="493">
        <f t="shared" si="32"/>
        <v>0</v>
      </c>
      <c r="J448" s="692" t="s">
        <v>686</v>
      </c>
      <c r="K448" s="693"/>
      <c r="L448" s="694"/>
      <c r="M448" s="91" t="s">
        <v>687</v>
      </c>
      <c r="N448" s="493">
        <f t="shared" si="33"/>
        <v>0</v>
      </c>
    </row>
    <row r="449" spans="1:14" ht="15.75" x14ac:dyDescent="0.25">
      <c r="A449" s="692" t="s">
        <v>688</v>
      </c>
      <c r="B449" s="693"/>
      <c r="C449" s="694"/>
      <c r="D449" s="91" t="s">
        <v>689</v>
      </c>
      <c r="E449" s="493">
        <f t="shared" si="32"/>
        <v>0</v>
      </c>
      <c r="J449" s="692" t="s">
        <v>688</v>
      </c>
      <c r="K449" s="693"/>
      <c r="L449" s="694"/>
      <c r="M449" s="91" t="s">
        <v>689</v>
      </c>
      <c r="N449" s="493">
        <f t="shared" si="33"/>
        <v>0</v>
      </c>
    </row>
    <row r="450" spans="1:14" ht="15.75" x14ac:dyDescent="0.25">
      <c r="A450" s="692" t="s">
        <v>690</v>
      </c>
      <c r="B450" s="693"/>
      <c r="C450" s="694"/>
      <c r="D450" s="91" t="s">
        <v>691</v>
      </c>
      <c r="E450" s="493">
        <f t="shared" si="32"/>
        <v>0</v>
      </c>
      <c r="J450" s="692" t="s">
        <v>690</v>
      </c>
      <c r="K450" s="693"/>
      <c r="L450" s="694"/>
      <c r="M450" s="91" t="s">
        <v>691</v>
      </c>
      <c r="N450" s="493">
        <f t="shared" si="33"/>
        <v>0</v>
      </c>
    </row>
    <row r="451" spans="1:14" ht="15.75" x14ac:dyDescent="0.25">
      <c r="A451" s="692" t="s">
        <v>692</v>
      </c>
      <c r="B451" s="693"/>
      <c r="C451" s="694"/>
      <c r="D451" s="91" t="s">
        <v>693</v>
      </c>
      <c r="E451" s="493">
        <f t="shared" si="32"/>
        <v>0</v>
      </c>
      <c r="J451" s="692" t="s">
        <v>692</v>
      </c>
      <c r="K451" s="693"/>
      <c r="L451" s="694"/>
      <c r="M451" s="91" t="s">
        <v>693</v>
      </c>
      <c r="N451" s="493">
        <f t="shared" si="33"/>
        <v>0</v>
      </c>
    </row>
    <row r="452" spans="1:14" ht="15.75" x14ac:dyDescent="0.25">
      <c r="A452" s="692" t="s">
        <v>694</v>
      </c>
      <c r="B452" s="693"/>
      <c r="C452" s="694"/>
      <c r="D452" s="91" t="s">
        <v>695</v>
      </c>
      <c r="E452" s="493">
        <f t="shared" si="32"/>
        <v>0</v>
      </c>
      <c r="J452" s="692" t="s">
        <v>694</v>
      </c>
      <c r="K452" s="693"/>
      <c r="L452" s="694"/>
      <c r="M452" s="91" t="s">
        <v>695</v>
      </c>
      <c r="N452" s="493">
        <f t="shared" si="33"/>
        <v>0</v>
      </c>
    </row>
    <row r="453" spans="1:14" ht="15.75" x14ac:dyDescent="0.25">
      <c r="A453" s="692" t="s">
        <v>103</v>
      </c>
      <c r="B453" s="693"/>
      <c r="C453" s="694"/>
      <c r="D453" s="91" t="s">
        <v>696</v>
      </c>
      <c r="E453" s="493">
        <f t="shared" si="32"/>
        <v>0</v>
      </c>
      <c r="J453" s="692" t="s">
        <v>103</v>
      </c>
      <c r="K453" s="693"/>
      <c r="L453" s="694"/>
      <c r="M453" s="91" t="s">
        <v>696</v>
      </c>
      <c r="N453" s="493">
        <f t="shared" si="33"/>
        <v>0</v>
      </c>
    </row>
    <row r="454" spans="1:14" ht="15.75" x14ac:dyDescent="0.25">
      <c r="A454" s="692" t="s">
        <v>697</v>
      </c>
      <c r="B454" s="693"/>
      <c r="C454" s="694"/>
      <c r="D454" s="91" t="s">
        <v>698</v>
      </c>
      <c r="E454" s="493">
        <f t="shared" si="32"/>
        <v>0</v>
      </c>
      <c r="J454" s="692" t="s">
        <v>697</v>
      </c>
      <c r="K454" s="693"/>
      <c r="L454" s="694"/>
      <c r="M454" s="91" t="s">
        <v>698</v>
      </c>
      <c r="N454" s="493">
        <f t="shared" si="33"/>
        <v>0</v>
      </c>
    </row>
    <row r="455" spans="1:14" ht="15.75" x14ac:dyDescent="0.25">
      <c r="A455" s="692" t="s">
        <v>699</v>
      </c>
      <c r="B455" s="693"/>
      <c r="C455" s="694"/>
      <c r="D455" s="91" t="s">
        <v>700</v>
      </c>
      <c r="E455" s="493">
        <f t="shared" si="32"/>
        <v>0</v>
      </c>
      <c r="J455" s="692" t="s">
        <v>699</v>
      </c>
      <c r="K455" s="693"/>
      <c r="L455" s="694"/>
      <c r="M455" s="91" t="s">
        <v>700</v>
      </c>
      <c r="N455" s="493">
        <f t="shared" si="33"/>
        <v>0</v>
      </c>
    </row>
    <row r="456" spans="1:14" ht="15.75" x14ac:dyDescent="0.25">
      <c r="A456" s="692" t="s">
        <v>701</v>
      </c>
      <c r="B456" s="693"/>
      <c r="C456" s="694"/>
      <c r="D456" s="91" t="s">
        <v>702</v>
      </c>
      <c r="E456" s="493">
        <f t="shared" si="32"/>
        <v>0</v>
      </c>
      <c r="J456" s="692" t="s">
        <v>701</v>
      </c>
      <c r="K456" s="693"/>
      <c r="L456" s="694"/>
      <c r="M456" s="91" t="s">
        <v>702</v>
      </c>
      <c r="N456" s="493">
        <f t="shared" si="33"/>
        <v>0</v>
      </c>
    </row>
    <row r="457" spans="1:14" ht="18.75" thickBot="1" x14ac:dyDescent="0.3">
      <c r="A457" s="695" t="s">
        <v>251</v>
      </c>
      <c r="B457" s="695"/>
      <c r="C457" s="695"/>
      <c r="D457" s="695"/>
      <c r="E457" s="566">
        <f>SUM(E434:E456)</f>
        <v>0</v>
      </c>
      <c r="J457" s="695" t="s">
        <v>251</v>
      </c>
      <c r="K457" s="695"/>
      <c r="L457" s="695"/>
      <c r="M457" s="695"/>
      <c r="N457" s="566">
        <f>SUM(N434:N456)</f>
        <v>0</v>
      </c>
    </row>
    <row r="458" spans="1:14" ht="18.75" thickBot="1" x14ac:dyDescent="0.3">
      <c r="A458" s="696" t="s">
        <v>703</v>
      </c>
      <c r="B458" s="697"/>
      <c r="C458" s="697"/>
      <c r="D458" s="698"/>
      <c r="F458" s="567"/>
      <c r="G458" s="567"/>
      <c r="H458" s="567"/>
      <c r="I458" s="567"/>
      <c r="J458" s="696" t="s">
        <v>703</v>
      </c>
      <c r="K458" s="697"/>
      <c r="L458" s="697"/>
      <c r="M458" s="698"/>
    </row>
    <row r="459" spans="1:14" ht="15.75" x14ac:dyDescent="0.25">
      <c r="A459" s="692" t="s">
        <v>455</v>
      </c>
      <c r="B459" s="693"/>
      <c r="C459" s="694"/>
      <c r="D459" s="91" t="s">
        <v>704</v>
      </c>
      <c r="E459" s="493">
        <f t="shared" ref="E459:E464" si="34">COUNTIF($A$2:$BK$74,D459)</f>
        <v>0</v>
      </c>
      <c r="J459" s="692" t="s">
        <v>455</v>
      </c>
      <c r="K459" s="693"/>
      <c r="L459" s="694"/>
      <c r="M459" s="91" t="s">
        <v>704</v>
      </c>
      <c r="N459" s="493">
        <f t="shared" ref="N459:N464" si="35">COUNTIF($BL$3:$CN$45,M459)</f>
        <v>0</v>
      </c>
    </row>
    <row r="460" spans="1:14" ht="15.75" x14ac:dyDescent="0.25">
      <c r="A460" s="692" t="s">
        <v>512</v>
      </c>
      <c r="B460" s="693"/>
      <c r="C460" s="694"/>
      <c r="D460" s="91" t="s">
        <v>705</v>
      </c>
      <c r="E460" s="493">
        <f t="shared" si="34"/>
        <v>0</v>
      </c>
      <c r="J460" s="692" t="s">
        <v>512</v>
      </c>
      <c r="K460" s="693"/>
      <c r="L460" s="694"/>
      <c r="M460" s="91" t="s">
        <v>705</v>
      </c>
      <c r="N460" s="493">
        <f t="shared" si="35"/>
        <v>0</v>
      </c>
    </row>
    <row r="461" spans="1:14" ht="15.75" x14ac:dyDescent="0.25">
      <c r="A461" s="692" t="s">
        <v>479</v>
      </c>
      <c r="B461" s="693"/>
      <c r="C461" s="694"/>
      <c r="D461" s="91" t="s">
        <v>706</v>
      </c>
      <c r="E461" s="493">
        <f t="shared" si="34"/>
        <v>0</v>
      </c>
      <c r="J461" s="692" t="s">
        <v>479</v>
      </c>
      <c r="K461" s="693"/>
      <c r="L461" s="694"/>
      <c r="M461" s="91" t="s">
        <v>706</v>
      </c>
      <c r="N461" s="493">
        <f t="shared" si="35"/>
        <v>0</v>
      </c>
    </row>
    <row r="462" spans="1:14" ht="15.75" x14ac:dyDescent="0.25">
      <c r="A462" s="692" t="s">
        <v>543</v>
      </c>
      <c r="B462" s="693"/>
      <c r="C462" s="694"/>
      <c r="D462" s="91" t="s">
        <v>707</v>
      </c>
      <c r="E462" s="493">
        <f t="shared" si="34"/>
        <v>0</v>
      </c>
      <c r="J462" s="692" t="s">
        <v>543</v>
      </c>
      <c r="K462" s="693"/>
      <c r="L462" s="694"/>
      <c r="M462" s="91" t="s">
        <v>707</v>
      </c>
      <c r="N462" s="493">
        <f t="shared" si="35"/>
        <v>0</v>
      </c>
    </row>
    <row r="463" spans="1:14" ht="15.75" x14ac:dyDescent="0.25">
      <c r="A463" s="692" t="s">
        <v>487</v>
      </c>
      <c r="B463" s="693"/>
      <c r="C463" s="694"/>
      <c r="D463" s="91" t="s">
        <v>708</v>
      </c>
      <c r="E463" s="493">
        <f t="shared" si="34"/>
        <v>0</v>
      </c>
      <c r="J463" s="692" t="s">
        <v>487</v>
      </c>
      <c r="K463" s="693"/>
      <c r="L463" s="694"/>
      <c r="M463" s="91" t="s">
        <v>708</v>
      </c>
      <c r="N463" s="493">
        <f t="shared" si="35"/>
        <v>0</v>
      </c>
    </row>
    <row r="464" spans="1:14" ht="15.75" x14ac:dyDescent="0.25">
      <c r="A464" s="692" t="s">
        <v>549</v>
      </c>
      <c r="B464" s="693"/>
      <c r="C464" s="694"/>
      <c r="D464" s="91" t="s">
        <v>709</v>
      </c>
      <c r="E464" s="493">
        <f t="shared" si="34"/>
        <v>0</v>
      </c>
      <c r="J464" s="692" t="s">
        <v>549</v>
      </c>
      <c r="K464" s="693"/>
      <c r="L464" s="694"/>
      <c r="M464" s="91" t="s">
        <v>709</v>
      </c>
      <c r="N464" s="493">
        <f t="shared" si="35"/>
        <v>0</v>
      </c>
    </row>
    <row r="465" spans="1:14" ht="18.75" thickBot="1" x14ac:dyDescent="0.3">
      <c r="A465" s="695" t="s">
        <v>251</v>
      </c>
      <c r="B465" s="695"/>
      <c r="C465" s="695"/>
      <c r="D465" s="695"/>
      <c r="E465" s="566">
        <f>SUM(E459:E463)</f>
        <v>0</v>
      </c>
      <c r="J465" s="695" t="s">
        <v>251</v>
      </c>
      <c r="K465" s="695"/>
      <c r="L465" s="695"/>
      <c r="M465" s="695"/>
      <c r="N465" s="566">
        <f>SUM(N459:N463)</f>
        <v>0</v>
      </c>
    </row>
    <row r="466" spans="1:14" ht="18.75" thickBot="1" x14ac:dyDescent="0.3">
      <c r="A466" s="696" t="s">
        <v>14</v>
      </c>
      <c r="B466" s="697"/>
      <c r="C466" s="697"/>
      <c r="D466" s="698"/>
      <c r="F466" s="567"/>
      <c r="G466" s="567"/>
      <c r="H466" s="567"/>
      <c r="I466" s="567"/>
      <c r="J466" s="696" t="s">
        <v>14</v>
      </c>
      <c r="K466" s="697"/>
      <c r="L466" s="697"/>
      <c r="M466" s="698"/>
    </row>
    <row r="467" spans="1:14" ht="15.75" x14ac:dyDescent="0.25">
      <c r="A467" s="692" t="s">
        <v>455</v>
      </c>
      <c r="B467" s="693"/>
      <c r="C467" s="694"/>
      <c r="D467" s="91" t="s">
        <v>710</v>
      </c>
      <c r="E467" s="493">
        <f>COUNTIF($A$2:$BK$74,D467)</f>
        <v>0</v>
      </c>
      <c r="J467" s="692" t="s">
        <v>455</v>
      </c>
      <c r="K467" s="693"/>
      <c r="L467" s="694"/>
      <c r="M467" s="91" t="s">
        <v>710</v>
      </c>
      <c r="N467" s="493">
        <f>COUNTIF($BL$3:$CN$45,M467)</f>
        <v>0</v>
      </c>
    </row>
    <row r="468" spans="1:14" ht="15.75" x14ac:dyDescent="0.25">
      <c r="A468" s="692" t="s">
        <v>512</v>
      </c>
      <c r="B468" s="693"/>
      <c r="C468" s="694"/>
      <c r="D468" s="91" t="s">
        <v>711</v>
      </c>
      <c r="E468" s="493">
        <f>COUNTIF($A$2:$BK$74,D468)</f>
        <v>0</v>
      </c>
      <c r="J468" s="692" t="s">
        <v>512</v>
      </c>
      <c r="K468" s="693"/>
      <c r="L468" s="694"/>
      <c r="M468" s="91" t="s">
        <v>711</v>
      </c>
      <c r="N468" s="493">
        <f>COUNTIF($BL$3:$CN$45,M468)</f>
        <v>0</v>
      </c>
    </row>
    <row r="469" spans="1:14" ht="15.75" x14ac:dyDescent="0.25">
      <c r="A469" s="692" t="s">
        <v>712</v>
      </c>
      <c r="B469" s="693"/>
      <c r="C469" s="694"/>
      <c r="D469" s="91" t="s">
        <v>713</v>
      </c>
      <c r="E469" s="493">
        <f>COUNTIF($A$2:$BK$74,D469)</f>
        <v>0</v>
      </c>
      <c r="J469" s="692" t="s">
        <v>712</v>
      </c>
      <c r="K469" s="693"/>
      <c r="L469" s="694"/>
      <c r="M469" s="91" t="s">
        <v>713</v>
      </c>
      <c r="N469" s="493">
        <f>COUNTIF($BL$3:$CN$45,M469)</f>
        <v>0</v>
      </c>
    </row>
    <row r="470" spans="1:14" ht="15.75" x14ac:dyDescent="0.25">
      <c r="A470" s="692" t="s">
        <v>714</v>
      </c>
      <c r="B470" s="693"/>
      <c r="C470" s="694"/>
      <c r="D470" s="91" t="s">
        <v>715</v>
      </c>
      <c r="E470" s="493">
        <f>COUNTIF($A$2:$BK$74,D470)</f>
        <v>0</v>
      </c>
      <c r="J470" s="692" t="s">
        <v>714</v>
      </c>
      <c r="K470" s="693"/>
      <c r="L470" s="694"/>
      <c r="M470" s="91" t="s">
        <v>715</v>
      </c>
      <c r="N470" s="493">
        <f>COUNTIF($BL$3:$CN$45,M470)</f>
        <v>0</v>
      </c>
    </row>
    <row r="471" spans="1:14" ht="18.75" thickBot="1" x14ac:dyDescent="0.3">
      <c r="A471" s="695" t="s">
        <v>251</v>
      </c>
      <c r="B471" s="695"/>
      <c r="C471" s="695"/>
      <c r="D471" s="695"/>
      <c r="E471" s="566">
        <f>SUM(E467:E470)</f>
        <v>0</v>
      </c>
      <c r="J471" s="695" t="s">
        <v>251</v>
      </c>
      <c r="K471" s="695"/>
      <c r="L471" s="695"/>
      <c r="M471" s="695"/>
      <c r="N471" s="566">
        <f>SUM(N467:N470)</f>
        <v>0</v>
      </c>
    </row>
    <row r="472" spans="1:14" ht="18.75" thickBot="1" x14ac:dyDescent="0.3">
      <c r="A472" s="696" t="s">
        <v>716</v>
      </c>
      <c r="B472" s="697"/>
      <c r="C472" s="697"/>
      <c r="D472" s="698"/>
      <c r="F472" s="567"/>
      <c r="G472" s="567"/>
      <c r="H472" s="567"/>
      <c r="I472" s="567"/>
      <c r="J472" s="696" t="s">
        <v>716</v>
      </c>
      <c r="K472" s="697"/>
      <c r="L472" s="697"/>
      <c r="M472" s="698"/>
    </row>
    <row r="473" spans="1:14" ht="15.75" x14ac:dyDescent="0.25">
      <c r="A473" s="692" t="s">
        <v>52</v>
      </c>
      <c r="B473" s="693"/>
      <c r="C473" s="694"/>
      <c r="D473" s="91" t="s">
        <v>717</v>
      </c>
      <c r="E473" s="493">
        <f t="shared" ref="E473:E484" si="36">COUNTIF($A$2:$BK$74,D473)</f>
        <v>0</v>
      </c>
      <c r="J473" s="692" t="s">
        <v>52</v>
      </c>
      <c r="K473" s="693"/>
      <c r="L473" s="694"/>
      <c r="M473" s="91" t="s">
        <v>717</v>
      </c>
      <c r="N473" s="493">
        <f t="shared" ref="N473:N484" si="37">COUNTIF($BL$3:$CN$45,M473)</f>
        <v>0</v>
      </c>
    </row>
    <row r="474" spans="1:14" ht="15.75" x14ac:dyDescent="0.25">
      <c r="A474" s="692" t="s">
        <v>664</v>
      </c>
      <c r="B474" s="693"/>
      <c r="C474" s="694"/>
      <c r="D474" s="91" t="s">
        <v>718</v>
      </c>
      <c r="E474" s="493">
        <f t="shared" si="36"/>
        <v>0</v>
      </c>
      <c r="J474" s="692" t="s">
        <v>664</v>
      </c>
      <c r="K474" s="693"/>
      <c r="L474" s="694"/>
      <c r="M474" s="91" t="s">
        <v>718</v>
      </c>
      <c r="N474" s="493">
        <f t="shared" si="37"/>
        <v>0</v>
      </c>
    </row>
    <row r="475" spans="1:14" ht="15.75" x14ac:dyDescent="0.25">
      <c r="A475" s="692" t="s">
        <v>719</v>
      </c>
      <c r="B475" s="693"/>
      <c r="C475" s="694"/>
      <c r="D475" s="91" t="s">
        <v>720</v>
      </c>
      <c r="E475" s="493">
        <f t="shared" si="36"/>
        <v>0</v>
      </c>
      <c r="J475" s="692" t="s">
        <v>719</v>
      </c>
      <c r="K475" s="693"/>
      <c r="L475" s="694"/>
      <c r="M475" s="91" t="s">
        <v>720</v>
      </c>
      <c r="N475" s="493">
        <f t="shared" si="37"/>
        <v>0</v>
      </c>
    </row>
    <row r="476" spans="1:14" ht="15.75" x14ac:dyDescent="0.25">
      <c r="A476" s="692" t="s">
        <v>66</v>
      </c>
      <c r="B476" s="693"/>
      <c r="C476" s="694"/>
      <c r="D476" s="91" t="s">
        <v>721</v>
      </c>
      <c r="E476" s="493">
        <f t="shared" si="36"/>
        <v>0</v>
      </c>
      <c r="J476" s="692" t="s">
        <v>66</v>
      </c>
      <c r="K476" s="693"/>
      <c r="L476" s="694"/>
      <c r="M476" s="91" t="s">
        <v>721</v>
      </c>
      <c r="N476" s="493">
        <f t="shared" si="37"/>
        <v>0</v>
      </c>
    </row>
    <row r="477" spans="1:14" ht="15.75" x14ac:dyDescent="0.25">
      <c r="A477" s="692" t="s">
        <v>125</v>
      </c>
      <c r="B477" s="693"/>
      <c r="C477" s="694"/>
      <c r="D477" s="91" t="s">
        <v>722</v>
      </c>
      <c r="E477" s="493">
        <f t="shared" si="36"/>
        <v>0</v>
      </c>
      <c r="J477" s="692" t="s">
        <v>125</v>
      </c>
      <c r="K477" s="693"/>
      <c r="L477" s="694"/>
      <c r="M477" s="91" t="s">
        <v>722</v>
      </c>
      <c r="N477" s="493">
        <f t="shared" si="37"/>
        <v>0</v>
      </c>
    </row>
    <row r="478" spans="1:14" ht="15.75" x14ac:dyDescent="0.25">
      <c r="A478" s="692" t="s">
        <v>68</v>
      </c>
      <c r="B478" s="693"/>
      <c r="C478" s="694"/>
      <c r="D478" s="91" t="s">
        <v>723</v>
      </c>
      <c r="E478" s="493">
        <f t="shared" si="36"/>
        <v>0</v>
      </c>
      <c r="J478" s="692" t="s">
        <v>68</v>
      </c>
      <c r="K478" s="693"/>
      <c r="L478" s="694"/>
      <c r="M478" s="91" t="s">
        <v>723</v>
      </c>
      <c r="N478" s="493">
        <f t="shared" si="37"/>
        <v>0</v>
      </c>
    </row>
    <row r="479" spans="1:14" ht="15.75" x14ac:dyDescent="0.25">
      <c r="A479" s="692" t="s">
        <v>8</v>
      </c>
      <c r="B479" s="693"/>
      <c r="C479" s="694"/>
      <c r="D479" s="91" t="s">
        <v>724</v>
      </c>
      <c r="E479" s="493">
        <f t="shared" si="36"/>
        <v>0</v>
      </c>
      <c r="J479" s="692" t="s">
        <v>8</v>
      </c>
      <c r="K479" s="693"/>
      <c r="L479" s="694"/>
      <c r="M479" s="91" t="s">
        <v>724</v>
      </c>
      <c r="N479" s="493">
        <f t="shared" si="37"/>
        <v>0</v>
      </c>
    </row>
    <row r="480" spans="1:14" ht="15.75" x14ac:dyDescent="0.25">
      <c r="A480" s="692" t="s">
        <v>10</v>
      </c>
      <c r="B480" s="693"/>
      <c r="C480" s="694"/>
      <c r="D480" s="91" t="s">
        <v>725</v>
      </c>
      <c r="E480" s="493">
        <f t="shared" si="36"/>
        <v>0</v>
      </c>
      <c r="J480" s="692" t="s">
        <v>10</v>
      </c>
      <c r="K480" s="693"/>
      <c r="L480" s="694"/>
      <c r="M480" s="91" t="s">
        <v>725</v>
      </c>
      <c r="N480" s="493">
        <f t="shared" si="37"/>
        <v>0</v>
      </c>
    </row>
    <row r="481" spans="1:14" ht="15.75" x14ac:dyDescent="0.25">
      <c r="A481" s="692" t="s">
        <v>726</v>
      </c>
      <c r="B481" s="693"/>
      <c r="C481" s="694"/>
      <c r="D481" s="91" t="s">
        <v>727</v>
      </c>
      <c r="E481" s="493">
        <f t="shared" si="36"/>
        <v>0</v>
      </c>
      <c r="J481" s="692" t="s">
        <v>726</v>
      </c>
      <c r="K481" s="693"/>
      <c r="L481" s="694"/>
      <c r="M481" s="91" t="s">
        <v>727</v>
      </c>
      <c r="N481" s="493">
        <f t="shared" si="37"/>
        <v>0</v>
      </c>
    </row>
    <row r="482" spans="1:14" ht="15.75" x14ac:dyDescent="0.25">
      <c r="A482" s="692" t="s">
        <v>118</v>
      </c>
      <c r="B482" s="693"/>
      <c r="C482" s="694"/>
      <c r="D482" s="91" t="s">
        <v>728</v>
      </c>
      <c r="E482" s="493">
        <f t="shared" si="36"/>
        <v>0</v>
      </c>
      <c r="J482" s="692" t="s">
        <v>118</v>
      </c>
      <c r="K482" s="693"/>
      <c r="L482" s="694"/>
      <c r="M482" s="91" t="s">
        <v>728</v>
      </c>
      <c r="N482" s="493">
        <f t="shared" si="37"/>
        <v>0</v>
      </c>
    </row>
    <row r="483" spans="1:14" ht="15.75" x14ac:dyDescent="0.25">
      <c r="A483" s="692" t="s">
        <v>699</v>
      </c>
      <c r="B483" s="693"/>
      <c r="C483" s="694"/>
      <c r="D483" s="91" t="s">
        <v>729</v>
      </c>
      <c r="E483" s="493">
        <f t="shared" si="36"/>
        <v>0</v>
      </c>
      <c r="J483" s="692" t="s">
        <v>699</v>
      </c>
      <c r="K483" s="693"/>
      <c r="L483" s="694"/>
      <c r="M483" s="91" t="s">
        <v>729</v>
      </c>
      <c r="N483" s="493">
        <f t="shared" si="37"/>
        <v>0</v>
      </c>
    </row>
    <row r="484" spans="1:14" ht="15.75" x14ac:dyDescent="0.25">
      <c r="A484" s="692" t="s">
        <v>103</v>
      </c>
      <c r="B484" s="693"/>
      <c r="C484" s="694"/>
      <c r="D484" s="91" t="s">
        <v>730</v>
      </c>
      <c r="E484" s="493">
        <f t="shared" si="36"/>
        <v>0</v>
      </c>
      <c r="J484" s="692" t="s">
        <v>103</v>
      </c>
      <c r="K484" s="693"/>
      <c r="L484" s="694"/>
      <c r="M484" s="91" t="s">
        <v>730</v>
      </c>
      <c r="N484" s="493">
        <f t="shared" si="37"/>
        <v>0</v>
      </c>
    </row>
    <row r="485" spans="1:14" ht="18.75" thickBot="1" x14ac:dyDescent="0.3">
      <c r="A485" s="695" t="s">
        <v>251</v>
      </c>
      <c r="B485" s="695"/>
      <c r="C485" s="695"/>
      <c r="D485" s="695"/>
      <c r="E485" s="566">
        <f>SUM(E484:E484)</f>
        <v>0</v>
      </c>
      <c r="J485" s="695" t="s">
        <v>251</v>
      </c>
      <c r="K485" s="695"/>
      <c r="L485" s="695"/>
      <c r="M485" s="695"/>
      <c r="N485" s="566">
        <f>SUM(N484:N484)</f>
        <v>0</v>
      </c>
    </row>
    <row r="486" spans="1:14" ht="18.75" thickBot="1" x14ac:dyDescent="0.3">
      <c r="A486" s="696" t="s">
        <v>731</v>
      </c>
      <c r="B486" s="697"/>
      <c r="C486" s="697"/>
      <c r="D486" s="698"/>
      <c r="F486" s="567"/>
      <c r="G486" s="567"/>
      <c r="H486" s="567"/>
      <c r="I486" s="567"/>
      <c r="J486" s="696" t="s">
        <v>731</v>
      </c>
      <c r="K486" s="697"/>
      <c r="L486" s="697"/>
      <c r="M486" s="698"/>
    </row>
    <row r="487" spans="1:14" ht="15.75" x14ac:dyDescent="0.25">
      <c r="A487" s="692" t="s">
        <v>732</v>
      </c>
      <c r="B487" s="693"/>
      <c r="C487" s="694"/>
      <c r="D487" s="91" t="s">
        <v>733</v>
      </c>
      <c r="E487" s="493">
        <f t="shared" ref="E487:E496" si="38">COUNTIF($A$2:$BK$74,D487)</f>
        <v>0</v>
      </c>
      <c r="J487" s="692" t="s">
        <v>732</v>
      </c>
      <c r="K487" s="693"/>
      <c r="L487" s="694"/>
      <c r="M487" s="91" t="s">
        <v>733</v>
      </c>
      <c r="N487" s="493">
        <f t="shared" ref="N487:N496" si="39">COUNTIF($BL$3:$CN$45,M487)</f>
        <v>0</v>
      </c>
    </row>
    <row r="488" spans="1:14" ht="15.75" x14ac:dyDescent="0.25">
      <c r="A488" s="692" t="s">
        <v>734</v>
      </c>
      <c r="B488" s="693"/>
      <c r="C488" s="694"/>
      <c r="D488" s="91" t="s">
        <v>735</v>
      </c>
      <c r="E488" s="493">
        <f t="shared" si="38"/>
        <v>0</v>
      </c>
      <c r="J488" s="692" t="s">
        <v>734</v>
      </c>
      <c r="K488" s="693"/>
      <c r="L488" s="694"/>
      <c r="M488" s="91" t="s">
        <v>735</v>
      </c>
      <c r="N488" s="493">
        <f t="shared" si="39"/>
        <v>0</v>
      </c>
    </row>
    <row r="489" spans="1:14" ht="15.75" x14ac:dyDescent="0.25">
      <c r="A489" s="692" t="s">
        <v>736</v>
      </c>
      <c r="B489" s="693"/>
      <c r="C489" s="694"/>
      <c r="D489" s="91" t="s">
        <v>737</v>
      </c>
      <c r="E489" s="493">
        <f t="shared" si="38"/>
        <v>0</v>
      </c>
      <c r="J489" s="692" t="s">
        <v>736</v>
      </c>
      <c r="K489" s="693"/>
      <c r="L489" s="694"/>
      <c r="M489" s="91" t="s">
        <v>737</v>
      </c>
      <c r="N489" s="493">
        <f t="shared" si="39"/>
        <v>0</v>
      </c>
    </row>
    <row r="490" spans="1:14" ht="15.75" x14ac:dyDescent="0.25">
      <c r="A490" s="692" t="s">
        <v>738</v>
      </c>
      <c r="B490" s="693"/>
      <c r="C490" s="694"/>
      <c r="D490" s="91" t="s">
        <v>739</v>
      </c>
      <c r="E490" s="493">
        <f t="shared" si="38"/>
        <v>0</v>
      </c>
      <c r="J490" s="692" t="s">
        <v>738</v>
      </c>
      <c r="K490" s="693"/>
      <c r="L490" s="694"/>
      <c r="M490" s="91" t="s">
        <v>739</v>
      </c>
      <c r="N490" s="493">
        <f t="shared" si="39"/>
        <v>0</v>
      </c>
    </row>
    <row r="491" spans="1:14" ht="15.75" x14ac:dyDescent="0.25">
      <c r="A491" s="692" t="s">
        <v>740</v>
      </c>
      <c r="B491" s="693"/>
      <c r="C491" s="694"/>
      <c r="D491" s="91" t="s">
        <v>741</v>
      </c>
      <c r="E491" s="493">
        <f t="shared" si="38"/>
        <v>0</v>
      </c>
      <c r="J491" s="692" t="s">
        <v>740</v>
      </c>
      <c r="K491" s="693"/>
      <c r="L491" s="694"/>
      <c r="M491" s="91" t="s">
        <v>741</v>
      </c>
      <c r="N491" s="493">
        <f t="shared" si="39"/>
        <v>0</v>
      </c>
    </row>
    <row r="492" spans="1:14" ht="15.75" x14ac:dyDescent="0.25">
      <c r="A492" s="692" t="s">
        <v>742</v>
      </c>
      <c r="B492" s="693"/>
      <c r="C492" s="694"/>
      <c r="D492" s="91" t="s">
        <v>743</v>
      </c>
      <c r="E492" s="493">
        <f t="shared" si="38"/>
        <v>0</v>
      </c>
      <c r="J492" s="692" t="s">
        <v>742</v>
      </c>
      <c r="K492" s="693"/>
      <c r="L492" s="694"/>
      <c r="M492" s="91" t="s">
        <v>743</v>
      </c>
      <c r="N492" s="493">
        <f t="shared" si="39"/>
        <v>0</v>
      </c>
    </row>
    <row r="493" spans="1:14" ht="15.75" x14ac:dyDescent="0.25">
      <c r="A493" s="692" t="s">
        <v>744</v>
      </c>
      <c r="B493" s="693"/>
      <c r="C493" s="694"/>
      <c r="D493" s="91" t="s">
        <v>745</v>
      </c>
      <c r="E493" s="493">
        <f t="shared" si="38"/>
        <v>0</v>
      </c>
      <c r="J493" s="692" t="s">
        <v>744</v>
      </c>
      <c r="K493" s="693"/>
      <c r="L493" s="694"/>
      <c r="M493" s="91" t="s">
        <v>745</v>
      </c>
      <c r="N493" s="493">
        <f t="shared" si="39"/>
        <v>0</v>
      </c>
    </row>
    <row r="494" spans="1:14" ht="15.75" x14ac:dyDescent="0.25">
      <c r="A494" s="692" t="s">
        <v>746</v>
      </c>
      <c r="B494" s="693"/>
      <c r="C494" s="694"/>
      <c r="D494" s="91" t="s">
        <v>747</v>
      </c>
      <c r="E494" s="493">
        <f t="shared" si="38"/>
        <v>0</v>
      </c>
      <c r="J494" s="692" t="s">
        <v>746</v>
      </c>
      <c r="K494" s="693"/>
      <c r="L494" s="694"/>
      <c r="M494" s="91" t="s">
        <v>747</v>
      </c>
      <c r="N494" s="493">
        <f t="shared" si="39"/>
        <v>0</v>
      </c>
    </row>
    <row r="495" spans="1:14" ht="15.75" x14ac:dyDescent="0.25">
      <c r="A495" s="692" t="s">
        <v>748</v>
      </c>
      <c r="B495" s="693"/>
      <c r="C495" s="694"/>
      <c r="D495" s="91" t="s">
        <v>749</v>
      </c>
      <c r="E495" s="493">
        <f t="shared" si="38"/>
        <v>0</v>
      </c>
      <c r="J495" s="692" t="s">
        <v>748</v>
      </c>
      <c r="K495" s="693"/>
      <c r="L495" s="694"/>
      <c r="M495" s="91" t="s">
        <v>749</v>
      </c>
      <c r="N495" s="493">
        <f t="shared" si="39"/>
        <v>0</v>
      </c>
    </row>
    <row r="496" spans="1:14" ht="15.75" x14ac:dyDescent="0.25">
      <c r="A496" s="692" t="s">
        <v>750</v>
      </c>
      <c r="B496" s="693"/>
      <c r="C496" s="694"/>
      <c r="D496" s="91" t="s">
        <v>751</v>
      </c>
      <c r="E496" s="493">
        <f t="shared" si="38"/>
        <v>0</v>
      </c>
      <c r="J496" s="692" t="s">
        <v>750</v>
      </c>
      <c r="K496" s="693"/>
      <c r="L496" s="694"/>
      <c r="M496" s="91" t="s">
        <v>751</v>
      </c>
      <c r="N496" s="493">
        <f t="shared" si="39"/>
        <v>0</v>
      </c>
    </row>
    <row r="497" spans="1:31" ht="18" x14ac:dyDescent="0.25">
      <c r="A497" s="695" t="s">
        <v>251</v>
      </c>
      <c r="B497" s="695"/>
      <c r="C497" s="695"/>
      <c r="D497" s="695"/>
      <c r="E497" s="566">
        <f>SUM(E487:E496)</f>
        <v>0</v>
      </c>
      <c r="J497" s="695" t="s">
        <v>251</v>
      </c>
      <c r="K497" s="695"/>
      <c r="L497" s="695"/>
      <c r="M497" s="695"/>
      <c r="N497" s="566">
        <f>SUM(N487:N496)</f>
        <v>0</v>
      </c>
    </row>
    <row r="501" spans="1:31" x14ac:dyDescent="0.25">
      <c r="AE501" s="568" t="s">
        <v>752</v>
      </c>
    </row>
  </sheetData>
  <mergeCells count="809">
    <mergeCell ref="AI24:AK24"/>
    <mergeCell ref="BE25:BG25"/>
    <mergeCell ref="A1:CN1"/>
    <mergeCell ref="BL3:BO7"/>
    <mergeCell ref="CK3:CL3"/>
    <mergeCell ref="B18:D18"/>
    <mergeCell ref="E18:F18"/>
    <mergeCell ref="BI18:BJ18"/>
    <mergeCell ref="AW26:AY26"/>
    <mergeCell ref="BC26:BG26"/>
    <mergeCell ref="CC26:CD26"/>
    <mergeCell ref="CH26:CJ27"/>
    <mergeCell ref="AT27:AW27"/>
    <mergeCell ref="CD27:CE27"/>
    <mergeCell ref="AR20:AU20"/>
    <mergeCell ref="AR23:AU23"/>
    <mergeCell ref="AW23:AY23"/>
    <mergeCell ref="BL23:BL24"/>
    <mergeCell ref="BL28:BT28"/>
    <mergeCell ref="A29:B29"/>
    <mergeCell ref="AC29:AF29"/>
    <mergeCell ref="AH29:AK29"/>
    <mergeCell ref="CH31:CJ32"/>
    <mergeCell ref="AW32:BC39"/>
    <mergeCell ref="J33:K33"/>
    <mergeCell ref="S33:U33"/>
    <mergeCell ref="B37:H37"/>
    <mergeCell ref="M38:N38"/>
    <mergeCell ref="AF40:AH40"/>
    <mergeCell ref="BS40:BT40"/>
    <mergeCell ref="T44:AB54"/>
    <mergeCell ref="AE46:AM48"/>
    <mergeCell ref="B48:C48"/>
    <mergeCell ref="AK49:AM52"/>
    <mergeCell ref="AC51:AJ54"/>
    <mergeCell ref="AK53:AM54"/>
    <mergeCell ref="B64:D64"/>
    <mergeCell ref="Z96:AA96"/>
    <mergeCell ref="AB96:AC96"/>
    <mergeCell ref="U97:W97"/>
    <mergeCell ref="X97:Y97"/>
    <mergeCell ref="L69:O69"/>
    <mergeCell ref="A94:I94"/>
    <mergeCell ref="J94:M94"/>
    <mergeCell ref="T94:W94"/>
    <mergeCell ref="Z94:AC94"/>
    <mergeCell ref="T95:U95"/>
    <mergeCell ref="V95:W95"/>
    <mergeCell ref="Z95:AA95"/>
    <mergeCell ref="AB95:AC95"/>
    <mergeCell ref="Q40:S73"/>
    <mergeCell ref="A98:Q98"/>
    <mergeCell ref="E100:I100"/>
    <mergeCell ref="J100:K100"/>
    <mergeCell ref="A102:E102"/>
    <mergeCell ref="F102:G102"/>
    <mergeCell ref="J102:N102"/>
    <mergeCell ref="O102:P102"/>
    <mergeCell ref="T96:U96"/>
    <mergeCell ref="V96:W96"/>
    <mergeCell ref="A110:C110"/>
    <mergeCell ref="J110:L110"/>
    <mergeCell ref="A111:C111"/>
    <mergeCell ref="J111:L111"/>
    <mergeCell ref="A112:C112"/>
    <mergeCell ref="J112:L112"/>
    <mergeCell ref="A106:F106"/>
    <mergeCell ref="J106:O106"/>
    <mergeCell ref="T106:AC106"/>
    <mergeCell ref="A107:C107"/>
    <mergeCell ref="J107:L107"/>
    <mergeCell ref="T107:AC120"/>
    <mergeCell ref="A108:C108"/>
    <mergeCell ref="J108:L108"/>
    <mergeCell ref="A109:C109"/>
    <mergeCell ref="J109:L109"/>
    <mergeCell ref="A116:C116"/>
    <mergeCell ref="J116:L116"/>
    <mergeCell ref="A117:C117"/>
    <mergeCell ref="J117:L117"/>
    <mergeCell ref="A118:C118"/>
    <mergeCell ref="J118:L118"/>
    <mergeCell ref="A113:C113"/>
    <mergeCell ref="J113:L113"/>
    <mergeCell ref="A114:C114"/>
    <mergeCell ref="J114:L114"/>
    <mergeCell ref="A115:C115"/>
    <mergeCell ref="J115:L115"/>
    <mergeCell ref="A122:C122"/>
    <mergeCell ref="J122:L122"/>
    <mergeCell ref="A123:C123"/>
    <mergeCell ref="J123:L123"/>
    <mergeCell ref="A124:C124"/>
    <mergeCell ref="J124:L124"/>
    <mergeCell ref="A119:C119"/>
    <mergeCell ref="J119:L119"/>
    <mergeCell ref="A120:C120"/>
    <mergeCell ref="J120:L120"/>
    <mergeCell ref="A121:C121"/>
    <mergeCell ref="J121:L121"/>
    <mergeCell ref="A128:C128"/>
    <mergeCell ref="J128:L128"/>
    <mergeCell ref="A129:C129"/>
    <mergeCell ref="J129:L129"/>
    <mergeCell ref="A130:C130"/>
    <mergeCell ref="J130:L130"/>
    <mergeCell ref="A125:C125"/>
    <mergeCell ref="J125:L125"/>
    <mergeCell ref="A126:C126"/>
    <mergeCell ref="J126:L126"/>
    <mergeCell ref="A127:C127"/>
    <mergeCell ref="J127:L127"/>
    <mergeCell ref="A134:C134"/>
    <mergeCell ref="J134:L134"/>
    <mergeCell ref="A135:C135"/>
    <mergeCell ref="J135:L135"/>
    <mergeCell ref="A136:C136"/>
    <mergeCell ref="J136:L136"/>
    <mergeCell ref="A131:C131"/>
    <mergeCell ref="J131:L131"/>
    <mergeCell ref="A132:C132"/>
    <mergeCell ref="J132:L132"/>
    <mergeCell ref="A133:C133"/>
    <mergeCell ref="J133:L133"/>
    <mergeCell ref="A140:C140"/>
    <mergeCell ref="J140:L140"/>
    <mergeCell ref="A141:C141"/>
    <mergeCell ref="J141:L141"/>
    <mergeCell ref="A142:C142"/>
    <mergeCell ref="J142:L142"/>
    <mergeCell ref="A137:C137"/>
    <mergeCell ref="J137:L137"/>
    <mergeCell ref="A138:C138"/>
    <mergeCell ref="J138:L138"/>
    <mergeCell ref="A139:C139"/>
    <mergeCell ref="J139:L139"/>
    <mergeCell ref="A146:C146"/>
    <mergeCell ref="J146:L146"/>
    <mergeCell ref="A147:C147"/>
    <mergeCell ref="J147:L147"/>
    <mergeCell ref="A148:C148"/>
    <mergeCell ref="J148:L148"/>
    <mergeCell ref="A143:C143"/>
    <mergeCell ref="J143:L143"/>
    <mergeCell ref="A144:C144"/>
    <mergeCell ref="J144:L144"/>
    <mergeCell ref="A145:C145"/>
    <mergeCell ref="J145:L145"/>
    <mergeCell ref="A152:C152"/>
    <mergeCell ref="J152:L152"/>
    <mergeCell ref="A153:C153"/>
    <mergeCell ref="J153:L153"/>
    <mergeCell ref="A154:C154"/>
    <mergeCell ref="J154:L154"/>
    <mergeCell ref="A149:C149"/>
    <mergeCell ref="J149:L149"/>
    <mergeCell ref="A150:C150"/>
    <mergeCell ref="J150:L150"/>
    <mergeCell ref="A151:C151"/>
    <mergeCell ref="J151:L151"/>
    <mergeCell ref="A158:C158"/>
    <mergeCell ref="J158:L158"/>
    <mergeCell ref="A159:C159"/>
    <mergeCell ref="J159:L159"/>
    <mergeCell ref="A160:C160"/>
    <mergeCell ref="J160:L160"/>
    <mergeCell ref="A155:C155"/>
    <mergeCell ref="J155:L155"/>
    <mergeCell ref="A156:C156"/>
    <mergeCell ref="J156:L156"/>
    <mergeCell ref="A157:C157"/>
    <mergeCell ref="J157:L157"/>
    <mergeCell ref="A165:C165"/>
    <mergeCell ref="J165:L165"/>
    <mergeCell ref="A166:C166"/>
    <mergeCell ref="J166:L166"/>
    <mergeCell ref="A167:C167"/>
    <mergeCell ref="J167:L167"/>
    <mergeCell ref="A162:C162"/>
    <mergeCell ref="J162:L162"/>
    <mergeCell ref="A163:C163"/>
    <mergeCell ref="J163:L163"/>
    <mergeCell ref="A164:C164"/>
    <mergeCell ref="J164:L164"/>
    <mergeCell ref="A171:C171"/>
    <mergeCell ref="J171:L171"/>
    <mergeCell ref="A172:C172"/>
    <mergeCell ref="J172:L172"/>
    <mergeCell ref="A173:C173"/>
    <mergeCell ref="J173:L173"/>
    <mergeCell ref="A168:C168"/>
    <mergeCell ref="J168:L168"/>
    <mergeCell ref="A169:C169"/>
    <mergeCell ref="J169:L169"/>
    <mergeCell ref="A170:C170"/>
    <mergeCell ref="J170:L170"/>
    <mergeCell ref="A177:C177"/>
    <mergeCell ref="J177:L177"/>
    <mergeCell ref="A178:C178"/>
    <mergeCell ref="J178:L178"/>
    <mergeCell ref="A179:C179"/>
    <mergeCell ref="J179:L179"/>
    <mergeCell ref="A174:C174"/>
    <mergeCell ref="J174:L174"/>
    <mergeCell ref="A175:C175"/>
    <mergeCell ref="J175:L175"/>
    <mergeCell ref="A176:C176"/>
    <mergeCell ref="J176:L176"/>
    <mergeCell ref="A183:C183"/>
    <mergeCell ref="J183:L183"/>
    <mergeCell ref="A184:C184"/>
    <mergeCell ref="J184:L184"/>
    <mergeCell ref="A185:C185"/>
    <mergeCell ref="J185:L185"/>
    <mergeCell ref="A180:C180"/>
    <mergeCell ref="J180:L180"/>
    <mergeCell ref="A181:C181"/>
    <mergeCell ref="J181:L181"/>
    <mergeCell ref="A182:C182"/>
    <mergeCell ref="J182:L182"/>
    <mergeCell ref="A191:C191"/>
    <mergeCell ref="J191:L191"/>
    <mergeCell ref="A192:C192"/>
    <mergeCell ref="J192:L192"/>
    <mergeCell ref="A193:C193"/>
    <mergeCell ref="J193:L193"/>
    <mergeCell ref="A186:C186"/>
    <mergeCell ref="J186:L186"/>
    <mergeCell ref="A188:C188"/>
    <mergeCell ref="J188:L188"/>
    <mergeCell ref="A190:C190"/>
    <mergeCell ref="J190:L190"/>
    <mergeCell ref="A207:E207"/>
    <mergeCell ref="F207:G207"/>
    <mergeCell ref="J207:N207"/>
    <mergeCell ref="O207:P207"/>
    <mergeCell ref="A209:E209"/>
    <mergeCell ref="F209:G209"/>
    <mergeCell ref="J209:N209"/>
    <mergeCell ref="O209:P209"/>
    <mergeCell ref="A194:C194"/>
    <mergeCell ref="J194:L194"/>
    <mergeCell ref="A196:Q197"/>
    <mergeCell ref="A200:Q201"/>
    <mergeCell ref="A205:E205"/>
    <mergeCell ref="F205:G205"/>
    <mergeCell ref="J205:N205"/>
    <mergeCell ref="O205:P205"/>
    <mergeCell ref="A215:B215"/>
    <mergeCell ref="J215:K215"/>
    <mergeCell ref="A216:B216"/>
    <mergeCell ref="J216:K216"/>
    <mergeCell ref="A217:B217"/>
    <mergeCell ref="J217:K217"/>
    <mergeCell ref="P212:Q212"/>
    <mergeCell ref="A213:C213"/>
    <mergeCell ref="E213:F213"/>
    <mergeCell ref="J213:L213"/>
    <mergeCell ref="N213:O213"/>
    <mergeCell ref="A214:D214"/>
    <mergeCell ref="E214:F214"/>
    <mergeCell ref="J214:M214"/>
    <mergeCell ref="N214:O214"/>
    <mergeCell ref="P214:Q214"/>
    <mergeCell ref="A221:B221"/>
    <mergeCell ref="J221:K221"/>
    <mergeCell ref="A222:B222"/>
    <mergeCell ref="J222:K222"/>
    <mergeCell ref="A223:B223"/>
    <mergeCell ref="J223:K223"/>
    <mergeCell ref="A218:B218"/>
    <mergeCell ref="J218:K218"/>
    <mergeCell ref="A219:B219"/>
    <mergeCell ref="J219:K219"/>
    <mergeCell ref="A220:B220"/>
    <mergeCell ref="J220:K220"/>
    <mergeCell ref="A227:B227"/>
    <mergeCell ref="J227:K227"/>
    <mergeCell ref="A228:B228"/>
    <mergeCell ref="J228:K228"/>
    <mergeCell ref="A229:B229"/>
    <mergeCell ref="J229:K229"/>
    <mergeCell ref="A224:B224"/>
    <mergeCell ref="J224:K224"/>
    <mergeCell ref="A225:B225"/>
    <mergeCell ref="J225:K225"/>
    <mergeCell ref="A226:B226"/>
    <mergeCell ref="J226:K226"/>
    <mergeCell ref="A233:B233"/>
    <mergeCell ref="J233:K233"/>
    <mergeCell ref="A234:B234"/>
    <mergeCell ref="J234:K234"/>
    <mergeCell ref="A235:B235"/>
    <mergeCell ref="J235:K235"/>
    <mergeCell ref="A230:B230"/>
    <mergeCell ref="J230:K230"/>
    <mergeCell ref="A231:B231"/>
    <mergeCell ref="J231:K231"/>
    <mergeCell ref="A232:B232"/>
    <mergeCell ref="J232:K232"/>
    <mergeCell ref="N239:O239"/>
    <mergeCell ref="P239:Q239"/>
    <mergeCell ref="A240:B240"/>
    <mergeCell ref="J240:K240"/>
    <mergeCell ref="A236:B236"/>
    <mergeCell ref="J236:K236"/>
    <mergeCell ref="A237:B237"/>
    <mergeCell ref="J237:K237"/>
    <mergeCell ref="A238:B238"/>
    <mergeCell ref="J238:K238"/>
    <mergeCell ref="A241:B241"/>
    <mergeCell ref="J241:K241"/>
    <mergeCell ref="A242:B242"/>
    <mergeCell ref="J242:K242"/>
    <mergeCell ref="A243:B243"/>
    <mergeCell ref="J243:K243"/>
    <mergeCell ref="A239:D239"/>
    <mergeCell ref="E239:F239"/>
    <mergeCell ref="J239:M239"/>
    <mergeCell ref="A247:B247"/>
    <mergeCell ref="J247:K247"/>
    <mergeCell ref="A248:B248"/>
    <mergeCell ref="J248:K248"/>
    <mergeCell ref="A249:B249"/>
    <mergeCell ref="J249:K249"/>
    <mergeCell ref="A244:B244"/>
    <mergeCell ref="J244:K244"/>
    <mergeCell ref="A245:B245"/>
    <mergeCell ref="J245:K245"/>
    <mergeCell ref="A246:B246"/>
    <mergeCell ref="J246:K246"/>
    <mergeCell ref="A253:B253"/>
    <mergeCell ref="J253:K253"/>
    <mergeCell ref="A254:B254"/>
    <mergeCell ref="J254:K254"/>
    <mergeCell ref="A255:B255"/>
    <mergeCell ref="J255:K255"/>
    <mergeCell ref="A250:B250"/>
    <mergeCell ref="J250:K250"/>
    <mergeCell ref="A251:B251"/>
    <mergeCell ref="J251:K251"/>
    <mergeCell ref="A252:B252"/>
    <mergeCell ref="J252:K252"/>
    <mergeCell ref="A259:B259"/>
    <mergeCell ref="J259:K259"/>
    <mergeCell ref="A260:B260"/>
    <mergeCell ref="J260:K260"/>
    <mergeCell ref="A261:B261"/>
    <mergeCell ref="J261:K261"/>
    <mergeCell ref="A256:B256"/>
    <mergeCell ref="J256:K256"/>
    <mergeCell ref="A257:B257"/>
    <mergeCell ref="J257:K257"/>
    <mergeCell ref="A258:B258"/>
    <mergeCell ref="J258:K258"/>
    <mergeCell ref="A265:B265"/>
    <mergeCell ref="J265:K265"/>
    <mergeCell ref="A266:B266"/>
    <mergeCell ref="J266:K266"/>
    <mergeCell ref="A267:B267"/>
    <mergeCell ref="J267:K267"/>
    <mergeCell ref="A262:B262"/>
    <mergeCell ref="J262:K262"/>
    <mergeCell ref="A263:B263"/>
    <mergeCell ref="J263:K263"/>
    <mergeCell ref="A264:B264"/>
    <mergeCell ref="J264:K264"/>
    <mergeCell ref="A271:B271"/>
    <mergeCell ref="J271:K271"/>
    <mergeCell ref="A272:B272"/>
    <mergeCell ref="J272:K272"/>
    <mergeCell ref="A273:B273"/>
    <mergeCell ref="J273:K273"/>
    <mergeCell ref="A268:B268"/>
    <mergeCell ref="J268:K268"/>
    <mergeCell ref="A269:B269"/>
    <mergeCell ref="J269:K269"/>
    <mergeCell ref="A270:B270"/>
    <mergeCell ref="J270:K270"/>
    <mergeCell ref="A277:B277"/>
    <mergeCell ref="J277:K277"/>
    <mergeCell ref="A278:B278"/>
    <mergeCell ref="J278:K278"/>
    <mergeCell ref="A279:B279"/>
    <mergeCell ref="J279:K279"/>
    <mergeCell ref="A274:B274"/>
    <mergeCell ref="J274:K274"/>
    <mergeCell ref="A275:B275"/>
    <mergeCell ref="J275:K275"/>
    <mergeCell ref="A276:B276"/>
    <mergeCell ref="J276:K276"/>
    <mergeCell ref="A283:B283"/>
    <mergeCell ref="J283:K283"/>
    <mergeCell ref="A284:B284"/>
    <mergeCell ref="J284:K284"/>
    <mergeCell ref="A285:B285"/>
    <mergeCell ref="J285:K285"/>
    <mergeCell ref="A280:B280"/>
    <mergeCell ref="J280:K280"/>
    <mergeCell ref="A281:B281"/>
    <mergeCell ref="J281:K281"/>
    <mergeCell ref="A282:B282"/>
    <mergeCell ref="J282:K282"/>
    <mergeCell ref="A289:B289"/>
    <mergeCell ref="J289:K289"/>
    <mergeCell ref="A290:B290"/>
    <mergeCell ref="J290:K290"/>
    <mergeCell ref="A291:B291"/>
    <mergeCell ref="J291:K291"/>
    <mergeCell ref="A286:B286"/>
    <mergeCell ref="J286:K286"/>
    <mergeCell ref="A287:B287"/>
    <mergeCell ref="J287:K287"/>
    <mergeCell ref="A288:B288"/>
    <mergeCell ref="J288:K288"/>
    <mergeCell ref="A295:B295"/>
    <mergeCell ref="J295:K295"/>
    <mergeCell ref="A296:B296"/>
    <mergeCell ref="J296:K296"/>
    <mergeCell ref="A297:B297"/>
    <mergeCell ref="J297:K297"/>
    <mergeCell ref="A292:B292"/>
    <mergeCell ref="J292:K292"/>
    <mergeCell ref="A293:B293"/>
    <mergeCell ref="J293:K293"/>
    <mergeCell ref="A294:B294"/>
    <mergeCell ref="J294:K294"/>
    <mergeCell ref="A301:B301"/>
    <mergeCell ref="J301:K301"/>
    <mergeCell ref="A302:B302"/>
    <mergeCell ref="J302:K302"/>
    <mergeCell ref="A303:B303"/>
    <mergeCell ref="J303:K303"/>
    <mergeCell ref="A298:B298"/>
    <mergeCell ref="J298:K298"/>
    <mergeCell ref="A299:B299"/>
    <mergeCell ref="J299:K299"/>
    <mergeCell ref="A300:B300"/>
    <mergeCell ref="J300:K300"/>
    <mergeCell ref="A307:B307"/>
    <mergeCell ref="J307:K307"/>
    <mergeCell ref="A308:B308"/>
    <mergeCell ref="J308:K308"/>
    <mergeCell ref="A309:B309"/>
    <mergeCell ref="J309:K309"/>
    <mergeCell ref="A304:B304"/>
    <mergeCell ref="J304:K304"/>
    <mergeCell ref="A305:B305"/>
    <mergeCell ref="J305:K305"/>
    <mergeCell ref="A306:B306"/>
    <mergeCell ref="J306:K306"/>
    <mergeCell ref="A322:E322"/>
    <mergeCell ref="F322:G322"/>
    <mergeCell ref="J322:N322"/>
    <mergeCell ref="O322:P322"/>
    <mergeCell ref="A324:D324"/>
    <mergeCell ref="J324:M324"/>
    <mergeCell ref="A310:B310"/>
    <mergeCell ref="J310:K310"/>
    <mergeCell ref="A311:B311"/>
    <mergeCell ref="J311:K311"/>
    <mergeCell ref="A317:Q318"/>
    <mergeCell ref="A320:D320"/>
    <mergeCell ref="A328:C328"/>
    <mergeCell ref="J328:L328"/>
    <mergeCell ref="A329:C329"/>
    <mergeCell ref="J329:L329"/>
    <mergeCell ref="A330:C330"/>
    <mergeCell ref="J330:L330"/>
    <mergeCell ref="A325:C325"/>
    <mergeCell ref="J325:L325"/>
    <mergeCell ref="A326:C326"/>
    <mergeCell ref="J326:L326"/>
    <mergeCell ref="A327:C327"/>
    <mergeCell ref="J327:L327"/>
    <mergeCell ref="A334:C334"/>
    <mergeCell ref="J334:L334"/>
    <mergeCell ref="A335:C335"/>
    <mergeCell ref="J335:L335"/>
    <mergeCell ref="A336:C336"/>
    <mergeCell ref="J336:L336"/>
    <mergeCell ref="A331:C331"/>
    <mergeCell ref="J331:L331"/>
    <mergeCell ref="A332:C332"/>
    <mergeCell ref="J332:L332"/>
    <mergeCell ref="A333:C333"/>
    <mergeCell ref="J333:L333"/>
    <mergeCell ref="A340:C340"/>
    <mergeCell ref="J340:L340"/>
    <mergeCell ref="A341:C341"/>
    <mergeCell ref="J341:L341"/>
    <mergeCell ref="A342:C342"/>
    <mergeCell ref="J342:L342"/>
    <mergeCell ref="A337:C337"/>
    <mergeCell ref="J337:L337"/>
    <mergeCell ref="A338:C338"/>
    <mergeCell ref="J338:L338"/>
    <mergeCell ref="A339:C339"/>
    <mergeCell ref="J339:L339"/>
    <mergeCell ref="A346:C346"/>
    <mergeCell ref="J346:L346"/>
    <mergeCell ref="A347:C347"/>
    <mergeCell ref="J347:L347"/>
    <mergeCell ref="A348:C348"/>
    <mergeCell ref="J348:L348"/>
    <mergeCell ref="A343:C343"/>
    <mergeCell ref="J343:L343"/>
    <mergeCell ref="A344:C344"/>
    <mergeCell ref="J344:L344"/>
    <mergeCell ref="A345:C345"/>
    <mergeCell ref="J345:L345"/>
    <mergeCell ref="A352:C352"/>
    <mergeCell ref="J352:L352"/>
    <mergeCell ref="A353:D353"/>
    <mergeCell ref="J353:M353"/>
    <mergeCell ref="A354:D354"/>
    <mergeCell ref="J354:M354"/>
    <mergeCell ref="A349:C349"/>
    <mergeCell ref="J349:L349"/>
    <mergeCell ref="A350:C350"/>
    <mergeCell ref="J350:L350"/>
    <mergeCell ref="A351:C351"/>
    <mergeCell ref="J351:L351"/>
    <mergeCell ref="A358:C358"/>
    <mergeCell ref="J358:L358"/>
    <mergeCell ref="A359:C359"/>
    <mergeCell ref="J359:L359"/>
    <mergeCell ref="A360:C360"/>
    <mergeCell ref="J360:L360"/>
    <mergeCell ref="A355:C355"/>
    <mergeCell ref="J355:L355"/>
    <mergeCell ref="A356:C356"/>
    <mergeCell ref="J356:L356"/>
    <mergeCell ref="A357:C357"/>
    <mergeCell ref="J357:L357"/>
    <mergeCell ref="A364:C364"/>
    <mergeCell ref="J364:L364"/>
    <mergeCell ref="A365:C365"/>
    <mergeCell ref="J365:L365"/>
    <mergeCell ref="A366:C366"/>
    <mergeCell ref="J366:L366"/>
    <mergeCell ref="A361:C361"/>
    <mergeCell ref="J361:L361"/>
    <mergeCell ref="A362:C362"/>
    <mergeCell ref="J362:L362"/>
    <mergeCell ref="A363:C363"/>
    <mergeCell ref="J363:L363"/>
    <mergeCell ref="A370:C370"/>
    <mergeCell ref="J370:L370"/>
    <mergeCell ref="A371:C371"/>
    <mergeCell ref="J371:L371"/>
    <mergeCell ref="A372:C372"/>
    <mergeCell ref="J372:L372"/>
    <mergeCell ref="A367:C367"/>
    <mergeCell ref="J367:L367"/>
    <mergeCell ref="A368:C368"/>
    <mergeCell ref="J368:L368"/>
    <mergeCell ref="A369:C369"/>
    <mergeCell ref="J369:L369"/>
    <mergeCell ref="A376:C376"/>
    <mergeCell ref="J376:L376"/>
    <mergeCell ref="A377:C377"/>
    <mergeCell ref="J377:L377"/>
    <mergeCell ref="A378:C378"/>
    <mergeCell ref="J378:L378"/>
    <mergeCell ref="A373:C373"/>
    <mergeCell ref="J373:L373"/>
    <mergeCell ref="A374:C374"/>
    <mergeCell ref="J374:L374"/>
    <mergeCell ref="A375:C375"/>
    <mergeCell ref="J375:L375"/>
    <mergeCell ref="A382:C382"/>
    <mergeCell ref="J382:L382"/>
    <mergeCell ref="A383:C383"/>
    <mergeCell ref="J383:L383"/>
    <mergeCell ref="A384:C384"/>
    <mergeCell ref="J384:L384"/>
    <mergeCell ref="A379:C379"/>
    <mergeCell ref="J379:L379"/>
    <mergeCell ref="A380:C380"/>
    <mergeCell ref="J380:L380"/>
    <mergeCell ref="A381:C381"/>
    <mergeCell ref="J381:L381"/>
    <mergeCell ref="A388:C388"/>
    <mergeCell ref="J388:L388"/>
    <mergeCell ref="A389:C389"/>
    <mergeCell ref="J389:L389"/>
    <mergeCell ref="A390:C390"/>
    <mergeCell ref="J390:L390"/>
    <mergeCell ref="A385:C385"/>
    <mergeCell ref="J385:L385"/>
    <mergeCell ref="A386:C386"/>
    <mergeCell ref="J386:L386"/>
    <mergeCell ref="A387:C387"/>
    <mergeCell ref="J387:L387"/>
    <mergeCell ref="A394:C394"/>
    <mergeCell ref="J394:L394"/>
    <mergeCell ref="A395:C395"/>
    <mergeCell ref="J395:L395"/>
    <mergeCell ref="A396:C396"/>
    <mergeCell ref="J396:L396"/>
    <mergeCell ref="A391:C391"/>
    <mergeCell ref="J391:L391"/>
    <mergeCell ref="A392:C392"/>
    <mergeCell ref="J392:L392"/>
    <mergeCell ref="A393:C393"/>
    <mergeCell ref="J393:L393"/>
    <mergeCell ref="A400:C400"/>
    <mergeCell ref="J400:L400"/>
    <mergeCell ref="A401:C401"/>
    <mergeCell ref="J401:L401"/>
    <mergeCell ref="A402:C402"/>
    <mergeCell ref="J402:L402"/>
    <mergeCell ref="A397:C397"/>
    <mergeCell ref="J397:L397"/>
    <mergeCell ref="A398:C398"/>
    <mergeCell ref="J398:L398"/>
    <mergeCell ref="A399:C399"/>
    <mergeCell ref="J399:L399"/>
    <mergeCell ref="A406:C406"/>
    <mergeCell ref="J406:L406"/>
    <mergeCell ref="A407:C407"/>
    <mergeCell ref="J407:L407"/>
    <mergeCell ref="A408:C408"/>
    <mergeCell ref="J408:L408"/>
    <mergeCell ref="A403:C403"/>
    <mergeCell ref="J403:L403"/>
    <mergeCell ref="A404:C404"/>
    <mergeCell ref="J404:L404"/>
    <mergeCell ref="A405:C405"/>
    <mergeCell ref="J405:L405"/>
    <mergeCell ref="A412:C412"/>
    <mergeCell ref="J412:L412"/>
    <mergeCell ref="A413:C413"/>
    <mergeCell ref="J413:L413"/>
    <mergeCell ref="A414:C414"/>
    <mergeCell ref="J414:L414"/>
    <mergeCell ref="A409:C409"/>
    <mergeCell ref="J409:L409"/>
    <mergeCell ref="A410:C410"/>
    <mergeCell ref="J410:L410"/>
    <mergeCell ref="A411:C411"/>
    <mergeCell ref="J411:L411"/>
    <mergeCell ref="A418:C418"/>
    <mergeCell ref="J418:L418"/>
    <mergeCell ref="A419:C419"/>
    <mergeCell ref="J419:L419"/>
    <mergeCell ref="A420:C420"/>
    <mergeCell ref="J420:L420"/>
    <mergeCell ref="A415:C415"/>
    <mergeCell ref="J415:L415"/>
    <mergeCell ref="A416:C416"/>
    <mergeCell ref="J416:L416"/>
    <mergeCell ref="A417:C417"/>
    <mergeCell ref="J417:L417"/>
    <mergeCell ref="A424:C424"/>
    <mergeCell ref="J424:L424"/>
    <mergeCell ref="A425:C425"/>
    <mergeCell ref="J425:L425"/>
    <mergeCell ref="A426:C426"/>
    <mergeCell ref="J426:L426"/>
    <mergeCell ref="A421:C421"/>
    <mergeCell ref="J421:L421"/>
    <mergeCell ref="A422:C422"/>
    <mergeCell ref="J422:L422"/>
    <mergeCell ref="A423:C423"/>
    <mergeCell ref="J423:L423"/>
    <mergeCell ref="A430:C430"/>
    <mergeCell ref="J430:L430"/>
    <mergeCell ref="A431:C431"/>
    <mergeCell ref="J431:L431"/>
    <mergeCell ref="A432:D432"/>
    <mergeCell ref="J432:M432"/>
    <mergeCell ref="A427:C427"/>
    <mergeCell ref="J427:L427"/>
    <mergeCell ref="A428:C428"/>
    <mergeCell ref="J428:L428"/>
    <mergeCell ref="A429:C429"/>
    <mergeCell ref="J429:L429"/>
    <mergeCell ref="A436:C436"/>
    <mergeCell ref="J436:L436"/>
    <mergeCell ref="A437:C437"/>
    <mergeCell ref="J437:L437"/>
    <mergeCell ref="A438:C438"/>
    <mergeCell ref="J438:L438"/>
    <mergeCell ref="A433:D433"/>
    <mergeCell ref="J433:M433"/>
    <mergeCell ref="A434:C434"/>
    <mergeCell ref="J434:L434"/>
    <mergeCell ref="A435:C435"/>
    <mergeCell ref="J435:L435"/>
    <mergeCell ref="A442:C442"/>
    <mergeCell ref="J442:L442"/>
    <mergeCell ref="A443:C443"/>
    <mergeCell ref="J443:L443"/>
    <mergeCell ref="A444:C444"/>
    <mergeCell ref="J444:L444"/>
    <mergeCell ref="A439:C439"/>
    <mergeCell ref="J439:L439"/>
    <mergeCell ref="A440:C440"/>
    <mergeCell ref="J440:L440"/>
    <mergeCell ref="A441:C441"/>
    <mergeCell ref="J441:L441"/>
    <mergeCell ref="A448:C448"/>
    <mergeCell ref="J448:L448"/>
    <mergeCell ref="A449:C449"/>
    <mergeCell ref="J449:L449"/>
    <mergeCell ref="A450:C450"/>
    <mergeCell ref="J450:L450"/>
    <mergeCell ref="A445:C445"/>
    <mergeCell ref="J445:L445"/>
    <mergeCell ref="A446:C446"/>
    <mergeCell ref="J446:L446"/>
    <mergeCell ref="A447:C447"/>
    <mergeCell ref="J447:L447"/>
    <mergeCell ref="A454:C454"/>
    <mergeCell ref="J454:L454"/>
    <mergeCell ref="A455:C455"/>
    <mergeCell ref="J455:L455"/>
    <mergeCell ref="A456:C456"/>
    <mergeCell ref="J456:L456"/>
    <mergeCell ref="A451:C451"/>
    <mergeCell ref="J451:L451"/>
    <mergeCell ref="A452:C452"/>
    <mergeCell ref="J452:L452"/>
    <mergeCell ref="A453:C453"/>
    <mergeCell ref="J453:L453"/>
    <mergeCell ref="A460:C460"/>
    <mergeCell ref="J460:L460"/>
    <mergeCell ref="A461:C461"/>
    <mergeCell ref="J461:L461"/>
    <mergeCell ref="A462:C462"/>
    <mergeCell ref="J462:L462"/>
    <mergeCell ref="A457:D457"/>
    <mergeCell ref="J457:M457"/>
    <mergeCell ref="A458:D458"/>
    <mergeCell ref="J458:M458"/>
    <mergeCell ref="A459:C459"/>
    <mergeCell ref="J459:L459"/>
    <mergeCell ref="A466:D466"/>
    <mergeCell ref="J466:M466"/>
    <mergeCell ref="A467:C467"/>
    <mergeCell ref="J467:L467"/>
    <mergeCell ref="A468:C468"/>
    <mergeCell ref="J468:L468"/>
    <mergeCell ref="A463:C463"/>
    <mergeCell ref="J463:L463"/>
    <mergeCell ref="A464:C464"/>
    <mergeCell ref="J464:L464"/>
    <mergeCell ref="A465:D465"/>
    <mergeCell ref="J465:M465"/>
    <mergeCell ref="A472:D472"/>
    <mergeCell ref="J472:M472"/>
    <mergeCell ref="A473:C473"/>
    <mergeCell ref="J473:L473"/>
    <mergeCell ref="A474:C474"/>
    <mergeCell ref="J474:L474"/>
    <mergeCell ref="A469:C469"/>
    <mergeCell ref="J469:L469"/>
    <mergeCell ref="A470:C470"/>
    <mergeCell ref="J470:L470"/>
    <mergeCell ref="A471:D471"/>
    <mergeCell ref="J471:M471"/>
    <mergeCell ref="A478:C478"/>
    <mergeCell ref="J478:L478"/>
    <mergeCell ref="A479:C479"/>
    <mergeCell ref="J479:L479"/>
    <mergeCell ref="A480:C480"/>
    <mergeCell ref="J480:L480"/>
    <mergeCell ref="A475:C475"/>
    <mergeCell ref="J475:L475"/>
    <mergeCell ref="A476:C476"/>
    <mergeCell ref="J476:L476"/>
    <mergeCell ref="A477:C477"/>
    <mergeCell ref="J477:L477"/>
    <mergeCell ref="A484:C484"/>
    <mergeCell ref="J484:L484"/>
    <mergeCell ref="A485:D485"/>
    <mergeCell ref="J485:M485"/>
    <mergeCell ref="A486:D486"/>
    <mergeCell ref="J486:M486"/>
    <mergeCell ref="A481:C481"/>
    <mergeCell ref="J481:L481"/>
    <mergeCell ref="A482:C482"/>
    <mergeCell ref="J482:L482"/>
    <mergeCell ref="A483:C483"/>
    <mergeCell ref="J483:L483"/>
    <mergeCell ref="A490:C490"/>
    <mergeCell ref="J490:L490"/>
    <mergeCell ref="A491:C491"/>
    <mergeCell ref="J491:L491"/>
    <mergeCell ref="A492:C492"/>
    <mergeCell ref="J492:L492"/>
    <mergeCell ref="A487:C487"/>
    <mergeCell ref="J487:L487"/>
    <mergeCell ref="A488:C488"/>
    <mergeCell ref="J488:L488"/>
    <mergeCell ref="A489:C489"/>
    <mergeCell ref="J489:L489"/>
    <mergeCell ref="A496:C496"/>
    <mergeCell ref="J496:L496"/>
    <mergeCell ref="A497:D497"/>
    <mergeCell ref="J497:M497"/>
    <mergeCell ref="A493:C493"/>
    <mergeCell ref="J493:L493"/>
    <mergeCell ref="A494:C494"/>
    <mergeCell ref="J494:L494"/>
    <mergeCell ref="A495:C495"/>
    <mergeCell ref="J495:L495"/>
  </mergeCells>
  <phoneticPr fontId="0" type="noConversion"/>
  <conditionalFormatting sqref="A325:A352">
    <cfRule type="expression" dxfId="55" priority="8">
      <formula>IF(#REF!="DESC",1,0)</formula>
    </cfRule>
  </conditionalFormatting>
  <conditionalFormatting sqref="A355:A431">
    <cfRule type="expression" dxfId="54" priority="4">
      <formula>IF(#REF!="DESC",1,0)</formula>
    </cfRule>
  </conditionalFormatting>
  <conditionalFormatting sqref="A434:A456">
    <cfRule type="expression" dxfId="53" priority="2">
      <formula>IF(#REF!="DESC",1,0)</formula>
    </cfRule>
  </conditionalFormatting>
  <conditionalFormatting sqref="A459:A464">
    <cfRule type="expression" dxfId="52" priority="14">
      <formula>IF(#REF!="DESC",1,0)</formula>
    </cfRule>
  </conditionalFormatting>
  <conditionalFormatting sqref="A467:A470">
    <cfRule type="expression" dxfId="51" priority="12">
      <formula>IF(#REF!="DESC",1,0)</formula>
    </cfRule>
  </conditionalFormatting>
  <conditionalFormatting sqref="A473:A484">
    <cfRule type="expression" dxfId="50" priority="10">
      <formula>IF(#REF!="DESC",1,0)</formula>
    </cfRule>
  </conditionalFormatting>
  <conditionalFormatting sqref="A487:A496">
    <cfRule type="expression" dxfId="49" priority="6">
      <formula>IF(#REF!="DESC",1,0)</formula>
    </cfRule>
  </conditionalFormatting>
  <conditionalFormatting sqref="C232">
    <cfRule type="duplicateValues" dxfId="48" priority="26"/>
  </conditionalFormatting>
  <conditionalFormatting sqref="C237">
    <cfRule type="duplicateValues" dxfId="47" priority="25"/>
  </conditionalFormatting>
  <conditionalFormatting sqref="C240:C241 C243 C245:C251 C253:C256">
    <cfRule type="duplicateValues" dxfId="46" priority="53"/>
  </conditionalFormatting>
  <conditionalFormatting sqref="C242">
    <cfRule type="duplicateValues" dxfId="45" priority="50"/>
  </conditionalFormatting>
  <conditionalFormatting sqref="C244">
    <cfRule type="duplicateValues" dxfId="44" priority="52"/>
  </conditionalFormatting>
  <conditionalFormatting sqref="C252">
    <cfRule type="duplicateValues" dxfId="43" priority="51"/>
  </conditionalFormatting>
  <conditionalFormatting sqref="C257">
    <cfRule type="duplicateValues" dxfId="42" priority="36"/>
  </conditionalFormatting>
  <conditionalFormatting sqref="C258 C260:C263 C265 C268:C271 C273:C279 C281:C282 C284:C292 C294:C296 C298:C300 C303:C308">
    <cfRule type="duplicateValues" dxfId="41" priority="55"/>
  </conditionalFormatting>
  <conditionalFormatting sqref="C259">
    <cfRule type="duplicateValues" dxfId="40" priority="38"/>
  </conditionalFormatting>
  <conditionalFormatting sqref="C264">
    <cfRule type="duplicateValues" dxfId="39" priority="49"/>
  </conditionalFormatting>
  <conditionalFormatting sqref="C266">
    <cfRule type="duplicateValues" dxfId="38" priority="22"/>
  </conditionalFormatting>
  <conditionalFormatting sqref="C267">
    <cfRule type="duplicateValues" dxfId="37" priority="20"/>
  </conditionalFormatting>
  <conditionalFormatting sqref="C272">
    <cfRule type="duplicateValues" dxfId="36" priority="32"/>
  </conditionalFormatting>
  <conditionalFormatting sqref="C280">
    <cfRule type="duplicateValues" dxfId="35" priority="48"/>
  </conditionalFormatting>
  <conditionalFormatting sqref="C283">
    <cfRule type="duplicateValues" dxfId="34" priority="18"/>
  </conditionalFormatting>
  <conditionalFormatting sqref="C293">
    <cfRule type="duplicateValues" dxfId="33" priority="34"/>
  </conditionalFormatting>
  <conditionalFormatting sqref="C297">
    <cfRule type="duplicateValues" dxfId="32" priority="47"/>
  </conditionalFormatting>
  <conditionalFormatting sqref="C301">
    <cfRule type="duplicateValues" dxfId="31" priority="40"/>
  </conditionalFormatting>
  <conditionalFormatting sqref="C302">
    <cfRule type="duplicateValues" dxfId="30" priority="16"/>
  </conditionalFormatting>
  <conditionalFormatting sqref="C310">
    <cfRule type="duplicateValues" dxfId="29" priority="30"/>
  </conditionalFormatting>
  <conditionalFormatting sqref="C311">
    <cfRule type="duplicateValues" dxfId="28" priority="28"/>
  </conditionalFormatting>
  <conditionalFormatting sqref="J325:J352">
    <cfRule type="expression" dxfId="27" priority="7">
      <formula>IF(#REF!="DESC",1,0)</formula>
    </cfRule>
  </conditionalFormatting>
  <conditionalFormatting sqref="J355:J431">
    <cfRule type="expression" dxfId="26" priority="3">
      <formula>IF(#REF!="DESC",1,0)</formula>
    </cfRule>
  </conditionalFormatting>
  <conditionalFormatting sqref="J434:J456">
    <cfRule type="expression" dxfId="25" priority="1">
      <formula>IF(#REF!="DESC",1,0)</formula>
    </cfRule>
  </conditionalFormatting>
  <conditionalFormatting sqref="J459:J464">
    <cfRule type="expression" dxfId="24" priority="13">
      <formula>IF(#REF!="DESC",1,0)</formula>
    </cfRule>
  </conditionalFormatting>
  <conditionalFormatting sqref="J467:J470">
    <cfRule type="expression" dxfId="23" priority="11">
      <formula>IF(#REF!="DESC",1,0)</formula>
    </cfRule>
  </conditionalFormatting>
  <conditionalFormatting sqref="J473:J484">
    <cfRule type="expression" dxfId="22" priority="9">
      <formula>IF(#REF!="DESC",1,0)</formula>
    </cfRule>
  </conditionalFormatting>
  <conditionalFormatting sqref="J487:J496">
    <cfRule type="expression" dxfId="21" priority="5">
      <formula>IF(#REF!="DESC",1,0)</formula>
    </cfRule>
  </conditionalFormatting>
  <conditionalFormatting sqref="L232">
    <cfRule type="duplicateValues" dxfId="20" priority="24"/>
  </conditionalFormatting>
  <conditionalFormatting sqref="L237">
    <cfRule type="duplicateValues" dxfId="19" priority="23"/>
  </conditionalFormatting>
  <conditionalFormatting sqref="L240:L241 L243 L245:L251 L253:L256">
    <cfRule type="duplicateValues" dxfId="18" priority="54"/>
  </conditionalFormatting>
  <conditionalFormatting sqref="L242">
    <cfRule type="duplicateValues" dxfId="17" priority="44"/>
  </conditionalFormatting>
  <conditionalFormatting sqref="L244">
    <cfRule type="duplicateValues" dxfId="16" priority="46"/>
  </conditionalFormatting>
  <conditionalFormatting sqref="L252">
    <cfRule type="duplicateValues" dxfId="15" priority="45"/>
  </conditionalFormatting>
  <conditionalFormatting sqref="L257">
    <cfRule type="duplicateValues" dxfId="14" priority="35"/>
  </conditionalFormatting>
  <conditionalFormatting sqref="L258 L260:L263 L265 L268:L271 L273:L279 L281:L282 L284:L292 L294:L296 L298:L300 L303:L308">
    <cfRule type="duplicateValues" dxfId="13" priority="56"/>
  </conditionalFormatting>
  <conditionalFormatting sqref="L259">
    <cfRule type="duplicateValues" dxfId="12" priority="37"/>
  </conditionalFormatting>
  <conditionalFormatting sqref="L264">
    <cfRule type="duplicateValues" dxfId="11" priority="43"/>
  </conditionalFormatting>
  <conditionalFormatting sqref="L266">
    <cfRule type="duplicateValues" dxfId="10" priority="21"/>
  </conditionalFormatting>
  <conditionalFormatting sqref="L267">
    <cfRule type="duplicateValues" dxfId="9" priority="19"/>
  </conditionalFormatting>
  <conditionalFormatting sqref="L272">
    <cfRule type="duplicateValues" dxfId="8" priority="31"/>
  </conditionalFormatting>
  <conditionalFormatting sqref="L280">
    <cfRule type="duplicateValues" dxfId="7" priority="42"/>
  </conditionalFormatting>
  <conditionalFormatting sqref="L283">
    <cfRule type="duplicateValues" dxfId="6" priority="17"/>
  </conditionalFormatting>
  <conditionalFormatting sqref="L293">
    <cfRule type="duplicateValues" dxfId="5" priority="33"/>
  </conditionalFormatting>
  <conditionalFormatting sqref="L297">
    <cfRule type="duplicateValues" dxfId="4" priority="41"/>
  </conditionalFormatting>
  <conditionalFormatting sqref="L301">
    <cfRule type="duplicateValues" dxfId="3" priority="39"/>
  </conditionalFormatting>
  <conditionalFormatting sqref="L302">
    <cfRule type="duplicateValues" dxfId="2" priority="15"/>
  </conditionalFormatting>
  <conditionalFormatting sqref="L310">
    <cfRule type="duplicateValues" dxfId="1" priority="29"/>
  </conditionalFormatting>
  <conditionalFormatting sqref="L311">
    <cfRule type="duplicateValues" dxfId="0" priority="2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O75"/>
  <sheetViews>
    <sheetView zoomScale="10" zoomScaleNormal="10" workbookViewId="0">
      <selection sqref="A1:XFD1048576"/>
    </sheetView>
  </sheetViews>
  <sheetFormatPr baseColWidth="10" defaultColWidth="16.7109375" defaultRowHeight="15" x14ac:dyDescent="0.25"/>
  <sheetData>
    <row r="1" spans="1:93" ht="47.25" thickBot="1" x14ac:dyDescent="0.3">
      <c r="A1" s="680" t="s">
        <v>161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681"/>
      <c r="AS1" s="681"/>
      <c r="AT1" s="681"/>
      <c r="AU1" s="681"/>
      <c r="AV1" s="681"/>
      <c r="AW1" s="681"/>
      <c r="AX1" s="681"/>
      <c r="AY1" s="681"/>
      <c r="AZ1" s="681"/>
      <c r="BA1" s="681"/>
      <c r="BB1" s="681"/>
      <c r="BC1" s="681"/>
      <c r="BD1" s="681"/>
      <c r="BE1" s="681"/>
      <c r="BF1" s="681"/>
      <c r="BG1" s="681"/>
      <c r="BH1" s="681"/>
      <c r="BI1" s="681"/>
      <c r="BJ1" s="681"/>
      <c r="BK1" s="681"/>
      <c r="BL1" s="681"/>
      <c r="BM1" s="681"/>
      <c r="BN1" s="681"/>
      <c r="BO1" s="681"/>
      <c r="BP1" s="681"/>
      <c r="BQ1" s="681"/>
      <c r="BR1" s="681"/>
      <c r="BS1" s="681"/>
      <c r="BT1" s="681"/>
      <c r="BU1" s="681"/>
      <c r="BV1" s="681"/>
      <c r="BW1" s="681"/>
      <c r="BX1" s="681"/>
      <c r="BY1" s="681"/>
      <c r="BZ1" s="681"/>
      <c r="CA1" s="681"/>
      <c r="CB1" s="681"/>
      <c r="CC1" s="681"/>
      <c r="CD1" s="681"/>
      <c r="CE1" s="681"/>
      <c r="CF1" s="681"/>
      <c r="CG1" s="681"/>
      <c r="CH1" s="681"/>
      <c r="CI1" s="681"/>
      <c r="CJ1" s="681"/>
      <c r="CK1" s="681"/>
      <c r="CL1" s="681"/>
      <c r="CM1" s="681"/>
      <c r="CN1" s="681"/>
    </row>
    <row r="2" spans="1:9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6"/>
    </row>
    <row r="3" spans="1:93" ht="1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803" t="s">
        <v>162</v>
      </c>
      <c r="BM3" s="804"/>
      <c r="BN3" s="804"/>
      <c r="BO3" s="805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812" t="s">
        <v>163</v>
      </c>
      <c r="CL3" s="813"/>
      <c r="CM3" s="7"/>
      <c r="CN3" s="8"/>
    </row>
    <row r="4" spans="1:9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806"/>
      <c r="BM4" s="807"/>
      <c r="BN4" s="807"/>
      <c r="BO4" s="808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10"/>
    </row>
    <row r="5" spans="1:93" ht="15.7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806"/>
      <c r="BM5" s="807"/>
      <c r="BN5" s="807"/>
      <c r="BO5" s="808"/>
      <c r="BP5" s="9"/>
      <c r="BQ5" s="9"/>
      <c r="BR5" s="9"/>
      <c r="BS5" s="9"/>
      <c r="BT5" s="9"/>
      <c r="BZ5" s="11"/>
      <c r="CA5" s="11"/>
      <c r="CB5" s="11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594"/>
    </row>
    <row r="6" spans="1:93" ht="15.7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806"/>
      <c r="BM6" s="807"/>
      <c r="BN6" s="807"/>
      <c r="BO6" s="808"/>
      <c r="BP6" s="9"/>
      <c r="BQ6" s="9"/>
      <c r="BR6" s="9"/>
      <c r="BS6" s="9"/>
      <c r="BT6" s="9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4"/>
      <c r="CL6" s="4"/>
      <c r="CM6" s="4"/>
      <c r="CN6" s="594"/>
      <c r="CO6" s="13"/>
    </row>
    <row r="7" spans="1:93" ht="16.5" thickBo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809"/>
      <c r="BM7" s="810"/>
      <c r="BN7" s="810"/>
      <c r="BO7" s="811"/>
      <c r="BP7" s="9"/>
      <c r="BQ7" s="9"/>
      <c r="BR7" s="9"/>
      <c r="BS7" s="9"/>
      <c r="BT7" s="14"/>
      <c r="BY7" s="15"/>
      <c r="BZ7" s="4"/>
      <c r="CA7" s="4"/>
      <c r="CB7" s="613"/>
      <c r="CC7" s="613"/>
      <c r="CD7" s="613"/>
      <c r="CE7" s="11"/>
      <c r="CF7" s="11"/>
      <c r="CG7" s="11"/>
      <c r="CH7" s="11"/>
      <c r="CI7" s="11"/>
      <c r="CJ7" s="11"/>
      <c r="CK7" s="17"/>
      <c r="CL7" s="17"/>
      <c r="CM7" s="17"/>
      <c r="CN7" s="594"/>
      <c r="CO7" s="13"/>
    </row>
    <row r="8" spans="1:93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18"/>
      <c r="BL8" s="14"/>
      <c r="BM8" s="9"/>
      <c r="BN8" s="9"/>
      <c r="BO8" s="9"/>
      <c r="BP8" s="9"/>
      <c r="BQ8" s="9"/>
      <c r="BR8" s="9"/>
      <c r="BS8" s="9"/>
      <c r="BT8" s="15"/>
      <c r="BU8" s="19" t="s">
        <v>166</v>
      </c>
      <c r="BV8" s="19"/>
      <c r="BW8" s="14"/>
      <c r="BX8" s="14"/>
      <c r="BY8" s="15"/>
      <c r="BZ8" s="4"/>
      <c r="CA8" s="4"/>
      <c r="CB8" s="613"/>
      <c r="CC8" s="11"/>
      <c r="CD8" s="613"/>
      <c r="CE8" s="11"/>
      <c r="CF8" s="11"/>
      <c r="CG8" s="11"/>
      <c r="CH8" s="11"/>
      <c r="CI8" s="11"/>
      <c r="CJ8" s="11"/>
      <c r="CK8" s="17"/>
      <c r="CL8" s="17"/>
      <c r="CM8" s="17"/>
      <c r="CN8" s="594"/>
      <c r="CO8" s="13"/>
    </row>
    <row r="9" spans="1:93" ht="18.7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18"/>
      <c r="BL9" s="14"/>
      <c r="BM9" s="20"/>
      <c r="BN9" s="20"/>
      <c r="BO9" s="4"/>
      <c r="BP9" s="9"/>
      <c r="BQ9" s="9"/>
      <c r="BT9" s="9"/>
      <c r="BU9" s="21">
        <v>1</v>
      </c>
      <c r="BV9" s="21">
        <v>2</v>
      </c>
      <c r="BZ9" s="4"/>
      <c r="CB9" s="613"/>
      <c r="CC9" s="11"/>
      <c r="CD9" s="613"/>
      <c r="CE9" s="11"/>
      <c r="CF9" s="11"/>
      <c r="CG9" s="11"/>
      <c r="CH9" s="11"/>
      <c r="CI9" s="11"/>
      <c r="CJ9" s="11"/>
      <c r="CK9" s="17"/>
      <c r="CL9" s="17"/>
      <c r="CM9" s="17"/>
      <c r="CN9" s="614"/>
      <c r="CO9" s="13"/>
    </row>
    <row r="10" spans="1:93" ht="18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18"/>
      <c r="BL10" s="14"/>
      <c r="BM10" s="23"/>
      <c r="BN10" s="23"/>
      <c r="BO10" s="4"/>
      <c r="BP10" s="9"/>
      <c r="BQ10" s="9"/>
      <c r="BT10" s="24" t="s">
        <v>168</v>
      </c>
      <c r="BU10" s="25"/>
      <c r="BV10" s="25"/>
      <c r="BZ10" s="11"/>
      <c r="CC10" s="613"/>
      <c r="CD10" s="613"/>
      <c r="CE10" s="11"/>
      <c r="CF10" s="11"/>
      <c r="CG10" s="11"/>
      <c r="CH10" s="11"/>
      <c r="CI10" s="11"/>
      <c r="CJ10" s="11"/>
      <c r="CK10" s="17"/>
      <c r="CL10" s="17"/>
      <c r="CM10" s="17"/>
      <c r="CN10" s="614"/>
      <c r="CO10" s="13"/>
    </row>
    <row r="11" spans="1:93" ht="23.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1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18"/>
      <c r="BL11" s="14"/>
      <c r="BM11" s="23"/>
      <c r="BN11" s="23"/>
      <c r="BO11" s="4"/>
      <c r="BP11" s="588"/>
      <c r="BQ11" s="588"/>
      <c r="BT11" s="25" t="s">
        <v>170</v>
      </c>
      <c r="BU11" s="412">
        <v>5</v>
      </c>
      <c r="BV11" s="412">
        <v>5</v>
      </c>
      <c r="BW11" s="25" t="s">
        <v>170</v>
      </c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594"/>
      <c r="CK11" s="17"/>
      <c r="CL11" s="17"/>
      <c r="CM11" s="17"/>
      <c r="CN11" s="614"/>
      <c r="CO11" s="13"/>
    </row>
    <row r="12" spans="1:93" ht="23.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  <c r="V12" s="4"/>
      <c r="W12" s="11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18"/>
      <c r="BL12" s="14"/>
      <c r="BM12" s="23"/>
      <c r="BN12" s="23"/>
      <c r="BO12" s="4"/>
      <c r="BP12" s="588"/>
      <c r="BQ12" s="588"/>
      <c r="BT12" s="25" t="s">
        <v>170</v>
      </c>
      <c r="BU12" s="412">
        <v>5</v>
      </c>
      <c r="BV12" s="412">
        <v>5</v>
      </c>
      <c r="BW12" s="25" t="s">
        <v>170</v>
      </c>
      <c r="BX12" s="15"/>
      <c r="BY12" s="15"/>
      <c r="BZ12" s="11"/>
      <c r="CA12" s="11"/>
      <c r="CB12" s="11"/>
      <c r="CC12" s="11"/>
      <c r="CD12" s="11"/>
      <c r="CE12" s="11"/>
      <c r="CF12" s="11"/>
      <c r="CG12" s="11"/>
      <c r="CH12" s="11"/>
      <c r="CI12" s="594"/>
      <c r="CJ12" s="11"/>
      <c r="CK12" s="594"/>
      <c r="CL12" s="17"/>
      <c r="CM12" s="17"/>
      <c r="CN12" s="594"/>
      <c r="CO12" s="13"/>
    </row>
    <row r="13" spans="1:93" ht="18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1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18"/>
      <c r="BL13" s="14"/>
      <c r="BM13" s="20"/>
      <c r="BN13" s="20"/>
      <c r="BO13" s="4"/>
      <c r="BP13" s="9"/>
      <c r="BQ13" s="9"/>
      <c r="BT13" s="9"/>
      <c r="BU13" s="25"/>
      <c r="BV13" s="25"/>
      <c r="BW13" s="9"/>
      <c r="BX13" s="9"/>
      <c r="BY13" s="9"/>
      <c r="BZ13" s="11"/>
      <c r="CA13" s="11"/>
      <c r="CB13" s="11"/>
      <c r="CC13" s="11"/>
      <c r="CD13" s="11"/>
      <c r="CE13" s="11"/>
      <c r="CF13" s="11"/>
      <c r="CG13" s="11"/>
      <c r="CH13" s="594"/>
      <c r="CI13" s="11"/>
      <c r="CL13" s="594"/>
      <c r="CM13" s="17"/>
      <c r="CN13" s="594"/>
      <c r="CO13" s="13"/>
    </row>
    <row r="14" spans="1:93" ht="18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1"/>
      <c r="V14" s="11"/>
      <c r="W14" s="11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18"/>
      <c r="BL14" s="14"/>
      <c r="BM14" s="23"/>
      <c r="BN14" s="23"/>
      <c r="BO14" s="4"/>
      <c r="BP14" s="9"/>
      <c r="BQ14" s="9"/>
      <c r="BT14" s="9"/>
      <c r="BU14" s="21">
        <v>4</v>
      </c>
      <c r="BV14" s="21">
        <v>3</v>
      </c>
      <c r="BY14" s="28"/>
      <c r="CA14" s="11"/>
      <c r="CB14" s="11"/>
      <c r="CC14" s="11"/>
      <c r="CD14" s="11"/>
      <c r="CE14" s="11"/>
      <c r="CF14" s="11"/>
      <c r="CG14" s="11"/>
      <c r="CH14" s="11"/>
      <c r="CI14" s="594"/>
      <c r="CK14" s="594"/>
      <c r="CL14" s="17"/>
      <c r="CM14" s="17"/>
      <c r="CN14" s="594"/>
      <c r="CO14" s="13"/>
    </row>
    <row r="15" spans="1:93" ht="18.75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4"/>
      <c r="BC15" s="4"/>
      <c r="BD15" s="4"/>
      <c r="BE15" s="4"/>
      <c r="BF15" s="4"/>
      <c r="BG15" s="4"/>
      <c r="BH15" s="4"/>
      <c r="BI15" s="4"/>
      <c r="BJ15" s="4"/>
      <c r="BK15" s="18"/>
      <c r="BL15" s="32"/>
      <c r="BM15" s="23"/>
      <c r="BN15" s="23"/>
      <c r="BO15" s="4"/>
      <c r="BP15" s="20"/>
      <c r="BQ15" s="20"/>
      <c r="BT15" s="20"/>
      <c r="BU15" s="33"/>
      <c r="BV15" s="33"/>
      <c r="BW15" s="34"/>
      <c r="BX15" s="35"/>
      <c r="BY15" s="36"/>
      <c r="CE15" s="11"/>
      <c r="CF15" s="11"/>
      <c r="CG15" s="11"/>
      <c r="CH15" s="11"/>
      <c r="CI15" s="11"/>
      <c r="CJ15" s="594"/>
      <c r="CL15" s="17"/>
      <c r="CM15" s="17"/>
      <c r="CN15" s="615"/>
      <c r="CO15" s="13"/>
    </row>
    <row r="16" spans="1:93" ht="24" thickBot="1" x14ac:dyDescent="0.3">
      <c r="A16" s="29"/>
      <c r="B16" s="38"/>
      <c r="C16" s="38"/>
      <c r="D16" s="38"/>
      <c r="E16" s="38"/>
      <c r="F16" s="38"/>
      <c r="G16" s="38"/>
      <c r="H16" s="38"/>
      <c r="I16" s="39"/>
      <c r="J16" s="38"/>
      <c r="K16" s="4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2"/>
      <c r="BG16" s="42"/>
      <c r="BH16" s="42"/>
      <c r="BI16" s="42"/>
      <c r="BJ16" s="42"/>
      <c r="BK16" s="43"/>
      <c r="BL16" s="44"/>
      <c r="BM16" s="23"/>
      <c r="BN16" s="23"/>
      <c r="BO16" s="30"/>
      <c r="BP16" s="20"/>
      <c r="BQ16" s="20"/>
      <c r="BS16" s="21">
        <v>1</v>
      </c>
      <c r="BT16" s="33" t="s">
        <v>172</v>
      </c>
      <c r="BU16" s="3">
        <v>5</v>
      </c>
      <c r="BV16" s="3">
        <v>5</v>
      </c>
      <c r="BW16" s="33" t="s">
        <v>172</v>
      </c>
      <c r="BX16" s="21">
        <v>6</v>
      </c>
      <c r="BY16" s="46"/>
      <c r="CA16" s="594"/>
      <c r="CB16" s="594"/>
      <c r="CC16" s="594"/>
      <c r="CD16" s="594"/>
      <c r="CE16" s="594"/>
      <c r="CF16" s="11"/>
      <c r="CG16" s="11"/>
      <c r="CH16" s="11"/>
      <c r="CI16" s="11"/>
      <c r="CJ16" s="11"/>
      <c r="CK16" s="17"/>
      <c r="CL16" s="17"/>
      <c r="CM16" s="47"/>
      <c r="CN16" s="615"/>
      <c r="CO16" s="13"/>
    </row>
    <row r="17" spans="1:93" ht="23.25" x14ac:dyDescent="0.25">
      <c r="A17" s="48"/>
      <c r="B17" s="576"/>
      <c r="C17" s="576"/>
      <c r="D17" s="576"/>
      <c r="E17" s="576"/>
      <c r="F17" s="576"/>
      <c r="G17" s="4"/>
      <c r="H17" s="576"/>
      <c r="I17" s="576"/>
      <c r="J17" s="577"/>
      <c r="K17" s="577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577"/>
      <c r="AB17" s="577"/>
      <c r="AC17" s="577"/>
      <c r="AD17" s="577"/>
      <c r="AE17" s="52"/>
      <c r="AF17" s="52"/>
      <c r="AG17" s="53"/>
      <c r="AH17" s="54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4"/>
      <c r="BA17" s="56"/>
      <c r="BB17" s="56"/>
      <c r="BC17" s="56"/>
      <c r="BD17" s="56"/>
      <c r="BE17" s="57"/>
      <c r="BF17" s="609"/>
      <c r="BG17" s="609"/>
      <c r="BH17" s="609"/>
      <c r="BI17" s="609"/>
      <c r="BL17" s="59"/>
      <c r="BM17" s="23"/>
      <c r="BN17" s="23"/>
      <c r="BO17" s="20"/>
      <c r="BP17" s="607"/>
      <c r="BQ17" s="607"/>
      <c r="BS17" s="21">
        <v>2</v>
      </c>
      <c r="BT17" s="33" t="s">
        <v>172</v>
      </c>
      <c r="BU17" s="3">
        <v>5</v>
      </c>
      <c r="BV17" s="3">
        <v>5</v>
      </c>
      <c r="BW17" s="33" t="s">
        <v>172</v>
      </c>
      <c r="BX17" s="21">
        <v>5</v>
      </c>
      <c r="BY17" s="36"/>
      <c r="CA17" s="594"/>
      <c r="CB17" s="594"/>
      <c r="CC17" s="594"/>
      <c r="CD17" s="594"/>
      <c r="CE17" s="594"/>
      <c r="CF17" s="11"/>
      <c r="CG17" s="11"/>
      <c r="CH17" s="11"/>
      <c r="CI17" s="11"/>
      <c r="CJ17" s="11"/>
      <c r="CK17" s="17"/>
      <c r="CL17" s="17"/>
      <c r="CM17" s="47"/>
      <c r="CN17" s="615"/>
      <c r="CO17" s="13"/>
    </row>
    <row r="18" spans="1:93" ht="24" thickBot="1" x14ac:dyDescent="0.3">
      <c r="A18" s="48"/>
      <c r="B18" s="831"/>
      <c r="C18" s="682"/>
      <c r="D18" s="682"/>
      <c r="E18" s="683"/>
      <c r="F18" s="684"/>
      <c r="T18" s="11"/>
      <c r="U18" s="61"/>
      <c r="V18" s="62"/>
      <c r="W18" s="62"/>
      <c r="X18" s="62"/>
      <c r="Y18" s="62"/>
      <c r="Z18" s="62"/>
      <c r="AA18" s="11"/>
      <c r="AB18" s="63"/>
      <c r="AC18" s="63"/>
      <c r="AD18" s="63"/>
      <c r="AE18" s="63"/>
      <c r="AF18" s="63"/>
      <c r="AH18" s="6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64"/>
      <c r="BA18" s="57"/>
      <c r="BB18" s="57"/>
      <c r="BC18" s="57"/>
      <c r="BD18" s="57"/>
      <c r="BE18" s="46"/>
      <c r="BG18" s="65"/>
      <c r="BI18" s="685" t="s">
        <v>182</v>
      </c>
      <c r="BJ18" s="685"/>
      <c r="BK18" s="65"/>
      <c r="BL18" s="59"/>
      <c r="BM18" s="20"/>
      <c r="BN18" s="20"/>
      <c r="BO18" s="20"/>
      <c r="BP18" s="607"/>
      <c r="BQ18" s="607"/>
      <c r="BS18" s="21">
        <v>3</v>
      </c>
      <c r="BT18" s="33" t="s">
        <v>172</v>
      </c>
      <c r="BU18" s="3">
        <v>5</v>
      </c>
      <c r="BV18" s="3">
        <v>5</v>
      </c>
      <c r="BW18" s="33" t="s">
        <v>172</v>
      </c>
      <c r="BX18" s="21">
        <v>4</v>
      </c>
      <c r="BY18" s="46"/>
      <c r="CA18" s="66"/>
      <c r="CB18" s="66"/>
      <c r="CC18" s="66"/>
      <c r="CD18" s="66"/>
      <c r="CF18" s="17"/>
      <c r="CG18" s="17"/>
      <c r="CH18" s="45"/>
      <c r="CI18" s="17"/>
      <c r="CJ18" s="17"/>
      <c r="CK18" s="17"/>
      <c r="CL18" s="17"/>
      <c r="CM18" s="9"/>
      <c r="CN18" s="10"/>
      <c r="CO18" s="13"/>
    </row>
    <row r="19" spans="1:93" ht="23.25" x14ac:dyDescent="0.3">
      <c r="A19" s="48"/>
      <c r="B19" s="17"/>
      <c r="C19" s="17"/>
      <c r="D19" s="4"/>
      <c r="E19" s="4"/>
      <c r="T19" s="4"/>
      <c r="U19" s="67"/>
      <c r="V19" s="68"/>
      <c r="W19" s="69"/>
      <c r="X19" s="70"/>
      <c r="Y19" s="69"/>
      <c r="Z19" s="69"/>
      <c r="AA19" s="67"/>
      <c r="AB19" s="68"/>
      <c r="AC19" s="69"/>
      <c r="AD19" s="70"/>
      <c r="AE19" s="69"/>
      <c r="AF19" s="69"/>
      <c r="AH19" s="71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1"/>
      <c r="BA19" s="73"/>
      <c r="BB19" s="73"/>
      <c r="BC19" s="73"/>
      <c r="BE19" s="73">
        <v>1</v>
      </c>
      <c r="BF19" s="73">
        <v>2</v>
      </c>
      <c r="BG19" s="73">
        <v>3</v>
      </c>
      <c r="BH19" s="73"/>
      <c r="BI19" s="73">
        <v>4</v>
      </c>
      <c r="BJ19" s="73"/>
      <c r="BK19" s="65"/>
      <c r="BL19" s="59"/>
      <c r="BM19" s="20"/>
      <c r="BN19" s="20"/>
      <c r="BO19" s="20"/>
      <c r="BP19" s="607"/>
      <c r="BQ19" s="607"/>
      <c r="BS19" s="21"/>
      <c r="BU19" s="33"/>
      <c r="BV19" s="33"/>
      <c r="BW19" s="616"/>
      <c r="BX19" s="21"/>
      <c r="BZ19" s="577"/>
      <c r="CA19" s="577"/>
      <c r="CB19" s="577"/>
      <c r="CC19" s="577"/>
      <c r="CD19" s="577"/>
      <c r="CE19" s="75"/>
      <c r="CF19" s="76"/>
      <c r="CG19" s="76"/>
      <c r="CH19" s="76"/>
      <c r="CI19" s="77"/>
      <c r="CJ19" s="78"/>
      <c r="CK19" s="78"/>
      <c r="CL19" s="78"/>
      <c r="CM19" s="79"/>
      <c r="CN19" s="79"/>
      <c r="CO19" s="13"/>
    </row>
    <row r="20" spans="1:93" ht="23.25" x14ac:dyDescent="0.35">
      <c r="A20" s="48"/>
      <c r="B20" s="4"/>
      <c r="C20" s="30"/>
      <c r="D20" s="578"/>
      <c r="E20" s="30"/>
      <c r="F20" s="579"/>
      <c r="G20" s="579"/>
      <c r="H20" s="1"/>
      <c r="K20" s="82"/>
      <c r="L20" s="11"/>
      <c r="M20" s="11"/>
      <c r="N20" s="11"/>
      <c r="O20" s="17"/>
      <c r="P20" s="1"/>
      <c r="Q20" s="17"/>
      <c r="R20" s="17"/>
      <c r="S20" s="249"/>
      <c r="T20" s="580"/>
      <c r="U20" s="85"/>
      <c r="V20" s="86"/>
      <c r="W20" s="86"/>
      <c r="X20" s="86"/>
      <c r="Y20" s="86"/>
      <c r="Z20" s="71"/>
      <c r="AA20" s="86"/>
      <c r="AB20" s="86"/>
      <c r="AC20" s="86"/>
      <c r="AD20" s="86"/>
      <c r="AE20" s="87"/>
      <c r="AF20" s="86"/>
      <c r="AG20" s="88"/>
      <c r="AH20" s="88"/>
      <c r="AI20" s="88"/>
      <c r="AJ20" s="85"/>
      <c r="AK20" s="71"/>
      <c r="AL20" s="54"/>
      <c r="AM20" s="54"/>
      <c r="AN20" s="54"/>
      <c r="AO20" s="54"/>
      <c r="AP20" s="54"/>
      <c r="AQ20" s="71"/>
      <c r="AR20" s="686"/>
      <c r="AS20" s="686"/>
      <c r="AT20" s="686"/>
      <c r="AU20" s="686"/>
      <c r="AW20" s="73"/>
      <c r="AX20" s="73"/>
      <c r="AZ20" s="89"/>
      <c r="BB20" s="46"/>
      <c r="BC20" s="90"/>
      <c r="BD20" s="91" t="s">
        <v>189</v>
      </c>
      <c r="BE20" s="92" t="s">
        <v>190</v>
      </c>
      <c r="BF20" s="92" t="s">
        <v>190</v>
      </c>
      <c r="BG20" s="92" t="s">
        <v>190</v>
      </c>
      <c r="BH20" s="24" t="s">
        <v>186</v>
      </c>
      <c r="BI20" s="93" t="s">
        <v>170</v>
      </c>
      <c r="BJ20" s="94"/>
      <c r="BK20" s="65"/>
      <c r="BL20" s="59"/>
      <c r="BM20" s="20"/>
      <c r="BN20" s="20"/>
      <c r="BO20" s="20"/>
      <c r="BP20" s="20"/>
      <c r="BQ20" s="20"/>
      <c r="BR20" s="20"/>
      <c r="BS20" s="4"/>
      <c r="BT20" s="46"/>
      <c r="BU20" s="19" t="s">
        <v>191</v>
      </c>
      <c r="BV20" s="19"/>
      <c r="BX20" s="616"/>
      <c r="BY20" s="617"/>
      <c r="BZ20" s="577"/>
      <c r="CA20" s="577"/>
      <c r="CB20" s="577"/>
      <c r="CC20" s="577"/>
      <c r="CD20" s="577"/>
      <c r="CE20" s="96"/>
      <c r="CF20" s="97"/>
      <c r="CG20" s="97"/>
      <c r="CH20" s="97"/>
      <c r="CI20" s="98"/>
      <c r="CJ20" s="99"/>
      <c r="CK20" s="99"/>
      <c r="CL20" s="99"/>
      <c r="CM20" s="100"/>
      <c r="CN20" s="100"/>
      <c r="CO20" s="13"/>
    </row>
    <row r="21" spans="1:93" ht="23.25" x14ac:dyDescent="0.35">
      <c r="A21" s="48"/>
      <c r="B21" s="4"/>
      <c r="C21" s="30"/>
      <c r="D21" s="578"/>
      <c r="F21" s="101"/>
      <c r="G21" s="101"/>
      <c r="H21" s="102"/>
      <c r="I21" s="103"/>
      <c r="J21" s="581"/>
      <c r="K21" s="581"/>
      <c r="L21" s="581"/>
      <c r="M21" s="581"/>
      <c r="N21" s="581"/>
      <c r="O21" s="17"/>
      <c r="P21" s="580"/>
      <c r="Q21" s="580"/>
      <c r="R21" s="580"/>
      <c r="S21" s="14"/>
      <c r="T21" s="582"/>
      <c r="U21" s="106"/>
      <c r="V21" s="55"/>
      <c r="W21" s="55"/>
      <c r="X21" s="55"/>
      <c r="Y21" s="55"/>
      <c r="Z21" s="106"/>
      <c r="AA21" s="55"/>
      <c r="AB21" s="55"/>
      <c r="AC21" s="55"/>
      <c r="AD21" s="55"/>
      <c r="AE21" s="106"/>
      <c r="AF21" s="55"/>
      <c r="AG21" s="55"/>
      <c r="AH21" s="55"/>
      <c r="AI21" s="55"/>
      <c r="AJ21" s="106"/>
      <c r="AK21" s="106"/>
      <c r="AL21" s="55"/>
      <c r="AM21" s="55"/>
      <c r="AN21" s="55"/>
      <c r="AO21" s="55"/>
      <c r="AP21" s="55"/>
      <c r="AQ21" s="107"/>
      <c r="AR21" s="576"/>
      <c r="AS21" s="576"/>
      <c r="AT21" s="576"/>
      <c r="AU21" s="576"/>
      <c r="AV21" s="606"/>
      <c r="AW21" s="607"/>
      <c r="AX21" s="607"/>
      <c r="AY21" s="607"/>
      <c r="AZ21" s="89"/>
      <c r="BB21" s="110"/>
      <c r="BC21" s="110"/>
      <c r="BD21" s="92"/>
      <c r="BE21" s="111">
        <v>10</v>
      </c>
      <c r="BF21" s="111">
        <v>10</v>
      </c>
      <c r="BG21" s="112">
        <v>10</v>
      </c>
      <c r="BH21" s="93"/>
      <c r="BI21" s="113">
        <v>5</v>
      </c>
      <c r="BJ21" s="93"/>
      <c r="BK21" s="65"/>
      <c r="BL21" s="59"/>
      <c r="BM21" s="20"/>
      <c r="BN21" s="20"/>
      <c r="BO21" s="20"/>
      <c r="BP21" s="20"/>
      <c r="BQ21" s="20"/>
      <c r="BR21" s="20"/>
      <c r="BS21" s="4"/>
      <c r="BT21" s="114"/>
      <c r="BU21" s="35"/>
      <c r="BV21" s="110"/>
      <c r="BW21" s="586"/>
      <c r="BX21" s="98"/>
      <c r="BY21" s="617"/>
      <c r="BZ21" s="618"/>
      <c r="CA21" s="618"/>
      <c r="CB21" s="618"/>
      <c r="CC21" s="618"/>
      <c r="CD21" s="619"/>
      <c r="CE21" s="117"/>
      <c r="CF21" s="98"/>
      <c r="CG21" s="98"/>
      <c r="CH21" s="98"/>
      <c r="CJ21" s="99"/>
      <c r="CK21" s="99"/>
      <c r="CL21" s="99"/>
      <c r="CM21" s="100"/>
      <c r="CN21" s="118"/>
    </row>
    <row r="22" spans="1:93" ht="24" thickBot="1" x14ac:dyDescent="0.3">
      <c r="A22" s="48"/>
      <c r="B22" s="4"/>
      <c r="C22" s="30"/>
      <c r="D22" s="578"/>
      <c r="E22" s="583"/>
      <c r="F22" s="583"/>
      <c r="G22" s="583"/>
      <c r="H22" s="583"/>
      <c r="J22" s="583"/>
      <c r="K22" s="583"/>
      <c r="L22" s="583"/>
      <c r="M22" s="583"/>
      <c r="P22" s="583"/>
      <c r="Q22" s="583"/>
      <c r="R22" s="583"/>
      <c r="S22" s="583"/>
      <c r="T22" s="582"/>
      <c r="U22" s="106"/>
      <c r="V22" s="55"/>
      <c r="W22" s="55"/>
      <c r="X22" s="55"/>
      <c r="Y22" s="55"/>
      <c r="Z22" s="106"/>
      <c r="AA22" s="55"/>
      <c r="AB22" s="55"/>
      <c r="AC22" s="55"/>
      <c r="AD22" s="55"/>
      <c r="AE22" s="106"/>
      <c r="AF22" s="55"/>
      <c r="AG22" s="55"/>
      <c r="AH22" s="55"/>
      <c r="AI22" s="55"/>
      <c r="AJ22" s="106"/>
      <c r="AK22" s="106"/>
      <c r="AL22" s="55"/>
      <c r="AM22" s="55"/>
      <c r="AN22" s="55"/>
      <c r="AO22" s="55"/>
      <c r="AP22" s="55"/>
      <c r="AQ22" s="107"/>
      <c r="AR22" s="576"/>
      <c r="AS22" s="576"/>
      <c r="AT22" s="576"/>
      <c r="AU22" s="576"/>
      <c r="AV22" s="606"/>
      <c r="AW22" s="607"/>
      <c r="AX22" s="607"/>
      <c r="AY22" s="607"/>
      <c r="AZ22" s="89"/>
      <c r="BB22" s="110"/>
      <c r="BC22" s="110"/>
      <c r="BD22" s="92"/>
      <c r="BE22" s="112">
        <v>10</v>
      </c>
      <c r="BF22" s="112">
        <v>10</v>
      </c>
      <c r="BG22" s="112">
        <v>10</v>
      </c>
      <c r="BH22" s="93"/>
      <c r="BI22" s="120">
        <v>5</v>
      </c>
      <c r="BJ22" s="93"/>
      <c r="BK22" s="65"/>
      <c r="BL22" s="59"/>
      <c r="BM22" s="20"/>
      <c r="BN22" s="20"/>
      <c r="BO22" s="20"/>
      <c r="BP22" s="20"/>
      <c r="BQ22" s="20"/>
      <c r="BR22" s="20"/>
      <c r="BS22" s="4"/>
      <c r="BT22" s="46"/>
      <c r="BU22" s="46"/>
      <c r="BV22" s="34"/>
      <c r="CA22" s="30"/>
      <c r="CB22" s="30"/>
      <c r="CC22" s="30"/>
      <c r="CD22" s="620"/>
      <c r="CE22" s="117"/>
      <c r="CF22" s="98"/>
      <c r="CG22" s="98"/>
      <c r="CH22" s="98"/>
      <c r="CJ22" s="99"/>
      <c r="CK22" s="99"/>
      <c r="CL22" s="99"/>
      <c r="CM22" s="100"/>
      <c r="CN22" s="118"/>
    </row>
    <row r="23" spans="1:93" ht="23.25" x14ac:dyDescent="0.25">
      <c r="A23" s="48"/>
      <c r="B23" s="4"/>
      <c r="C23" s="30"/>
      <c r="D23" s="578"/>
      <c r="E23" s="583"/>
      <c r="F23" s="583"/>
      <c r="G23" s="583"/>
      <c r="H23" s="583"/>
      <c r="J23" s="583"/>
      <c r="K23" s="583"/>
      <c r="L23" s="583"/>
      <c r="M23" s="583"/>
      <c r="P23" s="583"/>
      <c r="Q23" s="583"/>
      <c r="R23" s="583"/>
      <c r="S23" s="583"/>
      <c r="T23" s="98"/>
      <c r="U23" s="123"/>
      <c r="V23" s="86"/>
      <c r="W23" s="86"/>
      <c r="X23" s="86"/>
      <c r="Y23" s="86"/>
      <c r="Z23" s="123"/>
      <c r="AA23" s="86"/>
      <c r="AB23" s="86"/>
      <c r="AC23" s="86"/>
      <c r="AD23" s="86"/>
      <c r="AE23" s="123"/>
      <c r="AF23" s="86"/>
      <c r="AG23" s="88"/>
      <c r="AH23" s="88"/>
      <c r="AI23" s="88"/>
      <c r="AJ23" s="123"/>
      <c r="AK23" s="123"/>
      <c r="AL23" s="54"/>
      <c r="AM23" s="54"/>
      <c r="AN23" s="54"/>
      <c r="AO23" s="54"/>
      <c r="AP23" s="54"/>
      <c r="AQ23" s="124"/>
      <c r="AR23" s="687"/>
      <c r="AS23" s="687"/>
      <c r="AT23" s="687"/>
      <c r="AU23" s="687"/>
      <c r="AW23" s="688"/>
      <c r="AX23" s="689"/>
      <c r="AY23" s="689"/>
      <c r="AZ23" s="89"/>
      <c r="BB23" s="125"/>
      <c r="BC23" s="110"/>
      <c r="BD23" s="110"/>
      <c r="BE23" s="92" t="s">
        <v>190</v>
      </c>
      <c r="BF23" s="92" t="s">
        <v>190</v>
      </c>
      <c r="BG23" s="92" t="s">
        <v>190</v>
      </c>
      <c r="BH23" s="125"/>
      <c r="BI23" s="93" t="s">
        <v>170</v>
      </c>
      <c r="BK23" s="126"/>
      <c r="BL23" s="690" t="s">
        <v>196</v>
      </c>
      <c r="BM23" s="4"/>
      <c r="BN23" s="4"/>
      <c r="BO23" s="4"/>
      <c r="BP23" s="20"/>
      <c r="BQ23" s="20"/>
      <c r="BR23" s="20"/>
      <c r="BS23" s="4"/>
      <c r="BT23" s="114"/>
      <c r="BU23" s="35"/>
      <c r="BV23" s="110"/>
      <c r="BW23" s="586"/>
      <c r="BX23" s="577"/>
      <c r="BY23" s="577"/>
      <c r="CA23" s="583"/>
      <c r="CB23" s="583"/>
      <c r="CC23" s="583"/>
      <c r="CD23" s="621"/>
      <c r="CE23" s="117"/>
      <c r="CF23" s="98"/>
      <c r="CG23" s="98"/>
      <c r="CH23" s="98"/>
      <c r="CJ23" s="99"/>
      <c r="CK23" s="99"/>
      <c r="CL23" s="99"/>
      <c r="CM23" s="100"/>
      <c r="CN23" s="118"/>
    </row>
    <row r="24" spans="1:93" ht="24" thickBot="1" x14ac:dyDescent="0.3">
      <c r="A24" s="48"/>
      <c r="B24" s="4"/>
      <c r="C24" s="11"/>
      <c r="D24" s="11"/>
      <c r="E24" s="11"/>
      <c r="J24" s="1"/>
      <c r="K24" s="183"/>
      <c r="L24" s="584"/>
      <c r="M24" s="584"/>
      <c r="N24" s="585"/>
      <c r="O24" s="585"/>
      <c r="P24" s="585"/>
      <c r="R24" s="72"/>
      <c r="S24" s="14"/>
      <c r="T24" s="586"/>
      <c r="U24" s="110"/>
      <c r="V24" s="130"/>
      <c r="W24" s="131"/>
      <c r="X24" s="132"/>
      <c r="Y24" s="130"/>
      <c r="Z24" s="110"/>
      <c r="AA24" s="110"/>
      <c r="AB24" s="130"/>
      <c r="AC24" s="24" t="s">
        <v>187</v>
      </c>
      <c r="AD24" s="133"/>
      <c r="AE24" s="133"/>
      <c r="AG24" s="110"/>
      <c r="AH24" s="24" t="s">
        <v>197</v>
      </c>
      <c r="AI24" s="661" t="s">
        <v>198</v>
      </c>
      <c r="AJ24" s="661"/>
      <c r="AK24" s="661"/>
      <c r="AL24" s="110"/>
      <c r="AM24" s="110"/>
      <c r="AN24" s="24" t="s">
        <v>199</v>
      </c>
      <c r="AO24" s="134"/>
      <c r="AP24" s="134"/>
      <c r="AQ24" s="108" t="s">
        <v>200</v>
      </c>
      <c r="AR24" s="606"/>
      <c r="AS24" s="606"/>
      <c r="AW24" s="606"/>
      <c r="AX24" s="606"/>
      <c r="AY24" s="606"/>
      <c r="AZ24" s="135"/>
      <c r="BB24" s="136"/>
      <c r="BC24" s="125"/>
      <c r="BD24" s="125"/>
      <c r="BE24" s="73">
        <v>8</v>
      </c>
      <c r="BF24" s="73">
        <v>7</v>
      </c>
      <c r="BG24" s="73">
        <v>6</v>
      </c>
      <c r="BH24" s="73"/>
      <c r="BI24" s="73">
        <v>5</v>
      </c>
      <c r="BJ24" s="137"/>
      <c r="BK24" s="65"/>
      <c r="BL24" s="691"/>
      <c r="BM24" s="4"/>
      <c r="BN24" s="4"/>
      <c r="BO24" s="4"/>
      <c r="BP24" s="20"/>
      <c r="BQ24" s="20"/>
      <c r="BR24" s="20"/>
      <c r="BS24" s="4"/>
      <c r="BT24" s="46"/>
      <c r="BU24" s="46"/>
      <c r="BV24" s="35"/>
      <c r="BW24" s="98"/>
      <c r="BX24" s="577"/>
      <c r="BY24" s="577"/>
      <c r="CA24" s="583"/>
      <c r="CB24" s="583"/>
      <c r="CC24" s="583"/>
      <c r="CD24" s="622"/>
      <c r="CE24" s="117"/>
      <c r="CI24" s="98"/>
      <c r="CJ24" s="99"/>
      <c r="CK24" s="99"/>
      <c r="CL24" s="99"/>
      <c r="CM24" s="100"/>
      <c r="CN24" s="139"/>
    </row>
    <row r="25" spans="1:93" ht="23.25" x14ac:dyDescent="0.25">
      <c r="A25" s="48"/>
      <c r="B25" s="4"/>
      <c r="C25" s="45"/>
      <c r="D25" s="45"/>
      <c r="E25" s="45"/>
      <c r="F25" s="99"/>
      <c r="H25" s="99"/>
      <c r="I25" s="1"/>
      <c r="P25" s="587"/>
      <c r="Q25" s="587"/>
      <c r="R25" s="72"/>
      <c r="S25" s="249"/>
      <c r="T25" s="586"/>
      <c r="U25" s="586"/>
      <c r="V25" s="590"/>
      <c r="W25" s="591"/>
      <c r="X25" s="592"/>
      <c r="Y25" s="590"/>
      <c r="Z25" s="110"/>
      <c r="AA25" s="110"/>
      <c r="AB25" s="141">
        <v>1</v>
      </c>
      <c r="AC25" s="133" t="s">
        <v>170</v>
      </c>
      <c r="AD25" s="2">
        <v>5</v>
      </c>
      <c r="AE25" s="2">
        <v>5</v>
      </c>
      <c r="AF25" s="133" t="s">
        <v>170</v>
      </c>
      <c r="AG25" s="142">
        <v>6</v>
      </c>
      <c r="AH25" s="143" t="s">
        <v>170</v>
      </c>
      <c r="AI25" s="144">
        <v>5</v>
      </c>
      <c r="AJ25" s="144">
        <v>5</v>
      </c>
      <c r="AK25" s="143" t="s">
        <v>170</v>
      </c>
      <c r="AL25" s="142">
        <v>6</v>
      </c>
      <c r="AM25" s="145">
        <v>1</v>
      </c>
      <c r="AN25" s="134" t="s">
        <v>172</v>
      </c>
      <c r="AO25" s="146">
        <v>5</v>
      </c>
      <c r="AP25" s="146">
        <v>5</v>
      </c>
      <c r="AQ25" s="134" t="s">
        <v>172</v>
      </c>
      <c r="AR25" s="147">
        <v>4</v>
      </c>
      <c r="AS25" s="89"/>
      <c r="AT25" s="46"/>
      <c r="AU25" s="73"/>
      <c r="AV25" s="89"/>
      <c r="AW25" s="89"/>
      <c r="AX25" s="89"/>
      <c r="AY25" s="46"/>
      <c r="AZ25" s="89"/>
      <c r="BA25" s="73"/>
      <c r="BB25" s="89"/>
      <c r="BC25" s="90"/>
      <c r="BD25" s="90"/>
      <c r="BE25" s="679" t="s">
        <v>201</v>
      </c>
      <c r="BF25" s="679"/>
      <c r="BG25" s="679"/>
      <c r="BH25" s="90"/>
      <c r="BI25" s="46"/>
      <c r="BJ25" s="94"/>
      <c r="BK25" s="65"/>
      <c r="BL25" s="148"/>
      <c r="BM25" s="20"/>
      <c r="BN25" s="20"/>
      <c r="BO25" s="20"/>
      <c r="BP25" s="20"/>
      <c r="BQ25" s="20"/>
      <c r="BR25" s="20"/>
      <c r="BS25" s="4"/>
      <c r="BU25" s="4"/>
      <c r="BV25" s="4"/>
      <c r="BX25" s="577"/>
      <c r="BY25" s="577"/>
      <c r="BZ25" s="4"/>
      <c r="CA25" s="30"/>
      <c r="CB25" s="623"/>
      <c r="CC25" s="98"/>
      <c r="CD25" s="624"/>
      <c r="CE25" s="117"/>
      <c r="CF25" s="98"/>
      <c r="CG25" s="98"/>
      <c r="CH25" s="98"/>
      <c r="CJ25" s="99"/>
      <c r="CL25" s="99"/>
      <c r="CM25" s="100"/>
      <c r="CN25" s="118"/>
    </row>
    <row r="26" spans="1:93" ht="24" thickBot="1" x14ac:dyDescent="0.3">
      <c r="A26" s="48"/>
      <c r="B26" s="4"/>
      <c r="C26" s="45"/>
      <c r="D26" s="45"/>
      <c r="E26" s="150"/>
      <c r="F26" s="17"/>
      <c r="G26" s="151"/>
      <c r="H26" s="17"/>
      <c r="I26" s="17"/>
      <c r="J26" s="152"/>
      <c r="K26" s="153"/>
      <c r="M26" s="154"/>
      <c r="N26" s="140"/>
      <c r="P26" s="588"/>
      <c r="Q26" s="587"/>
      <c r="R26" s="588"/>
      <c r="S26" s="72"/>
      <c r="T26" s="589"/>
      <c r="U26" s="589"/>
      <c r="V26" s="593"/>
      <c r="W26" s="591"/>
      <c r="X26" s="594"/>
      <c r="Y26" s="594"/>
      <c r="Z26" s="110"/>
      <c r="AA26" s="110"/>
      <c r="AB26" s="141">
        <v>2</v>
      </c>
      <c r="AC26" s="133" t="s">
        <v>170</v>
      </c>
      <c r="AD26" s="2">
        <v>5</v>
      </c>
      <c r="AE26" s="2">
        <v>5</v>
      </c>
      <c r="AF26" s="133" t="s">
        <v>170</v>
      </c>
      <c r="AG26" s="142">
        <v>5</v>
      </c>
      <c r="AH26" s="143" t="s">
        <v>170</v>
      </c>
      <c r="AI26" s="144">
        <v>5</v>
      </c>
      <c r="AJ26" s="144">
        <v>5</v>
      </c>
      <c r="AK26" s="143" t="s">
        <v>170</v>
      </c>
      <c r="AL26" s="142">
        <v>5</v>
      </c>
      <c r="AM26" s="145">
        <v>2</v>
      </c>
      <c r="AN26" s="134" t="s">
        <v>172</v>
      </c>
      <c r="AO26" s="146">
        <v>5</v>
      </c>
      <c r="AP26" s="146">
        <v>5</v>
      </c>
      <c r="AQ26" s="134" t="s">
        <v>172</v>
      </c>
      <c r="AR26" s="157">
        <v>3</v>
      </c>
      <c r="AS26" s="158"/>
      <c r="AU26" s="73"/>
      <c r="AW26" s="674"/>
      <c r="AX26" s="675"/>
      <c r="AY26" s="675"/>
      <c r="AZ26" s="73"/>
      <c r="BA26" s="73"/>
      <c r="BC26" s="676"/>
      <c r="BD26" s="676"/>
      <c r="BE26" s="676"/>
      <c r="BF26" s="676"/>
      <c r="BG26" s="676"/>
      <c r="BH26" s="159"/>
      <c r="BI26" s="160"/>
      <c r="BJ26" s="137"/>
      <c r="BK26" s="161"/>
      <c r="BL26" s="162"/>
      <c r="BM26" s="20"/>
      <c r="BN26" s="20"/>
      <c r="BO26" s="20"/>
      <c r="BP26" s="4"/>
      <c r="BQ26" s="20"/>
      <c r="BR26" s="20"/>
      <c r="BS26" s="4"/>
      <c r="BT26" s="4"/>
      <c r="BU26" s="4"/>
      <c r="BV26" s="4"/>
      <c r="BW26" s="4"/>
      <c r="BX26" s="4"/>
      <c r="BY26" s="4"/>
      <c r="CA26" s="163"/>
      <c r="CB26" s="163"/>
      <c r="CC26" s="677"/>
      <c r="CD26" s="678"/>
      <c r="CE26" s="164"/>
      <c r="CH26" s="829" t="s">
        <v>204</v>
      </c>
      <c r="CI26" s="798"/>
      <c r="CJ26" s="799"/>
      <c r="CL26" s="99"/>
      <c r="CM26" s="100"/>
      <c r="CN26" s="139"/>
    </row>
    <row r="27" spans="1:93" ht="24" thickBot="1" x14ac:dyDescent="0.3">
      <c r="A27" s="48"/>
      <c r="B27" s="4"/>
      <c r="C27" s="165"/>
      <c r="D27" s="45"/>
      <c r="E27" s="150"/>
      <c r="F27" s="17"/>
      <c r="G27" s="166"/>
      <c r="H27" s="11"/>
      <c r="I27" s="11"/>
      <c r="J27" s="11"/>
      <c r="K27" s="153"/>
      <c r="M27" s="167"/>
      <c r="N27" s="140"/>
      <c r="P27" s="587"/>
      <c r="Q27" s="588"/>
      <c r="R27" s="72"/>
      <c r="S27" s="72"/>
      <c r="T27" s="589"/>
      <c r="U27" s="589"/>
      <c r="X27" s="594"/>
      <c r="Y27" s="594"/>
      <c r="Z27" s="35"/>
      <c r="AA27" s="35"/>
      <c r="AB27" s="168">
        <v>3</v>
      </c>
      <c r="AC27" s="133" t="s">
        <v>170</v>
      </c>
      <c r="AD27" s="2">
        <v>5</v>
      </c>
      <c r="AE27" s="2">
        <v>5</v>
      </c>
      <c r="AF27" s="133" t="s">
        <v>170</v>
      </c>
      <c r="AG27" s="169">
        <v>4</v>
      </c>
      <c r="AH27" s="143" t="s">
        <v>170</v>
      </c>
      <c r="AI27" s="144">
        <v>5</v>
      </c>
      <c r="AJ27" s="144">
        <v>5</v>
      </c>
      <c r="AK27" s="143" t="s">
        <v>170</v>
      </c>
      <c r="AL27" s="169">
        <v>4</v>
      </c>
      <c r="AM27" s="46"/>
      <c r="AO27" s="134"/>
      <c r="AP27" s="134"/>
      <c r="AT27" s="675"/>
      <c r="AU27" s="675"/>
      <c r="AV27" s="675"/>
      <c r="AW27" s="675"/>
      <c r="AX27" s="100"/>
      <c r="AY27" s="102"/>
      <c r="AZ27" s="9"/>
      <c r="BK27" s="18"/>
      <c r="BL27" s="20"/>
      <c r="BM27" s="20"/>
      <c r="BN27" s="20"/>
      <c r="BO27" s="20"/>
      <c r="BP27" s="4"/>
      <c r="BQ27" s="4"/>
      <c r="BV27" s="23"/>
      <c r="BW27" s="23"/>
      <c r="BZ27" s="9"/>
      <c r="CA27" s="9"/>
      <c r="CD27" s="817" t="s">
        <v>205</v>
      </c>
      <c r="CE27" s="818"/>
      <c r="CF27" s="170"/>
      <c r="CH27" s="800"/>
      <c r="CI27" s="830"/>
      <c r="CJ27" s="802"/>
      <c r="CL27" s="99"/>
      <c r="CM27" s="100"/>
      <c r="CN27" s="118"/>
    </row>
    <row r="28" spans="1:93" ht="23.25" x14ac:dyDescent="0.3">
      <c r="A28" s="48"/>
      <c r="B28" s="569"/>
      <c r="C28" s="17"/>
      <c r="D28" s="172"/>
      <c r="E28" s="150"/>
      <c r="F28" s="17"/>
      <c r="G28" s="17"/>
      <c r="H28" s="173"/>
      <c r="I28" s="173"/>
      <c r="J28" s="173"/>
      <c r="K28" s="174"/>
      <c r="L28" s="46"/>
      <c r="M28" s="46"/>
      <c r="N28" s="174"/>
      <c r="X28" s="594"/>
      <c r="Y28" s="594"/>
      <c r="Z28" s="175"/>
      <c r="AA28" s="175"/>
      <c r="AB28" s="168"/>
      <c r="AD28" s="133"/>
      <c r="AE28" s="133"/>
      <c r="AF28" s="91" t="s">
        <v>206</v>
      </c>
      <c r="AG28" s="175"/>
      <c r="AH28" s="46"/>
      <c r="AI28" s="143"/>
      <c r="AJ28" s="143"/>
      <c r="AK28" s="46"/>
      <c r="AL28" s="176"/>
      <c r="AM28" s="176"/>
      <c r="AN28" s="46"/>
      <c r="AO28" s="177" t="s">
        <v>166</v>
      </c>
      <c r="AP28" s="177"/>
      <c r="AQ28" s="63"/>
      <c r="AR28" s="63"/>
      <c r="AS28" s="608"/>
      <c r="AT28" s="609"/>
      <c r="AU28" s="179"/>
      <c r="AV28" s="100"/>
      <c r="AW28" s="100"/>
      <c r="AX28" s="100"/>
      <c r="AY28" s="102"/>
      <c r="AZ28" s="180"/>
      <c r="BK28" s="18"/>
      <c r="BL28" s="659"/>
      <c r="BM28" s="659"/>
      <c r="BN28" s="659"/>
      <c r="BO28" s="659"/>
      <c r="BP28" s="659"/>
      <c r="BQ28" s="659"/>
      <c r="BR28" s="659"/>
      <c r="BS28" s="659"/>
      <c r="BT28" s="659"/>
      <c r="BV28" s="23"/>
      <c r="BW28" s="23"/>
      <c r="BX28" s="156"/>
      <c r="BZ28" s="9"/>
      <c r="CA28" s="9"/>
      <c r="CB28" s="181"/>
      <c r="CC28" s="107"/>
      <c r="CD28" s="182"/>
      <c r="CE28" s="75"/>
      <c r="CH28" s="183"/>
      <c r="CI28" s="183"/>
      <c r="CM28" s="100"/>
      <c r="CN28" s="139"/>
    </row>
    <row r="29" spans="1:93" ht="23.25" x14ac:dyDescent="0.25">
      <c r="A29" s="660" t="s">
        <v>208</v>
      </c>
      <c r="B29" s="660"/>
      <c r="C29" s="17"/>
      <c r="D29" s="17"/>
      <c r="E29" s="172"/>
      <c r="F29" s="17"/>
      <c r="G29" s="17"/>
      <c r="H29" s="61"/>
      <c r="I29" s="61"/>
      <c r="J29" s="81"/>
      <c r="K29" s="174"/>
      <c r="L29" s="23"/>
      <c r="M29" s="23"/>
      <c r="N29" s="174"/>
      <c r="P29" s="589"/>
      <c r="Q29" s="589"/>
      <c r="R29" s="72"/>
      <c r="T29" s="595"/>
      <c r="U29" s="595"/>
      <c r="W29" s="596"/>
      <c r="X29" s="594"/>
      <c r="Y29" s="594"/>
      <c r="Z29" s="175"/>
      <c r="AA29" s="175"/>
      <c r="AB29" s="34"/>
      <c r="AC29" s="661" t="s">
        <v>166</v>
      </c>
      <c r="AD29" s="661"/>
      <c r="AE29" s="661"/>
      <c r="AF29" s="661"/>
      <c r="AG29" s="175"/>
      <c r="AH29" s="661" t="s">
        <v>166</v>
      </c>
      <c r="AI29" s="661"/>
      <c r="AJ29" s="661"/>
      <c r="AK29" s="661"/>
      <c r="AL29" s="176"/>
      <c r="AM29" s="176"/>
      <c r="AN29" s="46"/>
      <c r="AO29" s="596"/>
      <c r="AQ29" s="63"/>
      <c r="AR29" s="63"/>
      <c r="AS29" s="608"/>
      <c r="AT29" s="609"/>
      <c r="AU29" s="179"/>
      <c r="AV29" s="185"/>
      <c r="AW29" s="185"/>
      <c r="AX29" s="179"/>
      <c r="AY29" s="102"/>
      <c r="AZ29" s="17"/>
      <c r="BA29" s="166"/>
      <c r="BB29" s="11"/>
      <c r="BC29" s="11"/>
      <c r="BD29" s="11"/>
      <c r="BE29" s="11"/>
      <c r="BF29" s="11"/>
      <c r="BG29" s="11"/>
      <c r="BH29" s="11"/>
      <c r="BI29" s="11"/>
      <c r="BJ29" s="11"/>
      <c r="BK29" s="18"/>
      <c r="BM29" s="20"/>
      <c r="BN29" s="609"/>
      <c r="BO29" s="609"/>
      <c r="BP29" s="4"/>
      <c r="BQ29" s="4"/>
      <c r="BR29" s="609"/>
      <c r="BS29" s="609"/>
      <c r="BT29" s="4"/>
      <c r="BU29" s="9"/>
      <c r="BV29" s="186"/>
      <c r="BW29" s="186"/>
      <c r="BX29" s="186"/>
      <c r="BY29" s="186"/>
      <c r="BZ29" s="187"/>
      <c r="CA29" s="9"/>
      <c r="CB29" s="181"/>
      <c r="CC29" s="107"/>
      <c r="CD29" s="182"/>
      <c r="CE29" s="188"/>
      <c r="CF29" s="170"/>
      <c r="CH29" s="183"/>
      <c r="CI29" s="183"/>
      <c r="CJ29" s="99"/>
      <c r="CM29" s="100"/>
      <c r="CN29" s="118"/>
    </row>
    <row r="30" spans="1:93" ht="23.25" x14ac:dyDescent="0.25">
      <c r="A30" s="189"/>
      <c r="B30" s="30"/>
      <c r="C30" s="17"/>
      <c r="D30" s="17"/>
      <c r="E30" s="17"/>
      <c r="F30" s="190"/>
      <c r="G30" s="17"/>
      <c r="H30" s="191"/>
      <c r="I30" s="191"/>
      <c r="J30" s="61"/>
      <c r="K30" s="61"/>
      <c r="L30" s="192"/>
      <c r="M30" s="192"/>
      <c r="N30" s="174"/>
      <c r="P30" s="589"/>
      <c r="Q30" s="589"/>
      <c r="R30" s="72"/>
      <c r="S30" s="590"/>
      <c r="T30" s="597"/>
      <c r="U30" s="597"/>
      <c r="V30" s="590"/>
      <c r="W30" s="591"/>
      <c r="X30" s="594"/>
      <c r="Y30" s="594"/>
      <c r="Z30" s="110"/>
      <c r="AA30" s="110"/>
      <c r="AB30" s="130"/>
      <c r="AC30" s="132"/>
      <c r="AD30" s="592"/>
      <c r="AE30" s="98"/>
      <c r="AF30" s="110"/>
      <c r="AG30" s="110"/>
      <c r="AI30" s="133"/>
      <c r="AJ30" s="133"/>
      <c r="AK30" s="24" t="s">
        <v>214</v>
      </c>
      <c r="AL30" s="110"/>
      <c r="AM30" s="105"/>
      <c r="AN30" s="105"/>
      <c r="AO30" s="610"/>
      <c r="AP30" s="611"/>
      <c r="AQ30" s="63"/>
      <c r="AR30" s="63"/>
      <c r="AS30" s="608"/>
      <c r="AT30" s="609"/>
      <c r="AU30" s="196"/>
      <c r="AV30" s="46"/>
      <c r="AX30" s="179"/>
      <c r="AY30" s="179"/>
      <c r="AZ30" s="45"/>
      <c r="BA30" s="166"/>
      <c r="BB30" s="11"/>
      <c r="BC30" s="11"/>
      <c r="BD30" s="11"/>
      <c r="BE30" s="11"/>
      <c r="BF30" s="11"/>
      <c r="BG30" s="11"/>
      <c r="BH30" s="11"/>
      <c r="BI30" s="11"/>
      <c r="BJ30" s="11"/>
      <c r="BK30" s="18"/>
      <c r="BL30" s="166"/>
      <c r="BM30" s="20"/>
      <c r="BN30" s="609"/>
      <c r="BO30" s="609"/>
      <c r="BQ30" s="4"/>
      <c r="BR30" s="609"/>
      <c r="BS30" s="609"/>
      <c r="BU30" s="186"/>
      <c r="BV30" s="107"/>
      <c r="BW30" s="197"/>
      <c r="BX30" s="197"/>
      <c r="BY30" s="107"/>
      <c r="BZ30" s="186"/>
      <c r="CA30" s="9"/>
      <c r="CB30" s="181"/>
      <c r="CC30" s="107"/>
      <c r="CD30" s="182"/>
      <c r="CE30" s="13"/>
      <c r="CH30" s="99"/>
      <c r="CI30" s="99"/>
      <c r="CJ30" s="99"/>
      <c r="CK30" s="99"/>
      <c r="CM30" s="100"/>
      <c r="CN30" s="139"/>
    </row>
    <row r="31" spans="1:93" ht="24" thickBot="1" x14ac:dyDescent="0.3">
      <c r="A31" s="48"/>
      <c r="B31" s="30"/>
      <c r="C31" s="17"/>
      <c r="D31" s="17"/>
      <c r="E31" s="17"/>
      <c r="F31" s="1"/>
      <c r="G31" s="17"/>
      <c r="H31" s="191"/>
      <c r="I31" s="191"/>
      <c r="J31" s="61"/>
      <c r="K31" s="61"/>
      <c r="L31" s="192"/>
      <c r="M31" s="192"/>
      <c r="N31" s="198"/>
      <c r="Q31" s="199"/>
      <c r="R31" s="72"/>
      <c r="S31" s="590"/>
      <c r="T31" s="597"/>
      <c r="U31" s="597"/>
      <c r="V31" s="590"/>
      <c r="W31" s="591"/>
      <c r="X31" s="592"/>
      <c r="Y31" s="590"/>
      <c r="Z31" s="110"/>
      <c r="AA31" s="110"/>
      <c r="AB31" s="130"/>
      <c r="AC31" s="131"/>
      <c r="AD31" s="602"/>
      <c r="AE31" s="602"/>
      <c r="AF31" s="110"/>
      <c r="AG31" s="141">
        <v>1</v>
      </c>
      <c r="AH31" s="133" t="s">
        <v>170</v>
      </c>
      <c r="AI31" s="343">
        <v>5</v>
      </c>
      <c r="AJ31" s="340">
        <v>5</v>
      </c>
      <c r="AK31" s="133" t="s">
        <v>170</v>
      </c>
      <c r="AL31" s="142">
        <v>6</v>
      </c>
      <c r="AM31" s="105"/>
      <c r="AN31" s="105"/>
      <c r="AO31" s="610"/>
      <c r="AP31" s="611"/>
      <c r="AQ31" s="203"/>
      <c r="AR31" s="125"/>
      <c r="AS31" s="203"/>
      <c r="AT31" s="57"/>
      <c r="AU31" s="196"/>
      <c r="AV31" s="204"/>
      <c r="AX31" s="14"/>
      <c r="AY31" s="179"/>
      <c r="AZ31" s="45"/>
      <c r="BA31" s="205"/>
      <c r="BB31" s="11"/>
      <c r="BC31" s="11"/>
      <c r="BD31" s="11"/>
      <c r="BE31" s="11"/>
      <c r="BF31" s="11"/>
      <c r="BG31" s="11"/>
      <c r="BH31" s="11"/>
      <c r="BI31" s="11"/>
      <c r="BJ31" s="11"/>
      <c r="BK31" s="18"/>
      <c r="BL31" s="166"/>
      <c r="BM31" s="20"/>
      <c r="BN31" s="609"/>
      <c r="BO31" s="609"/>
      <c r="BR31" s="609"/>
      <c r="BS31" s="609"/>
      <c r="BU31" s="206"/>
      <c r="BV31" s="182"/>
      <c r="BW31" s="182"/>
      <c r="BX31" s="182"/>
      <c r="BY31" s="182"/>
      <c r="BZ31" s="206"/>
      <c r="CA31" s="9"/>
      <c r="CB31" s="181"/>
      <c r="CC31" s="107"/>
      <c r="CD31" s="182"/>
      <c r="CE31" s="207"/>
      <c r="CF31" s="99"/>
      <c r="CH31" s="829" t="s">
        <v>217</v>
      </c>
      <c r="CI31" s="798"/>
      <c r="CJ31" s="799"/>
      <c r="CL31" s="208"/>
      <c r="CM31" s="100"/>
      <c r="CN31" s="139"/>
    </row>
    <row r="32" spans="1:93" ht="24" thickBot="1" x14ac:dyDescent="0.3">
      <c r="A32" s="48"/>
      <c r="B32" s="30"/>
      <c r="C32" s="17"/>
      <c r="D32" s="17"/>
      <c r="E32" s="17"/>
      <c r="F32" s="1"/>
      <c r="G32" s="17"/>
      <c r="H32" s="209"/>
      <c r="I32" s="210"/>
      <c r="J32" s="17"/>
      <c r="K32" s="17"/>
      <c r="L32" s="211"/>
      <c r="M32" s="211"/>
      <c r="N32" s="211"/>
      <c r="O32" s="211"/>
      <c r="P32" s="212"/>
      <c r="Q32" s="213"/>
      <c r="R32" s="132"/>
      <c r="S32" s="590"/>
      <c r="T32" s="597"/>
      <c r="U32" s="597"/>
      <c r="V32" s="590"/>
      <c r="W32" s="591"/>
      <c r="X32" s="592"/>
      <c r="Y32" s="590"/>
      <c r="Z32" s="110"/>
      <c r="AA32" s="110"/>
      <c r="AB32" s="130"/>
      <c r="AC32" s="131"/>
      <c r="AD32" s="602"/>
      <c r="AE32" s="602"/>
      <c r="AF32" s="110"/>
      <c r="AG32" s="141">
        <v>2</v>
      </c>
      <c r="AH32" s="133" t="s">
        <v>170</v>
      </c>
      <c r="AI32" s="340">
        <v>5</v>
      </c>
      <c r="AJ32" s="340">
        <v>5</v>
      </c>
      <c r="AK32" s="133" t="s">
        <v>170</v>
      </c>
      <c r="AL32" s="142">
        <v>5</v>
      </c>
      <c r="AM32" s="105"/>
      <c r="AN32" s="105"/>
      <c r="AO32" s="610"/>
      <c r="AP32" s="611"/>
      <c r="AQ32" s="46"/>
      <c r="AR32" s="214"/>
      <c r="AS32" s="136"/>
      <c r="AT32" s="46"/>
      <c r="AU32" s="108"/>
      <c r="AV32" s="215"/>
      <c r="AW32" s="662" t="s">
        <v>218</v>
      </c>
      <c r="AX32" s="663"/>
      <c r="AY32" s="663"/>
      <c r="AZ32" s="663"/>
      <c r="BA32" s="663"/>
      <c r="BB32" s="663"/>
      <c r="BC32" s="664"/>
      <c r="BD32" s="11"/>
      <c r="BE32" s="11"/>
      <c r="BF32" s="11"/>
      <c r="BG32" s="11"/>
      <c r="BH32" s="11"/>
      <c r="BI32" s="11"/>
      <c r="BJ32" s="11"/>
      <c r="BK32" s="18"/>
      <c r="BL32" s="166"/>
      <c r="BM32" s="20"/>
      <c r="BR32" s="20"/>
      <c r="BS32" s="20"/>
      <c r="BU32" s="206"/>
      <c r="BV32" s="182"/>
      <c r="BW32" s="182"/>
      <c r="BX32" s="182"/>
      <c r="BY32" s="182"/>
      <c r="BZ32" s="206"/>
      <c r="CA32" s="99"/>
      <c r="CB32" s="181"/>
      <c r="CC32" s="107"/>
      <c r="CD32" s="182"/>
      <c r="CE32" s="216"/>
      <c r="CF32" s="99"/>
      <c r="CH32" s="800"/>
      <c r="CI32" s="830"/>
      <c r="CJ32" s="802"/>
      <c r="CM32" s="100"/>
      <c r="CN32" s="139"/>
    </row>
    <row r="33" spans="1:92" ht="24" thickBot="1" x14ac:dyDescent="0.3">
      <c r="A33" s="48"/>
      <c r="B33" s="217"/>
      <c r="C33" s="218"/>
      <c r="D33" s="218"/>
      <c r="E33" s="218"/>
      <c r="F33" s="219"/>
      <c r="G33" s="220"/>
      <c r="H33" s="220"/>
      <c r="I33" s="220"/>
      <c r="J33" s="670" t="s">
        <v>219</v>
      </c>
      <c r="K33" s="671"/>
      <c r="L33" s="221"/>
      <c r="M33" s="222"/>
      <c r="N33" s="222"/>
      <c r="S33" s="672" t="s">
        <v>191</v>
      </c>
      <c r="T33" s="672"/>
      <c r="U33" s="672"/>
      <c r="W33" s="175"/>
      <c r="X33" s="175"/>
      <c r="Y33" s="175"/>
      <c r="Z33" s="223"/>
      <c r="AA33" s="223"/>
      <c r="AB33" s="224"/>
      <c r="AC33" s="225"/>
      <c r="AD33" s="224"/>
      <c r="AE33" s="175"/>
      <c r="AF33" s="175"/>
      <c r="AG33" s="168">
        <v>3</v>
      </c>
      <c r="AH33" s="133" t="s">
        <v>170</v>
      </c>
      <c r="AI33" s="226">
        <v>5</v>
      </c>
      <c r="AJ33" s="226">
        <v>5</v>
      </c>
      <c r="AK33" s="133" t="s">
        <v>170</v>
      </c>
      <c r="AL33" s="169">
        <v>4</v>
      </c>
      <c r="AM33" s="227"/>
      <c r="AN33" s="227"/>
      <c r="AO33" s="9"/>
      <c r="AP33" s="612"/>
      <c r="AQ33" s="46"/>
      <c r="AR33" s="230"/>
      <c r="AS33" s="46"/>
      <c r="AT33" s="46"/>
      <c r="AU33" s="46"/>
      <c r="AV33" s="215"/>
      <c r="AW33" s="665"/>
      <c r="AX33" s="639"/>
      <c r="AY33" s="639"/>
      <c r="AZ33" s="639"/>
      <c r="BA33" s="639"/>
      <c r="BB33" s="639"/>
      <c r="BC33" s="666"/>
      <c r="BD33" s="11"/>
      <c r="BE33" s="11"/>
      <c r="BF33" s="11"/>
      <c r="BG33" s="11"/>
      <c r="BH33" s="11"/>
      <c r="BI33" s="11"/>
      <c r="BJ33" s="11"/>
      <c r="BK33" s="18"/>
      <c r="BL33" s="4"/>
      <c r="BM33" s="20"/>
      <c r="BQ33" s="4"/>
      <c r="BR33" s="20"/>
      <c r="BS33" s="20"/>
      <c r="BU33" s="186"/>
      <c r="BV33" s="107"/>
      <c r="BW33" s="197"/>
      <c r="BX33" s="197"/>
      <c r="BY33" s="107"/>
      <c r="BZ33" s="186"/>
      <c r="CA33" s="99"/>
      <c r="CB33" s="181"/>
      <c r="CC33" s="107"/>
      <c r="CD33" s="182"/>
      <c r="CE33" s="216"/>
      <c r="CF33" s="99"/>
      <c r="CH33" s="99"/>
      <c r="CI33" s="99"/>
      <c r="CJ33" s="99"/>
      <c r="CK33" s="99"/>
      <c r="CL33" s="99"/>
      <c r="CM33" s="100"/>
      <c r="CN33" s="139"/>
    </row>
    <row r="34" spans="1:92" ht="23.25" x14ac:dyDescent="0.25">
      <c r="A34" s="48"/>
      <c r="B34" s="439">
        <v>5</v>
      </c>
      <c r="C34" s="232"/>
      <c r="D34" s="439">
        <v>5</v>
      </c>
      <c r="E34" s="232"/>
      <c r="F34" s="439">
        <v>5</v>
      </c>
      <c r="G34" s="232"/>
      <c r="H34" s="439">
        <v>5</v>
      </c>
      <c r="I34" s="232"/>
      <c r="J34" s="233"/>
      <c r="K34" s="233"/>
      <c r="L34" s="233"/>
      <c r="M34" s="233"/>
      <c r="N34" s="234"/>
      <c r="O34" s="76"/>
      <c r="P34" s="235"/>
      <c r="S34" s="236">
        <v>1</v>
      </c>
      <c r="T34" s="236">
        <v>2</v>
      </c>
      <c r="U34" s="236">
        <v>3</v>
      </c>
      <c r="Z34" s="237"/>
      <c r="AA34" s="136"/>
      <c r="AD34" s="224"/>
      <c r="AE34" s="238"/>
      <c r="AF34" s="239">
        <v>1</v>
      </c>
      <c r="AG34" s="239">
        <v>2</v>
      </c>
      <c r="AH34" s="239">
        <v>3</v>
      </c>
      <c r="AI34" s="133"/>
      <c r="AJ34" s="133"/>
      <c r="AP34" s="240"/>
      <c r="AQ34" s="240"/>
      <c r="AR34" s="125"/>
      <c r="AS34" s="240"/>
      <c r="AT34" s="240"/>
      <c r="AU34" s="240"/>
      <c r="AW34" s="665"/>
      <c r="AX34" s="639"/>
      <c r="AY34" s="639"/>
      <c r="AZ34" s="639"/>
      <c r="BA34" s="639"/>
      <c r="BB34" s="639"/>
      <c r="BC34" s="666"/>
      <c r="BD34" s="11"/>
      <c r="BE34" s="11"/>
      <c r="BF34" s="11"/>
      <c r="BG34" s="11"/>
      <c r="BH34" s="11"/>
      <c r="BI34" s="11"/>
      <c r="BJ34" s="11"/>
      <c r="BK34" s="18"/>
      <c r="BL34" s="45"/>
      <c r="BM34" s="20"/>
      <c r="BQ34" s="4"/>
      <c r="BR34" s="20"/>
      <c r="BS34" s="20"/>
      <c r="BT34" s="4"/>
      <c r="BV34" s="186"/>
      <c r="BW34" s="186"/>
      <c r="BX34" s="186"/>
      <c r="BY34" s="186"/>
      <c r="CA34" s="99"/>
      <c r="CB34" s="181"/>
      <c r="CC34" s="107"/>
      <c r="CD34" s="182"/>
      <c r="CE34" s="216"/>
      <c r="CF34" s="99"/>
      <c r="CH34" s="99"/>
      <c r="CI34" s="99"/>
      <c r="CJ34" s="99"/>
      <c r="CK34" s="99"/>
      <c r="CL34" s="99"/>
      <c r="CM34" s="100"/>
      <c r="CN34" s="139"/>
    </row>
    <row r="35" spans="1:92" ht="23.25" x14ac:dyDescent="0.25">
      <c r="A35" s="48"/>
      <c r="B35" s="232" t="s">
        <v>170</v>
      </c>
      <c r="C35" s="241"/>
      <c r="D35" s="232" t="s">
        <v>170</v>
      </c>
      <c r="E35" s="241"/>
      <c r="F35" s="232" t="s">
        <v>170</v>
      </c>
      <c r="G35" s="241"/>
      <c r="H35" s="232" t="s">
        <v>170</v>
      </c>
      <c r="I35" s="24" t="s">
        <v>220</v>
      </c>
      <c r="J35" s="233"/>
      <c r="K35" s="233"/>
      <c r="L35" s="242"/>
      <c r="M35" s="242"/>
      <c r="N35" s="234"/>
      <c r="P35" s="243"/>
      <c r="R35" s="24" t="s">
        <v>221</v>
      </c>
      <c r="S35" s="33" t="s">
        <v>172</v>
      </c>
      <c r="T35" s="33" t="s">
        <v>172</v>
      </c>
      <c r="U35" s="33" t="s">
        <v>172</v>
      </c>
      <c r="V35" s="244" t="s">
        <v>222</v>
      </c>
      <c r="Z35" s="598"/>
      <c r="AA35" s="17"/>
      <c r="AD35" s="224"/>
      <c r="AE35" s="24" t="s">
        <v>223</v>
      </c>
      <c r="AF35" s="245" t="s">
        <v>172</v>
      </c>
      <c r="AG35" s="245" t="s">
        <v>172</v>
      </c>
      <c r="AH35" s="245" t="s">
        <v>172</v>
      </c>
      <c r="AI35" s="246" t="s">
        <v>224</v>
      </c>
      <c r="AK35" s="83"/>
      <c r="AL35" s="247"/>
      <c r="AM35" s="248"/>
      <c r="AN35" s="248"/>
      <c r="AO35" s="46"/>
      <c r="AP35" s="46"/>
      <c r="AQ35" s="46"/>
      <c r="AR35" s="248"/>
      <c r="AS35" s="248"/>
      <c r="AT35" s="248"/>
      <c r="AU35" s="46"/>
      <c r="AW35" s="665"/>
      <c r="AX35" s="639"/>
      <c r="AY35" s="639"/>
      <c r="AZ35" s="639"/>
      <c r="BA35" s="639"/>
      <c r="BB35" s="639"/>
      <c r="BC35" s="666"/>
      <c r="BD35" s="11"/>
      <c r="BE35" s="11"/>
      <c r="BF35" s="11"/>
      <c r="BG35" s="11"/>
      <c r="BH35" s="11"/>
      <c r="BI35" s="11"/>
      <c r="BJ35" s="11"/>
      <c r="BK35" s="18"/>
      <c r="BM35" s="20"/>
      <c r="BQ35" s="4"/>
      <c r="BR35" s="20"/>
      <c r="BS35" s="4"/>
      <c r="BT35" s="4"/>
      <c r="BW35" s="156"/>
      <c r="BX35" s="156"/>
      <c r="BY35" s="99"/>
      <c r="CA35" s="99"/>
      <c r="CB35" s="181"/>
      <c r="CC35" s="107"/>
      <c r="CD35" s="182"/>
      <c r="CE35" s="216"/>
      <c r="CF35" s="99"/>
      <c r="CH35" s="99"/>
      <c r="CI35" s="99"/>
      <c r="CJ35" s="99"/>
      <c r="CK35" s="99"/>
      <c r="CL35" s="99"/>
      <c r="CM35" s="100"/>
      <c r="CN35" s="139"/>
    </row>
    <row r="36" spans="1:92" ht="23.25" x14ac:dyDescent="0.25">
      <c r="A36" s="48"/>
      <c r="B36" s="249">
        <v>1</v>
      </c>
      <c r="C36" s="249"/>
      <c r="D36" s="249">
        <v>2</v>
      </c>
      <c r="E36" s="249"/>
      <c r="F36" s="249">
        <v>3</v>
      </c>
      <c r="G36" s="249"/>
      <c r="H36" s="249">
        <v>4</v>
      </c>
      <c r="I36" s="241"/>
      <c r="J36" s="233"/>
      <c r="K36" s="233"/>
      <c r="L36" s="242"/>
      <c r="M36" s="242"/>
      <c r="N36" s="234"/>
      <c r="P36" s="243"/>
      <c r="R36" s="250"/>
      <c r="S36" s="3">
        <v>5</v>
      </c>
      <c r="T36" s="3">
        <v>5</v>
      </c>
      <c r="U36" s="3">
        <v>5</v>
      </c>
      <c r="V36" s="250"/>
      <c r="Y36" s="589"/>
      <c r="Z36" s="599"/>
      <c r="AA36" s="599"/>
      <c r="AB36" s="589"/>
      <c r="AC36" s="589"/>
      <c r="AE36" s="245"/>
      <c r="AF36" s="415">
        <v>5</v>
      </c>
      <c r="AG36" s="415">
        <v>5</v>
      </c>
      <c r="AH36" s="415">
        <v>5</v>
      </c>
      <c r="AI36" s="245"/>
      <c r="AK36" s="28"/>
      <c r="AL36" s="597"/>
      <c r="AM36" s="597"/>
      <c r="AN36" s="597"/>
      <c r="AO36" s="597"/>
      <c r="AQ36" s="603"/>
      <c r="AR36" s="604"/>
      <c r="AS36" s="604"/>
      <c r="AT36" s="604"/>
      <c r="AU36" s="254"/>
      <c r="AW36" s="665"/>
      <c r="AX36" s="639"/>
      <c r="AY36" s="639"/>
      <c r="AZ36" s="639"/>
      <c r="BA36" s="639"/>
      <c r="BB36" s="639"/>
      <c r="BC36" s="666"/>
      <c r="BD36" s="11"/>
      <c r="BE36" s="11"/>
      <c r="BF36" s="11"/>
      <c r="BG36" s="11"/>
      <c r="BH36" s="11"/>
      <c r="BI36" s="11"/>
      <c r="BJ36" s="11"/>
      <c r="BK36" s="18"/>
      <c r="BL36" s="211"/>
      <c r="BM36" s="20"/>
      <c r="BQ36" s="4"/>
      <c r="BS36" s="4"/>
      <c r="BT36" s="4"/>
      <c r="BU36" s="45"/>
      <c r="BV36" s="11"/>
      <c r="BX36" s="99"/>
      <c r="BY36" s="99"/>
      <c r="CA36" s="99"/>
      <c r="CB36" s="181"/>
      <c r="CC36" s="107"/>
      <c r="CD36" s="182"/>
      <c r="CE36" s="216"/>
      <c r="CF36" s="99"/>
      <c r="CH36" s="99"/>
      <c r="CI36" s="99"/>
      <c r="CJ36" s="99"/>
      <c r="CK36" s="99"/>
      <c r="CL36" s="99"/>
      <c r="CM36" s="100"/>
      <c r="CN36" s="139"/>
    </row>
    <row r="37" spans="1:92" ht="23.25" x14ac:dyDescent="0.25">
      <c r="A37" s="48"/>
      <c r="B37" s="661" t="s">
        <v>226</v>
      </c>
      <c r="C37" s="661"/>
      <c r="D37" s="661"/>
      <c r="E37" s="661"/>
      <c r="F37" s="661"/>
      <c r="G37" s="661"/>
      <c r="H37" s="661"/>
      <c r="I37" s="241"/>
      <c r="J37" s="32"/>
      <c r="K37" s="32"/>
      <c r="L37" s="255"/>
      <c r="M37" s="255"/>
      <c r="N37" s="234"/>
      <c r="P37" s="243"/>
      <c r="R37" s="250"/>
      <c r="S37" s="3">
        <v>5</v>
      </c>
      <c r="T37" s="3">
        <v>5</v>
      </c>
      <c r="U37" s="3">
        <v>5</v>
      </c>
      <c r="V37" s="250"/>
      <c r="Y37" s="589"/>
      <c r="Z37" s="589"/>
      <c r="AA37" s="589"/>
      <c r="AB37" s="589"/>
      <c r="AC37" s="589"/>
      <c r="AE37" s="245"/>
      <c r="AF37" s="415">
        <v>5</v>
      </c>
      <c r="AG37" s="415">
        <v>5</v>
      </c>
      <c r="AH37" s="415">
        <v>5</v>
      </c>
      <c r="AI37" s="245"/>
      <c r="AK37" s="256"/>
      <c r="AL37" s="597"/>
      <c r="AM37" s="597"/>
      <c r="AN37" s="597"/>
      <c r="AO37" s="597"/>
      <c r="AQ37" s="605"/>
      <c r="AR37" s="604"/>
      <c r="AS37" s="604"/>
      <c r="AT37" s="604"/>
      <c r="AU37" s="257"/>
      <c r="AW37" s="665"/>
      <c r="AX37" s="639"/>
      <c r="AY37" s="639"/>
      <c r="AZ37" s="639"/>
      <c r="BA37" s="639"/>
      <c r="BB37" s="639"/>
      <c r="BC37" s="666"/>
      <c r="BD37" s="11"/>
      <c r="BE37" s="11"/>
      <c r="BF37" s="11"/>
      <c r="BG37" s="11"/>
      <c r="BH37" s="11"/>
      <c r="BI37" s="11"/>
      <c r="BJ37" s="11"/>
      <c r="BK37" s="18"/>
      <c r="BL37" s="30"/>
      <c r="BM37" s="211"/>
      <c r="BQ37" s="609"/>
      <c r="BR37" s="609"/>
      <c r="BS37" s="4"/>
      <c r="BT37" s="4"/>
      <c r="BU37" s="45"/>
      <c r="BV37" s="11"/>
      <c r="BW37" s="99"/>
      <c r="BX37" s="99"/>
      <c r="BY37" s="99"/>
      <c r="CA37" s="99"/>
      <c r="CB37" s="99"/>
      <c r="CC37" s="99"/>
      <c r="CD37" s="181"/>
      <c r="CE37" s="216"/>
      <c r="CF37" s="99"/>
      <c r="CH37" s="99"/>
      <c r="CI37" s="99"/>
      <c r="CJ37" s="99"/>
      <c r="CK37" s="99"/>
      <c r="CL37" s="99"/>
      <c r="CM37" s="100"/>
      <c r="CN37" s="139"/>
    </row>
    <row r="38" spans="1:92" ht="21" x14ac:dyDescent="0.25">
      <c r="A38" s="48"/>
      <c r="D38" s="241"/>
      <c r="E38" s="241"/>
      <c r="F38" s="234"/>
      <c r="G38" s="234"/>
      <c r="H38" s="234"/>
      <c r="I38" s="234"/>
      <c r="J38" s="234"/>
      <c r="K38" s="14"/>
      <c r="M38" s="673" t="s">
        <v>227</v>
      </c>
      <c r="N38" s="673"/>
      <c r="P38" s="243"/>
      <c r="Q38" s="13"/>
      <c r="S38" s="33" t="s">
        <v>172</v>
      </c>
      <c r="T38" s="33" t="s">
        <v>172</v>
      </c>
      <c r="U38" s="33" t="s">
        <v>172</v>
      </c>
      <c r="V38" s="24"/>
      <c r="W38" s="170"/>
      <c r="AE38" s="170"/>
      <c r="AF38" s="245" t="s">
        <v>172</v>
      </c>
      <c r="AG38" s="245" t="s">
        <v>172</v>
      </c>
      <c r="AH38" s="245" t="s">
        <v>172</v>
      </c>
      <c r="AK38" s="256"/>
      <c r="AL38" s="586"/>
      <c r="AM38" s="586"/>
      <c r="AN38" s="586"/>
      <c r="AO38" s="605"/>
      <c r="AQ38" s="605"/>
      <c r="AR38" s="586"/>
      <c r="AS38" s="586"/>
      <c r="AT38" s="586"/>
      <c r="AU38" s="257"/>
      <c r="AW38" s="665"/>
      <c r="AX38" s="639"/>
      <c r="AY38" s="639"/>
      <c r="AZ38" s="639"/>
      <c r="BA38" s="639"/>
      <c r="BB38" s="639"/>
      <c r="BC38" s="666"/>
      <c r="BD38" s="11"/>
      <c r="BE38" s="11"/>
      <c r="BF38" s="11"/>
      <c r="BG38" s="11"/>
      <c r="BH38" s="11"/>
      <c r="BI38" s="11"/>
      <c r="BJ38" s="11"/>
      <c r="BK38" s="18"/>
      <c r="BL38" s="30"/>
      <c r="BM38" s="609"/>
      <c r="BN38" s="609"/>
      <c r="BU38" s="45"/>
      <c r="BV38" s="45"/>
      <c r="BW38" s="45"/>
      <c r="BX38" s="45"/>
      <c r="BY38" s="45"/>
      <c r="CA38" s="45"/>
      <c r="CB38" s="45"/>
      <c r="CC38" s="45"/>
      <c r="CD38" s="45"/>
      <c r="CE38" s="258"/>
      <c r="CF38" s="45"/>
      <c r="CG38" s="45"/>
      <c r="CH38" s="45"/>
      <c r="CI38" s="45"/>
      <c r="CJ38" s="45"/>
      <c r="CK38" s="45"/>
      <c r="CL38" s="45"/>
      <c r="CM38" s="212"/>
      <c r="CN38" s="259"/>
    </row>
    <row r="39" spans="1:92" ht="21.75" thickBot="1" x14ac:dyDescent="0.3">
      <c r="A39" s="48"/>
      <c r="B39" s="260"/>
      <c r="C39" s="24" t="s">
        <v>228</v>
      </c>
      <c r="D39" s="241"/>
      <c r="E39" s="239"/>
      <c r="F39" s="185"/>
      <c r="G39" s="185"/>
      <c r="H39" s="185"/>
      <c r="I39" s="185"/>
      <c r="J39" s="179"/>
      <c r="L39" s="24" t="s">
        <v>183</v>
      </c>
      <c r="M39" s="92"/>
      <c r="N39" s="92"/>
      <c r="O39" s="91" t="s">
        <v>189</v>
      </c>
      <c r="P39" s="243"/>
      <c r="Q39" s="261"/>
      <c r="R39" s="262"/>
      <c r="S39" s="263">
        <v>6</v>
      </c>
      <c r="T39" s="263">
        <v>5</v>
      </c>
      <c r="U39" s="263">
        <v>4</v>
      </c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4">
        <v>6</v>
      </c>
      <c r="AG39" s="264">
        <v>5</v>
      </c>
      <c r="AH39" s="264">
        <v>4</v>
      </c>
      <c r="AI39" s="264"/>
      <c r="AJ39" s="262"/>
      <c r="AK39" s="265"/>
      <c r="AL39" s="266"/>
      <c r="AM39" s="267"/>
      <c r="AN39" s="267"/>
      <c r="AO39" s="268"/>
      <c r="AP39" s="269"/>
      <c r="AQ39" s="268"/>
      <c r="AR39" s="267"/>
      <c r="AS39" s="267"/>
      <c r="AT39" s="267"/>
      <c r="AU39" s="270"/>
      <c r="AV39" s="262"/>
      <c r="AW39" s="667"/>
      <c r="AX39" s="668"/>
      <c r="AY39" s="668"/>
      <c r="AZ39" s="668"/>
      <c r="BA39" s="668"/>
      <c r="BB39" s="668"/>
      <c r="BC39" s="669"/>
      <c r="BD39" s="40"/>
      <c r="BE39" s="40"/>
      <c r="BF39" s="40"/>
      <c r="BG39" s="40"/>
      <c r="BH39" s="40"/>
      <c r="BI39" s="40"/>
      <c r="BJ39" s="40"/>
      <c r="BK39" s="271"/>
      <c r="BL39" s="608"/>
      <c r="BM39" s="272"/>
      <c r="BN39" s="272"/>
      <c r="BO39" s="609"/>
      <c r="BU39" s="45"/>
      <c r="BV39" s="45"/>
      <c r="BW39" s="45"/>
      <c r="BX39" s="45"/>
      <c r="BY39" s="45"/>
      <c r="BZ39" s="45"/>
      <c r="CA39" s="45"/>
      <c r="CB39" s="45"/>
      <c r="CC39" s="45"/>
      <c r="CD39" s="273"/>
      <c r="CE39" s="258"/>
      <c r="CF39" s="45"/>
      <c r="CG39" s="45"/>
      <c r="CH39" s="45"/>
      <c r="CI39" s="45"/>
      <c r="CJ39" s="45"/>
      <c r="CK39" s="45"/>
      <c r="CL39" s="45"/>
      <c r="CM39" s="212"/>
      <c r="CN39" s="259"/>
    </row>
    <row r="40" spans="1:92" ht="24" thickBot="1" x14ac:dyDescent="0.3">
      <c r="A40" s="48"/>
      <c r="B40" s="412">
        <v>10</v>
      </c>
      <c r="C40" s="25" t="s">
        <v>190</v>
      </c>
      <c r="D40" s="275">
        <v>1</v>
      </c>
      <c r="E40" s="276"/>
      <c r="K40" s="277">
        <v>1</v>
      </c>
      <c r="L40" s="92" t="s">
        <v>229</v>
      </c>
      <c r="M40" s="112">
        <v>20</v>
      </c>
      <c r="N40" s="112">
        <v>20</v>
      </c>
      <c r="O40" s="92" t="s">
        <v>229</v>
      </c>
      <c r="P40" s="278">
        <v>8</v>
      </c>
      <c r="Q40" s="780" t="s">
        <v>230</v>
      </c>
      <c r="R40" s="781"/>
      <c r="S40" s="782"/>
      <c r="T40" s="183"/>
      <c r="U40" s="183"/>
      <c r="V40" s="183"/>
      <c r="W40" s="183"/>
      <c r="X40" s="183"/>
      <c r="Y40" s="183"/>
      <c r="AF40" s="626" t="s">
        <v>166</v>
      </c>
      <c r="AG40" s="626"/>
      <c r="AH40" s="626"/>
      <c r="AW40" s="45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279"/>
      <c r="BM40" s="280"/>
      <c r="BN40" s="281"/>
      <c r="BO40" s="281"/>
      <c r="BP40" s="281"/>
      <c r="BQ40" s="281"/>
      <c r="BR40" s="281"/>
      <c r="BS40" s="627" t="s">
        <v>231</v>
      </c>
      <c r="BT40" s="628"/>
      <c r="BU40" s="281"/>
      <c r="BV40" s="281"/>
      <c r="BW40" s="281"/>
      <c r="BX40" s="281"/>
      <c r="BY40" s="281"/>
      <c r="BZ40" s="281"/>
      <c r="CA40" s="281"/>
      <c r="CB40" s="281"/>
      <c r="CC40" s="282"/>
      <c r="CD40" s="283"/>
      <c r="CE40" s="258"/>
      <c r="CF40" s="45"/>
      <c r="CG40" s="45"/>
      <c r="CH40" s="45"/>
      <c r="CI40" s="45"/>
      <c r="CJ40" s="45"/>
      <c r="CK40" s="45"/>
      <c r="CL40" s="45"/>
      <c r="CM40" s="212"/>
      <c r="CN40" s="259"/>
    </row>
    <row r="41" spans="1:92" ht="21" x14ac:dyDescent="0.25">
      <c r="A41" s="284"/>
      <c r="B41" s="260"/>
      <c r="C41" s="285"/>
      <c r="D41" s="286"/>
      <c r="E41" s="287"/>
      <c r="K41" s="288"/>
      <c r="L41" s="185"/>
      <c r="M41" s="92"/>
      <c r="N41" s="92"/>
      <c r="P41" s="278"/>
      <c r="Q41" s="783"/>
      <c r="R41" s="781"/>
      <c r="S41" s="782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45"/>
      <c r="AE41" s="45"/>
      <c r="AF41" s="11"/>
      <c r="BD41" s="45"/>
      <c r="BE41" s="45"/>
      <c r="BF41" s="45"/>
      <c r="BG41" s="45"/>
      <c r="BH41" s="45"/>
      <c r="BI41" s="45"/>
      <c r="BJ41" s="45"/>
      <c r="BK41" s="45"/>
      <c r="BL41" s="45"/>
      <c r="BM41" s="289"/>
      <c r="BN41" s="290"/>
      <c r="BO41" s="29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291"/>
      <c r="CD41" s="45"/>
      <c r="CE41" s="258"/>
      <c r="CF41" s="45"/>
      <c r="CG41" s="45"/>
      <c r="CH41" s="45"/>
      <c r="CI41" s="45"/>
      <c r="CJ41" s="45"/>
      <c r="CK41" s="45"/>
      <c r="CL41" s="45"/>
      <c r="CM41" s="212"/>
      <c r="CN41" s="259"/>
    </row>
    <row r="42" spans="1:92" ht="23.25" x14ac:dyDescent="0.25">
      <c r="A42" s="284"/>
      <c r="B42" s="412">
        <v>10</v>
      </c>
      <c r="C42" s="25" t="s">
        <v>190</v>
      </c>
      <c r="D42" s="275">
        <v>2</v>
      </c>
      <c r="F42" s="292"/>
      <c r="G42" s="249"/>
      <c r="H42" s="292"/>
      <c r="J42" s="239"/>
      <c r="K42" s="277">
        <v>2</v>
      </c>
      <c r="L42" s="92" t="s">
        <v>229</v>
      </c>
      <c r="M42" s="111">
        <v>20</v>
      </c>
      <c r="N42" s="112">
        <v>20</v>
      </c>
      <c r="O42" s="92" t="s">
        <v>229</v>
      </c>
      <c r="P42" s="278">
        <v>7</v>
      </c>
      <c r="Q42" s="783"/>
      <c r="R42" s="781"/>
      <c r="S42" s="782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4"/>
      <c r="AE42" s="4"/>
      <c r="AF42" s="294"/>
      <c r="AG42" s="11"/>
      <c r="AH42" s="4"/>
      <c r="AI42" s="4"/>
      <c r="AJ42" s="205"/>
      <c r="AK42" s="205"/>
      <c r="AL42" s="205"/>
      <c r="AM42" s="205"/>
      <c r="AN42" s="11"/>
      <c r="AO42" s="11"/>
      <c r="AP42" s="11"/>
      <c r="AQ42" s="11"/>
      <c r="AR42" s="11"/>
      <c r="AS42" s="30"/>
      <c r="AT42" s="30"/>
      <c r="BD42" s="45"/>
      <c r="BE42" s="45"/>
      <c r="BF42" s="45"/>
      <c r="BG42" s="45"/>
      <c r="BH42" s="45"/>
      <c r="BI42" s="45"/>
      <c r="BJ42" s="45"/>
      <c r="BK42" s="45"/>
      <c r="BL42" s="30"/>
      <c r="BM42" s="45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295"/>
      <c r="CD42" s="30"/>
      <c r="CE42" s="296"/>
      <c r="CF42" s="30"/>
      <c r="CG42" s="30"/>
      <c r="CH42" s="30"/>
      <c r="CI42" s="30"/>
      <c r="CJ42" s="30"/>
      <c r="CK42" s="30"/>
      <c r="CL42" s="30"/>
      <c r="CM42" s="211"/>
      <c r="CN42" s="259"/>
    </row>
    <row r="43" spans="1:92" ht="21.75" thickBot="1" x14ac:dyDescent="0.3">
      <c r="A43" s="284"/>
      <c r="B43" s="260"/>
      <c r="C43" s="285"/>
      <c r="D43" s="286"/>
      <c r="E43" s="297"/>
      <c r="F43" s="298"/>
      <c r="G43" s="299"/>
      <c r="H43" s="298"/>
      <c r="I43" s="300"/>
      <c r="J43" s="73"/>
      <c r="K43" s="301"/>
      <c r="L43" s="302"/>
      <c r="M43" s="92"/>
      <c r="N43" s="92"/>
      <c r="O43" s="239"/>
      <c r="P43" s="278"/>
      <c r="Q43" s="783"/>
      <c r="R43" s="781"/>
      <c r="S43" s="782"/>
      <c r="T43" s="15"/>
      <c r="U43" s="185"/>
      <c r="V43" s="185"/>
      <c r="AO43" s="205"/>
      <c r="AP43" s="11"/>
      <c r="AQ43" s="30"/>
      <c r="AR43" s="30"/>
      <c r="AS43" s="30"/>
      <c r="AT43" s="30"/>
      <c r="BD43" s="30"/>
      <c r="BE43" s="45"/>
      <c r="BF43" s="45"/>
      <c r="BG43" s="45"/>
      <c r="BH43" s="45"/>
      <c r="BI43" s="45"/>
      <c r="BJ43" s="45"/>
      <c r="BK43" s="45"/>
      <c r="BL43" s="30"/>
      <c r="BM43" s="30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295"/>
      <c r="CD43" s="30"/>
      <c r="CE43" s="296"/>
      <c r="CF43" s="30"/>
      <c r="CG43" s="30"/>
      <c r="CH43" s="30"/>
      <c r="CI43" s="30"/>
      <c r="CJ43" s="30"/>
      <c r="CK43" s="30"/>
      <c r="CL43" s="30"/>
      <c r="CM43" s="30"/>
      <c r="CN43" s="291"/>
    </row>
    <row r="44" spans="1:92" ht="23.25" x14ac:dyDescent="0.25">
      <c r="A44" s="284"/>
      <c r="B44" s="412">
        <v>10</v>
      </c>
      <c r="C44" s="25" t="s">
        <v>190</v>
      </c>
      <c r="D44" s="275">
        <v>3</v>
      </c>
      <c r="E44" s="298"/>
      <c r="F44" s="303"/>
      <c r="G44" s="298"/>
      <c r="H44" s="303"/>
      <c r="J44" s="239"/>
      <c r="K44" s="301">
        <v>3</v>
      </c>
      <c r="L44" s="92" t="s">
        <v>229</v>
      </c>
      <c r="M44" s="112">
        <v>20</v>
      </c>
      <c r="N44" s="111">
        <v>20</v>
      </c>
      <c r="O44" s="92" t="s">
        <v>229</v>
      </c>
      <c r="P44" s="278">
        <v>6</v>
      </c>
      <c r="Q44" s="783"/>
      <c r="R44" s="781"/>
      <c r="S44" s="782"/>
      <c r="T44" s="629" t="s">
        <v>232</v>
      </c>
      <c r="U44" s="630"/>
      <c r="V44" s="630"/>
      <c r="W44" s="630"/>
      <c r="X44" s="630"/>
      <c r="Y44" s="630"/>
      <c r="Z44" s="630"/>
      <c r="AA44" s="630"/>
      <c r="AB44" s="631"/>
      <c r="AC44" s="14"/>
      <c r="AD44" s="14"/>
      <c r="AE44" s="14"/>
      <c r="AF44" s="304"/>
      <c r="AG44" s="15"/>
      <c r="AH44" s="14"/>
      <c r="AI44" s="14"/>
      <c r="AJ44" s="305"/>
      <c r="AK44" s="305"/>
      <c r="AL44" s="305"/>
      <c r="AM44" s="305"/>
      <c r="AO44" s="30"/>
      <c r="AP44" s="11"/>
      <c r="AQ44" s="30"/>
      <c r="AR44" s="30"/>
      <c r="AS44" s="30"/>
      <c r="AT44" s="30"/>
      <c r="BD44" s="30"/>
      <c r="BE44" s="4"/>
      <c r="BF44" s="4"/>
      <c r="BG44" s="4"/>
      <c r="BH44" s="4"/>
      <c r="BI44" s="4"/>
      <c r="BJ44" s="4"/>
      <c r="BK44" s="4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291"/>
      <c r="CD44" s="30"/>
      <c r="CE44" s="296"/>
      <c r="CF44" s="30"/>
      <c r="CG44" s="30"/>
      <c r="CH44" s="30"/>
      <c r="CI44" s="30"/>
      <c r="CJ44" s="30"/>
      <c r="CK44" s="30"/>
      <c r="CL44" s="30"/>
      <c r="CM44" s="30"/>
      <c r="CN44" s="291"/>
    </row>
    <row r="45" spans="1:92" ht="21.75" thickBot="1" x14ac:dyDescent="0.3">
      <c r="A45" s="284"/>
      <c r="B45" s="260"/>
      <c r="C45" s="285"/>
      <c r="D45" s="286"/>
      <c r="E45" s="306"/>
      <c r="F45" s="303"/>
      <c r="G45" s="298"/>
      <c r="H45" s="303"/>
      <c r="J45" s="239"/>
      <c r="K45" s="307"/>
      <c r="L45" s="239"/>
      <c r="M45" s="92"/>
      <c r="N45" s="92"/>
      <c r="O45" s="239"/>
      <c r="P45" s="278"/>
      <c r="Q45" s="783"/>
      <c r="R45" s="781"/>
      <c r="S45" s="782"/>
      <c r="T45" s="632"/>
      <c r="U45" s="633"/>
      <c r="V45" s="633"/>
      <c r="W45" s="633"/>
      <c r="X45" s="633"/>
      <c r="Y45" s="633"/>
      <c r="Z45" s="633"/>
      <c r="AA45" s="633"/>
      <c r="AB45" s="634"/>
      <c r="AC45" s="308"/>
      <c r="AD45" s="308"/>
      <c r="AE45" s="308"/>
      <c r="AF45" s="308"/>
      <c r="AG45" s="308"/>
      <c r="AH45" s="308"/>
      <c r="AI45" s="308"/>
      <c r="AJ45" s="308"/>
      <c r="AK45" s="308"/>
      <c r="AL45" s="308"/>
      <c r="AM45" s="308"/>
      <c r="AO45" s="30"/>
      <c r="BD45" s="30"/>
      <c r="BE45" s="4"/>
      <c r="BF45" s="4"/>
      <c r="BG45" s="4"/>
      <c r="BH45" s="4"/>
      <c r="BI45" s="4"/>
      <c r="BJ45" s="4"/>
      <c r="BK45" s="4"/>
      <c r="BL45" s="30"/>
      <c r="BM45" s="30"/>
      <c r="BN45" s="30"/>
      <c r="BO45" s="30"/>
      <c r="BP45" s="30"/>
      <c r="BQ45" s="30"/>
      <c r="BR45" s="30"/>
      <c r="BS45" s="4"/>
      <c r="BT45" s="30"/>
      <c r="BU45" s="30"/>
      <c r="BV45" s="30"/>
      <c r="BW45" s="30"/>
      <c r="BX45" s="30"/>
      <c r="BY45" s="30"/>
      <c r="BZ45" s="30"/>
      <c r="CA45" s="30"/>
      <c r="CB45" s="30"/>
      <c r="CC45" s="291"/>
      <c r="CD45" s="40"/>
      <c r="CE45" s="309"/>
      <c r="CF45" s="40"/>
      <c r="CG45" s="40"/>
      <c r="CH45" s="40"/>
      <c r="CI45" s="40"/>
      <c r="CJ45" s="40"/>
      <c r="CK45" s="40"/>
      <c r="CL45" s="40"/>
      <c r="CM45" s="40"/>
      <c r="CN45" s="310"/>
    </row>
    <row r="46" spans="1:92" ht="23.25" x14ac:dyDescent="0.25">
      <c r="A46" s="284"/>
      <c r="B46" s="412">
        <v>10</v>
      </c>
      <c r="C46" s="25" t="s">
        <v>190</v>
      </c>
      <c r="D46" s="286">
        <v>4</v>
      </c>
      <c r="E46" s="311"/>
      <c r="F46" s="298"/>
      <c r="G46" s="299"/>
      <c r="H46" s="298"/>
      <c r="I46" s="312"/>
      <c r="J46" s="239"/>
      <c r="K46" s="301">
        <v>4</v>
      </c>
      <c r="L46" s="92" t="s">
        <v>229</v>
      </c>
      <c r="M46" s="112">
        <v>20</v>
      </c>
      <c r="N46" s="112">
        <v>20</v>
      </c>
      <c r="O46" s="92" t="s">
        <v>229</v>
      </c>
      <c r="P46" s="278">
        <v>5</v>
      </c>
      <c r="Q46" s="783"/>
      <c r="R46" s="781"/>
      <c r="S46" s="782"/>
      <c r="T46" s="632"/>
      <c r="U46" s="633"/>
      <c r="V46" s="633"/>
      <c r="W46" s="633"/>
      <c r="X46" s="633"/>
      <c r="Y46" s="633"/>
      <c r="Z46" s="633"/>
      <c r="AA46" s="633"/>
      <c r="AB46" s="634"/>
      <c r="AC46" s="313"/>
      <c r="AD46" s="570"/>
      <c r="AE46" s="822" t="s">
        <v>233</v>
      </c>
      <c r="AF46" s="823"/>
      <c r="AG46" s="823"/>
      <c r="AH46" s="823"/>
      <c r="AI46" s="823"/>
      <c r="AJ46" s="823"/>
      <c r="AK46" s="823"/>
      <c r="AL46" s="823"/>
      <c r="AM46" s="824"/>
      <c r="AO46" s="30"/>
      <c r="BD46" s="315"/>
      <c r="BE46" s="316"/>
      <c r="BF46" s="316"/>
      <c r="BG46" s="316"/>
      <c r="BH46" s="316"/>
      <c r="BI46" s="316"/>
      <c r="BJ46" s="316"/>
      <c r="BK46" s="316"/>
      <c r="BL46" s="30"/>
      <c r="BM46" s="316"/>
      <c r="BN46" s="316"/>
      <c r="BO46" s="30"/>
      <c r="BP46" s="30"/>
      <c r="BQ46" s="30"/>
      <c r="BR46" s="30"/>
      <c r="BS46" s="4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281"/>
      <c r="CE46" s="281"/>
      <c r="CF46" s="281"/>
      <c r="CG46" s="281"/>
      <c r="CH46" s="281"/>
      <c r="CI46" s="281"/>
      <c r="CJ46" s="281"/>
      <c r="CK46" s="281"/>
      <c r="CL46" s="281"/>
      <c r="CM46" s="281"/>
      <c r="CN46" s="282"/>
    </row>
    <row r="47" spans="1:92" ht="21" x14ac:dyDescent="0.25">
      <c r="A47" s="284"/>
      <c r="B47" s="260"/>
      <c r="D47" s="286"/>
      <c r="E47" s="285"/>
      <c r="F47" s="292"/>
      <c r="G47" s="249"/>
      <c r="H47" s="292"/>
      <c r="I47" s="285"/>
      <c r="J47" s="239"/>
      <c r="M47" s="92"/>
      <c r="N47" s="92"/>
      <c r="P47" s="233"/>
      <c r="Q47" s="783"/>
      <c r="R47" s="781"/>
      <c r="S47" s="782"/>
      <c r="T47" s="632"/>
      <c r="U47" s="633"/>
      <c r="V47" s="633"/>
      <c r="W47" s="633"/>
      <c r="X47" s="633"/>
      <c r="Y47" s="633"/>
      <c r="Z47" s="633"/>
      <c r="AA47" s="633"/>
      <c r="AB47" s="634"/>
      <c r="AC47" s="179"/>
      <c r="AD47" s="185"/>
      <c r="AE47" s="638"/>
      <c r="AF47" s="639"/>
      <c r="AG47" s="639"/>
      <c r="AH47" s="639"/>
      <c r="AI47" s="639"/>
      <c r="AJ47" s="639"/>
      <c r="AK47" s="639"/>
      <c r="AL47" s="639"/>
      <c r="AM47" s="640"/>
      <c r="AO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291"/>
    </row>
    <row r="48" spans="1:92" ht="15.75" x14ac:dyDescent="0.25">
      <c r="A48" s="284"/>
      <c r="B48" s="644" t="s">
        <v>234</v>
      </c>
      <c r="C48" s="645"/>
      <c r="D48" s="286"/>
      <c r="J48" s="239"/>
      <c r="K48" s="234"/>
      <c r="L48" s="239"/>
      <c r="M48" s="239"/>
      <c r="N48" s="239"/>
      <c r="O48" s="317"/>
      <c r="P48" s="233"/>
      <c r="Q48" s="783"/>
      <c r="R48" s="781"/>
      <c r="S48" s="782"/>
      <c r="T48" s="632"/>
      <c r="U48" s="633"/>
      <c r="V48" s="633"/>
      <c r="W48" s="633"/>
      <c r="X48" s="633"/>
      <c r="Y48" s="633"/>
      <c r="Z48" s="633"/>
      <c r="AA48" s="633"/>
      <c r="AB48" s="634"/>
      <c r="AC48" s="179"/>
      <c r="AD48" s="185"/>
      <c r="AE48" s="641"/>
      <c r="AF48" s="642"/>
      <c r="AG48" s="642"/>
      <c r="AH48" s="642"/>
      <c r="AI48" s="642"/>
      <c r="AJ48" s="642"/>
      <c r="AK48" s="642"/>
      <c r="AL48" s="642"/>
      <c r="AM48" s="643"/>
      <c r="AO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291"/>
    </row>
    <row r="49" spans="1:93" x14ac:dyDescent="0.25">
      <c r="A49" s="284"/>
      <c r="B49" s="239"/>
      <c r="C49" s="239"/>
      <c r="D49" s="286"/>
      <c r="L49" s="239"/>
      <c r="M49" s="239"/>
      <c r="N49" s="239"/>
      <c r="O49" s="239"/>
      <c r="P49" s="239"/>
      <c r="Q49" s="783"/>
      <c r="R49" s="781"/>
      <c r="S49" s="782"/>
      <c r="T49" s="632"/>
      <c r="U49" s="633"/>
      <c r="V49" s="633"/>
      <c r="W49" s="633"/>
      <c r="X49" s="633"/>
      <c r="Y49" s="633"/>
      <c r="Z49" s="633"/>
      <c r="AA49" s="633"/>
      <c r="AB49" s="634"/>
      <c r="AC49" s="179"/>
      <c r="AD49" s="185"/>
      <c r="AE49" s="185"/>
      <c r="AF49" s="185"/>
      <c r="AG49" s="185"/>
      <c r="AH49" s="185"/>
      <c r="AI49" s="185"/>
      <c r="AJ49" s="185"/>
      <c r="AK49" s="790" t="s">
        <v>235</v>
      </c>
      <c r="AL49" s="823"/>
      <c r="AM49" s="825"/>
      <c r="AO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291"/>
    </row>
    <row r="50" spans="1:93" ht="20.25" x14ac:dyDescent="0.25">
      <c r="A50" s="284"/>
      <c r="B50" s="239"/>
      <c r="C50" s="239"/>
      <c r="E50" s="286"/>
      <c r="F50" s="318" t="s">
        <v>226</v>
      </c>
      <c r="G50" s="318"/>
      <c r="H50" s="318"/>
      <c r="I50" s="319"/>
      <c r="L50" s="239"/>
      <c r="M50" s="239"/>
      <c r="N50" s="239"/>
      <c r="O50" s="239"/>
      <c r="P50" s="239"/>
      <c r="Q50" s="783"/>
      <c r="R50" s="781"/>
      <c r="S50" s="782"/>
      <c r="T50" s="632"/>
      <c r="U50" s="633"/>
      <c r="V50" s="633"/>
      <c r="W50" s="633"/>
      <c r="X50" s="633"/>
      <c r="Y50" s="633"/>
      <c r="Z50" s="633"/>
      <c r="AA50" s="633"/>
      <c r="AB50" s="634"/>
      <c r="AC50" s="179"/>
      <c r="AD50" s="185"/>
      <c r="AE50" s="185"/>
      <c r="AF50" s="185"/>
      <c r="AG50" s="185"/>
      <c r="AH50" s="185"/>
      <c r="AI50" s="185"/>
      <c r="AJ50" s="185"/>
      <c r="AK50" s="646"/>
      <c r="AL50" s="639"/>
      <c r="AM50" s="647"/>
      <c r="AO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291"/>
    </row>
    <row r="51" spans="1:93" x14ac:dyDescent="0.25">
      <c r="A51" s="284"/>
      <c r="C51" s="239"/>
      <c r="E51" s="286"/>
      <c r="F51" s="239">
        <v>1</v>
      </c>
      <c r="G51" s="239">
        <v>2</v>
      </c>
      <c r="H51" s="239">
        <v>3</v>
      </c>
      <c r="L51" s="239"/>
      <c r="M51" s="239"/>
      <c r="N51" s="239"/>
      <c r="Q51" s="783"/>
      <c r="R51" s="781"/>
      <c r="S51" s="782"/>
      <c r="T51" s="632"/>
      <c r="U51" s="633"/>
      <c r="V51" s="633"/>
      <c r="W51" s="633"/>
      <c r="X51" s="633"/>
      <c r="Y51" s="633"/>
      <c r="Z51" s="633"/>
      <c r="AA51" s="633"/>
      <c r="AB51" s="634"/>
      <c r="AC51" s="826" t="s">
        <v>236</v>
      </c>
      <c r="AD51" s="650"/>
      <c r="AE51" s="650"/>
      <c r="AF51" s="650"/>
      <c r="AG51" s="650"/>
      <c r="AH51" s="650"/>
      <c r="AI51" s="650"/>
      <c r="AJ51" s="651"/>
      <c r="AK51" s="646"/>
      <c r="AL51" s="639"/>
      <c r="AM51" s="647"/>
      <c r="AO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20"/>
    </row>
    <row r="52" spans="1:93" ht="18.75" x14ac:dyDescent="0.25">
      <c r="A52" s="284"/>
      <c r="B52" s="239"/>
      <c r="C52" s="239"/>
      <c r="E52" s="24" t="s">
        <v>237</v>
      </c>
      <c r="F52" s="321" t="s">
        <v>170</v>
      </c>
      <c r="G52" s="321" t="s">
        <v>170</v>
      </c>
      <c r="H52" s="321" t="s">
        <v>170</v>
      </c>
      <c r="I52" s="91" t="s">
        <v>238</v>
      </c>
      <c r="L52" s="239"/>
      <c r="M52" s="239"/>
      <c r="N52" s="239"/>
      <c r="Q52" s="783"/>
      <c r="R52" s="781"/>
      <c r="S52" s="782"/>
      <c r="T52" s="632"/>
      <c r="U52" s="633"/>
      <c r="V52" s="633"/>
      <c r="W52" s="633"/>
      <c r="X52" s="633"/>
      <c r="Y52" s="633"/>
      <c r="Z52" s="633"/>
      <c r="AA52" s="633"/>
      <c r="AB52" s="634"/>
      <c r="AC52" s="632"/>
      <c r="AD52" s="633"/>
      <c r="AE52" s="633"/>
      <c r="AF52" s="633"/>
      <c r="AG52" s="633"/>
      <c r="AH52" s="633"/>
      <c r="AI52" s="633"/>
      <c r="AJ52" s="652"/>
      <c r="AK52" s="648"/>
      <c r="AL52" s="642"/>
      <c r="AM52" s="649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20"/>
    </row>
    <row r="53" spans="1:93" ht="23.25" x14ac:dyDescent="0.25">
      <c r="A53" s="284"/>
      <c r="B53" s="239"/>
      <c r="C53" s="239"/>
      <c r="E53" s="322"/>
      <c r="F53" s="571">
        <v>5</v>
      </c>
      <c r="G53" s="571">
        <v>5</v>
      </c>
      <c r="H53" s="571">
        <v>5</v>
      </c>
      <c r="I53" s="324"/>
      <c r="L53" s="239"/>
      <c r="M53" s="239"/>
      <c r="N53" s="239"/>
      <c r="Q53" s="783"/>
      <c r="R53" s="781"/>
      <c r="S53" s="782"/>
      <c r="T53" s="632"/>
      <c r="U53" s="633"/>
      <c r="V53" s="633"/>
      <c r="W53" s="633"/>
      <c r="X53" s="633"/>
      <c r="Y53" s="633"/>
      <c r="Z53" s="633"/>
      <c r="AA53" s="633"/>
      <c r="AB53" s="634"/>
      <c r="AC53" s="632"/>
      <c r="AD53" s="633"/>
      <c r="AE53" s="633"/>
      <c r="AF53" s="633"/>
      <c r="AG53" s="633"/>
      <c r="AH53" s="633"/>
      <c r="AI53" s="633"/>
      <c r="AJ53" s="652"/>
      <c r="AK53" s="793" t="s">
        <v>239</v>
      </c>
      <c r="AL53" s="827"/>
      <c r="AM53" s="828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20"/>
    </row>
    <row r="54" spans="1:93" ht="24" thickBot="1" x14ac:dyDescent="0.3">
      <c r="A54" s="284"/>
      <c r="B54" s="239"/>
      <c r="C54" s="239"/>
      <c r="E54" s="325"/>
      <c r="F54" s="571">
        <v>5</v>
      </c>
      <c r="G54" s="571">
        <v>5</v>
      </c>
      <c r="H54" s="571">
        <v>5</v>
      </c>
      <c r="I54" s="324"/>
      <c r="L54" s="239"/>
      <c r="M54" s="239"/>
      <c r="N54" s="239"/>
      <c r="Q54" s="783"/>
      <c r="R54" s="781"/>
      <c r="S54" s="782"/>
      <c r="T54" s="635"/>
      <c r="U54" s="636"/>
      <c r="V54" s="636"/>
      <c r="W54" s="636"/>
      <c r="X54" s="636"/>
      <c r="Y54" s="636"/>
      <c r="Z54" s="636"/>
      <c r="AA54" s="636"/>
      <c r="AB54" s="637"/>
      <c r="AC54" s="635"/>
      <c r="AD54" s="636"/>
      <c r="AE54" s="636"/>
      <c r="AF54" s="636"/>
      <c r="AG54" s="636"/>
      <c r="AH54" s="636"/>
      <c r="AI54" s="636"/>
      <c r="AJ54" s="653"/>
      <c r="AK54" s="654"/>
      <c r="AL54" s="655"/>
      <c r="AM54" s="656"/>
      <c r="CO54" s="13"/>
    </row>
    <row r="55" spans="1:93" ht="15.75" x14ac:dyDescent="0.25">
      <c r="A55" s="284"/>
      <c r="B55" s="600"/>
      <c r="C55" s="239"/>
      <c r="E55" s="286"/>
      <c r="F55" s="321" t="s">
        <v>170</v>
      </c>
      <c r="G55" s="321" t="s">
        <v>170</v>
      </c>
      <c r="H55" s="321" t="s">
        <v>170</v>
      </c>
      <c r="Q55" s="783"/>
      <c r="R55" s="781"/>
      <c r="S55" s="782"/>
      <c r="T55" s="15"/>
      <c r="U55" s="15"/>
      <c r="V55" s="15"/>
      <c r="W55" s="15"/>
      <c r="X55" s="15"/>
      <c r="Y55" s="15"/>
      <c r="Z55" s="15"/>
      <c r="AA55" s="15"/>
      <c r="AB55" s="327"/>
      <c r="AC55" s="327"/>
      <c r="AD55" s="327"/>
      <c r="AE55" s="327"/>
      <c r="AF55" s="327"/>
      <c r="AG55" s="327"/>
      <c r="AH55" s="327"/>
      <c r="AI55" s="327"/>
      <c r="AJ55" s="327"/>
      <c r="AK55" s="327"/>
      <c r="AL55" s="327"/>
      <c r="AM55" s="327"/>
      <c r="AN55" s="327"/>
      <c r="AO55" s="327"/>
      <c r="AP55" s="327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27"/>
      <c r="BH55" s="327"/>
      <c r="BI55" s="327"/>
      <c r="BJ55" s="327"/>
      <c r="BK55" s="327"/>
      <c r="BL55" s="327"/>
      <c r="BM55" s="327"/>
      <c r="BN55" s="327"/>
      <c r="BO55" s="327"/>
      <c r="BP55" s="327"/>
      <c r="BQ55" s="327"/>
      <c r="BR55" s="327"/>
      <c r="BS55" s="327"/>
      <c r="BT55" s="327"/>
      <c r="BU55" s="327"/>
      <c r="BV55" s="327"/>
      <c r="BW55" s="327"/>
      <c r="BX55" s="327"/>
      <c r="BY55" s="327"/>
      <c r="BZ55" s="327"/>
      <c r="CA55" s="327"/>
      <c r="CB55" s="327"/>
      <c r="CC55" s="327"/>
      <c r="CD55" s="327"/>
      <c r="CE55" s="327"/>
      <c r="CF55" s="327"/>
      <c r="CG55" s="327"/>
      <c r="CH55" s="327"/>
      <c r="CI55" s="327"/>
      <c r="CJ55" s="327"/>
      <c r="CK55" s="327"/>
      <c r="CL55" s="327"/>
      <c r="CM55" s="327"/>
      <c r="CN55" s="327"/>
    </row>
    <row r="56" spans="1:93" ht="15.75" x14ac:dyDescent="0.25">
      <c r="A56" s="284"/>
      <c r="B56" s="600"/>
      <c r="C56" s="239"/>
      <c r="E56" s="328"/>
      <c r="F56" s="239">
        <v>6</v>
      </c>
      <c r="G56" s="239">
        <v>5</v>
      </c>
      <c r="H56" s="239">
        <v>4</v>
      </c>
      <c r="I56" s="239"/>
      <c r="Q56" s="783"/>
      <c r="R56" s="781"/>
      <c r="S56" s="782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</row>
    <row r="57" spans="1:93" ht="15.75" x14ac:dyDescent="0.25">
      <c r="A57" s="284"/>
      <c r="B57" s="600"/>
      <c r="C57" s="239"/>
      <c r="D57" s="329"/>
      <c r="J57" s="239"/>
      <c r="Q57" s="783"/>
      <c r="R57" s="781"/>
      <c r="S57" s="782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</row>
    <row r="58" spans="1:93" x14ac:dyDescent="0.25">
      <c r="A58" s="284"/>
      <c r="B58" s="239"/>
      <c r="C58" s="239"/>
      <c r="Q58" s="783"/>
      <c r="R58" s="781"/>
      <c r="S58" s="782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P58" s="330"/>
      <c r="BQ58" s="330"/>
      <c r="BR58" s="330"/>
      <c r="BS58" s="330"/>
      <c r="BT58" s="330"/>
      <c r="BU58" s="330"/>
      <c r="BV58" s="330"/>
      <c r="BW58" s="330"/>
      <c r="BX58" s="330"/>
      <c r="BY58" s="330"/>
      <c r="BZ58" s="330"/>
      <c r="CA58" s="330"/>
      <c r="CB58" s="330"/>
      <c r="CC58" s="330"/>
      <c r="CD58" s="330"/>
      <c r="CE58" s="330"/>
      <c r="CF58" s="330"/>
      <c r="CG58" s="330"/>
      <c r="CH58" s="330"/>
      <c r="CI58" s="330"/>
      <c r="CJ58" s="330"/>
      <c r="CK58" s="330"/>
      <c r="CL58" s="11"/>
      <c r="CM58" s="11"/>
      <c r="CN58" s="11"/>
    </row>
    <row r="59" spans="1:93" x14ac:dyDescent="0.25">
      <c r="A59" s="284"/>
      <c r="B59" s="285"/>
      <c r="E59" s="239"/>
      <c r="F59" s="331"/>
      <c r="Q59" s="783"/>
      <c r="R59" s="781"/>
      <c r="S59" s="782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330"/>
      <c r="AP59" s="330"/>
      <c r="AQ59" s="330"/>
      <c r="AR59" s="330"/>
      <c r="AS59" s="330"/>
      <c r="AT59" s="330"/>
      <c r="AU59" s="330"/>
      <c r="AV59" s="330"/>
      <c r="AW59" s="330"/>
      <c r="AX59" s="330"/>
      <c r="AY59" s="330"/>
      <c r="AZ59" s="330"/>
      <c r="BA59" s="330"/>
      <c r="BB59" s="330"/>
      <c r="BC59" s="330"/>
      <c r="BD59" s="330"/>
      <c r="BE59" s="330"/>
      <c r="BF59" s="330"/>
      <c r="BG59" s="330"/>
      <c r="BH59" s="330"/>
      <c r="BI59" s="330"/>
      <c r="BJ59" s="330"/>
      <c r="BK59" s="330"/>
      <c r="BL59" s="330"/>
      <c r="BM59" s="330"/>
      <c r="BN59" s="330"/>
      <c r="BO59" s="330"/>
      <c r="BP59" s="330"/>
      <c r="BQ59" s="330"/>
      <c r="BR59" s="330"/>
      <c r="BS59" s="330"/>
      <c r="BT59" s="330"/>
      <c r="BU59" s="330"/>
      <c r="BV59" s="330"/>
      <c r="BW59" s="330"/>
      <c r="BX59" s="330"/>
      <c r="BY59" s="330"/>
      <c r="BZ59" s="330"/>
      <c r="CA59" s="330"/>
      <c r="CB59" s="330"/>
      <c r="CC59" s="330"/>
      <c r="CD59" s="330"/>
      <c r="CE59" s="330"/>
      <c r="CF59" s="330"/>
      <c r="CG59" s="330"/>
      <c r="CH59" s="330"/>
      <c r="CI59" s="330"/>
      <c r="CJ59" s="330"/>
      <c r="CK59" s="330"/>
      <c r="CL59" s="11"/>
      <c r="CM59" s="11"/>
      <c r="CN59" s="11"/>
    </row>
    <row r="60" spans="1:93" ht="15.75" x14ac:dyDescent="0.25">
      <c r="A60" s="284"/>
      <c r="B60" s="597"/>
      <c r="E60" s="239"/>
      <c r="F60" s="285"/>
      <c r="Q60" s="783"/>
      <c r="R60" s="781"/>
      <c r="S60" s="782"/>
      <c r="T60" s="330"/>
      <c r="U60" s="330"/>
      <c r="V60" s="330"/>
      <c r="W60" s="330"/>
      <c r="X60" s="330"/>
      <c r="Y60" s="330"/>
      <c r="Z60" s="330"/>
      <c r="AA60" s="330"/>
      <c r="AB60" s="330"/>
      <c r="AC60" s="332"/>
      <c r="AD60" s="332"/>
      <c r="AE60" s="332"/>
      <c r="AF60" s="332"/>
      <c r="AG60" s="332"/>
      <c r="AH60" s="330"/>
      <c r="AI60" s="330"/>
      <c r="AJ60" s="330"/>
      <c r="AK60" s="330"/>
      <c r="AL60" s="330"/>
      <c r="AM60" s="330"/>
      <c r="AN60" s="330"/>
      <c r="AO60" s="330"/>
      <c r="AP60" s="330"/>
      <c r="AQ60" s="330"/>
      <c r="AR60" s="330"/>
      <c r="AS60" s="330"/>
      <c r="AT60" s="330"/>
      <c r="AU60" s="330"/>
      <c r="AV60" s="330"/>
      <c r="AW60" s="330"/>
      <c r="AX60" s="330"/>
      <c r="AY60" s="330"/>
      <c r="AZ60" s="330"/>
      <c r="BA60" s="330"/>
      <c r="BB60" s="330"/>
      <c r="BC60" s="330"/>
      <c r="BD60" s="330"/>
      <c r="BE60" s="330"/>
      <c r="BF60" s="330"/>
      <c r="BG60" s="330"/>
      <c r="BH60" s="330"/>
      <c r="BI60" s="330"/>
      <c r="BJ60" s="330"/>
      <c r="BK60" s="330"/>
      <c r="BL60" s="330"/>
      <c r="BM60" s="330"/>
      <c r="BN60" s="330"/>
      <c r="BO60" s="330"/>
      <c r="BP60" s="330"/>
      <c r="BQ60" s="330"/>
      <c r="BR60" s="330"/>
      <c r="BS60" s="330"/>
      <c r="BT60" s="330"/>
      <c r="BU60" s="330"/>
      <c r="BV60" s="330"/>
      <c r="BW60" s="330"/>
      <c r="BX60" s="330"/>
      <c r="BY60" s="330"/>
      <c r="BZ60" s="330"/>
      <c r="CA60" s="330"/>
      <c r="CB60" s="330"/>
      <c r="CC60" s="330"/>
      <c r="CD60" s="330"/>
      <c r="CE60" s="330"/>
      <c r="CF60" s="330"/>
      <c r="CG60" s="330"/>
      <c r="CH60" s="330"/>
      <c r="CI60" s="330"/>
      <c r="CJ60" s="330"/>
      <c r="CK60" s="330"/>
      <c r="CL60" s="11"/>
      <c r="CM60" s="11"/>
      <c r="CN60" s="11"/>
    </row>
    <row r="61" spans="1:93" ht="21" x14ac:dyDescent="0.25">
      <c r="A61" s="284"/>
      <c r="B61" s="597"/>
      <c r="F61" s="333"/>
      <c r="L61" s="333"/>
      <c r="Q61" s="783"/>
      <c r="R61" s="781"/>
      <c r="S61" s="782"/>
      <c r="T61" s="330"/>
      <c r="U61" s="330"/>
      <c r="V61" s="330"/>
      <c r="W61" s="330"/>
      <c r="X61" s="330"/>
      <c r="Y61" s="330"/>
      <c r="Z61" s="330"/>
      <c r="AA61" s="330"/>
      <c r="AB61" s="330"/>
      <c r="AC61" s="332"/>
      <c r="AD61" s="332"/>
      <c r="AE61" s="332"/>
      <c r="AF61" s="332"/>
      <c r="AG61" s="332"/>
      <c r="AH61" s="330"/>
      <c r="AI61" s="330"/>
      <c r="AJ61" s="330"/>
      <c r="AK61" s="330"/>
      <c r="AL61" s="330"/>
      <c r="AM61" s="330"/>
      <c r="AN61" s="330"/>
      <c r="AO61" s="330"/>
      <c r="AP61" s="330"/>
      <c r="AQ61" s="330"/>
      <c r="AR61" s="330"/>
      <c r="AS61" s="330"/>
      <c r="AT61" s="330"/>
      <c r="AU61" s="330"/>
      <c r="AV61" s="330"/>
      <c r="AW61" s="330"/>
      <c r="AX61" s="330"/>
      <c r="AY61" s="330"/>
      <c r="AZ61" s="330"/>
      <c r="BA61" s="330"/>
      <c r="BB61" s="330"/>
      <c r="BC61" s="330"/>
      <c r="BD61" s="330"/>
      <c r="BE61" s="330"/>
      <c r="BF61" s="330"/>
      <c r="BG61" s="330"/>
      <c r="BH61" s="330"/>
      <c r="BI61" s="330"/>
      <c r="BJ61" s="330"/>
      <c r="BK61" s="330"/>
      <c r="BL61" s="330"/>
      <c r="BM61" s="330"/>
      <c r="BN61" s="330"/>
      <c r="BO61" s="330"/>
      <c r="BP61" s="330"/>
      <c r="BQ61" s="330"/>
      <c r="BR61" s="330"/>
      <c r="BS61" s="330"/>
      <c r="BT61" s="330"/>
      <c r="BU61" s="330"/>
      <c r="BV61" s="330"/>
      <c r="BW61" s="330"/>
      <c r="BX61" s="330"/>
      <c r="BY61" s="330"/>
      <c r="BZ61" s="330"/>
      <c r="CA61" s="330"/>
      <c r="CB61" s="330"/>
      <c r="CC61" s="330"/>
      <c r="CD61" s="330"/>
      <c r="CE61" s="330"/>
      <c r="CF61" s="330"/>
      <c r="CG61" s="330"/>
      <c r="CH61" s="330"/>
      <c r="CI61" s="330"/>
      <c r="CJ61" s="330"/>
      <c r="CK61" s="330"/>
      <c r="CL61" s="11"/>
      <c r="CM61" s="11"/>
      <c r="CN61" s="11"/>
    </row>
    <row r="62" spans="1:93" ht="21" x14ac:dyDescent="0.25">
      <c r="A62" s="284"/>
      <c r="B62" s="601"/>
      <c r="F62" s="335" t="s">
        <v>234</v>
      </c>
      <c r="G62" s="335"/>
      <c r="H62" s="335"/>
      <c r="I62" s="336"/>
      <c r="J62" s="239"/>
      <c r="K62" s="285"/>
      <c r="P62" s="319"/>
      <c r="Q62" s="783"/>
      <c r="R62" s="781"/>
      <c r="S62" s="782"/>
      <c r="T62" s="330"/>
      <c r="U62" s="330"/>
      <c r="V62" s="330"/>
      <c r="AJ62" s="330"/>
      <c r="AK62" s="330"/>
      <c r="AL62" s="330"/>
      <c r="AM62" s="330"/>
      <c r="AN62" s="330"/>
      <c r="AO62" s="330"/>
      <c r="AP62" s="330"/>
      <c r="AQ62" s="330"/>
      <c r="AR62" s="330"/>
      <c r="AS62" s="330"/>
      <c r="AT62" s="330"/>
      <c r="AU62" s="330"/>
      <c r="AV62" s="330"/>
      <c r="AW62" s="330"/>
      <c r="AX62" s="330"/>
      <c r="AY62" s="330"/>
      <c r="AZ62" s="330"/>
      <c r="BA62" s="330"/>
      <c r="BB62" s="330"/>
      <c r="BC62" s="330"/>
      <c r="BD62" s="330"/>
      <c r="BE62" s="330"/>
      <c r="BF62" s="330"/>
      <c r="BG62" s="330"/>
      <c r="BH62" s="330"/>
      <c r="BI62" s="330"/>
      <c r="BJ62" s="330"/>
      <c r="BK62" s="330"/>
      <c r="BL62" s="330"/>
      <c r="BM62" s="330"/>
      <c r="BN62" s="330"/>
      <c r="BO62" s="330"/>
      <c r="BP62" s="330"/>
      <c r="BQ62" s="330"/>
      <c r="BR62" s="330"/>
      <c r="BS62" s="330"/>
      <c r="BT62" s="330"/>
      <c r="BU62" s="330"/>
      <c r="BV62" s="330"/>
      <c r="BW62" s="330"/>
      <c r="BX62" s="330"/>
      <c r="BY62" s="330"/>
      <c r="BZ62" s="330"/>
      <c r="CA62" s="330"/>
      <c r="CB62" s="330"/>
      <c r="CC62" s="330"/>
      <c r="CD62" s="330"/>
      <c r="CE62" s="330"/>
      <c r="CF62" s="330"/>
      <c r="CG62" s="330"/>
      <c r="CH62" s="330"/>
      <c r="CI62" s="330"/>
      <c r="CJ62" s="330"/>
      <c r="CK62" s="330"/>
      <c r="CL62" s="11"/>
      <c r="CM62" s="11"/>
      <c r="CN62" s="11"/>
    </row>
    <row r="63" spans="1:93" ht="15.75" x14ac:dyDescent="0.25">
      <c r="A63" s="284"/>
      <c r="B63" s="601"/>
      <c r="F63" s="73">
        <v>1</v>
      </c>
      <c r="G63" s="236">
        <v>2</v>
      </c>
      <c r="H63" s="236">
        <v>3</v>
      </c>
      <c r="I63" s="73"/>
      <c r="K63" s="285"/>
      <c r="L63" s="292"/>
      <c r="M63" s="249"/>
      <c r="N63" s="292"/>
      <c r="O63" s="249"/>
      <c r="Q63" s="783"/>
      <c r="R63" s="781"/>
      <c r="S63" s="782"/>
      <c r="T63" s="330"/>
      <c r="U63" s="330"/>
      <c r="V63" s="330"/>
      <c r="AJ63" s="330"/>
      <c r="AK63" s="330"/>
      <c r="AL63" s="330"/>
      <c r="AM63" s="330"/>
      <c r="AN63" s="330"/>
      <c r="AO63" s="330"/>
      <c r="AP63" s="330"/>
      <c r="AQ63" s="330"/>
      <c r="AR63" s="330"/>
      <c r="AS63" s="330"/>
      <c r="AT63" s="330"/>
      <c r="AU63" s="330"/>
      <c r="AV63" s="330"/>
      <c r="AW63" s="330"/>
      <c r="AX63" s="330"/>
      <c r="AY63" s="330"/>
      <c r="AZ63" s="330"/>
      <c r="BA63" s="330"/>
      <c r="BB63" s="330"/>
      <c r="BC63" s="330"/>
      <c r="BD63" s="330"/>
      <c r="BE63" s="330"/>
      <c r="BF63" s="330"/>
      <c r="BG63" s="330"/>
      <c r="BH63" s="330"/>
      <c r="BI63" s="330"/>
      <c r="BJ63" s="330"/>
      <c r="BK63" s="330"/>
      <c r="BL63" s="330"/>
      <c r="BM63" s="330"/>
      <c r="BN63" s="330"/>
      <c r="BO63" s="330"/>
      <c r="BP63" s="330"/>
      <c r="BQ63" s="330"/>
      <c r="BR63" s="330"/>
      <c r="BS63" s="330"/>
      <c r="BT63" s="330"/>
      <c r="BU63" s="330"/>
      <c r="BV63" s="330"/>
      <c r="BW63" s="330"/>
      <c r="BX63" s="330"/>
      <c r="BY63" s="330"/>
      <c r="BZ63" s="330"/>
      <c r="CA63" s="330"/>
      <c r="CB63" s="330"/>
      <c r="CC63" s="330"/>
      <c r="CD63" s="330"/>
      <c r="CE63" s="330"/>
      <c r="CF63" s="330"/>
      <c r="CG63" s="330"/>
      <c r="CH63" s="330"/>
      <c r="CI63" s="330"/>
      <c r="CJ63" s="330"/>
      <c r="CK63" s="330"/>
      <c r="CL63" s="11"/>
      <c r="CM63" s="11"/>
      <c r="CN63" s="11"/>
    </row>
    <row r="64" spans="1:93" ht="21" x14ac:dyDescent="0.25">
      <c r="A64" s="284"/>
      <c r="B64" s="657" t="s">
        <v>234</v>
      </c>
      <c r="C64" s="658"/>
      <c r="D64" s="658"/>
      <c r="F64" s="133" t="s">
        <v>190</v>
      </c>
      <c r="G64" s="133" t="s">
        <v>190</v>
      </c>
      <c r="H64" s="133" t="s">
        <v>190</v>
      </c>
      <c r="K64" s="297"/>
      <c r="L64" s="337"/>
      <c r="M64" s="299"/>
      <c r="N64" s="337"/>
      <c r="O64" s="299"/>
      <c r="Q64" s="783"/>
      <c r="R64" s="781"/>
      <c r="S64" s="782"/>
      <c r="T64" s="330"/>
      <c r="U64" s="330"/>
      <c r="V64" s="330"/>
      <c r="AJ64" s="330"/>
      <c r="AK64" s="330"/>
      <c r="AL64" s="330"/>
      <c r="AM64" s="330"/>
      <c r="AN64" s="330"/>
      <c r="AO64" s="330"/>
      <c r="AP64" s="330"/>
      <c r="AQ64" s="330"/>
      <c r="AR64" s="330"/>
      <c r="AS64" s="330"/>
      <c r="AT64" s="330"/>
      <c r="AU64" s="330"/>
      <c r="AV64" s="330"/>
      <c r="AW64" s="330"/>
      <c r="AX64" s="330"/>
      <c r="AY64" s="330"/>
      <c r="AZ64" s="330"/>
      <c r="BA64" s="330"/>
      <c r="BB64" s="330"/>
      <c r="BC64" s="330"/>
      <c r="BD64" s="330"/>
      <c r="BE64" s="330"/>
      <c r="BF64" s="330"/>
      <c r="BG64" s="330"/>
      <c r="BH64" s="330"/>
      <c r="BI64" s="330"/>
      <c r="BJ64" s="330"/>
      <c r="BK64" s="330"/>
      <c r="BL64" s="330"/>
      <c r="BM64" s="330"/>
      <c r="BN64" s="330"/>
      <c r="BO64" s="330"/>
      <c r="BP64" s="330"/>
      <c r="BQ64" s="330"/>
      <c r="BR64" s="330"/>
      <c r="BS64" s="330"/>
      <c r="BT64" s="330"/>
      <c r="BU64" s="330"/>
      <c r="BV64" s="330"/>
      <c r="BW64" s="330"/>
      <c r="BX64" s="330"/>
      <c r="BY64" s="330"/>
      <c r="BZ64" s="330"/>
      <c r="CA64" s="330"/>
      <c r="CB64" s="330"/>
      <c r="CC64" s="330"/>
      <c r="CD64" s="330"/>
      <c r="CE64" s="330"/>
      <c r="CF64" s="330"/>
      <c r="CG64" s="330"/>
      <c r="CH64" s="330"/>
      <c r="CI64" s="330"/>
      <c r="CJ64" s="330"/>
      <c r="CK64" s="330"/>
      <c r="CL64" s="11"/>
      <c r="CM64" s="11"/>
      <c r="CN64" s="11"/>
    </row>
    <row r="65" spans="1:92" ht="23.25" x14ac:dyDescent="0.25">
      <c r="A65" s="284"/>
      <c r="B65" s="134"/>
      <c r="C65" s="24" t="s">
        <v>184</v>
      </c>
      <c r="E65" s="133"/>
      <c r="F65" s="572">
        <v>10</v>
      </c>
      <c r="G65" s="573">
        <v>10</v>
      </c>
      <c r="H65" s="574">
        <v>10</v>
      </c>
      <c r="I65" s="133"/>
      <c r="K65" s="341"/>
      <c r="L65" s="303"/>
      <c r="M65" s="86"/>
      <c r="N65" s="303"/>
      <c r="O65" s="341"/>
      <c r="Q65" s="783"/>
      <c r="R65" s="781"/>
      <c r="S65" s="782"/>
      <c r="T65" s="330"/>
      <c r="U65" s="330"/>
      <c r="V65" s="330"/>
      <c r="W65" s="330"/>
      <c r="X65" s="330"/>
      <c r="Y65" s="330"/>
      <c r="Z65" s="330"/>
      <c r="AA65" s="330"/>
      <c r="AB65" s="330"/>
      <c r="AC65" s="332"/>
      <c r="AD65" s="332"/>
      <c r="AE65" s="332"/>
      <c r="AF65" s="332"/>
      <c r="AG65" s="332"/>
      <c r="AH65" s="330"/>
      <c r="AI65" s="330"/>
      <c r="AJ65" s="330"/>
      <c r="AK65" s="330"/>
      <c r="AL65" s="330"/>
      <c r="AM65" s="330"/>
      <c r="AN65" s="330"/>
      <c r="AO65" s="330"/>
      <c r="AP65" s="330"/>
      <c r="AQ65" s="330"/>
      <c r="AR65" s="330"/>
      <c r="AS65" s="330"/>
      <c r="AT65" s="330"/>
      <c r="AU65" s="330"/>
      <c r="AV65" s="330"/>
      <c r="AW65" s="330"/>
      <c r="AX65" s="330"/>
      <c r="AY65" s="330"/>
      <c r="AZ65" s="330"/>
      <c r="BA65" s="330"/>
      <c r="BB65" s="330"/>
      <c r="BC65" s="330"/>
      <c r="BD65" s="330"/>
      <c r="BE65" s="330"/>
      <c r="BF65" s="330"/>
      <c r="BG65" s="330"/>
      <c r="BH65" s="330"/>
      <c r="BI65" s="330"/>
      <c r="BJ65" s="330"/>
      <c r="BK65" s="330"/>
      <c r="BL65" s="330"/>
      <c r="BM65" s="330"/>
      <c r="BN65" s="330"/>
      <c r="BO65" s="330"/>
      <c r="BP65" s="330"/>
      <c r="BQ65" s="330"/>
      <c r="BR65" s="330"/>
      <c r="BS65" s="330"/>
      <c r="BT65" s="330"/>
      <c r="BU65" s="330"/>
      <c r="BV65" s="330"/>
      <c r="BW65" s="330"/>
      <c r="BX65" s="330"/>
      <c r="BY65" s="330"/>
      <c r="BZ65" s="330"/>
      <c r="CA65" s="330"/>
      <c r="CB65" s="330"/>
      <c r="CC65" s="330"/>
      <c r="CD65" s="330"/>
      <c r="CE65" s="330"/>
      <c r="CF65" s="330"/>
      <c r="CG65" s="330"/>
      <c r="CH65" s="330"/>
      <c r="CI65" s="330"/>
      <c r="CJ65" s="330"/>
      <c r="CK65" s="330"/>
      <c r="CL65" s="11"/>
      <c r="CM65" s="11"/>
      <c r="CN65" s="11"/>
    </row>
    <row r="66" spans="1:92" ht="23.25" x14ac:dyDescent="0.25">
      <c r="A66" s="284"/>
      <c r="B66" s="342">
        <v>10</v>
      </c>
      <c r="C66" s="134" t="s">
        <v>242</v>
      </c>
      <c r="D66" s="286">
        <v>1</v>
      </c>
      <c r="E66" s="133"/>
      <c r="F66" s="572">
        <v>10</v>
      </c>
      <c r="G66" s="573">
        <v>10</v>
      </c>
      <c r="H66" s="575">
        <v>10</v>
      </c>
      <c r="I66" s="133"/>
      <c r="K66" s="341"/>
      <c r="L66" s="303"/>
      <c r="M66" s="86"/>
      <c r="N66" s="303"/>
      <c r="O66" s="341"/>
      <c r="Q66" s="783"/>
      <c r="R66" s="781"/>
      <c r="S66" s="782"/>
      <c r="T66" s="330"/>
      <c r="U66" s="330"/>
      <c r="V66" s="330"/>
      <c r="W66" s="330"/>
      <c r="X66" s="330"/>
      <c r="Y66" s="330"/>
      <c r="Z66" s="330"/>
      <c r="AA66" s="330"/>
      <c r="AB66" s="330"/>
      <c r="AC66" s="332"/>
      <c r="AD66" s="332"/>
      <c r="AE66" s="332"/>
      <c r="AF66" s="332"/>
      <c r="AG66" s="332"/>
      <c r="AH66" s="330"/>
      <c r="AI66" s="330"/>
      <c r="AJ66" s="330"/>
      <c r="AK66" s="330"/>
      <c r="AL66" s="330"/>
      <c r="AM66" s="330"/>
      <c r="AN66" s="330"/>
      <c r="AO66" s="330"/>
      <c r="AP66" s="330"/>
      <c r="AQ66" s="330"/>
      <c r="AR66" s="330"/>
      <c r="AS66" s="330"/>
      <c r="AT66" s="330"/>
      <c r="AU66" s="330"/>
      <c r="AV66" s="330"/>
      <c r="AW66" s="330"/>
      <c r="AX66" s="330"/>
      <c r="AY66" s="330"/>
      <c r="AZ66" s="330"/>
      <c r="BA66" s="330"/>
      <c r="BB66" s="330"/>
      <c r="BC66" s="330"/>
      <c r="BD66" s="330"/>
      <c r="BE66" s="330"/>
      <c r="BF66" s="330"/>
      <c r="BG66" s="330"/>
      <c r="BH66" s="330"/>
      <c r="BI66" s="330"/>
      <c r="BJ66" s="330"/>
      <c r="BK66" s="330"/>
      <c r="BL66" s="330"/>
      <c r="BM66" s="330"/>
      <c r="BN66" s="330"/>
      <c r="BO66" s="330"/>
      <c r="BP66" s="330"/>
      <c r="BQ66" s="330"/>
      <c r="BR66" s="330"/>
      <c r="BS66" s="330"/>
      <c r="BT66" s="330"/>
      <c r="BU66" s="330"/>
      <c r="BV66" s="330"/>
      <c r="BW66" s="330"/>
      <c r="BX66" s="330"/>
      <c r="BY66" s="330"/>
      <c r="BZ66" s="330"/>
      <c r="CA66" s="330"/>
      <c r="CB66" s="330"/>
      <c r="CC66" s="330"/>
      <c r="CD66" s="330"/>
      <c r="CE66" s="330"/>
      <c r="CF66" s="330"/>
      <c r="CG66" s="330"/>
      <c r="CH66" s="330"/>
      <c r="CI66" s="330"/>
      <c r="CJ66" s="330"/>
      <c r="CK66" s="330"/>
      <c r="CL66" s="11"/>
      <c r="CM66" s="11"/>
      <c r="CN66" s="11"/>
    </row>
    <row r="67" spans="1:92" ht="21" x14ac:dyDescent="0.25">
      <c r="A67" s="284"/>
      <c r="B67" s="344"/>
      <c r="D67" s="286"/>
      <c r="F67" s="133" t="s">
        <v>190</v>
      </c>
      <c r="G67" s="133" t="s">
        <v>190</v>
      </c>
      <c r="H67" s="133" t="s">
        <v>190</v>
      </c>
      <c r="K67" s="299"/>
      <c r="L67" s="337"/>
      <c r="M67" s="299"/>
      <c r="N67" s="337"/>
      <c r="O67" s="299"/>
      <c r="Q67" s="783"/>
      <c r="R67" s="781"/>
      <c r="S67" s="782"/>
      <c r="T67" s="330"/>
      <c r="U67" s="330"/>
      <c r="V67" s="330"/>
      <c r="W67" s="330"/>
      <c r="X67" s="330"/>
      <c r="Y67" s="330"/>
      <c r="Z67" s="330"/>
      <c r="AA67" s="330"/>
      <c r="AB67" s="330"/>
      <c r="AC67" s="332"/>
      <c r="AD67" s="332"/>
      <c r="AE67" s="332"/>
      <c r="AF67" s="332"/>
      <c r="AG67" s="332"/>
      <c r="AH67" s="330"/>
      <c r="AI67" s="330"/>
      <c r="AJ67" s="330"/>
      <c r="AK67" s="330"/>
      <c r="AL67" s="330"/>
      <c r="AM67" s="330"/>
      <c r="AN67" s="330"/>
      <c r="AO67" s="330"/>
      <c r="AP67" s="330"/>
      <c r="AQ67" s="330"/>
      <c r="AR67" s="330"/>
      <c r="AS67" s="330"/>
      <c r="AT67" s="330"/>
      <c r="AU67" s="330"/>
      <c r="AV67" s="330"/>
      <c r="AW67" s="330"/>
      <c r="AX67" s="330"/>
      <c r="AY67" s="330"/>
      <c r="AZ67" s="330"/>
      <c r="BA67" s="330"/>
      <c r="BB67" s="330"/>
      <c r="BC67" s="330"/>
      <c r="BD67" s="330"/>
      <c r="BE67" s="330"/>
      <c r="BF67" s="330"/>
      <c r="BG67" s="330"/>
      <c r="BH67" s="330"/>
      <c r="BI67" s="330"/>
      <c r="BJ67" s="330"/>
      <c r="BK67" s="330"/>
      <c r="BL67" s="330"/>
      <c r="BM67" s="330"/>
      <c r="BN67" s="330"/>
      <c r="BO67" s="330"/>
      <c r="BP67" s="330"/>
      <c r="BQ67" s="330"/>
      <c r="BR67" s="330"/>
      <c r="BS67" s="330"/>
      <c r="BT67" s="330"/>
      <c r="BU67" s="330"/>
      <c r="BV67" s="330"/>
      <c r="BW67" s="330"/>
      <c r="BX67" s="330"/>
      <c r="BY67" s="330"/>
      <c r="BZ67" s="330"/>
      <c r="CA67" s="330"/>
      <c r="CB67" s="330"/>
      <c r="CC67" s="330"/>
      <c r="CD67" s="330"/>
      <c r="CE67" s="330"/>
      <c r="CF67" s="330"/>
      <c r="CG67" s="330"/>
      <c r="CH67" s="330"/>
      <c r="CI67" s="330"/>
      <c r="CJ67" s="330"/>
      <c r="CK67" s="330"/>
      <c r="CL67" s="11"/>
      <c r="CM67" s="11"/>
      <c r="CN67" s="11"/>
    </row>
    <row r="68" spans="1:92" ht="23.25" x14ac:dyDescent="0.25">
      <c r="A68" s="284"/>
      <c r="B68" s="342">
        <v>10</v>
      </c>
      <c r="C68" s="134" t="s">
        <v>242</v>
      </c>
      <c r="D68" s="286">
        <v>2</v>
      </c>
      <c r="F68" s="236">
        <v>6</v>
      </c>
      <c r="G68" s="236">
        <v>5</v>
      </c>
      <c r="H68" s="236">
        <v>4</v>
      </c>
      <c r="I68" s="236"/>
      <c r="J68" s="236"/>
      <c r="K68" s="239"/>
      <c r="L68" s="292"/>
      <c r="M68" s="249"/>
      <c r="N68" s="292"/>
      <c r="O68" s="249"/>
      <c r="P68" s="236"/>
      <c r="Q68" s="783"/>
      <c r="R68" s="781"/>
      <c r="S68" s="782"/>
      <c r="T68" s="330"/>
      <c r="U68" s="330"/>
      <c r="V68" s="330"/>
      <c r="W68" s="330"/>
      <c r="X68" s="330"/>
      <c r="Y68" s="330"/>
      <c r="Z68" s="330"/>
      <c r="AA68" s="330"/>
      <c r="AB68" s="330"/>
      <c r="AC68" s="332"/>
      <c r="AD68" s="332"/>
      <c r="AE68" s="332"/>
      <c r="AF68" s="332"/>
      <c r="AG68" s="332"/>
      <c r="AH68" s="330"/>
      <c r="AI68" s="330"/>
      <c r="AJ68" s="330"/>
      <c r="AK68" s="330"/>
      <c r="AL68" s="330"/>
      <c r="AM68" s="330"/>
      <c r="AN68" s="330"/>
      <c r="AO68" s="330"/>
      <c r="AP68" s="330"/>
      <c r="AQ68" s="330"/>
      <c r="AR68" s="330"/>
      <c r="AS68" s="330"/>
      <c r="AT68" s="330"/>
      <c r="AU68" s="330"/>
      <c r="AV68" s="330"/>
      <c r="AW68" s="330"/>
      <c r="AX68" s="330"/>
      <c r="AY68" s="330"/>
      <c r="AZ68" s="330"/>
      <c r="BA68" s="330"/>
      <c r="BB68" s="330"/>
      <c r="BC68" s="330"/>
      <c r="BD68" s="330"/>
      <c r="BE68" s="330"/>
      <c r="BF68" s="330"/>
      <c r="BG68" s="330"/>
      <c r="BH68" s="330"/>
      <c r="BI68" s="330"/>
      <c r="BJ68" s="330"/>
      <c r="BK68" s="330"/>
      <c r="BL68" s="330"/>
      <c r="BM68" s="330"/>
      <c r="BN68" s="330"/>
      <c r="BO68" s="330"/>
      <c r="BP68" s="330"/>
      <c r="BQ68" s="330"/>
      <c r="BR68" s="330"/>
      <c r="BS68" s="330"/>
      <c r="BT68" s="330"/>
      <c r="BU68" s="330"/>
      <c r="BV68" s="330"/>
      <c r="BW68" s="330"/>
      <c r="BX68" s="330"/>
      <c r="BY68" s="330"/>
      <c r="BZ68" s="330"/>
      <c r="CA68" s="330"/>
      <c r="CB68" s="330"/>
      <c r="CC68" s="330"/>
      <c r="CD68" s="330"/>
      <c r="CE68" s="330"/>
      <c r="CF68" s="330"/>
      <c r="CG68" s="330"/>
      <c r="CH68" s="330"/>
      <c r="CI68" s="330"/>
      <c r="CJ68" s="330"/>
      <c r="CK68" s="330"/>
      <c r="CL68" s="11"/>
      <c r="CM68" s="11"/>
      <c r="CN68" s="11"/>
    </row>
    <row r="69" spans="1:92" ht="21" x14ac:dyDescent="0.25">
      <c r="A69" s="284"/>
      <c r="B69" s="344"/>
      <c r="C69" s="331"/>
      <c r="D69" s="286"/>
      <c r="E69" s="331"/>
      <c r="K69" s="239"/>
      <c r="L69" s="625"/>
      <c r="M69" s="625"/>
      <c r="N69" s="625"/>
      <c r="O69" s="625"/>
      <c r="P69" s="331"/>
      <c r="Q69" s="783"/>
      <c r="R69" s="781"/>
      <c r="S69" s="782"/>
      <c r="T69" s="330"/>
      <c r="U69" s="330"/>
      <c r="V69" s="330"/>
      <c r="W69" s="330"/>
      <c r="X69" s="330"/>
      <c r="Y69" s="330"/>
      <c r="Z69" s="330"/>
      <c r="AA69" s="330"/>
      <c r="AB69" s="330"/>
      <c r="AC69" s="332"/>
      <c r="AD69" s="332"/>
      <c r="AE69" s="332"/>
      <c r="AF69" s="332"/>
      <c r="AG69" s="332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  <c r="AV69" s="330"/>
      <c r="AW69" s="330"/>
      <c r="AX69" s="330"/>
      <c r="AY69" s="330"/>
      <c r="AZ69" s="330"/>
      <c r="BA69" s="330"/>
      <c r="BB69" s="330"/>
      <c r="BC69" s="330"/>
      <c r="BD69" s="330"/>
      <c r="BE69" s="330"/>
      <c r="BF69" s="330"/>
      <c r="BG69" s="330"/>
      <c r="BH69" s="330"/>
      <c r="BI69" s="330"/>
      <c r="BJ69" s="330"/>
      <c r="BK69" s="330"/>
      <c r="BL69" s="330"/>
      <c r="BM69" s="330"/>
      <c r="BN69" s="330"/>
      <c r="BO69" s="330"/>
      <c r="BP69" s="330"/>
      <c r="BQ69" s="330"/>
      <c r="BR69" s="330"/>
      <c r="BS69" s="330"/>
      <c r="BT69" s="330"/>
      <c r="BU69" s="330"/>
      <c r="BV69" s="330"/>
      <c r="BW69" s="330"/>
      <c r="BX69" s="330"/>
      <c r="BY69" s="330"/>
      <c r="BZ69" s="330"/>
      <c r="CA69" s="330"/>
      <c r="CB69" s="330"/>
      <c r="CC69" s="330"/>
      <c r="CD69" s="330"/>
      <c r="CE69" s="330"/>
      <c r="CF69" s="330"/>
      <c r="CG69" s="330"/>
      <c r="CH69" s="330"/>
      <c r="CI69" s="330"/>
      <c r="CJ69" s="330"/>
      <c r="CK69" s="330"/>
      <c r="CL69" s="11"/>
      <c r="CM69" s="11"/>
      <c r="CN69" s="11"/>
    </row>
    <row r="70" spans="1:92" ht="23.25" x14ac:dyDescent="0.25">
      <c r="A70" s="284"/>
      <c r="B70" s="342">
        <v>10</v>
      </c>
      <c r="C70" s="134" t="s">
        <v>242</v>
      </c>
      <c r="D70" s="286">
        <v>3</v>
      </c>
      <c r="E70" s="331"/>
      <c r="K70" s="331"/>
      <c r="L70" s="331"/>
      <c r="M70" s="233"/>
      <c r="N70" s="233"/>
      <c r="O70" s="331"/>
      <c r="P70" s="331"/>
      <c r="Q70" s="783"/>
      <c r="R70" s="781"/>
      <c r="S70" s="782"/>
      <c r="T70" s="330"/>
      <c r="U70" s="330"/>
      <c r="V70" s="330"/>
      <c r="W70" s="330"/>
      <c r="X70" s="330"/>
      <c r="Y70" s="330"/>
      <c r="Z70" s="330"/>
      <c r="AA70" s="330"/>
      <c r="AB70" s="330"/>
      <c r="AC70" s="332"/>
      <c r="AD70" s="332"/>
      <c r="AE70" s="332"/>
      <c r="AF70" s="332"/>
      <c r="AG70" s="332"/>
      <c r="AH70" s="330"/>
      <c r="AI70" s="330"/>
      <c r="AJ70" s="330"/>
      <c r="AK70" s="330"/>
      <c r="AL70" s="330"/>
      <c r="AM70" s="330"/>
      <c r="AN70" s="330"/>
      <c r="AO70" s="330"/>
      <c r="AP70" s="330"/>
      <c r="AQ70" s="330"/>
      <c r="AR70" s="330"/>
      <c r="AS70" s="330"/>
      <c r="AT70" s="330"/>
      <c r="AU70" s="330"/>
      <c r="AV70" s="330"/>
      <c r="AW70" s="330"/>
      <c r="AX70" s="330"/>
      <c r="AY70" s="330"/>
      <c r="AZ70" s="330"/>
      <c r="BA70" s="330"/>
      <c r="BB70" s="330"/>
      <c r="BC70" s="330"/>
      <c r="BD70" s="330"/>
      <c r="BE70" s="330"/>
      <c r="BF70" s="330"/>
      <c r="BG70" s="330"/>
      <c r="BH70" s="330"/>
      <c r="BI70" s="330"/>
      <c r="BJ70" s="330"/>
      <c r="BK70" s="330"/>
      <c r="BL70" s="330"/>
      <c r="BM70" s="330"/>
      <c r="BN70" s="330"/>
      <c r="BO70" s="330"/>
      <c r="BP70" s="330"/>
      <c r="BQ70" s="330"/>
      <c r="BR70" s="330"/>
      <c r="BS70" s="330"/>
      <c r="BT70" s="330"/>
      <c r="BU70" s="330"/>
      <c r="BV70" s="330"/>
      <c r="BW70" s="330"/>
      <c r="BX70" s="330"/>
      <c r="BY70" s="330"/>
      <c r="BZ70" s="330"/>
      <c r="CA70" s="330"/>
      <c r="CB70" s="330"/>
      <c r="CC70" s="330"/>
      <c r="CD70" s="330"/>
      <c r="CE70" s="330"/>
      <c r="CF70" s="330"/>
      <c r="CG70" s="330"/>
      <c r="CH70" s="330"/>
      <c r="CI70" s="330"/>
      <c r="CJ70" s="330"/>
      <c r="CK70" s="330"/>
      <c r="CL70" s="11"/>
      <c r="CM70" s="11"/>
      <c r="CN70" s="11"/>
    </row>
    <row r="71" spans="1:92" x14ac:dyDescent="0.25">
      <c r="A71" s="284"/>
      <c r="B71" s="344"/>
      <c r="C71" s="331"/>
      <c r="D71" s="345"/>
      <c r="E71" s="285"/>
      <c r="F71" s="239"/>
      <c r="G71" s="239"/>
      <c r="H71" s="239"/>
      <c r="I71" s="331"/>
      <c r="J71" s="331"/>
      <c r="K71" s="331"/>
      <c r="L71" s="331"/>
      <c r="M71" s="233"/>
      <c r="N71" s="233"/>
      <c r="O71" s="331"/>
      <c r="P71" s="331"/>
      <c r="Q71" s="783"/>
      <c r="R71" s="781"/>
      <c r="S71" s="782"/>
      <c r="T71" s="330"/>
      <c r="U71" s="330"/>
      <c r="V71" s="330"/>
      <c r="W71" s="330"/>
      <c r="X71" s="330"/>
      <c r="Y71" s="330"/>
      <c r="Z71" s="330"/>
      <c r="AA71" s="330"/>
      <c r="AB71" s="330"/>
      <c r="AC71" s="332"/>
      <c r="AD71" s="332"/>
      <c r="AE71" s="332"/>
      <c r="AF71" s="332"/>
      <c r="AG71" s="332"/>
      <c r="AH71" s="330"/>
      <c r="AI71" s="330"/>
      <c r="AJ71" s="330"/>
      <c r="AK71" s="330"/>
      <c r="AL71" s="330"/>
      <c r="AM71" s="330"/>
      <c r="AN71" s="330"/>
      <c r="AO71" s="330"/>
      <c r="AP71" s="330"/>
      <c r="AQ71" s="330"/>
      <c r="AR71" s="330"/>
      <c r="AS71" s="330"/>
      <c r="AT71" s="330"/>
      <c r="AU71" s="330"/>
      <c r="AV71" s="330"/>
      <c r="AW71" s="330"/>
      <c r="AX71" s="330"/>
      <c r="AY71" s="330"/>
      <c r="AZ71" s="330"/>
      <c r="BA71" s="330"/>
      <c r="BB71" s="330"/>
      <c r="BC71" s="330"/>
      <c r="BD71" s="330"/>
      <c r="BE71" s="330"/>
      <c r="BF71" s="330"/>
      <c r="BG71" s="330"/>
      <c r="BH71" s="330"/>
      <c r="BI71" s="330"/>
      <c r="BJ71" s="330"/>
      <c r="BK71" s="330"/>
      <c r="BL71" s="330"/>
      <c r="BM71" s="330"/>
      <c r="BN71" s="330"/>
      <c r="BO71" s="330"/>
      <c r="BP71" s="330"/>
      <c r="BQ71" s="330"/>
      <c r="BR71" s="330"/>
      <c r="BS71" s="330"/>
      <c r="BT71" s="330"/>
      <c r="BU71" s="330"/>
      <c r="BV71" s="330"/>
      <c r="BW71" s="330"/>
      <c r="BX71" s="330"/>
      <c r="BY71" s="330"/>
      <c r="BZ71" s="330"/>
      <c r="CA71" s="330"/>
      <c r="CB71" s="330"/>
      <c r="CC71" s="330"/>
      <c r="CD71" s="330"/>
      <c r="CE71" s="330"/>
      <c r="CF71" s="330"/>
      <c r="CG71" s="330"/>
      <c r="CH71" s="330"/>
      <c r="CI71" s="330"/>
      <c r="CJ71" s="330"/>
      <c r="CK71" s="330"/>
      <c r="CL71" s="11"/>
      <c r="CM71" s="11"/>
      <c r="CN71" s="11"/>
    </row>
    <row r="72" spans="1:92" ht="26.25" x14ac:dyDescent="0.4">
      <c r="A72" s="284"/>
      <c r="B72" s="342">
        <v>10</v>
      </c>
      <c r="C72" s="134" t="s">
        <v>242</v>
      </c>
      <c r="D72" s="286">
        <v>4</v>
      </c>
      <c r="E72" s="239"/>
      <c r="F72" s="346"/>
      <c r="G72" s="346"/>
      <c r="H72" s="346"/>
      <c r="I72" s="346"/>
      <c r="J72" s="346"/>
      <c r="K72" s="346"/>
      <c r="L72" s="346"/>
      <c r="M72" s="331"/>
      <c r="N72" s="347"/>
      <c r="O72" s="331"/>
      <c r="P72" s="331"/>
      <c r="Q72" s="783"/>
      <c r="R72" s="781"/>
      <c r="S72" s="782"/>
      <c r="T72" s="330"/>
      <c r="U72" s="330"/>
      <c r="V72" s="330"/>
      <c r="W72" s="330"/>
      <c r="X72" s="330"/>
      <c r="Y72" s="330"/>
      <c r="Z72" s="330"/>
      <c r="AA72" s="330"/>
      <c r="AB72" s="330"/>
      <c r="AC72" s="332"/>
      <c r="AD72" s="332"/>
      <c r="AE72" s="332"/>
      <c r="AF72" s="332"/>
      <c r="AG72" s="332"/>
      <c r="AH72" s="330"/>
      <c r="AI72" s="330"/>
      <c r="AJ72" s="330"/>
      <c r="AK72" s="330"/>
      <c r="AL72" s="330"/>
      <c r="AM72" s="330"/>
      <c r="AN72" s="330"/>
      <c r="AO72" s="330"/>
      <c r="AP72" s="330"/>
      <c r="AQ72" s="330"/>
      <c r="AR72" s="330"/>
      <c r="AS72" s="330"/>
      <c r="AT72" s="330"/>
      <c r="AU72" s="330"/>
      <c r="AV72" s="330"/>
      <c r="AW72" s="330"/>
      <c r="AX72" s="330"/>
      <c r="AY72" s="330"/>
      <c r="AZ72" s="330"/>
      <c r="BA72" s="330"/>
      <c r="BB72" s="330"/>
      <c r="BC72" s="330"/>
      <c r="BD72" s="330"/>
      <c r="BE72" s="330"/>
      <c r="BF72" s="330"/>
      <c r="BG72" s="330"/>
      <c r="BH72" s="330"/>
      <c r="BI72" s="330"/>
      <c r="BJ72" s="330"/>
      <c r="BK72" s="330"/>
      <c r="BL72" s="330"/>
      <c r="BM72" s="330"/>
      <c r="BN72" s="330"/>
      <c r="BO72" s="330"/>
      <c r="BP72" s="330"/>
      <c r="BQ72" s="330"/>
      <c r="BR72" s="330"/>
      <c r="BS72" s="330"/>
      <c r="BT72" s="330"/>
      <c r="BU72" s="330"/>
      <c r="BV72" s="330"/>
      <c r="BW72" s="330"/>
      <c r="BX72" s="330"/>
      <c r="BY72" s="330"/>
      <c r="BZ72" s="330"/>
      <c r="CA72" s="330"/>
      <c r="CB72" s="330"/>
      <c r="CC72" s="330"/>
      <c r="CD72" s="330"/>
      <c r="CE72" s="330"/>
      <c r="CF72" s="330"/>
      <c r="CG72" s="330"/>
      <c r="CH72" s="330"/>
      <c r="CI72" s="330"/>
      <c r="CJ72" s="330"/>
      <c r="CK72" s="330"/>
      <c r="CL72" s="11"/>
      <c r="CM72" s="11"/>
      <c r="CN72" s="11"/>
    </row>
    <row r="73" spans="1:92" ht="27" thickBot="1" x14ac:dyDescent="0.45">
      <c r="A73" s="284"/>
      <c r="B73" s="348"/>
      <c r="C73" s="349"/>
      <c r="D73" s="349"/>
      <c r="E73" s="349"/>
      <c r="F73" s="42"/>
      <c r="G73" s="577"/>
      <c r="H73" s="350"/>
      <c r="I73" s="577"/>
      <c r="J73" s="351"/>
      <c r="K73" s="577"/>
      <c r="L73" s="351"/>
      <c r="M73" s="577"/>
      <c r="N73" s="352"/>
      <c r="O73" s="577"/>
      <c r="P73" s="349"/>
      <c r="Q73" s="784"/>
      <c r="R73" s="785"/>
      <c r="S73" s="786"/>
      <c r="T73" s="330"/>
      <c r="U73" s="330"/>
      <c r="V73" s="330"/>
      <c r="W73" s="330"/>
      <c r="X73" s="330"/>
      <c r="Y73" s="330"/>
      <c r="Z73" s="330"/>
      <c r="AA73" s="330"/>
      <c r="AB73" s="330"/>
      <c r="AC73" s="332"/>
      <c r="AD73" s="332"/>
      <c r="AE73" s="332"/>
      <c r="AF73" s="332"/>
      <c r="AG73" s="332"/>
      <c r="AH73" s="330"/>
      <c r="AI73" s="330"/>
      <c r="AJ73" s="330"/>
      <c r="AK73" s="330"/>
      <c r="AL73" s="330"/>
      <c r="AM73" s="330"/>
      <c r="AN73" s="330"/>
      <c r="AO73" s="330"/>
      <c r="AP73" s="330"/>
      <c r="AQ73" s="330"/>
      <c r="AR73" s="330"/>
      <c r="AS73" s="330"/>
      <c r="AT73" s="330"/>
      <c r="AU73" s="330"/>
      <c r="AV73" s="330"/>
      <c r="AW73" s="330"/>
      <c r="AX73" s="330"/>
      <c r="AY73" s="330"/>
      <c r="AZ73" s="330"/>
      <c r="BA73" s="330"/>
      <c r="BB73" s="330"/>
      <c r="BC73" s="330"/>
      <c r="BD73" s="330"/>
      <c r="BE73" s="330"/>
      <c r="BF73" s="330"/>
      <c r="BG73" s="330"/>
      <c r="BH73" s="330"/>
      <c r="BI73" s="330"/>
      <c r="BJ73" s="330"/>
      <c r="BK73" s="330"/>
      <c r="BL73" s="330"/>
      <c r="BM73" s="330"/>
      <c r="BN73" s="330"/>
      <c r="BO73" s="330"/>
      <c r="BP73" s="330"/>
      <c r="BQ73" s="330"/>
      <c r="BR73" s="330"/>
      <c r="BS73" s="330"/>
      <c r="BT73" s="330"/>
      <c r="BU73" s="330"/>
      <c r="BV73" s="330"/>
      <c r="BW73" s="330"/>
      <c r="BX73" s="330"/>
      <c r="BY73" s="330"/>
      <c r="BZ73" s="330"/>
      <c r="CA73" s="330"/>
      <c r="CB73" s="330"/>
      <c r="CC73" s="330"/>
      <c r="CD73" s="330"/>
      <c r="CE73" s="330"/>
      <c r="CF73" s="330"/>
      <c r="CG73" s="330"/>
      <c r="CH73" s="330"/>
      <c r="CI73" s="330"/>
      <c r="CJ73" s="330"/>
      <c r="CK73" s="330"/>
      <c r="CL73" s="11"/>
      <c r="CM73" s="11"/>
      <c r="CN73" s="11"/>
    </row>
    <row r="74" spans="1:92" x14ac:dyDescent="0.25">
      <c r="A74" s="353"/>
      <c r="B74" s="354"/>
      <c r="C74" s="355"/>
      <c r="D74" s="76"/>
      <c r="E74" s="76"/>
      <c r="H74" s="330"/>
      <c r="I74" s="330"/>
      <c r="J74" s="330"/>
      <c r="K74" s="330"/>
      <c r="L74" s="330"/>
      <c r="M74" s="330"/>
      <c r="N74" s="356"/>
      <c r="O74" s="330"/>
      <c r="P74" s="330"/>
      <c r="Q74" s="330"/>
      <c r="R74" s="330"/>
      <c r="S74" s="330"/>
      <c r="T74" s="330"/>
      <c r="U74" s="330"/>
      <c r="V74" s="330"/>
      <c r="W74" s="330"/>
      <c r="X74" s="330"/>
      <c r="Y74" s="330"/>
      <c r="Z74" s="330"/>
      <c r="AA74" s="330"/>
      <c r="AB74" s="330"/>
      <c r="AC74" s="332"/>
      <c r="AD74" s="332"/>
      <c r="AE74" s="332"/>
      <c r="AF74" s="332"/>
      <c r="AG74" s="332"/>
      <c r="AH74" s="330"/>
      <c r="AI74" s="330"/>
      <c r="AJ74" s="330"/>
      <c r="AK74" s="330"/>
      <c r="AL74" s="330"/>
      <c r="AM74" s="330"/>
      <c r="AN74" s="330"/>
      <c r="AO74" s="330"/>
      <c r="AP74" s="330"/>
      <c r="AQ74" s="330"/>
      <c r="AR74" s="330"/>
      <c r="AS74" s="330"/>
      <c r="AT74" s="330"/>
      <c r="AU74" s="330"/>
      <c r="AV74" s="330"/>
      <c r="AW74" s="330"/>
      <c r="AX74" s="330"/>
      <c r="AY74" s="330"/>
      <c r="AZ74" s="330"/>
      <c r="BA74" s="330"/>
      <c r="BB74" s="330"/>
      <c r="BC74" s="330"/>
      <c r="BD74" s="330"/>
      <c r="BE74" s="330"/>
      <c r="BF74" s="330"/>
      <c r="BG74" s="330"/>
      <c r="BH74" s="330"/>
      <c r="BI74" s="330"/>
      <c r="BJ74" s="330"/>
      <c r="BK74" s="330"/>
      <c r="BL74" s="330"/>
      <c r="BM74" s="330"/>
      <c r="BN74" s="330"/>
      <c r="BO74" s="330"/>
      <c r="BP74" s="330"/>
      <c r="BQ74" s="330"/>
      <c r="BR74" s="330"/>
      <c r="BS74" s="330"/>
      <c r="BT74" s="330"/>
      <c r="BU74" s="330"/>
      <c r="BV74" s="330"/>
      <c r="BW74" s="330"/>
      <c r="BX74" s="330"/>
      <c r="BY74" s="330"/>
      <c r="BZ74" s="330"/>
      <c r="CA74" s="330"/>
      <c r="CB74" s="330"/>
      <c r="CC74" s="330"/>
      <c r="CD74" s="330"/>
      <c r="CE74" s="330"/>
      <c r="CF74" s="330"/>
      <c r="CG74" s="330"/>
      <c r="CH74" s="330"/>
      <c r="CI74" s="330"/>
      <c r="CJ74" s="330"/>
      <c r="CK74" s="330"/>
      <c r="CL74" s="11"/>
      <c r="CM74" s="11"/>
      <c r="CN74" s="11"/>
    </row>
    <row r="75" spans="1:92" x14ac:dyDescent="0.25">
      <c r="A75" s="353"/>
      <c r="B75" s="357"/>
      <c r="C75" s="11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356"/>
      <c r="O75" s="330"/>
      <c r="P75" s="330"/>
      <c r="Q75" s="330"/>
      <c r="R75" s="330"/>
      <c r="S75" s="330"/>
      <c r="T75" s="330"/>
      <c r="U75" s="330"/>
      <c r="V75" s="330"/>
      <c r="W75" s="330"/>
      <c r="X75" s="330"/>
      <c r="Y75" s="330"/>
      <c r="Z75" s="330"/>
      <c r="AA75" s="330"/>
      <c r="AB75" s="330"/>
      <c r="AC75" s="332"/>
      <c r="AD75" s="332"/>
      <c r="AE75" s="332"/>
      <c r="AF75" s="332"/>
      <c r="AG75" s="332"/>
      <c r="AH75" s="330"/>
      <c r="AI75" s="330"/>
      <c r="AJ75" s="330"/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30"/>
      <c r="AW75" s="330"/>
      <c r="AX75" s="330"/>
      <c r="AY75" s="330"/>
      <c r="AZ75" s="330"/>
      <c r="BA75" s="330"/>
      <c r="BB75" s="330"/>
      <c r="BC75" s="330"/>
      <c r="BD75" s="330"/>
      <c r="BE75" s="330"/>
      <c r="BF75" s="330"/>
      <c r="BG75" s="330"/>
      <c r="BH75" s="330"/>
      <c r="BI75" s="330"/>
      <c r="BJ75" s="330"/>
      <c r="BK75" s="330"/>
      <c r="BL75" s="330"/>
      <c r="BM75" s="330"/>
      <c r="BN75" s="330"/>
      <c r="BO75" s="330"/>
      <c r="BP75" s="330"/>
      <c r="BQ75" s="330"/>
      <c r="BR75" s="330"/>
      <c r="BS75" s="330"/>
      <c r="BT75" s="330"/>
      <c r="BU75" s="330"/>
      <c r="BV75" s="330"/>
      <c r="BW75" s="330"/>
      <c r="BX75" s="330"/>
      <c r="BY75" s="330"/>
      <c r="BZ75" s="330"/>
      <c r="CA75" s="330"/>
      <c r="CB75" s="330"/>
      <c r="CC75" s="330"/>
      <c r="CD75" s="330"/>
      <c r="CE75" s="330"/>
      <c r="CF75" s="330"/>
      <c r="CG75" s="330"/>
      <c r="CH75" s="330"/>
      <c r="CI75" s="330"/>
      <c r="CJ75" s="330"/>
      <c r="CK75" s="330"/>
      <c r="CL75" s="11"/>
      <c r="CM75" s="11"/>
      <c r="CN75" s="11"/>
    </row>
  </sheetData>
  <mergeCells count="39">
    <mergeCell ref="BE25:BG25"/>
    <mergeCell ref="A1:CN1"/>
    <mergeCell ref="BL3:BO7"/>
    <mergeCell ref="CK3:CL3"/>
    <mergeCell ref="B18:D18"/>
    <mergeCell ref="E18:F18"/>
    <mergeCell ref="BI18:BJ18"/>
    <mergeCell ref="AR20:AU20"/>
    <mergeCell ref="AR23:AU23"/>
    <mergeCell ref="AW23:AY23"/>
    <mergeCell ref="BL23:BL24"/>
    <mergeCell ref="AI24:AK24"/>
    <mergeCell ref="AW26:AY26"/>
    <mergeCell ref="BC26:BG26"/>
    <mergeCell ref="CC26:CD26"/>
    <mergeCell ref="CH26:CJ27"/>
    <mergeCell ref="AT27:AW27"/>
    <mergeCell ref="CD27:CE27"/>
    <mergeCell ref="BL28:BT28"/>
    <mergeCell ref="A29:B29"/>
    <mergeCell ref="AC29:AF29"/>
    <mergeCell ref="AH29:AK29"/>
    <mergeCell ref="CH31:CJ32"/>
    <mergeCell ref="AW32:BC39"/>
    <mergeCell ref="J33:K33"/>
    <mergeCell ref="S33:U33"/>
    <mergeCell ref="B37:H37"/>
    <mergeCell ref="M38:N38"/>
    <mergeCell ref="B48:C48"/>
    <mergeCell ref="AK49:AM52"/>
    <mergeCell ref="AC51:AJ54"/>
    <mergeCell ref="AK53:AM54"/>
    <mergeCell ref="B64:D64"/>
    <mergeCell ref="L69:O69"/>
    <mergeCell ref="Q40:S73"/>
    <mergeCell ref="AF40:AH40"/>
    <mergeCell ref="BS40:BT40"/>
    <mergeCell ref="T44:AB54"/>
    <mergeCell ref="AE46:AM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O75"/>
  <sheetViews>
    <sheetView zoomScale="25" zoomScaleNormal="25" workbookViewId="0">
      <selection activeCell="AA132" sqref="AA132:AA133"/>
    </sheetView>
  </sheetViews>
  <sheetFormatPr baseColWidth="10" defaultColWidth="16.7109375" defaultRowHeight="15" x14ac:dyDescent="0.25"/>
  <sheetData>
    <row r="1" spans="1:93" ht="47.25" thickBot="1" x14ac:dyDescent="0.3">
      <c r="A1" s="680" t="s">
        <v>161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681"/>
      <c r="AS1" s="681"/>
      <c r="AT1" s="681"/>
      <c r="AU1" s="681"/>
      <c r="AV1" s="681"/>
      <c r="AW1" s="681"/>
      <c r="AX1" s="681"/>
      <c r="AY1" s="681"/>
      <c r="AZ1" s="681"/>
      <c r="BA1" s="681"/>
      <c r="BB1" s="681"/>
      <c r="BC1" s="681"/>
      <c r="BD1" s="681"/>
      <c r="BE1" s="681"/>
      <c r="BF1" s="681"/>
      <c r="BG1" s="681"/>
      <c r="BH1" s="681"/>
      <c r="BI1" s="681"/>
      <c r="BJ1" s="681"/>
      <c r="BK1" s="681"/>
      <c r="BL1" s="681"/>
      <c r="BM1" s="681"/>
      <c r="BN1" s="681"/>
      <c r="BO1" s="681"/>
      <c r="BP1" s="681"/>
      <c r="BQ1" s="681"/>
      <c r="BR1" s="681"/>
      <c r="BS1" s="681"/>
      <c r="BT1" s="681"/>
      <c r="BU1" s="681"/>
      <c r="BV1" s="681"/>
      <c r="BW1" s="681"/>
      <c r="BX1" s="681"/>
      <c r="BY1" s="681"/>
      <c r="BZ1" s="681"/>
      <c r="CA1" s="681"/>
      <c r="CB1" s="681"/>
      <c r="CC1" s="681"/>
      <c r="CD1" s="681"/>
      <c r="CE1" s="681"/>
      <c r="CF1" s="681"/>
      <c r="CG1" s="681"/>
      <c r="CH1" s="681"/>
      <c r="CI1" s="681"/>
      <c r="CJ1" s="681"/>
      <c r="CK1" s="681"/>
      <c r="CL1" s="681"/>
      <c r="CM1" s="681"/>
      <c r="CN1" s="681"/>
    </row>
    <row r="2" spans="1:9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6"/>
    </row>
    <row r="3" spans="1:93" ht="1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803" t="s">
        <v>162</v>
      </c>
      <c r="BM3" s="804"/>
      <c r="BN3" s="804"/>
      <c r="BO3" s="805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812" t="s">
        <v>163</v>
      </c>
      <c r="CL3" s="813"/>
      <c r="CM3" s="7"/>
      <c r="CN3" s="8"/>
    </row>
    <row r="4" spans="1:9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806"/>
      <c r="BM4" s="807"/>
      <c r="BN4" s="807"/>
      <c r="BO4" s="808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10"/>
    </row>
    <row r="5" spans="1:93" ht="15.7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806"/>
      <c r="BM5" s="807"/>
      <c r="BN5" s="807"/>
      <c r="BO5" s="808"/>
      <c r="BP5" s="9"/>
      <c r="BQ5" s="9"/>
      <c r="BR5" s="9"/>
      <c r="BS5" s="9"/>
      <c r="BT5" s="9"/>
      <c r="BZ5" s="11"/>
      <c r="CA5" s="11"/>
      <c r="CB5" s="11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594"/>
    </row>
    <row r="6" spans="1:93" ht="15.7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806"/>
      <c r="BM6" s="807"/>
      <c r="BN6" s="807"/>
      <c r="BO6" s="808"/>
      <c r="BP6" s="9"/>
      <c r="BQ6" s="9"/>
      <c r="BR6" s="9"/>
      <c r="BS6" s="9"/>
      <c r="BT6" s="9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4"/>
      <c r="CL6" s="4"/>
      <c r="CM6" s="4"/>
      <c r="CN6" s="594"/>
      <c r="CO6" s="13"/>
    </row>
    <row r="7" spans="1:93" ht="16.5" thickBo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809"/>
      <c r="BM7" s="810"/>
      <c r="BN7" s="810"/>
      <c r="BO7" s="811"/>
      <c r="BP7" s="9"/>
      <c r="BQ7" s="9"/>
      <c r="BR7" s="9"/>
      <c r="BS7" s="9"/>
      <c r="BT7" s="14"/>
      <c r="BY7" s="15"/>
      <c r="BZ7" s="4"/>
      <c r="CA7" s="4"/>
      <c r="CB7" s="613"/>
      <c r="CC7" s="613"/>
      <c r="CD7" s="613"/>
      <c r="CE7" s="11"/>
      <c r="CF7" s="11"/>
      <c r="CG7" s="11"/>
      <c r="CH7" s="11"/>
      <c r="CI7" s="11"/>
      <c r="CJ7" s="11"/>
      <c r="CK7" s="17"/>
      <c r="CL7" s="17"/>
      <c r="CM7" s="17"/>
      <c r="CN7" s="594"/>
      <c r="CO7" s="13"/>
    </row>
    <row r="8" spans="1:93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18"/>
      <c r="BL8" s="14"/>
      <c r="BM8" s="9"/>
      <c r="BN8" s="9"/>
      <c r="BO8" s="9"/>
      <c r="BP8" s="9"/>
      <c r="BQ8" s="9"/>
      <c r="BR8" s="9"/>
      <c r="BS8" s="9"/>
      <c r="BT8" s="15"/>
      <c r="BU8" s="19" t="s">
        <v>166</v>
      </c>
      <c r="BV8" s="19"/>
      <c r="BW8" s="14"/>
      <c r="BX8" s="14"/>
      <c r="BY8" s="15"/>
      <c r="BZ8" s="4"/>
      <c r="CA8" s="4"/>
      <c r="CB8" s="613"/>
      <c r="CC8" s="11"/>
      <c r="CD8" s="613"/>
      <c r="CE8" s="11"/>
      <c r="CF8" s="11"/>
      <c r="CG8" s="11"/>
      <c r="CH8" s="11"/>
      <c r="CI8" s="11"/>
      <c r="CJ8" s="11"/>
      <c r="CK8" s="17"/>
      <c r="CL8" s="17"/>
      <c r="CM8" s="17"/>
      <c r="CN8" s="594"/>
      <c r="CO8" s="13"/>
    </row>
    <row r="9" spans="1:93" ht="18.7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18"/>
      <c r="BL9" s="14"/>
      <c r="BM9" s="20"/>
      <c r="BN9" s="20"/>
      <c r="BO9" s="4"/>
      <c r="BP9" s="9"/>
      <c r="BQ9" s="9"/>
      <c r="BT9" s="9"/>
      <c r="BU9" s="21">
        <v>1</v>
      </c>
      <c r="BV9" s="21">
        <v>2</v>
      </c>
      <c r="BZ9" s="4"/>
      <c r="CB9" s="613"/>
      <c r="CC9" s="11"/>
      <c r="CD9" s="613"/>
      <c r="CE9" s="11"/>
      <c r="CF9" s="11"/>
      <c r="CG9" s="11"/>
      <c r="CH9" s="11"/>
      <c r="CI9" s="11"/>
      <c r="CJ9" s="11"/>
      <c r="CK9" s="17"/>
      <c r="CL9" s="17"/>
      <c r="CM9" s="17"/>
      <c r="CN9" s="614"/>
      <c r="CO9" s="13"/>
    </row>
    <row r="10" spans="1:93" ht="18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18"/>
      <c r="BL10" s="14"/>
      <c r="BM10" s="23"/>
      <c r="BN10" s="23"/>
      <c r="BO10" s="4"/>
      <c r="BP10" s="9"/>
      <c r="BQ10" s="9"/>
      <c r="BT10" s="24" t="s">
        <v>168</v>
      </c>
      <c r="BU10" s="25"/>
      <c r="BV10" s="25"/>
      <c r="BZ10" s="11"/>
      <c r="CC10" s="613"/>
      <c r="CD10" s="613"/>
      <c r="CE10" s="11"/>
      <c r="CF10" s="11"/>
      <c r="CG10" s="11"/>
      <c r="CH10" s="11"/>
      <c r="CI10" s="11"/>
      <c r="CJ10" s="11"/>
      <c r="CK10" s="17"/>
      <c r="CL10" s="17"/>
      <c r="CM10" s="17"/>
      <c r="CN10" s="614"/>
      <c r="CO10" s="13"/>
    </row>
    <row r="11" spans="1:93" ht="23.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1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18"/>
      <c r="BL11" s="14"/>
      <c r="BM11" s="23"/>
      <c r="BN11" s="23"/>
      <c r="BO11" s="4"/>
      <c r="BP11" s="588"/>
      <c r="BQ11" s="588"/>
      <c r="BT11" s="25" t="s">
        <v>170</v>
      </c>
      <c r="BU11" s="412">
        <v>340</v>
      </c>
      <c r="BV11" s="412">
        <v>340</v>
      </c>
      <c r="BW11" s="25" t="s">
        <v>170</v>
      </c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594"/>
      <c r="CK11" s="17"/>
      <c r="CL11" s="17"/>
      <c r="CM11" s="17"/>
      <c r="CN11" s="614"/>
      <c r="CO11" s="13"/>
    </row>
    <row r="12" spans="1:93" ht="23.2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  <c r="V12" s="4"/>
      <c r="W12" s="11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18"/>
      <c r="BL12" s="14"/>
      <c r="BM12" s="23"/>
      <c r="BN12" s="23"/>
      <c r="BO12" s="4"/>
      <c r="BP12" s="588"/>
      <c r="BQ12" s="588"/>
      <c r="BT12" s="25" t="s">
        <v>170</v>
      </c>
      <c r="BU12" s="412">
        <v>340</v>
      </c>
      <c r="BV12" s="412">
        <v>340</v>
      </c>
      <c r="BW12" s="25" t="s">
        <v>170</v>
      </c>
      <c r="BX12" s="15"/>
      <c r="BY12" s="15"/>
      <c r="BZ12" s="11"/>
      <c r="CA12" s="11"/>
      <c r="CB12" s="11"/>
      <c r="CC12" s="11"/>
      <c r="CD12" s="11"/>
      <c r="CE12" s="11"/>
      <c r="CF12" s="11"/>
      <c r="CG12" s="11"/>
      <c r="CH12" s="11"/>
      <c r="CI12" s="594"/>
      <c r="CJ12" s="11"/>
      <c r="CK12" s="594"/>
      <c r="CL12" s="17"/>
      <c r="CM12" s="17"/>
      <c r="CN12" s="594"/>
      <c r="CO12" s="13"/>
    </row>
    <row r="13" spans="1:93" ht="18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1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18"/>
      <c r="BL13" s="14"/>
      <c r="BM13" s="20"/>
      <c r="BN13" s="20"/>
      <c r="BO13" s="4"/>
      <c r="BP13" s="9"/>
      <c r="BQ13" s="9"/>
      <c r="BT13" s="9"/>
      <c r="BU13" s="25"/>
      <c r="BV13" s="25"/>
      <c r="BW13" s="9"/>
      <c r="BX13" s="9"/>
      <c r="BY13" s="9"/>
      <c r="BZ13" s="11"/>
      <c r="CA13" s="11"/>
      <c r="CB13" s="11"/>
      <c r="CC13" s="11"/>
      <c r="CD13" s="11"/>
      <c r="CE13" s="11"/>
      <c r="CF13" s="11"/>
      <c r="CG13" s="11"/>
      <c r="CH13" s="594"/>
      <c r="CI13" s="11"/>
      <c r="CL13" s="594"/>
      <c r="CM13" s="17"/>
      <c r="CN13" s="594"/>
      <c r="CO13" s="13"/>
    </row>
    <row r="14" spans="1:93" ht="18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1"/>
      <c r="V14" s="11"/>
      <c r="W14" s="11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18"/>
      <c r="BL14" s="14"/>
      <c r="BM14" s="23"/>
      <c r="BN14" s="23"/>
      <c r="BO14" s="4"/>
      <c r="BP14" s="9"/>
      <c r="BQ14" s="9"/>
      <c r="BT14" s="9"/>
      <c r="BU14" s="21">
        <v>4</v>
      </c>
      <c r="BV14" s="21">
        <v>3</v>
      </c>
      <c r="BY14" s="28"/>
      <c r="CA14" s="11"/>
      <c r="CB14" s="11"/>
      <c r="CC14" s="11"/>
      <c r="CD14" s="11"/>
      <c r="CE14" s="11"/>
      <c r="CF14" s="11"/>
      <c r="CG14" s="11"/>
      <c r="CH14" s="11"/>
      <c r="CI14" s="594"/>
      <c r="CK14" s="594"/>
      <c r="CL14" s="17"/>
      <c r="CM14" s="17"/>
      <c r="CN14" s="594"/>
      <c r="CO14" s="13"/>
    </row>
    <row r="15" spans="1:93" ht="18.75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4"/>
      <c r="BC15" s="4"/>
      <c r="BD15" s="4"/>
      <c r="BE15" s="4"/>
      <c r="BF15" s="4"/>
      <c r="BG15" s="4"/>
      <c r="BH15" s="4"/>
      <c r="BI15" s="4"/>
      <c r="BJ15" s="4"/>
      <c r="BK15" s="18"/>
      <c r="BL15" s="32"/>
      <c r="BM15" s="23"/>
      <c r="BN15" s="23"/>
      <c r="BO15" s="4"/>
      <c r="BP15" s="20"/>
      <c r="BQ15" s="20"/>
      <c r="BT15" s="20"/>
      <c r="BU15" s="33"/>
      <c r="BV15" s="33"/>
      <c r="BW15" s="34"/>
      <c r="BX15" s="35"/>
      <c r="BY15" s="36"/>
      <c r="CE15" s="11"/>
      <c r="CF15" s="11"/>
      <c r="CG15" s="11"/>
      <c r="CH15" s="11"/>
      <c r="CI15" s="11"/>
      <c r="CJ15" s="594"/>
      <c r="CL15" s="17"/>
      <c r="CM15" s="17"/>
      <c r="CN15" s="615"/>
      <c r="CO15" s="13"/>
    </row>
    <row r="16" spans="1:93" ht="24" thickBot="1" x14ac:dyDescent="0.3">
      <c r="A16" s="29"/>
      <c r="B16" s="38"/>
      <c r="C16" s="38"/>
      <c r="D16" s="38"/>
      <c r="E16" s="38"/>
      <c r="F16" s="38"/>
      <c r="G16" s="38"/>
      <c r="H16" s="38"/>
      <c r="I16" s="39"/>
      <c r="J16" s="38"/>
      <c r="K16" s="4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2"/>
      <c r="BG16" s="42"/>
      <c r="BH16" s="42"/>
      <c r="BI16" s="42"/>
      <c r="BJ16" s="42"/>
      <c r="BK16" s="43"/>
      <c r="BL16" s="44"/>
      <c r="BM16" s="23"/>
      <c r="BN16" s="23"/>
      <c r="BO16" s="30"/>
      <c r="BP16" s="20"/>
      <c r="BQ16" s="20"/>
      <c r="BS16" s="21">
        <v>1</v>
      </c>
      <c r="BT16" s="33" t="s">
        <v>172</v>
      </c>
      <c r="BU16" s="3">
        <v>250</v>
      </c>
      <c r="BV16" s="3">
        <v>250</v>
      </c>
      <c r="BW16" s="33" t="s">
        <v>172</v>
      </c>
      <c r="BX16" s="21">
        <v>6</v>
      </c>
      <c r="BY16" s="46"/>
      <c r="CA16" s="594"/>
      <c r="CB16" s="594"/>
      <c r="CC16" s="594"/>
      <c r="CD16" s="594"/>
      <c r="CE16" s="594"/>
      <c r="CF16" s="11"/>
      <c r="CG16" s="11"/>
      <c r="CH16" s="11"/>
      <c r="CI16" s="11"/>
      <c r="CJ16" s="11"/>
      <c r="CK16" s="17"/>
      <c r="CL16" s="17"/>
      <c r="CM16" s="47"/>
      <c r="CN16" s="615"/>
      <c r="CO16" s="13"/>
    </row>
    <row r="17" spans="1:93" ht="23.25" x14ac:dyDescent="0.25">
      <c r="A17" s="48"/>
      <c r="B17" s="576"/>
      <c r="C17" s="576"/>
      <c r="D17" s="576"/>
      <c r="E17" s="576"/>
      <c r="F17" s="576"/>
      <c r="G17" s="4"/>
      <c r="H17" s="576"/>
      <c r="I17" s="576"/>
      <c r="J17" s="577"/>
      <c r="K17" s="577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577"/>
      <c r="AB17" s="577"/>
      <c r="AC17" s="577"/>
      <c r="AD17" s="577"/>
      <c r="AE17" s="52"/>
      <c r="AF17" s="52"/>
      <c r="AG17" s="53"/>
      <c r="AH17" s="54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4"/>
      <c r="BA17" s="56"/>
      <c r="BB17" s="56"/>
      <c r="BC17" s="56"/>
      <c r="BD17" s="56"/>
      <c r="BE17" s="57"/>
      <c r="BF17" s="609"/>
      <c r="BG17" s="609"/>
      <c r="BH17" s="609"/>
      <c r="BI17" s="609"/>
      <c r="BL17" s="59"/>
      <c r="BM17" s="23"/>
      <c r="BN17" s="23"/>
      <c r="BO17" s="20"/>
      <c r="BP17" s="607"/>
      <c r="BQ17" s="607"/>
      <c r="BS17" s="21">
        <v>2</v>
      </c>
      <c r="BT17" s="33" t="s">
        <v>172</v>
      </c>
      <c r="BU17" s="3">
        <v>250</v>
      </c>
      <c r="BV17" s="3">
        <v>250</v>
      </c>
      <c r="BW17" s="33" t="s">
        <v>172</v>
      </c>
      <c r="BX17" s="21">
        <v>5</v>
      </c>
      <c r="BY17" s="36"/>
      <c r="CA17" s="594"/>
      <c r="CB17" s="594"/>
      <c r="CC17" s="594"/>
      <c r="CD17" s="594"/>
      <c r="CE17" s="594"/>
      <c r="CF17" s="11"/>
      <c r="CG17" s="11"/>
      <c r="CH17" s="11"/>
      <c r="CI17" s="11"/>
      <c r="CJ17" s="11"/>
      <c r="CK17" s="17"/>
      <c r="CL17" s="17"/>
      <c r="CM17" s="47"/>
      <c r="CN17" s="615"/>
      <c r="CO17" s="13"/>
    </row>
    <row r="18" spans="1:93" ht="24" thickBot="1" x14ac:dyDescent="0.3">
      <c r="A18" s="48"/>
      <c r="B18" s="831"/>
      <c r="C18" s="682"/>
      <c r="D18" s="682"/>
      <c r="E18" s="683"/>
      <c r="F18" s="684"/>
      <c r="T18" s="11"/>
      <c r="U18" s="61"/>
      <c r="V18" s="62"/>
      <c r="W18" s="62"/>
      <c r="X18" s="62"/>
      <c r="Y18" s="62"/>
      <c r="Z18" s="62"/>
      <c r="AA18" s="11"/>
      <c r="AB18" s="63"/>
      <c r="AC18" s="63"/>
      <c r="AD18" s="63"/>
      <c r="AE18" s="63"/>
      <c r="AF18" s="63"/>
      <c r="AH18" s="6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64"/>
      <c r="BA18" s="57"/>
      <c r="BB18" s="57"/>
      <c r="BC18" s="57"/>
      <c r="BD18" s="57"/>
      <c r="BE18" s="46"/>
      <c r="BG18" s="65"/>
      <c r="BI18" s="685" t="s">
        <v>182</v>
      </c>
      <c r="BJ18" s="685"/>
      <c r="BK18" s="65"/>
      <c r="BL18" s="59"/>
      <c r="BM18" s="20"/>
      <c r="BN18" s="20"/>
      <c r="BO18" s="20"/>
      <c r="BP18" s="607"/>
      <c r="BQ18" s="607"/>
      <c r="BS18" s="21">
        <v>3</v>
      </c>
      <c r="BT18" s="33" t="s">
        <v>172</v>
      </c>
      <c r="BU18" s="3">
        <v>250</v>
      </c>
      <c r="BV18" s="3">
        <v>250</v>
      </c>
      <c r="BW18" s="33" t="s">
        <v>172</v>
      </c>
      <c r="BX18" s="21">
        <v>4</v>
      </c>
      <c r="BY18" s="46"/>
      <c r="CA18" s="66"/>
      <c r="CB18" s="66"/>
      <c r="CC18" s="66"/>
      <c r="CD18" s="66"/>
      <c r="CF18" s="17"/>
      <c r="CG18" s="17"/>
      <c r="CH18" s="45"/>
      <c r="CI18" s="17"/>
      <c r="CJ18" s="17"/>
      <c r="CK18" s="17"/>
      <c r="CL18" s="17"/>
      <c r="CM18" s="9"/>
      <c r="CN18" s="10"/>
      <c r="CO18" s="13"/>
    </row>
    <row r="19" spans="1:93" ht="23.25" x14ac:dyDescent="0.3">
      <c r="A19" s="48"/>
      <c r="B19" s="17"/>
      <c r="C19" s="17"/>
      <c r="D19" s="4"/>
      <c r="E19" s="4"/>
      <c r="T19" s="4"/>
      <c r="U19" s="67"/>
      <c r="V19" s="68"/>
      <c r="W19" s="69"/>
      <c r="X19" s="70"/>
      <c r="Y19" s="69"/>
      <c r="Z19" s="69"/>
      <c r="AA19" s="67"/>
      <c r="AB19" s="68"/>
      <c r="AC19" s="69"/>
      <c r="AD19" s="70"/>
      <c r="AE19" s="69"/>
      <c r="AF19" s="69"/>
      <c r="AH19" s="71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1"/>
      <c r="BA19" s="73"/>
      <c r="BB19" s="73"/>
      <c r="BC19" s="73"/>
      <c r="BE19" s="73">
        <v>1</v>
      </c>
      <c r="BF19" s="73">
        <v>2</v>
      </c>
      <c r="BG19" s="73">
        <v>3</v>
      </c>
      <c r="BH19" s="73"/>
      <c r="BI19" s="73">
        <v>4</v>
      </c>
      <c r="BJ19" s="73"/>
      <c r="BK19" s="65"/>
      <c r="BL19" s="59"/>
      <c r="BM19" s="20"/>
      <c r="BN19" s="20"/>
      <c r="BO19" s="20"/>
      <c r="BP19" s="607"/>
      <c r="BQ19" s="607"/>
      <c r="BS19" s="21"/>
      <c r="BU19" s="33"/>
      <c r="BV19" s="33"/>
      <c r="BW19" s="616"/>
      <c r="BX19" s="21"/>
      <c r="BZ19" s="577"/>
      <c r="CA19" s="577"/>
      <c r="CB19" s="577"/>
      <c r="CC19" s="577"/>
      <c r="CD19" s="577"/>
      <c r="CE19" s="75"/>
      <c r="CF19" s="76"/>
      <c r="CG19" s="76"/>
      <c r="CH19" s="76"/>
      <c r="CI19" s="77"/>
      <c r="CJ19" s="78"/>
      <c r="CK19" s="78"/>
      <c r="CL19" s="78"/>
      <c r="CM19" s="79"/>
      <c r="CN19" s="79"/>
      <c r="CO19" s="13"/>
    </row>
    <row r="20" spans="1:93" ht="23.25" x14ac:dyDescent="0.35">
      <c r="A20" s="48"/>
      <c r="B20" s="4"/>
      <c r="C20" s="30"/>
      <c r="D20" s="578"/>
      <c r="E20" s="30"/>
      <c r="F20" s="579"/>
      <c r="G20" s="579"/>
      <c r="H20" s="1"/>
      <c r="K20" s="82"/>
      <c r="L20" s="11"/>
      <c r="M20" s="11"/>
      <c r="N20" s="11"/>
      <c r="O20" s="17"/>
      <c r="P20" s="1"/>
      <c r="Q20" s="17"/>
      <c r="R20" s="17"/>
      <c r="S20" s="249"/>
      <c r="T20" s="580"/>
      <c r="U20" s="85"/>
      <c r="V20" s="86"/>
      <c r="W20" s="86"/>
      <c r="X20" s="86"/>
      <c r="Y20" s="86"/>
      <c r="Z20" s="71"/>
      <c r="AA20" s="86"/>
      <c r="AB20" s="86"/>
      <c r="AC20" s="86"/>
      <c r="AD20" s="86"/>
      <c r="AE20" s="87"/>
      <c r="AF20" s="86"/>
      <c r="AG20" s="88"/>
      <c r="AH20" s="88"/>
      <c r="AI20" s="88"/>
      <c r="AJ20" s="85"/>
      <c r="AK20" s="71"/>
      <c r="AL20" s="54"/>
      <c r="AM20" s="54"/>
      <c r="AN20" s="54"/>
      <c r="AO20" s="54"/>
      <c r="AP20" s="54"/>
      <c r="AQ20" s="71"/>
      <c r="AR20" s="686"/>
      <c r="AS20" s="686"/>
      <c r="AT20" s="686"/>
      <c r="AU20" s="686"/>
      <c r="AW20" s="73"/>
      <c r="AX20" s="73"/>
      <c r="AZ20" s="89"/>
      <c r="BB20" s="46"/>
      <c r="BC20" s="90"/>
      <c r="BD20" s="91" t="s">
        <v>189</v>
      </c>
      <c r="BE20" s="92" t="s">
        <v>190</v>
      </c>
      <c r="BF20" s="92" t="s">
        <v>190</v>
      </c>
      <c r="BG20" s="92" t="s">
        <v>190</v>
      </c>
      <c r="BH20" s="24" t="s">
        <v>186</v>
      </c>
      <c r="BI20" s="93" t="s">
        <v>170</v>
      </c>
      <c r="BJ20" s="94"/>
      <c r="BK20" s="65"/>
      <c r="BL20" s="59"/>
      <c r="BM20" s="20"/>
      <c r="BN20" s="20"/>
      <c r="BO20" s="20"/>
      <c r="BP20" s="20"/>
      <c r="BQ20" s="20"/>
      <c r="BR20" s="20"/>
      <c r="BS20" s="4"/>
      <c r="BT20" s="46"/>
      <c r="BU20" s="19" t="s">
        <v>191</v>
      </c>
      <c r="BV20" s="19"/>
      <c r="BX20" s="616"/>
      <c r="BY20" s="617"/>
      <c r="BZ20" s="577"/>
      <c r="CA20" s="577"/>
      <c r="CB20" s="577"/>
      <c r="CC20" s="577"/>
      <c r="CD20" s="577"/>
      <c r="CE20" s="96"/>
      <c r="CF20" s="97"/>
      <c r="CG20" s="97"/>
      <c r="CH20" s="97"/>
      <c r="CI20" s="98"/>
      <c r="CJ20" s="99"/>
      <c r="CK20" s="99"/>
      <c r="CL20" s="99"/>
      <c r="CM20" s="100"/>
      <c r="CN20" s="100"/>
      <c r="CO20" s="13"/>
    </row>
    <row r="21" spans="1:93" ht="23.25" x14ac:dyDescent="0.35">
      <c r="A21" s="48"/>
      <c r="B21" s="4"/>
      <c r="C21" s="30"/>
      <c r="D21" s="578"/>
      <c r="F21" s="101"/>
      <c r="G21" s="101"/>
      <c r="H21" s="102"/>
      <c r="I21" s="103"/>
      <c r="J21" s="581"/>
      <c r="K21" s="581"/>
      <c r="L21" s="581"/>
      <c r="M21" s="581"/>
      <c r="N21" s="581"/>
      <c r="O21" s="17"/>
      <c r="P21" s="580"/>
      <c r="Q21" s="580"/>
      <c r="R21" s="580"/>
      <c r="S21" s="14"/>
      <c r="T21" s="582"/>
      <c r="U21" s="106"/>
      <c r="V21" s="55"/>
      <c r="W21" s="55"/>
      <c r="X21" s="55"/>
      <c r="Y21" s="55"/>
      <c r="Z21" s="106"/>
      <c r="AA21" s="55"/>
      <c r="AB21" s="55"/>
      <c r="AC21" s="55"/>
      <c r="AD21" s="55"/>
      <c r="AE21" s="106"/>
      <c r="AF21" s="55"/>
      <c r="AG21" s="55"/>
      <c r="AH21" s="55"/>
      <c r="AI21" s="55"/>
      <c r="AJ21" s="106"/>
      <c r="AK21" s="106"/>
      <c r="AL21" s="55"/>
      <c r="AM21" s="55"/>
      <c r="AN21" s="55"/>
      <c r="AO21" s="55"/>
      <c r="AP21" s="55"/>
      <c r="AQ21" s="107"/>
      <c r="AR21" s="576"/>
      <c r="AS21" s="576"/>
      <c r="AT21" s="576"/>
      <c r="AU21" s="576"/>
      <c r="AV21" s="606"/>
      <c r="AW21" s="607"/>
      <c r="AX21" s="607"/>
      <c r="AY21" s="607"/>
      <c r="AZ21" s="89"/>
      <c r="BB21" s="110"/>
      <c r="BC21" s="110"/>
      <c r="BD21" s="92"/>
      <c r="BE21" s="111">
        <v>500</v>
      </c>
      <c r="BF21" s="111">
        <v>500</v>
      </c>
      <c r="BG21" s="112">
        <v>500</v>
      </c>
      <c r="BH21" s="93"/>
      <c r="BI21" s="113">
        <v>200</v>
      </c>
      <c r="BJ21" s="93"/>
      <c r="BK21" s="65"/>
      <c r="BL21" s="59"/>
      <c r="BM21" s="20"/>
      <c r="BN21" s="20"/>
      <c r="BO21" s="20"/>
      <c r="BP21" s="20"/>
      <c r="BQ21" s="20"/>
      <c r="BR21" s="20"/>
      <c r="BS21" s="4"/>
      <c r="BT21" s="114"/>
      <c r="BU21" s="35"/>
      <c r="BV21" s="110"/>
      <c r="BW21" s="586"/>
      <c r="BX21" s="98"/>
      <c r="BY21" s="617"/>
      <c r="BZ21" s="618"/>
      <c r="CA21" s="618"/>
      <c r="CB21" s="618"/>
      <c r="CC21" s="618"/>
      <c r="CD21" s="619"/>
      <c r="CE21" s="117"/>
      <c r="CF21" s="98"/>
      <c r="CG21" s="98"/>
      <c r="CH21" s="98"/>
      <c r="CJ21" s="99"/>
      <c r="CK21" s="99"/>
      <c r="CL21" s="99"/>
      <c r="CM21" s="100"/>
      <c r="CN21" s="118"/>
    </row>
    <row r="22" spans="1:93" ht="24" thickBot="1" x14ac:dyDescent="0.3">
      <c r="A22" s="48"/>
      <c r="B22" s="4"/>
      <c r="C22" s="30"/>
      <c r="D22" s="578"/>
      <c r="E22" s="583"/>
      <c r="F22" s="583"/>
      <c r="G22" s="583"/>
      <c r="H22" s="583"/>
      <c r="J22" s="583"/>
      <c r="K22" s="583"/>
      <c r="L22" s="583"/>
      <c r="M22" s="583"/>
      <c r="P22" s="583"/>
      <c r="Q22" s="583"/>
      <c r="R22" s="583"/>
      <c r="S22" s="583"/>
      <c r="T22" s="582"/>
      <c r="U22" s="106"/>
      <c r="V22" s="55"/>
      <c r="W22" s="55"/>
      <c r="X22" s="55"/>
      <c r="Y22" s="55"/>
      <c r="Z22" s="106"/>
      <c r="AA22" s="55"/>
      <c r="AB22" s="55"/>
      <c r="AC22" s="55"/>
      <c r="AD22" s="55"/>
      <c r="AE22" s="106"/>
      <c r="AF22" s="55"/>
      <c r="AG22" s="55"/>
      <c r="AH22" s="55"/>
      <c r="AI22" s="55"/>
      <c r="AJ22" s="106"/>
      <c r="AK22" s="106"/>
      <c r="AL22" s="55"/>
      <c r="AM22" s="55"/>
      <c r="AN22" s="55"/>
      <c r="AO22" s="55"/>
      <c r="AP22" s="55"/>
      <c r="AQ22" s="107"/>
      <c r="AR22" s="576"/>
      <c r="AS22" s="576"/>
      <c r="AT22" s="576"/>
      <c r="AU22" s="576"/>
      <c r="AV22" s="606"/>
      <c r="AW22" s="607"/>
      <c r="AX22" s="607"/>
      <c r="AY22" s="607"/>
      <c r="AZ22" s="89"/>
      <c r="BB22" s="110"/>
      <c r="BC22" s="110"/>
      <c r="BD22" s="92"/>
      <c r="BE22" s="112">
        <v>500</v>
      </c>
      <c r="BF22" s="112">
        <v>500</v>
      </c>
      <c r="BG22" s="112">
        <v>500</v>
      </c>
      <c r="BH22" s="93"/>
      <c r="BI22" s="120">
        <v>200</v>
      </c>
      <c r="BJ22" s="93"/>
      <c r="BK22" s="65"/>
      <c r="BL22" s="59"/>
      <c r="BM22" s="20"/>
      <c r="BN22" s="20"/>
      <c r="BO22" s="20"/>
      <c r="BP22" s="20"/>
      <c r="BQ22" s="20"/>
      <c r="BR22" s="20"/>
      <c r="BS22" s="4"/>
      <c r="BT22" s="46"/>
      <c r="BU22" s="46"/>
      <c r="BV22" s="34"/>
      <c r="CA22" s="30"/>
      <c r="CB22" s="30"/>
      <c r="CC22" s="30"/>
      <c r="CD22" s="620"/>
      <c r="CE22" s="117"/>
      <c r="CF22" s="98"/>
      <c r="CG22" s="98"/>
      <c r="CH22" s="98"/>
      <c r="CJ22" s="99"/>
      <c r="CK22" s="99"/>
      <c r="CL22" s="99"/>
      <c r="CM22" s="100"/>
      <c r="CN22" s="118"/>
    </row>
    <row r="23" spans="1:93" ht="23.25" x14ac:dyDescent="0.25">
      <c r="A23" s="48"/>
      <c r="B23" s="4"/>
      <c r="C23" s="30"/>
      <c r="D23" s="578"/>
      <c r="E23" s="583"/>
      <c r="F23" s="583"/>
      <c r="G23" s="583"/>
      <c r="H23" s="583"/>
      <c r="J23" s="583"/>
      <c r="K23" s="583"/>
      <c r="L23" s="583"/>
      <c r="M23" s="583"/>
      <c r="P23" s="583"/>
      <c r="Q23" s="583"/>
      <c r="R23" s="583"/>
      <c r="S23" s="583"/>
      <c r="T23" s="98"/>
      <c r="U23" s="123"/>
      <c r="V23" s="86"/>
      <c r="W23" s="86"/>
      <c r="X23" s="86"/>
      <c r="Y23" s="86"/>
      <c r="Z23" s="123"/>
      <c r="AA23" s="86"/>
      <c r="AB23" s="86"/>
      <c r="AC23" s="86"/>
      <c r="AD23" s="86"/>
      <c r="AE23" s="123"/>
      <c r="AF23" s="86"/>
      <c r="AG23" s="88"/>
      <c r="AH23" s="88"/>
      <c r="AI23" s="88"/>
      <c r="AJ23" s="123"/>
      <c r="AK23" s="123"/>
      <c r="AL23" s="54"/>
      <c r="AM23" s="54"/>
      <c r="AN23" s="54"/>
      <c r="AO23" s="54"/>
      <c r="AP23" s="54"/>
      <c r="AQ23" s="124"/>
      <c r="AR23" s="687"/>
      <c r="AS23" s="687"/>
      <c r="AT23" s="687"/>
      <c r="AU23" s="687"/>
      <c r="AW23" s="688"/>
      <c r="AX23" s="689"/>
      <c r="AY23" s="689"/>
      <c r="AZ23" s="89"/>
      <c r="BB23" s="125"/>
      <c r="BC23" s="110"/>
      <c r="BD23" s="110"/>
      <c r="BE23" s="92" t="s">
        <v>190</v>
      </c>
      <c r="BF23" s="92" t="s">
        <v>190</v>
      </c>
      <c r="BG23" s="92" t="s">
        <v>190</v>
      </c>
      <c r="BH23" s="125"/>
      <c r="BI23" s="93" t="s">
        <v>170</v>
      </c>
      <c r="BK23" s="126"/>
      <c r="BL23" s="690" t="s">
        <v>196</v>
      </c>
      <c r="BM23" s="4"/>
      <c r="BN23" s="4"/>
      <c r="BO23" s="4"/>
      <c r="BP23" s="20"/>
      <c r="BQ23" s="20"/>
      <c r="BR23" s="20"/>
      <c r="BS23" s="4"/>
      <c r="BT23" s="114"/>
      <c r="BU23" s="35"/>
      <c r="BV23" s="110"/>
      <c r="BW23" s="586"/>
      <c r="BX23" s="577"/>
      <c r="BY23" s="577"/>
      <c r="CA23" s="583"/>
      <c r="CB23" s="583"/>
      <c r="CC23" s="583"/>
      <c r="CD23" s="621"/>
      <c r="CE23" s="117"/>
      <c r="CF23" s="98"/>
      <c r="CG23" s="98"/>
      <c r="CH23" s="98"/>
      <c r="CJ23" s="99"/>
      <c r="CK23" s="99"/>
      <c r="CL23" s="99"/>
      <c r="CM23" s="100"/>
      <c r="CN23" s="118"/>
    </row>
    <row r="24" spans="1:93" ht="24" thickBot="1" x14ac:dyDescent="0.3">
      <c r="A24" s="48"/>
      <c r="B24" s="4"/>
      <c r="C24" s="11"/>
      <c r="D24" s="11"/>
      <c r="E24" s="11"/>
      <c r="J24" s="1"/>
      <c r="K24" s="183"/>
      <c r="L24" s="584"/>
      <c r="M24" s="584"/>
      <c r="N24" s="585"/>
      <c r="O24" s="585"/>
      <c r="P24" s="585"/>
      <c r="R24" s="72"/>
      <c r="S24" s="14"/>
      <c r="T24" s="586"/>
      <c r="U24" s="110"/>
      <c r="V24" s="130"/>
      <c r="W24" s="131"/>
      <c r="X24" s="132"/>
      <c r="Y24" s="130"/>
      <c r="Z24" s="110"/>
      <c r="AA24" s="110"/>
      <c r="AB24" s="130"/>
      <c r="AC24" s="24" t="s">
        <v>187</v>
      </c>
      <c r="AD24" s="133"/>
      <c r="AE24" s="133"/>
      <c r="AG24" s="110"/>
      <c r="AH24" s="24" t="s">
        <v>197</v>
      </c>
      <c r="AI24" s="661" t="s">
        <v>198</v>
      </c>
      <c r="AJ24" s="661"/>
      <c r="AK24" s="661"/>
      <c r="AL24" s="110"/>
      <c r="AM24" s="110"/>
      <c r="AN24" s="24" t="s">
        <v>199</v>
      </c>
      <c r="AO24" s="134"/>
      <c r="AP24" s="134"/>
      <c r="AQ24" s="108" t="s">
        <v>200</v>
      </c>
      <c r="AR24" s="606"/>
      <c r="AS24" s="606"/>
      <c r="AW24" s="606"/>
      <c r="AX24" s="606"/>
      <c r="AY24" s="606"/>
      <c r="AZ24" s="135"/>
      <c r="BB24" s="136"/>
      <c r="BC24" s="125"/>
      <c r="BD24" s="125"/>
      <c r="BE24" s="73">
        <v>8</v>
      </c>
      <c r="BF24" s="73">
        <v>7</v>
      </c>
      <c r="BG24" s="73">
        <v>6</v>
      </c>
      <c r="BH24" s="73"/>
      <c r="BI24" s="73">
        <v>5</v>
      </c>
      <c r="BJ24" s="137"/>
      <c r="BK24" s="65"/>
      <c r="BL24" s="691"/>
      <c r="BM24" s="4"/>
      <c r="BN24" s="4"/>
      <c r="BO24" s="4"/>
      <c r="BP24" s="20"/>
      <c r="BQ24" s="20"/>
      <c r="BR24" s="20"/>
      <c r="BS24" s="4"/>
      <c r="BT24" s="46"/>
      <c r="BU24" s="46"/>
      <c r="BV24" s="35"/>
      <c r="BW24" s="98"/>
      <c r="BX24" s="577"/>
      <c r="BY24" s="577"/>
      <c r="CA24" s="583"/>
      <c r="CB24" s="583"/>
      <c r="CC24" s="583"/>
      <c r="CD24" s="622"/>
      <c r="CE24" s="117"/>
      <c r="CI24" s="98"/>
      <c r="CJ24" s="99"/>
      <c r="CK24" s="99"/>
      <c r="CL24" s="99"/>
      <c r="CM24" s="100"/>
      <c r="CN24" s="139"/>
    </row>
    <row r="25" spans="1:93" ht="23.25" x14ac:dyDescent="0.25">
      <c r="A25" s="48"/>
      <c r="B25" s="4"/>
      <c r="C25" s="45"/>
      <c r="D25" s="45"/>
      <c r="E25" s="45"/>
      <c r="F25" s="99"/>
      <c r="H25" s="99"/>
      <c r="I25" s="1"/>
      <c r="P25" s="587"/>
      <c r="Q25" s="587"/>
      <c r="R25" s="72"/>
      <c r="S25" s="249"/>
      <c r="T25" s="586"/>
      <c r="U25" s="586"/>
      <c r="V25" s="590"/>
      <c r="W25" s="591"/>
      <c r="X25" s="592"/>
      <c r="Y25" s="590"/>
      <c r="Z25" s="110"/>
      <c r="AA25" s="110"/>
      <c r="AB25" s="141">
        <v>1</v>
      </c>
      <c r="AC25" s="133" t="s">
        <v>170</v>
      </c>
      <c r="AD25" s="2">
        <v>340</v>
      </c>
      <c r="AE25" s="2">
        <v>340</v>
      </c>
      <c r="AF25" s="133" t="s">
        <v>170</v>
      </c>
      <c r="AG25" s="142">
        <v>6</v>
      </c>
      <c r="AH25" s="143" t="s">
        <v>170</v>
      </c>
      <c r="AI25" s="144">
        <v>300</v>
      </c>
      <c r="AJ25" s="144">
        <v>300</v>
      </c>
      <c r="AK25" s="143" t="s">
        <v>170</v>
      </c>
      <c r="AL25" s="142">
        <v>6</v>
      </c>
      <c r="AM25" s="145">
        <v>1</v>
      </c>
      <c r="AN25" s="134" t="s">
        <v>172</v>
      </c>
      <c r="AO25" s="146">
        <v>340</v>
      </c>
      <c r="AP25" s="146">
        <v>340</v>
      </c>
      <c r="AQ25" s="134" t="s">
        <v>172</v>
      </c>
      <c r="AR25" s="147">
        <v>4</v>
      </c>
      <c r="AS25" s="89"/>
      <c r="AT25" s="46"/>
      <c r="AU25" s="73"/>
      <c r="AV25" s="89"/>
      <c r="AW25" s="89"/>
      <c r="AX25" s="89"/>
      <c r="AY25" s="46"/>
      <c r="AZ25" s="89"/>
      <c r="BA25" s="73"/>
      <c r="BB25" s="89"/>
      <c r="BC25" s="90"/>
      <c r="BD25" s="90"/>
      <c r="BE25" s="679" t="s">
        <v>201</v>
      </c>
      <c r="BF25" s="679"/>
      <c r="BG25" s="679"/>
      <c r="BH25" s="90"/>
      <c r="BI25" s="46"/>
      <c r="BJ25" s="94"/>
      <c r="BK25" s="65"/>
      <c r="BL25" s="148"/>
      <c r="BM25" s="20"/>
      <c r="BN25" s="20"/>
      <c r="BO25" s="20"/>
      <c r="BP25" s="20"/>
      <c r="BQ25" s="20"/>
      <c r="BR25" s="20"/>
      <c r="BS25" s="4"/>
      <c r="BU25" s="4"/>
      <c r="BV25" s="4"/>
      <c r="BX25" s="577"/>
      <c r="BY25" s="577"/>
      <c r="BZ25" s="4"/>
      <c r="CA25" s="30"/>
      <c r="CB25" s="623"/>
      <c r="CC25" s="98"/>
      <c r="CD25" s="624"/>
      <c r="CE25" s="117"/>
      <c r="CF25" s="98"/>
      <c r="CG25" s="98"/>
      <c r="CH25" s="98"/>
      <c r="CJ25" s="99"/>
      <c r="CL25" s="99"/>
      <c r="CM25" s="100"/>
      <c r="CN25" s="118"/>
    </row>
    <row r="26" spans="1:93" ht="24" thickBot="1" x14ac:dyDescent="0.3">
      <c r="A26" s="48"/>
      <c r="B26" s="4"/>
      <c r="C26" s="45"/>
      <c r="D26" s="45"/>
      <c r="E26" s="150"/>
      <c r="F26" s="17"/>
      <c r="G26" s="151"/>
      <c r="H26" s="17"/>
      <c r="I26" s="17"/>
      <c r="J26" s="152"/>
      <c r="K26" s="153"/>
      <c r="M26" s="154"/>
      <c r="N26" s="140"/>
      <c r="P26" s="588"/>
      <c r="Q26" s="587"/>
      <c r="R26" s="588"/>
      <c r="S26" s="72"/>
      <c r="T26" s="589"/>
      <c r="U26" s="589"/>
      <c r="V26" s="593"/>
      <c r="W26" s="591"/>
      <c r="X26" s="594"/>
      <c r="Y26" s="594"/>
      <c r="Z26" s="110"/>
      <c r="AA26" s="110"/>
      <c r="AB26" s="141">
        <v>2</v>
      </c>
      <c r="AC26" s="133" t="s">
        <v>170</v>
      </c>
      <c r="AD26" s="2">
        <v>340</v>
      </c>
      <c r="AE26" s="2">
        <v>340</v>
      </c>
      <c r="AF26" s="133" t="s">
        <v>170</v>
      </c>
      <c r="AG26" s="142">
        <v>5</v>
      </c>
      <c r="AH26" s="143" t="s">
        <v>170</v>
      </c>
      <c r="AI26" s="144">
        <v>300</v>
      </c>
      <c r="AJ26" s="144">
        <v>300</v>
      </c>
      <c r="AK26" s="143" t="s">
        <v>170</v>
      </c>
      <c r="AL26" s="142">
        <v>5</v>
      </c>
      <c r="AM26" s="145">
        <v>2</v>
      </c>
      <c r="AN26" s="134" t="s">
        <v>172</v>
      </c>
      <c r="AO26" s="146">
        <v>340</v>
      </c>
      <c r="AP26" s="146">
        <v>340</v>
      </c>
      <c r="AQ26" s="134" t="s">
        <v>172</v>
      </c>
      <c r="AR26" s="157">
        <v>3</v>
      </c>
      <c r="AS26" s="158"/>
      <c r="AU26" s="73"/>
      <c r="AW26" s="674"/>
      <c r="AX26" s="675"/>
      <c r="AY26" s="675"/>
      <c r="AZ26" s="73"/>
      <c r="BA26" s="73"/>
      <c r="BC26" s="676"/>
      <c r="BD26" s="676"/>
      <c r="BE26" s="676"/>
      <c r="BF26" s="676"/>
      <c r="BG26" s="676"/>
      <c r="BH26" s="159"/>
      <c r="BI26" s="160"/>
      <c r="BJ26" s="137"/>
      <c r="BK26" s="161"/>
      <c r="BL26" s="162"/>
      <c r="BM26" s="20"/>
      <c r="BN26" s="20"/>
      <c r="BO26" s="20"/>
      <c r="BP26" s="4"/>
      <c r="BQ26" s="20"/>
      <c r="BR26" s="20"/>
      <c r="BS26" s="4"/>
      <c r="BT26" s="4"/>
      <c r="BU26" s="4"/>
      <c r="BV26" s="4"/>
      <c r="BW26" s="4"/>
      <c r="BX26" s="4"/>
      <c r="BY26" s="4"/>
      <c r="CA26" s="163"/>
      <c r="CB26" s="163"/>
      <c r="CC26" s="677"/>
      <c r="CD26" s="678"/>
      <c r="CE26" s="164"/>
      <c r="CH26" s="829" t="s">
        <v>204</v>
      </c>
      <c r="CI26" s="798"/>
      <c r="CJ26" s="799"/>
      <c r="CL26" s="99"/>
      <c r="CM26" s="100"/>
      <c r="CN26" s="139"/>
    </row>
    <row r="27" spans="1:93" ht="24" thickBot="1" x14ac:dyDescent="0.3">
      <c r="A27" s="48"/>
      <c r="B27" s="4"/>
      <c r="C27" s="165"/>
      <c r="D27" s="45"/>
      <c r="E27" s="150"/>
      <c r="F27" s="17"/>
      <c r="G27" s="166"/>
      <c r="H27" s="11"/>
      <c r="I27" s="11"/>
      <c r="J27" s="11"/>
      <c r="K27" s="153"/>
      <c r="M27" s="167"/>
      <c r="N27" s="140"/>
      <c r="P27" s="587"/>
      <c r="Q27" s="588"/>
      <c r="R27" s="72"/>
      <c r="S27" s="72"/>
      <c r="T27" s="589"/>
      <c r="U27" s="589"/>
      <c r="X27" s="594"/>
      <c r="Y27" s="594"/>
      <c r="Z27" s="35"/>
      <c r="AA27" s="35"/>
      <c r="AB27" s="168">
        <v>3</v>
      </c>
      <c r="AC27" s="133" t="s">
        <v>170</v>
      </c>
      <c r="AD27" s="2">
        <v>340</v>
      </c>
      <c r="AE27" s="2">
        <v>340</v>
      </c>
      <c r="AF27" s="133" t="s">
        <v>170</v>
      </c>
      <c r="AG27" s="169">
        <v>4</v>
      </c>
      <c r="AH27" s="143" t="s">
        <v>170</v>
      </c>
      <c r="AI27" s="144">
        <v>300</v>
      </c>
      <c r="AJ27" s="144">
        <v>300</v>
      </c>
      <c r="AK27" s="143" t="s">
        <v>170</v>
      </c>
      <c r="AL27" s="169">
        <v>4</v>
      </c>
      <c r="AM27" s="46"/>
      <c r="AO27" s="134"/>
      <c r="AP27" s="134"/>
      <c r="AT27" s="675"/>
      <c r="AU27" s="675"/>
      <c r="AV27" s="675"/>
      <c r="AW27" s="675"/>
      <c r="AX27" s="100"/>
      <c r="AY27" s="102"/>
      <c r="AZ27" s="9"/>
      <c r="BK27" s="18"/>
      <c r="BL27" s="20"/>
      <c r="BM27" s="20"/>
      <c r="BN27" s="20"/>
      <c r="BO27" s="20"/>
      <c r="BP27" s="4"/>
      <c r="BQ27" s="4"/>
      <c r="BV27" s="23"/>
      <c r="BW27" s="23"/>
      <c r="BZ27" s="9"/>
      <c r="CA27" s="9"/>
      <c r="CD27" s="817" t="s">
        <v>205</v>
      </c>
      <c r="CE27" s="818"/>
      <c r="CF27" s="170"/>
      <c r="CH27" s="800"/>
      <c r="CI27" s="830"/>
      <c r="CJ27" s="802"/>
      <c r="CL27" s="99"/>
      <c r="CM27" s="100"/>
      <c r="CN27" s="118"/>
    </row>
    <row r="28" spans="1:93" ht="23.25" x14ac:dyDescent="0.3">
      <c r="A28" s="48"/>
      <c r="B28" s="569"/>
      <c r="C28" s="17"/>
      <c r="D28" s="172"/>
      <c r="E28" s="150"/>
      <c r="F28" s="17"/>
      <c r="G28" s="17"/>
      <c r="H28" s="173"/>
      <c r="I28" s="173"/>
      <c r="J28" s="173"/>
      <c r="K28" s="174"/>
      <c r="L28" s="46"/>
      <c r="M28" s="46"/>
      <c r="N28" s="174"/>
      <c r="X28" s="594"/>
      <c r="Y28" s="594"/>
      <c r="Z28" s="175"/>
      <c r="AA28" s="175"/>
      <c r="AB28" s="168"/>
      <c r="AD28" s="133"/>
      <c r="AE28" s="133"/>
      <c r="AF28" s="91" t="s">
        <v>206</v>
      </c>
      <c r="AG28" s="175"/>
      <c r="AH28" s="46"/>
      <c r="AI28" s="143"/>
      <c r="AJ28" s="143"/>
      <c r="AK28" s="46"/>
      <c r="AL28" s="176"/>
      <c r="AM28" s="176"/>
      <c r="AN28" s="46"/>
      <c r="AO28" s="177" t="s">
        <v>166</v>
      </c>
      <c r="AP28" s="177"/>
      <c r="AQ28" s="63"/>
      <c r="AR28" s="63"/>
      <c r="AS28" s="608"/>
      <c r="AT28" s="609"/>
      <c r="AU28" s="179"/>
      <c r="AV28" s="100"/>
      <c r="AW28" s="100"/>
      <c r="AX28" s="100"/>
      <c r="AY28" s="102"/>
      <c r="AZ28" s="180"/>
      <c r="BK28" s="18"/>
      <c r="BL28" s="659"/>
      <c r="BM28" s="659"/>
      <c r="BN28" s="659"/>
      <c r="BO28" s="659"/>
      <c r="BP28" s="659"/>
      <c r="BQ28" s="659"/>
      <c r="BR28" s="659"/>
      <c r="BS28" s="659"/>
      <c r="BT28" s="659"/>
      <c r="BV28" s="23"/>
      <c r="BW28" s="23"/>
      <c r="BX28" s="156"/>
      <c r="BZ28" s="9"/>
      <c r="CA28" s="9"/>
      <c r="CB28" s="181"/>
      <c r="CC28" s="107"/>
      <c r="CD28" s="182"/>
      <c r="CE28" s="75"/>
      <c r="CH28" s="183"/>
      <c r="CI28" s="183"/>
      <c r="CM28" s="100"/>
      <c r="CN28" s="139"/>
    </row>
    <row r="29" spans="1:93" ht="23.25" x14ac:dyDescent="0.25">
      <c r="A29" s="660" t="s">
        <v>208</v>
      </c>
      <c r="B29" s="660"/>
      <c r="C29" s="17"/>
      <c r="D29" s="17"/>
      <c r="E29" s="172"/>
      <c r="F29" s="17"/>
      <c r="G29" s="17"/>
      <c r="H29" s="61"/>
      <c r="I29" s="61"/>
      <c r="J29" s="81"/>
      <c r="K29" s="174"/>
      <c r="L29" s="23"/>
      <c r="M29" s="23"/>
      <c r="N29" s="174"/>
      <c r="P29" s="589"/>
      <c r="Q29" s="589"/>
      <c r="R29" s="72"/>
      <c r="T29" s="595"/>
      <c r="U29" s="595"/>
      <c r="W29" s="596"/>
      <c r="X29" s="594"/>
      <c r="Y29" s="594"/>
      <c r="Z29" s="175"/>
      <c r="AA29" s="175"/>
      <c r="AB29" s="34"/>
      <c r="AC29" s="661" t="s">
        <v>166</v>
      </c>
      <c r="AD29" s="661"/>
      <c r="AE29" s="661"/>
      <c r="AF29" s="661"/>
      <c r="AG29" s="175"/>
      <c r="AH29" s="661" t="s">
        <v>166</v>
      </c>
      <c r="AI29" s="661"/>
      <c r="AJ29" s="661"/>
      <c r="AK29" s="661"/>
      <c r="AL29" s="176"/>
      <c r="AM29" s="176"/>
      <c r="AN29" s="46"/>
      <c r="AO29" s="596"/>
      <c r="AQ29" s="63"/>
      <c r="AR29" s="63"/>
      <c r="AS29" s="608"/>
      <c r="AT29" s="609"/>
      <c r="AU29" s="179"/>
      <c r="AV29" s="185"/>
      <c r="AW29" s="185"/>
      <c r="AX29" s="179"/>
      <c r="AY29" s="102"/>
      <c r="AZ29" s="17"/>
      <c r="BA29" s="166"/>
      <c r="BB29" s="11"/>
      <c r="BC29" s="11"/>
      <c r="BD29" s="11"/>
      <c r="BE29" s="11"/>
      <c r="BF29" s="11"/>
      <c r="BG29" s="11"/>
      <c r="BH29" s="11"/>
      <c r="BI29" s="11"/>
      <c r="BJ29" s="11"/>
      <c r="BK29" s="18"/>
      <c r="BM29" s="20"/>
      <c r="BN29" s="609"/>
      <c r="BO29" s="609"/>
      <c r="BP29" s="4"/>
      <c r="BQ29" s="4"/>
      <c r="BR29" s="609"/>
      <c r="BS29" s="609"/>
      <c r="BT29" s="4"/>
      <c r="BU29" s="9"/>
      <c r="BV29" s="186"/>
      <c r="BW29" s="186"/>
      <c r="BX29" s="186"/>
      <c r="BY29" s="186"/>
      <c r="BZ29" s="187"/>
      <c r="CA29" s="9"/>
      <c r="CB29" s="181"/>
      <c r="CC29" s="107"/>
      <c r="CD29" s="182"/>
      <c r="CE29" s="188"/>
      <c r="CF29" s="170"/>
      <c r="CH29" s="183"/>
      <c r="CI29" s="183"/>
      <c r="CJ29" s="99"/>
      <c r="CM29" s="100"/>
      <c r="CN29" s="118"/>
    </row>
    <row r="30" spans="1:93" ht="23.25" x14ac:dyDescent="0.25">
      <c r="A30" s="189"/>
      <c r="B30" s="30"/>
      <c r="C30" s="17"/>
      <c r="D30" s="17"/>
      <c r="E30" s="17"/>
      <c r="F30" s="190"/>
      <c r="G30" s="17"/>
      <c r="H30" s="191"/>
      <c r="I30" s="191"/>
      <c r="J30" s="61"/>
      <c r="K30" s="61"/>
      <c r="L30" s="192"/>
      <c r="M30" s="192"/>
      <c r="N30" s="174"/>
      <c r="P30" s="589"/>
      <c r="Q30" s="589"/>
      <c r="R30" s="72"/>
      <c r="S30" s="590"/>
      <c r="T30" s="597"/>
      <c r="U30" s="597"/>
      <c r="V30" s="590"/>
      <c r="W30" s="591"/>
      <c r="X30" s="594"/>
      <c r="Y30" s="594"/>
      <c r="Z30" s="110"/>
      <c r="AA30" s="110"/>
      <c r="AB30" s="130"/>
      <c r="AC30" s="132"/>
      <c r="AD30" s="592"/>
      <c r="AE30" s="98"/>
      <c r="AF30" s="110"/>
      <c r="AG30" s="110"/>
      <c r="AI30" s="133"/>
      <c r="AJ30" s="133"/>
      <c r="AK30" s="24" t="s">
        <v>214</v>
      </c>
      <c r="AL30" s="110"/>
      <c r="AM30" s="105"/>
      <c r="AN30" s="105"/>
      <c r="AO30" s="610"/>
      <c r="AP30" s="611"/>
      <c r="AQ30" s="63"/>
      <c r="AR30" s="63"/>
      <c r="AS30" s="608"/>
      <c r="AT30" s="609"/>
      <c r="AU30" s="196"/>
      <c r="AV30" s="46"/>
      <c r="AX30" s="179"/>
      <c r="AY30" s="179"/>
      <c r="AZ30" s="45"/>
      <c r="BA30" s="166"/>
      <c r="BB30" s="11"/>
      <c r="BC30" s="11"/>
      <c r="BD30" s="11"/>
      <c r="BE30" s="11"/>
      <c r="BF30" s="11"/>
      <c r="BG30" s="11"/>
      <c r="BH30" s="11"/>
      <c r="BI30" s="11"/>
      <c r="BJ30" s="11"/>
      <c r="BK30" s="18"/>
      <c r="BL30" s="166"/>
      <c r="BM30" s="20"/>
      <c r="BN30" s="609"/>
      <c r="BO30" s="609"/>
      <c r="BQ30" s="4"/>
      <c r="BR30" s="609"/>
      <c r="BS30" s="609"/>
      <c r="BU30" s="186"/>
      <c r="BV30" s="107"/>
      <c r="BW30" s="197"/>
      <c r="BX30" s="197"/>
      <c r="BY30" s="107"/>
      <c r="BZ30" s="186"/>
      <c r="CA30" s="9"/>
      <c r="CB30" s="181"/>
      <c r="CC30" s="107"/>
      <c r="CD30" s="182"/>
      <c r="CE30" s="13"/>
      <c r="CH30" s="99"/>
      <c r="CI30" s="99"/>
      <c r="CJ30" s="99"/>
      <c r="CK30" s="99"/>
      <c r="CM30" s="100"/>
      <c r="CN30" s="139"/>
    </row>
    <row r="31" spans="1:93" ht="24" thickBot="1" x14ac:dyDescent="0.3">
      <c r="A31" s="48"/>
      <c r="B31" s="30"/>
      <c r="C31" s="17"/>
      <c r="D31" s="17"/>
      <c r="E31" s="17"/>
      <c r="F31" s="1"/>
      <c r="G31" s="17"/>
      <c r="H31" s="191"/>
      <c r="I31" s="191"/>
      <c r="J31" s="61"/>
      <c r="K31" s="61"/>
      <c r="L31" s="192"/>
      <c r="M31" s="192"/>
      <c r="N31" s="198"/>
      <c r="Q31" s="199"/>
      <c r="R31" s="72"/>
      <c r="S31" s="590"/>
      <c r="T31" s="597"/>
      <c r="U31" s="597"/>
      <c r="V31" s="590"/>
      <c r="W31" s="591"/>
      <c r="X31" s="592"/>
      <c r="Y31" s="590"/>
      <c r="Z31" s="110"/>
      <c r="AA31" s="110"/>
      <c r="AB31" s="130"/>
      <c r="AC31" s="131"/>
      <c r="AD31" s="602"/>
      <c r="AE31" s="602"/>
      <c r="AF31" s="110"/>
      <c r="AG31" s="141">
        <v>1</v>
      </c>
      <c r="AH31" s="133" t="s">
        <v>170</v>
      </c>
      <c r="AI31" s="343">
        <v>340</v>
      </c>
      <c r="AJ31" s="340">
        <v>340</v>
      </c>
      <c r="AK31" s="133" t="s">
        <v>170</v>
      </c>
      <c r="AL31" s="142">
        <v>6</v>
      </c>
      <c r="AM31" s="105"/>
      <c r="AN31" s="105"/>
      <c r="AO31" s="610"/>
      <c r="AP31" s="611"/>
      <c r="AQ31" s="203"/>
      <c r="AR31" s="125"/>
      <c r="AS31" s="203"/>
      <c r="AT31" s="57"/>
      <c r="AU31" s="196"/>
      <c r="AV31" s="204"/>
      <c r="AX31" s="14"/>
      <c r="AY31" s="179"/>
      <c r="AZ31" s="45"/>
      <c r="BA31" s="205"/>
      <c r="BB31" s="11"/>
      <c r="BC31" s="11"/>
      <c r="BD31" s="11"/>
      <c r="BE31" s="11"/>
      <c r="BF31" s="11"/>
      <c r="BG31" s="11"/>
      <c r="BH31" s="11"/>
      <c r="BI31" s="11"/>
      <c r="BJ31" s="11"/>
      <c r="BK31" s="18"/>
      <c r="BL31" s="166"/>
      <c r="BM31" s="20"/>
      <c r="BN31" s="609"/>
      <c r="BO31" s="609"/>
      <c r="BR31" s="609"/>
      <c r="BS31" s="609"/>
      <c r="BU31" s="206"/>
      <c r="BV31" s="182"/>
      <c r="BW31" s="182"/>
      <c r="BX31" s="182"/>
      <c r="BY31" s="182"/>
      <c r="BZ31" s="206"/>
      <c r="CA31" s="9"/>
      <c r="CB31" s="181"/>
      <c r="CC31" s="107"/>
      <c r="CD31" s="182"/>
      <c r="CE31" s="207"/>
      <c r="CF31" s="99"/>
      <c r="CH31" s="829" t="s">
        <v>217</v>
      </c>
      <c r="CI31" s="798"/>
      <c r="CJ31" s="799"/>
      <c r="CL31" s="208"/>
      <c r="CM31" s="100"/>
      <c r="CN31" s="139"/>
    </row>
    <row r="32" spans="1:93" ht="24" thickBot="1" x14ac:dyDescent="0.3">
      <c r="A32" s="48"/>
      <c r="B32" s="30"/>
      <c r="C32" s="17"/>
      <c r="D32" s="17"/>
      <c r="E32" s="17"/>
      <c r="F32" s="1"/>
      <c r="G32" s="17"/>
      <c r="H32" s="209"/>
      <c r="I32" s="210"/>
      <c r="J32" s="17"/>
      <c r="K32" s="17"/>
      <c r="L32" s="211"/>
      <c r="M32" s="211"/>
      <c r="N32" s="211"/>
      <c r="O32" s="211"/>
      <c r="P32" s="212"/>
      <c r="Q32" s="213"/>
      <c r="R32" s="132"/>
      <c r="S32" s="590"/>
      <c r="T32" s="597"/>
      <c r="U32" s="597"/>
      <c r="V32" s="590"/>
      <c r="W32" s="591"/>
      <c r="X32" s="592"/>
      <c r="Y32" s="590"/>
      <c r="Z32" s="110"/>
      <c r="AA32" s="110"/>
      <c r="AB32" s="130"/>
      <c r="AC32" s="131"/>
      <c r="AD32" s="602"/>
      <c r="AE32" s="602"/>
      <c r="AF32" s="110"/>
      <c r="AG32" s="141">
        <v>2</v>
      </c>
      <c r="AH32" s="133" t="s">
        <v>170</v>
      </c>
      <c r="AI32" s="340">
        <v>340</v>
      </c>
      <c r="AJ32" s="340">
        <v>340</v>
      </c>
      <c r="AK32" s="133" t="s">
        <v>170</v>
      </c>
      <c r="AL32" s="142">
        <v>5</v>
      </c>
      <c r="AM32" s="105"/>
      <c r="AN32" s="105"/>
      <c r="AO32" s="610"/>
      <c r="AP32" s="611"/>
      <c r="AQ32" s="46"/>
      <c r="AR32" s="214"/>
      <c r="AS32" s="136"/>
      <c r="AT32" s="46"/>
      <c r="AU32" s="108"/>
      <c r="AV32" s="215"/>
      <c r="AW32" s="662" t="s">
        <v>218</v>
      </c>
      <c r="AX32" s="663"/>
      <c r="AY32" s="663"/>
      <c r="AZ32" s="663"/>
      <c r="BA32" s="663"/>
      <c r="BB32" s="663"/>
      <c r="BC32" s="664"/>
      <c r="BD32" s="11"/>
      <c r="BE32" s="11"/>
      <c r="BF32" s="11"/>
      <c r="BG32" s="11"/>
      <c r="BH32" s="11"/>
      <c r="BI32" s="11"/>
      <c r="BJ32" s="11"/>
      <c r="BK32" s="18"/>
      <c r="BL32" s="166"/>
      <c r="BM32" s="20"/>
      <c r="BR32" s="20"/>
      <c r="BS32" s="20"/>
      <c r="BU32" s="206"/>
      <c r="BV32" s="182"/>
      <c r="BW32" s="182"/>
      <c r="BX32" s="182"/>
      <c r="BY32" s="182"/>
      <c r="BZ32" s="206"/>
      <c r="CA32" s="99"/>
      <c r="CB32" s="181"/>
      <c r="CC32" s="107"/>
      <c r="CD32" s="182"/>
      <c r="CE32" s="216"/>
      <c r="CF32" s="99"/>
      <c r="CH32" s="800"/>
      <c r="CI32" s="830"/>
      <c r="CJ32" s="802"/>
      <c r="CM32" s="100"/>
      <c r="CN32" s="139"/>
    </row>
    <row r="33" spans="1:92" ht="24" thickBot="1" x14ac:dyDescent="0.3">
      <c r="A33" s="48"/>
      <c r="B33" s="217"/>
      <c r="C33" s="218"/>
      <c r="D33" s="218"/>
      <c r="E33" s="218"/>
      <c r="F33" s="219"/>
      <c r="G33" s="220"/>
      <c r="H33" s="220"/>
      <c r="I33" s="220"/>
      <c r="J33" s="670" t="s">
        <v>219</v>
      </c>
      <c r="K33" s="671"/>
      <c r="L33" s="221"/>
      <c r="M33" s="222"/>
      <c r="N33" s="222"/>
      <c r="S33" s="672" t="s">
        <v>191</v>
      </c>
      <c r="T33" s="672"/>
      <c r="U33" s="672"/>
      <c r="W33" s="175"/>
      <c r="X33" s="175"/>
      <c r="Y33" s="175"/>
      <c r="Z33" s="223"/>
      <c r="AA33" s="223"/>
      <c r="AB33" s="224"/>
      <c r="AC33" s="225"/>
      <c r="AD33" s="224"/>
      <c r="AE33" s="175"/>
      <c r="AF33" s="175"/>
      <c r="AG33" s="168">
        <v>3</v>
      </c>
      <c r="AH33" s="133" t="s">
        <v>170</v>
      </c>
      <c r="AI33" s="226">
        <v>340</v>
      </c>
      <c r="AJ33" s="226">
        <v>340</v>
      </c>
      <c r="AK33" s="133" t="s">
        <v>170</v>
      </c>
      <c r="AL33" s="169">
        <v>4</v>
      </c>
      <c r="AM33" s="227"/>
      <c r="AN33" s="227"/>
      <c r="AO33" s="9"/>
      <c r="AP33" s="612"/>
      <c r="AQ33" s="46"/>
      <c r="AR33" s="230"/>
      <c r="AS33" s="46"/>
      <c r="AT33" s="46"/>
      <c r="AU33" s="46"/>
      <c r="AV33" s="215"/>
      <c r="AW33" s="665"/>
      <c r="AX33" s="639"/>
      <c r="AY33" s="639"/>
      <c r="AZ33" s="639"/>
      <c r="BA33" s="639"/>
      <c r="BB33" s="639"/>
      <c r="BC33" s="666"/>
      <c r="BD33" s="11"/>
      <c r="BE33" s="11"/>
      <c r="BF33" s="11"/>
      <c r="BG33" s="11"/>
      <c r="BH33" s="11"/>
      <c r="BI33" s="11"/>
      <c r="BJ33" s="11"/>
      <c r="BK33" s="18"/>
      <c r="BL33" s="4"/>
      <c r="BM33" s="20"/>
      <c r="BQ33" s="4"/>
      <c r="BR33" s="20"/>
      <c r="BS33" s="20"/>
      <c r="BU33" s="186"/>
      <c r="BV33" s="107"/>
      <c r="BW33" s="197"/>
      <c r="BX33" s="197"/>
      <c r="BY33" s="107"/>
      <c r="BZ33" s="186"/>
      <c r="CA33" s="99"/>
      <c r="CB33" s="181"/>
      <c r="CC33" s="107"/>
      <c r="CD33" s="182"/>
      <c r="CE33" s="216"/>
      <c r="CF33" s="99"/>
      <c r="CH33" s="99"/>
      <c r="CI33" s="99"/>
      <c r="CJ33" s="99"/>
      <c r="CK33" s="99"/>
      <c r="CL33" s="99"/>
      <c r="CM33" s="100"/>
      <c r="CN33" s="139"/>
    </row>
    <row r="34" spans="1:92" ht="23.25" x14ac:dyDescent="0.25">
      <c r="A34" s="48"/>
      <c r="B34" s="439">
        <v>440</v>
      </c>
      <c r="C34" s="232"/>
      <c r="D34" s="439">
        <v>440</v>
      </c>
      <c r="E34" s="232"/>
      <c r="F34" s="439">
        <v>440</v>
      </c>
      <c r="G34" s="232"/>
      <c r="H34" s="439">
        <v>440</v>
      </c>
      <c r="I34" s="232"/>
      <c r="J34" s="233"/>
      <c r="K34" s="233"/>
      <c r="L34" s="233"/>
      <c r="M34" s="233"/>
      <c r="N34" s="234"/>
      <c r="O34" s="76"/>
      <c r="P34" s="235"/>
      <c r="S34" s="236">
        <v>1</v>
      </c>
      <c r="T34" s="236">
        <v>2</v>
      </c>
      <c r="U34" s="236">
        <v>3</v>
      </c>
      <c r="Z34" s="237"/>
      <c r="AA34" s="136"/>
      <c r="AD34" s="224"/>
      <c r="AE34" s="238"/>
      <c r="AF34" s="239">
        <v>1</v>
      </c>
      <c r="AG34" s="239">
        <v>2</v>
      </c>
      <c r="AH34" s="239">
        <v>3</v>
      </c>
      <c r="AI34" s="133"/>
      <c r="AJ34" s="133"/>
      <c r="AP34" s="240"/>
      <c r="AQ34" s="240"/>
      <c r="AR34" s="125"/>
      <c r="AS34" s="240"/>
      <c r="AT34" s="240"/>
      <c r="AU34" s="240"/>
      <c r="AW34" s="665"/>
      <c r="AX34" s="639"/>
      <c r="AY34" s="639"/>
      <c r="AZ34" s="639"/>
      <c r="BA34" s="639"/>
      <c r="BB34" s="639"/>
      <c r="BC34" s="666"/>
      <c r="BD34" s="11"/>
      <c r="BE34" s="11"/>
      <c r="BF34" s="11"/>
      <c r="BG34" s="11"/>
      <c r="BH34" s="11"/>
      <c r="BI34" s="11"/>
      <c r="BJ34" s="11"/>
      <c r="BK34" s="18"/>
      <c r="BL34" s="45"/>
      <c r="BM34" s="20"/>
      <c r="BQ34" s="4"/>
      <c r="BR34" s="20"/>
      <c r="BS34" s="20"/>
      <c r="BT34" s="4"/>
      <c r="BV34" s="186"/>
      <c r="BW34" s="186"/>
      <c r="BX34" s="186"/>
      <c r="BY34" s="186"/>
      <c r="CA34" s="99"/>
      <c r="CB34" s="181"/>
      <c r="CC34" s="107"/>
      <c r="CD34" s="182"/>
      <c r="CE34" s="216"/>
      <c r="CF34" s="99"/>
      <c r="CH34" s="99"/>
      <c r="CI34" s="99"/>
      <c r="CJ34" s="99"/>
      <c r="CK34" s="99"/>
      <c r="CL34" s="99"/>
      <c r="CM34" s="100"/>
      <c r="CN34" s="139"/>
    </row>
    <row r="35" spans="1:92" ht="23.25" x14ac:dyDescent="0.25">
      <c r="A35" s="48"/>
      <c r="B35" s="232" t="s">
        <v>170</v>
      </c>
      <c r="C35" s="241"/>
      <c r="D35" s="232" t="s">
        <v>170</v>
      </c>
      <c r="E35" s="241"/>
      <c r="F35" s="232" t="s">
        <v>170</v>
      </c>
      <c r="G35" s="241"/>
      <c r="H35" s="232" t="s">
        <v>170</v>
      </c>
      <c r="I35" s="24" t="s">
        <v>220</v>
      </c>
      <c r="J35" s="233"/>
      <c r="K35" s="233"/>
      <c r="L35" s="242"/>
      <c r="M35" s="242"/>
      <c r="N35" s="234"/>
      <c r="P35" s="243"/>
      <c r="R35" s="24" t="s">
        <v>221</v>
      </c>
      <c r="S35" s="33" t="s">
        <v>172</v>
      </c>
      <c r="T35" s="33" t="s">
        <v>172</v>
      </c>
      <c r="U35" s="33" t="s">
        <v>172</v>
      </c>
      <c r="V35" s="244" t="s">
        <v>222</v>
      </c>
      <c r="Z35" s="598"/>
      <c r="AA35" s="17"/>
      <c r="AD35" s="224"/>
      <c r="AE35" s="24" t="s">
        <v>223</v>
      </c>
      <c r="AF35" s="245" t="s">
        <v>172</v>
      </c>
      <c r="AG35" s="245" t="s">
        <v>172</v>
      </c>
      <c r="AH35" s="245" t="s">
        <v>172</v>
      </c>
      <c r="AI35" s="246" t="s">
        <v>224</v>
      </c>
      <c r="AK35" s="83"/>
      <c r="AL35" s="247"/>
      <c r="AM35" s="248"/>
      <c r="AN35" s="248"/>
      <c r="AO35" s="46"/>
      <c r="AP35" s="46"/>
      <c r="AQ35" s="46"/>
      <c r="AR35" s="248"/>
      <c r="AS35" s="248"/>
      <c r="AT35" s="248"/>
      <c r="AU35" s="46"/>
      <c r="AW35" s="665"/>
      <c r="AX35" s="639"/>
      <c r="AY35" s="639"/>
      <c r="AZ35" s="639"/>
      <c r="BA35" s="639"/>
      <c r="BB35" s="639"/>
      <c r="BC35" s="666"/>
      <c r="BD35" s="11"/>
      <c r="BE35" s="11"/>
      <c r="BF35" s="11"/>
      <c r="BG35" s="11"/>
      <c r="BH35" s="11"/>
      <c r="BI35" s="11"/>
      <c r="BJ35" s="11"/>
      <c r="BK35" s="18"/>
      <c r="BM35" s="20"/>
      <c r="BQ35" s="4"/>
      <c r="BR35" s="20"/>
      <c r="BS35" s="4"/>
      <c r="BT35" s="4"/>
      <c r="BW35" s="156"/>
      <c r="BX35" s="156"/>
      <c r="BY35" s="99"/>
      <c r="CA35" s="99"/>
      <c r="CB35" s="181"/>
      <c r="CC35" s="107"/>
      <c r="CD35" s="182"/>
      <c r="CE35" s="216"/>
      <c r="CF35" s="99"/>
      <c r="CH35" s="99"/>
      <c r="CI35" s="99"/>
      <c r="CJ35" s="99"/>
      <c r="CK35" s="99"/>
      <c r="CL35" s="99"/>
      <c r="CM35" s="100"/>
      <c r="CN35" s="139"/>
    </row>
    <row r="36" spans="1:92" ht="23.25" x14ac:dyDescent="0.25">
      <c r="A36" s="48"/>
      <c r="B36" s="249">
        <v>1</v>
      </c>
      <c r="C36" s="249"/>
      <c r="D36" s="249">
        <v>2</v>
      </c>
      <c r="E36" s="249"/>
      <c r="F36" s="249">
        <v>3</v>
      </c>
      <c r="G36" s="249"/>
      <c r="H36" s="249">
        <v>4</v>
      </c>
      <c r="I36" s="241"/>
      <c r="J36" s="233"/>
      <c r="K36" s="233"/>
      <c r="L36" s="242"/>
      <c r="M36" s="242"/>
      <c r="N36" s="234"/>
      <c r="P36" s="243"/>
      <c r="R36" s="250"/>
      <c r="S36" s="3">
        <v>250</v>
      </c>
      <c r="T36" s="3">
        <v>250</v>
      </c>
      <c r="U36" s="3">
        <v>250</v>
      </c>
      <c r="V36" s="250"/>
      <c r="Y36" s="589"/>
      <c r="Z36" s="599"/>
      <c r="AA36" s="599"/>
      <c r="AB36" s="589"/>
      <c r="AC36" s="589"/>
      <c r="AE36" s="245"/>
      <c r="AF36" s="415">
        <v>340</v>
      </c>
      <c r="AG36" s="415">
        <v>340</v>
      </c>
      <c r="AH36" s="415">
        <v>340</v>
      </c>
      <c r="AI36" s="245"/>
      <c r="AK36" s="28"/>
      <c r="AL36" s="597"/>
      <c r="AM36" s="597"/>
      <c r="AN36" s="597"/>
      <c r="AO36" s="597"/>
      <c r="AQ36" s="603"/>
      <c r="AR36" s="604"/>
      <c r="AS36" s="604"/>
      <c r="AT36" s="604"/>
      <c r="AU36" s="254"/>
      <c r="AW36" s="665"/>
      <c r="AX36" s="639"/>
      <c r="AY36" s="639"/>
      <c r="AZ36" s="639"/>
      <c r="BA36" s="639"/>
      <c r="BB36" s="639"/>
      <c r="BC36" s="666"/>
      <c r="BD36" s="11"/>
      <c r="BE36" s="11"/>
      <c r="BF36" s="11"/>
      <c r="BG36" s="11"/>
      <c r="BH36" s="11"/>
      <c r="BI36" s="11"/>
      <c r="BJ36" s="11"/>
      <c r="BK36" s="18"/>
      <c r="BL36" s="211"/>
      <c r="BM36" s="20"/>
      <c r="BQ36" s="4"/>
      <c r="BS36" s="4"/>
      <c r="BT36" s="4"/>
      <c r="BU36" s="45"/>
      <c r="BV36" s="11"/>
      <c r="BX36" s="99"/>
      <c r="BY36" s="99"/>
      <c r="CA36" s="99"/>
      <c r="CB36" s="181"/>
      <c r="CC36" s="107"/>
      <c r="CD36" s="182"/>
      <c r="CE36" s="216"/>
      <c r="CF36" s="99"/>
      <c r="CH36" s="99"/>
      <c r="CI36" s="99"/>
      <c r="CJ36" s="99"/>
      <c r="CK36" s="99"/>
      <c r="CL36" s="99"/>
      <c r="CM36" s="100"/>
      <c r="CN36" s="139"/>
    </row>
    <row r="37" spans="1:92" ht="23.25" x14ac:dyDescent="0.25">
      <c r="A37" s="48"/>
      <c r="B37" s="661" t="s">
        <v>226</v>
      </c>
      <c r="C37" s="661"/>
      <c r="D37" s="661"/>
      <c r="E37" s="661"/>
      <c r="F37" s="661"/>
      <c r="G37" s="661"/>
      <c r="H37" s="661"/>
      <c r="I37" s="241"/>
      <c r="J37" s="32"/>
      <c r="K37" s="32"/>
      <c r="L37" s="255"/>
      <c r="M37" s="255"/>
      <c r="N37" s="234"/>
      <c r="P37" s="243"/>
      <c r="R37" s="250"/>
      <c r="S37" s="3">
        <v>250</v>
      </c>
      <c r="T37" s="3">
        <v>250</v>
      </c>
      <c r="U37" s="3">
        <v>250</v>
      </c>
      <c r="V37" s="250"/>
      <c r="Y37" s="589"/>
      <c r="Z37" s="589"/>
      <c r="AA37" s="589"/>
      <c r="AB37" s="589"/>
      <c r="AC37" s="589"/>
      <c r="AE37" s="245"/>
      <c r="AF37" s="415">
        <v>340</v>
      </c>
      <c r="AG37" s="415">
        <v>340</v>
      </c>
      <c r="AH37" s="415">
        <v>340</v>
      </c>
      <c r="AI37" s="245"/>
      <c r="AK37" s="256"/>
      <c r="AL37" s="597"/>
      <c r="AM37" s="597"/>
      <c r="AN37" s="597"/>
      <c r="AO37" s="597"/>
      <c r="AQ37" s="605"/>
      <c r="AR37" s="604"/>
      <c r="AS37" s="604"/>
      <c r="AT37" s="604"/>
      <c r="AU37" s="257"/>
      <c r="AW37" s="665"/>
      <c r="AX37" s="639"/>
      <c r="AY37" s="639"/>
      <c r="AZ37" s="639"/>
      <c r="BA37" s="639"/>
      <c r="BB37" s="639"/>
      <c r="BC37" s="666"/>
      <c r="BD37" s="11"/>
      <c r="BE37" s="11"/>
      <c r="BF37" s="11"/>
      <c r="BG37" s="11"/>
      <c r="BH37" s="11"/>
      <c r="BI37" s="11"/>
      <c r="BJ37" s="11"/>
      <c r="BK37" s="18"/>
      <c r="BL37" s="30"/>
      <c r="BM37" s="211"/>
      <c r="BQ37" s="609"/>
      <c r="BR37" s="609"/>
      <c r="BS37" s="4"/>
      <c r="BT37" s="4"/>
      <c r="BU37" s="45"/>
      <c r="BV37" s="11"/>
      <c r="BW37" s="99"/>
      <c r="BX37" s="99"/>
      <c r="BY37" s="99"/>
      <c r="CA37" s="99"/>
      <c r="CB37" s="99"/>
      <c r="CC37" s="99"/>
      <c r="CD37" s="181"/>
      <c r="CE37" s="216"/>
      <c r="CF37" s="99"/>
      <c r="CH37" s="99"/>
      <c r="CI37" s="99"/>
      <c r="CJ37" s="99"/>
      <c r="CK37" s="99"/>
      <c r="CL37" s="99"/>
      <c r="CM37" s="100"/>
      <c r="CN37" s="139"/>
    </row>
    <row r="38" spans="1:92" ht="21" x14ac:dyDescent="0.25">
      <c r="A38" s="48"/>
      <c r="D38" s="241"/>
      <c r="E38" s="241"/>
      <c r="F38" s="234"/>
      <c r="G38" s="234"/>
      <c r="H38" s="234"/>
      <c r="I38" s="234"/>
      <c r="J38" s="234"/>
      <c r="K38" s="14"/>
      <c r="M38" s="673" t="s">
        <v>227</v>
      </c>
      <c r="N38" s="673"/>
      <c r="P38" s="243"/>
      <c r="Q38" s="13"/>
      <c r="S38" s="33" t="s">
        <v>172</v>
      </c>
      <c r="T38" s="33" t="s">
        <v>172</v>
      </c>
      <c r="U38" s="33" t="s">
        <v>172</v>
      </c>
      <c r="V38" s="24"/>
      <c r="W38" s="170"/>
      <c r="AE38" s="170"/>
      <c r="AF38" s="245" t="s">
        <v>172</v>
      </c>
      <c r="AG38" s="245" t="s">
        <v>172</v>
      </c>
      <c r="AH38" s="245" t="s">
        <v>172</v>
      </c>
      <c r="AK38" s="256"/>
      <c r="AL38" s="586"/>
      <c r="AM38" s="586"/>
      <c r="AN38" s="586"/>
      <c r="AO38" s="605"/>
      <c r="AQ38" s="605"/>
      <c r="AR38" s="586"/>
      <c r="AS38" s="586"/>
      <c r="AT38" s="586"/>
      <c r="AU38" s="257"/>
      <c r="AW38" s="665"/>
      <c r="AX38" s="639"/>
      <c r="AY38" s="639"/>
      <c r="AZ38" s="639"/>
      <c r="BA38" s="639"/>
      <c r="BB38" s="639"/>
      <c r="BC38" s="666"/>
      <c r="BD38" s="11"/>
      <c r="BE38" s="11"/>
      <c r="BF38" s="11"/>
      <c r="BG38" s="11"/>
      <c r="BH38" s="11"/>
      <c r="BI38" s="11"/>
      <c r="BJ38" s="11"/>
      <c r="BK38" s="18"/>
      <c r="BL38" s="30"/>
      <c r="BM38" s="609"/>
      <c r="BN38" s="609"/>
      <c r="BU38" s="45"/>
      <c r="BV38" s="45"/>
      <c r="BW38" s="45"/>
      <c r="BX38" s="45"/>
      <c r="BY38" s="45"/>
      <c r="CA38" s="45"/>
      <c r="CB38" s="45"/>
      <c r="CC38" s="45"/>
      <c r="CD38" s="45"/>
      <c r="CE38" s="258"/>
      <c r="CF38" s="45"/>
      <c r="CG38" s="45"/>
      <c r="CH38" s="45"/>
      <c r="CI38" s="45"/>
      <c r="CJ38" s="45"/>
      <c r="CK38" s="45"/>
      <c r="CL38" s="45"/>
      <c r="CM38" s="212"/>
      <c r="CN38" s="259"/>
    </row>
    <row r="39" spans="1:92" ht="21.75" thickBot="1" x14ac:dyDescent="0.3">
      <c r="A39" s="48"/>
      <c r="B39" s="260"/>
      <c r="C39" s="24" t="s">
        <v>228</v>
      </c>
      <c r="D39" s="241"/>
      <c r="E39" s="239"/>
      <c r="F39" s="185"/>
      <c r="G39" s="185"/>
      <c r="H39" s="185"/>
      <c r="I39" s="185"/>
      <c r="J39" s="179"/>
      <c r="L39" s="24" t="s">
        <v>183</v>
      </c>
      <c r="M39" s="92"/>
      <c r="N39" s="92"/>
      <c r="O39" s="91" t="s">
        <v>189</v>
      </c>
      <c r="P39" s="243"/>
      <c r="Q39" s="261"/>
      <c r="R39" s="262"/>
      <c r="S39" s="263">
        <v>6</v>
      </c>
      <c r="T39" s="263">
        <v>5</v>
      </c>
      <c r="U39" s="263">
        <v>4</v>
      </c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4">
        <v>6</v>
      </c>
      <c r="AG39" s="264">
        <v>5</v>
      </c>
      <c r="AH39" s="264">
        <v>4</v>
      </c>
      <c r="AI39" s="264"/>
      <c r="AJ39" s="262"/>
      <c r="AK39" s="265"/>
      <c r="AL39" s="266"/>
      <c r="AM39" s="267"/>
      <c r="AN39" s="267"/>
      <c r="AO39" s="268"/>
      <c r="AP39" s="269"/>
      <c r="AQ39" s="268"/>
      <c r="AR39" s="267"/>
      <c r="AS39" s="267"/>
      <c r="AT39" s="267"/>
      <c r="AU39" s="270"/>
      <c r="AV39" s="262"/>
      <c r="AW39" s="667"/>
      <c r="AX39" s="668"/>
      <c r="AY39" s="668"/>
      <c r="AZ39" s="668"/>
      <c r="BA39" s="668"/>
      <c r="BB39" s="668"/>
      <c r="BC39" s="669"/>
      <c r="BD39" s="40"/>
      <c r="BE39" s="40"/>
      <c r="BF39" s="40"/>
      <c r="BG39" s="40"/>
      <c r="BH39" s="40"/>
      <c r="BI39" s="40"/>
      <c r="BJ39" s="40"/>
      <c r="BK39" s="271"/>
      <c r="BL39" s="608"/>
      <c r="BM39" s="272"/>
      <c r="BN39" s="272"/>
      <c r="BO39" s="609"/>
      <c r="BU39" s="45"/>
      <c r="BV39" s="45"/>
      <c r="BW39" s="45"/>
      <c r="BX39" s="45"/>
      <c r="BY39" s="45"/>
      <c r="BZ39" s="45"/>
      <c r="CA39" s="45"/>
      <c r="CB39" s="45"/>
      <c r="CC39" s="45"/>
      <c r="CD39" s="273"/>
      <c r="CE39" s="258"/>
      <c r="CF39" s="45"/>
      <c r="CG39" s="45"/>
      <c r="CH39" s="45"/>
      <c r="CI39" s="45"/>
      <c r="CJ39" s="45"/>
      <c r="CK39" s="45"/>
      <c r="CL39" s="45"/>
      <c r="CM39" s="212"/>
      <c r="CN39" s="259"/>
    </row>
    <row r="40" spans="1:92" ht="24" thickBot="1" x14ac:dyDescent="0.3">
      <c r="A40" s="48"/>
      <c r="B40" s="412">
        <v>880</v>
      </c>
      <c r="C40" s="25" t="s">
        <v>190</v>
      </c>
      <c r="D40" s="275">
        <v>1</v>
      </c>
      <c r="E40" s="276"/>
      <c r="K40" s="277">
        <v>1</v>
      </c>
      <c r="L40" s="92" t="s">
        <v>229</v>
      </c>
      <c r="M40" s="112">
        <v>1000</v>
      </c>
      <c r="N40" s="112">
        <v>1000</v>
      </c>
      <c r="O40" s="92" t="s">
        <v>229</v>
      </c>
      <c r="P40" s="278">
        <v>8</v>
      </c>
      <c r="Q40" s="780" t="s">
        <v>230</v>
      </c>
      <c r="R40" s="781"/>
      <c r="S40" s="782"/>
      <c r="T40" s="183"/>
      <c r="U40" s="183"/>
      <c r="V40" s="183"/>
      <c r="W40" s="183"/>
      <c r="X40" s="183"/>
      <c r="Y40" s="183"/>
      <c r="AF40" s="626" t="s">
        <v>166</v>
      </c>
      <c r="AG40" s="626"/>
      <c r="AH40" s="626"/>
      <c r="AW40" s="45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279"/>
      <c r="BM40" s="280"/>
      <c r="BN40" s="281"/>
      <c r="BO40" s="281"/>
      <c r="BP40" s="281"/>
      <c r="BQ40" s="281"/>
      <c r="BR40" s="281"/>
      <c r="BS40" s="627" t="s">
        <v>231</v>
      </c>
      <c r="BT40" s="628"/>
      <c r="BU40" s="281"/>
      <c r="BV40" s="281"/>
      <c r="BW40" s="281"/>
      <c r="BX40" s="281"/>
      <c r="BY40" s="281"/>
      <c r="BZ40" s="281"/>
      <c r="CA40" s="281"/>
      <c r="CB40" s="281"/>
      <c r="CC40" s="282"/>
      <c r="CD40" s="283"/>
      <c r="CE40" s="258"/>
      <c r="CF40" s="45"/>
      <c r="CG40" s="45"/>
      <c r="CH40" s="45"/>
      <c r="CI40" s="45"/>
      <c r="CJ40" s="45"/>
      <c r="CK40" s="45"/>
      <c r="CL40" s="45"/>
      <c r="CM40" s="212"/>
      <c r="CN40" s="259"/>
    </row>
    <row r="41" spans="1:92" ht="21" x14ac:dyDescent="0.25">
      <c r="A41" s="284"/>
      <c r="B41" s="260"/>
      <c r="C41" s="285"/>
      <c r="D41" s="286"/>
      <c r="E41" s="287"/>
      <c r="K41" s="288"/>
      <c r="L41" s="185"/>
      <c r="M41" s="92"/>
      <c r="N41" s="92"/>
      <c r="P41" s="278"/>
      <c r="Q41" s="783"/>
      <c r="R41" s="781"/>
      <c r="S41" s="782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45"/>
      <c r="AE41" s="45"/>
      <c r="AF41" s="11"/>
      <c r="BD41" s="45"/>
      <c r="BE41" s="45"/>
      <c r="BF41" s="45"/>
      <c r="BG41" s="45"/>
      <c r="BH41" s="45"/>
      <c r="BI41" s="45"/>
      <c r="BJ41" s="45"/>
      <c r="BK41" s="45"/>
      <c r="BL41" s="45"/>
      <c r="BM41" s="289"/>
      <c r="BN41" s="290"/>
      <c r="BO41" s="29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291"/>
      <c r="CD41" s="45"/>
      <c r="CE41" s="258"/>
      <c r="CF41" s="45"/>
      <c r="CG41" s="45"/>
      <c r="CH41" s="45"/>
      <c r="CI41" s="45"/>
      <c r="CJ41" s="45"/>
      <c r="CK41" s="45"/>
      <c r="CL41" s="45"/>
      <c r="CM41" s="212"/>
      <c r="CN41" s="259"/>
    </row>
    <row r="42" spans="1:92" ht="23.25" x14ac:dyDescent="0.25">
      <c r="A42" s="284"/>
      <c r="B42" s="412">
        <v>880</v>
      </c>
      <c r="C42" s="25" t="s">
        <v>190</v>
      </c>
      <c r="D42" s="275">
        <v>2</v>
      </c>
      <c r="F42" s="292"/>
      <c r="G42" s="249"/>
      <c r="H42" s="292"/>
      <c r="J42" s="239"/>
      <c r="K42" s="277">
        <v>2</v>
      </c>
      <c r="L42" s="92" t="s">
        <v>229</v>
      </c>
      <c r="M42" s="111">
        <v>1000</v>
      </c>
      <c r="N42" s="112">
        <v>1000</v>
      </c>
      <c r="O42" s="92" t="s">
        <v>229</v>
      </c>
      <c r="P42" s="278">
        <v>7</v>
      </c>
      <c r="Q42" s="783"/>
      <c r="R42" s="781"/>
      <c r="S42" s="782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4"/>
      <c r="AE42" s="4"/>
      <c r="AF42" s="294"/>
      <c r="AG42" s="11"/>
      <c r="AH42" s="4"/>
      <c r="AI42" s="4"/>
      <c r="AJ42" s="205"/>
      <c r="AK42" s="205"/>
      <c r="AL42" s="205"/>
      <c r="AM42" s="205"/>
      <c r="AN42" s="11"/>
      <c r="AO42" s="11"/>
      <c r="AP42" s="11"/>
      <c r="AQ42" s="11"/>
      <c r="AR42" s="11"/>
      <c r="AS42" s="30"/>
      <c r="AT42" s="30"/>
      <c r="BD42" s="45"/>
      <c r="BE42" s="45"/>
      <c r="BF42" s="45"/>
      <c r="BG42" s="45"/>
      <c r="BH42" s="45"/>
      <c r="BI42" s="45"/>
      <c r="BJ42" s="45"/>
      <c r="BK42" s="45"/>
      <c r="BL42" s="30"/>
      <c r="BM42" s="45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295"/>
      <c r="CD42" s="30"/>
      <c r="CE42" s="296"/>
      <c r="CF42" s="30"/>
      <c r="CG42" s="30"/>
      <c r="CH42" s="30"/>
      <c r="CI42" s="30"/>
      <c r="CJ42" s="30"/>
      <c r="CK42" s="30"/>
      <c r="CL42" s="30"/>
      <c r="CM42" s="211"/>
      <c r="CN42" s="259"/>
    </row>
    <row r="43" spans="1:92" ht="21.75" thickBot="1" x14ac:dyDescent="0.3">
      <c r="A43" s="284"/>
      <c r="B43" s="260"/>
      <c r="C43" s="285"/>
      <c r="D43" s="286"/>
      <c r="E43" s="297"/>
      <c r="F43" s="298"/>
      <c r="G43" s="299"/>
      <c r="H43" s="298"/>
      <c r="I43" s="300"/>
      <c r="J43" s="73"/>
      <c r="K43" s="301"/>
      <c r="L43" s="302"/>
      <c r="M43" s="92"/>
      <c r="N43" s="92"/>
      <c r="O43" s="239"/>
      <c r="P43" s="278"/>
      <c r="Q43" s="783"/>
      <c r="R43" s="781"/>
      <c r="S43" s="782"/>
      <c r="T43" s="15"/>
      <c r="U43" s="185"/>
      <c r="V43" s="185"/>
      <c r="AO43" s="205"/>
      <c r="AP43" s="11"/>
      <c r="AQ43" s="30"/>
      <c r="AR43" s="30"/>
      <c r="AS43" s="30"/>
      <c r="AT43" s="30"/>
      <c r="BD43" s="30"/>
      <c r="BE43" s="45"/>
      <c r="BF43" s="45"/>
      <c r="BG43" s="45"/>
      <c r="BH43" s="45"/>
      <c r="BI43" s="45"/>
      <c r="BJ43" s="45"/>
      <c r="BK43" s="45"/>
      <c r="BL43" s="30"/>
      <c r="BM43" s="30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295"/>
      <c r="CD43" s="30"/>
      <c r="CE43" s="296"/>
      <c r="CF43" s="30"/>
      <c r="CG43" s="30"/>
      <c r="CH43" s="30"/>
      <c r="CI43" s="30"/>
      <c r="CJ43" s="30"/>
      <c r="CK43" s="30"/>
      <c r="CL43" s="30"/>
      <c r="CM43" s="30"/>
      <c r="CN43" s="291"/>
    </row>
    <row r="44" spans="1:92" ht="23.25" x14ac:dyDescent="0.25">
      <c r="A44" s="284"/>
      <c r="B44" s="412">
        <v>880</v>
      </c>
      <c r="C44" s="25" t="s">
        <v>190</v>
      </c>
      <c r="D44" s="275">
        <v>3</v>
      </c>
      <c r="E44" s="298"/>
      <c r="F44" s="303"/>
      <c r="G44" s="298"/>
      <c r="H44" s="303"/>
      <c r="J44" s="239"/>
      <c r="K44" s="301">
        <v>3</v>
      </c>
      <c r="L44" s="92" t="s">
        <v>229</v>
      </c>
      <c r="M44" s="112">
        <v>1000</v>
      </c>
      <c r="N44" s="111">
        <v>1000</v>
      </c>
      <c r="O44" s="92" t="s">
        <v>229</v>
      </c>
      <c r="P44" s="278">
        <v>6</v>
      </c>
      <c r="Q44" s="783"/>
      <c r="R44" s="781"/>
      <c r="S44" s="782"/>
      <c r="T44" s="629" t="s">
        <v>232</v>
      </c>
      <c r="U44" s="630"/>
      <c r="V44" s="630"/>
      <c r="W44" s="630"/>
      <c r="X44" s="630"/>
      <c r="Y44" s="630"/>
      <c r="Z44" s="630"/>
      <c r="AA44" s="630"/>
      <c r="AB44" s="631"/>
      <c r="AC44" s="14"/>
      <c r="AD44" s="14"/>
      <c r="AE44" s="14"/>
      <c r="AF44" s="304"/>
      <c r="AG44" s="15"/>
      <c r="AH44" s="14"/>
      <c r="AI44" s="14"/>
      <c r="AJ44" s="305"/>
      <c r="AK44" s="305"/>
      <c r="AL44" s="305"/>
      <c r="AM44" s="305"/>
      <c r="AO44" s="30"/>
      <c r="AP44" s="11"/>
      <c r="AQ44" s="30"/>
      <c r="AR44" s="30"/>
      <c r="AS44" s="30"/>
      <c r="AT44" s="30"/>
      <c r="BD44" s="30"/>
      <c r="BE44" s="4"/>
      <c r="BF44" s="4"/>
      <c r="BG44" s="4"/>
      <c r="BH44" s="4"/>
      <c r="BI44" s="4"/>
      <c r="BJ44" s="4"/>
      <c r="BK44" s="4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291"/>
      <c r="CD44" s="30"/>
      <c r="CE44" s="296"/>
      <c r="CF44" s="30"/>
      <c r="CG44" s="30"/>
      <c r="CH44" s="30"/>
      <c r="CI44" s="30"/>
      <c r="CJ44" s="30"/>
      <c r="CK44" s="30"/>
      <c r="CL44" s="30"/>
      <c r="CM44" s="30"/>
      <c r="CN44" s="291"/>
    </row>
    <row r="45" spans="1:92" ht="21.75" thickBot="1" x14ac:dyDescent="0.3">
      <c r="A45" s="284"/>
      <c r="B45" s="260"/>
      <c r="C45" s="285"/>
      <c r="D45" s="286"/>
      <c r="E45" s="306"/>
      <c r="F45" s="303"/>
      <c r="G45" s="298"/>
      <c r="H45" s="303"/>
      <c r="J45" s="239"/>
      <c r="K45" s="307"/>
      <c r="L45" s="239"/>
      <c r="M45" s="92"/>
      <c r="N45" s="92"/>
      <c r="O45" s="239"/>
      <c r="P45" s="278"/>
      <c r="Q45" s="783"/>
      <c r="R45" s="781"/>
      <c r="S45" s="782"/>
      <c r="T45" s="632"/>
      <c r="U45" s="633"/>
      <c r="V45" s="633"/>
      <c r="W45" s="633"/>
      <c r="X45" s="633"/>
      <c r="Y45" s="633"/>
      <c r="Z45" s="633"/>
      <c r="AA45" s="633"/>
      <c r="AB45" s="634"/>
      <c r="AC45" s="308"/>
      <c r="AD45" s="308"/>
      <c r="AE45" s="308"/>
      <c r="AF45" s="308"/>
      <c r="AG45" s="308"/>
      <c r="AH45" s="308"/>
      <c r="AI45" s="308"/>
      <c r="AJ45" s="308"/>
      <c r="AK45" s="308"/>
      <c r="AL45" s="308"/>
      <c r="AM45" s="308"/>
      <c r="AO45" s="30"/>
      <c r="BD45" s="30"/>
      <c r="BE45" s="4"/>
      <c r="BF45" s="4"/>
      <c r="BG45" s="4"/>
      <c r="BH45" s="4"/>
      <c r="BI45" s="4"/>
      <c r="BJ45" s="4"/>
      <c r="BK45" s="4"/>
      <c r="BL45" s="30"/>
      <c r="BM45" s="30"/>
      <c r="BN45" s="30"/>
      <c r="BO45" s="30"/>
      <c r="BP45" s="30"/>
      <c r="BQ45" s="30"/>
      <c r="BR45" s="30"/>
      <c r="BS45" s="4"/>
      <c r="BT45" s="30"/>
      <c r="BU45" s="30"/>
      <c r="BV45" s="30"/>
      <c r="BW45" s="30"/>
      <c r="BX45" s="30"/>
      <c r="BY45" s="30"/>
      <c r="BZ45" s="30"/>
      <c r="CA45" s="30"/>
      <c r="CB45" s="30"/>
      <c r="CC45" s="291"/>
      <c r="CD45" s="40"/>
      <c r="CE45" s="309"/>
      <c r="CF45" s="40"/>
      <c r="CG45" s="40"/>
      <c r="CH45" s="40"/>
      <c r="CI45" s="40"/>
      <c r="CJ45" s="40"/>
      <c r="CK45" s="40"/>
      <c r="CL45" s="40"/>
      <c r="CM45" s="40"/>
      <c r="CN45" s="310"/>
    </row>
    <row r="46" spans="1:92" ht="23.25" x14ac:dyDescent="0.25">
      <c r="A46" s="284"/>
      <c r="B46" s="412">
        <v>880</v>
      </c>
      <c r="C46" s="25" t="s">
        <v>190</v>
      </c>
      <c r="D46" s="286">
        <v>4</v>
      </c>
      <c r="E46" s="311"/>
      <c r="F46" s="298"/>
      <c r="G46" s="299"/>
      <c r="H46" s="298"/>
      <c r="I46" s="312"/>
      <c r="J46" s="239"/>
      <c r="K46" s="301">
        <v>4</v>
      </c>
      <c r="L46" s="92" t="s">
        <v>229</v>
      </c>
      <c r="M46" s="112">
        <v>1000</v>
      </c>
      <c r="N46" s="112">
        <v>1000</v>
      </c>
      <c r="O46" s="92" t="s">
        <v>229</v>
      </c>
      <c r="P46" s="278">
        <v>5</v>
      </c>
      <c r="Q46" s="783"/>
      <c r="R46" s="781"/>
      <c r="S46" s="782"/>
      <c r="T46" s="632"/>
      <c r="U46" s="633"/>
      <c r="V46" s="633"/>
      <c r="W46" s="633"/>
      <c r="X46" s="633"/>
      <c r="Y46" s="633"/>
      <c r="Z46" s="633"/>
      <c r="AA46" s="633"/>
      <c r="AB46" s="634"/>
      <c r="AC46" s="313"/>
      <c r="AD46" s="570"/>
      <c r="AE46" s="822" t="s">
        <v>233</v>
      </c>
      <c r="AF46" s="823"/>
      <c r="AG46" s="823"/>
      <c r="AH46" s="823"/>
      <c r="AI46" s="823"/>
      <c r="AJ46" s="823"/>
      <c r="AK46" s="823"/>
      <c r="AL46" s="823"/>
      <c r="AM46" s="824"/>
      <c r="AO46" s="30"/>
      <c r="BD46" s="315"/>
      <c r="BE46" s="316"/>
      <c r="BF46" s="316"/>
      <c r="BG46" s="316"/>
      <c r="BH46" s="316"/>
      <c r="BI46" s="316"/>
      <c r="BJ46" s="316"/>
      <c r="BK46" s="316"/>
      <c r="BL46" s="30"/>
      <c r="BM46" s="316"/>
      <c r="BN46" s="316"/>
      <c r="BO46" s="30"/>
      <c r="BP46" s="30"/>
      <c r="BQ46" s="30"/>
      <c r="BR46" s="30"/>
      <c r="BS46" s="4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281"/>
      <c r="CE46" s="281"/>
      <c r="CF46" s="281"/>
      <c r="CG46" s="281"/>
      <c r="CH46" s="281"/>
      <c r="CI46" s="281"/>
      <c r="CJ46" s="281"/>
      <c r="CK46" s="281"/>
      <c r="CL46" s="281"/>
      <c r="CM46" s="281"/>
      <c r="CN46" s="282"/>
    </row>
    <row r="47" spans="1:92" ht="21" x14ac:dyDescent="0.25">
      <c r="A47" s="284"/>
      <c r="B47" s="260"/>
      <c r="D47" s="286"/>
      <c r="E47" s="285"/>
      <c r="F47" s="292"/>
      <c r="G47" s="249"/>
      <c r="H47" s="292"/>
      <c r="I47" s="285"/>
      <c r="J47" s="239"/>
      <c r="M47" s="92"/>
      <c r="N47" s="92"/>
      <c r="P47" s="233"/>
      <c r="Q47" s="783"/>
      <c r="R47" s="781"/>
      <c r="S47" s="782"/>
      <c r="T47" s="632"/>
      <c r="U47" s="633"/>
      <c r="V47" s="633"/>
      <c r="W47" s="633"/>
      <c r="X47" s="633"/>
      <c r="Y47" s="633"/>
      <c r="Z47" s="633"/>
      <c r="AA47" s="633"/>
      <c r="AB47" s="634"/>
      <c r="AC47" s="179"/>
      <c r="AD47" s="185"/>
      <c r="AE47" s="638"/>
      <c r="AF47" s="639"/>
      <c r="AG47" s="639"/>
      <c r="AH47" s="639"/>
      <c r="AI47" s="639"/>
      <c r="AJ47" s="639"/>
      <c r="AK47" s="639"/>
      <c r="AL47" s="639"/>
      <c r="AM47" s="640"/>
      <c r="AO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291"/>
    </row>
    <row r="48" spans="1:92" ht="15.75" x14ac:dyDescent="0.25">
      <c r="A48" s="284"/>
      <c r="B48" s="644" t="s">
        <v>234</v>
      </c>
      <c r="C48" s="645"/>
      <c r="D48" s="286"/>
      <c r="J48" s="239"/>
      <c r="K48" s="234"/>
      <c r="L48" s="239"/>
      <c r="M48" s="239"/>
      <c r="N48" s="239"/>
      <c r="O48" s="317"/>
      <c r="P48" s="233"/>
      <c r="Q48" s="783"/>
      <c r="R48" s="781"/>
      <c r="S48" s="782"/>
      <c r="T48" s="632"/>
      <c r="U48" s="633"/>
      <c r="V48" s="633"/>
      <c r="W48" s="633"/>
      <c r="X48" s="633"/>
      <c r="Y48" s="633"/>
      <c r="Z48" s="633"/>
      <c r="AA48" s="633"/>
      <c r="AB48" s="634"/>
      <c r="AC48" s="179"/>
      <c r="AD48" s="185"/>
      <c r="AE48" s="641"/>
      <c r="AF48" s="642"/>
      <c r="AG48" s="642"/>
      <c r="AH48" s="642"/>
      <c r="AI48" s="642"/>
      <c r="AJ48" s="642"/>
      <c r="AK48" s="642"/>
      <c r="AL48" s="642"/>
      <c r="AM48" s="643"/>
      <c r="AO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291"/>
    </row>
    <row r="49" spans="1:93" x14ac:dyDescent="0.25">
      <c r="A49" s="284"/>
      <c r="B49" s="239"/>
      <c r="C49" s="239"/>
      <c r="D49" s="286"/>
      <c r="L49" s="239"/>
      <c r="M49" s="239"/>
      <c r="N49" s="239"/>
      <c r="O49" s="239"/>
      <c r="P49" s="239"/>
      <c r="Q49" s="783"/>
      <c r="R49" s="781"/>
      <c r="S49" s="782"/>
      <c r="T49" s="632"/>
      <c r="U49" s="633"/>
      <c r="V49" s="633"/>
      <c r="W49" s="633"/>
      <c r="X49" s="633"/>
      <c r="Y49" s="633"/>
      <c r="Z49" s="633"/>
      <c r="AA49" s="633"/>
      <c r="AB49" s="634"/>
      <c r="AC49" s="179"/>
      <c r="AD49" s="185"/>
      <c r="AE49" s="185"/>
      <c r="AF49" s="185"/>
      <c r="AG49" s="185"/>
      <c r="AH49" s="185"/>
      <c r="AI49" s="185"/>
      <c r="AJ49" s="185"/>
      <c r="AK49" s="790" t="s">
        <v>235</v>
      </c>
      <c r="AL49" s="823"/>
      <c r="AM49" s="825"/>
      <c r="AO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291"/>
    </row>
    <row r="50" spans="1:93" ht="20.25" x14ac:dyDescent="0.25">
      <c r="A50" s="284"/>
      <c r="B50" s="239"/>
      <c r="C50" s="239"/>
      <c r="E50" s="286"/>
      <c r="F50" s="318" t="s">
        <v>226</v>
      </c>
      <c r="G50" s="318"/>
      <c r="H50" s="318"/>
      <c r="I50" s="319"/>
      <c r="L50" s="239"/>
      <c r="M50" s="239"/>
      <c r="N50" s="239"/>
      <c r="O50" s="239"/>
      <c r="P50" s="239"/>
      <c r="Q50" s="783"/>
      <c r="R50" s="781"/>
      <c r="S50" s="782"/>
      <c r="T50" s="632"/>
      <c r="U50" s="633"/>
      <c r="V50" s="633"/>
      <c r="W50" s="633"/>
      <c r="X50" s="633"/>
      <c r="Y50" s="633"/>
      <c r="Z50" s="633"/>
      <c r="AA50" s="633"/>
      <c r="AB50" s="634"/>
      <c r="AC50" s="179"/>
      <c r="AD50" s="185"/>
      <c r="AE50" s="185"/>
      <c r="AF50" s="185"/>
      <c r="AG50" s="185"/>
      <c r="AH50" s="185"/>
      <c r="AI50" s="185"/>
      <c r="AJ50" s="185"/>
      <c r="AK50" s="646"/>
      <c r="AL50" s="639"/>
      <c r="AM50" s="647"/>
      <c r="AO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291"/>
    </row>
    <row r="51" spans="1:93" x14ac:dyDescent="0.25">
      <c r="A51" s="284"/>
      <c r="C51" s="239"/>
      <c r="E51" s="286"/>
      <c r="F51" s="239">
        <v>1</v>
      </c>
      <c r="G51" s="239">
        <v>2</v>
      </c>
      <c r="H51" s="239">
        <v>3</v>
      </c>
      <c r="L51" s="239"/>
      <c r="M51" s="239"/>
      <c r="N51" s="239"/>
      <c r="Q51" s="783"/>
      <c r="R51" s="781"/>
      <c r="S51" s="782"/>
      <c r="T51" s="632"/>
      <c r="U51" s="633"/>
      <c r="V51" s="633"/>
      <c r="W51" s="633"/>
      <c r="X51" s="633"/>
      <c r="Y51" s="633"/>
      <c r="Z51" s="633"/>
      <c r="AA51" s="633"/>
      <c r="AB51" s="634"/>
      <c r="AC51" s="826" t="s">
        <v>236</v>
      </c>
      <c r="AD51" s="650"/>
      <c r="AE51" s="650"/>
      <c r="AF51" s="650"/>
      <c r="AG51" s="650"/>
      <c r="AH51" s="650"/>
      <c r="AI51" s="650"/>
      <c r="AJ51" s="651"/>
      <c r="AK51" s="646"/>
      <c r="AL51" s="639"/>
      <c r="AM51" s="647"/>
      <c r="AO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20"/>
    </row>
    <row r="52" spans="1:93" ht="18.75" x14ac:dyDescent="0.25">
      <c r="A52" s="284"/>
      <c r="B52" s="239"/>
      <c r="C52" s="239"/>
      <c r="E52" s="24" t="s">
        <v>237</v>
      </c>
      <c r="F52" s="321" t="s">
        <v>170</v>
      </c>
      <c r="G52" s="321" t="s">
        <v>170</v>
      </c>
      <c r="H52" s="321" t="s">
        <v>170</v>
      </c>
      <c r="I52" s="91" t="s">
        <v>238</v>
      </c>
      <c r="L52" s="239"/>
      <c r="M52" s="239"/>
      <c r="N52" s="239"/>
      <c r="Q52" s="783"/>
      <c r="R52" s="781"/>
      <c r="S52" s="782"/>
      <c r="T52" s="632"/>
      <c r="U52" s="633"/>
      <c r="V52" s="633"/>
      <c r="W52" s="633"/>
      <c r="X52" s="633"/>
      <c r="Y52" s="633"/>
      <c r="Z52" s="633"/>
      <c r="AA52" s="633"/>
      <c r="AB52" s="634"/>
      <c r="AC52" s="632"/>
      <c r="AD52" s="633"/>
      <c r="AE52" s="633"/>
      <c r="AF52" s="633"/>
      <c r="AG52" s="633"/>
      <c r="AH52" s="633"/>
      <c r="AI52" s="633"/>
      <c r="AJ52" s="652"/>
      <c r="AK52" s="648"/>
      <c r="AL52" s="642"/>
      <c r="AM52" s="649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20"/>
    </row>
    <row r="53" spans="1:93" ht="23.25" x14ac:dyDescent="0.25">
      <c r="A53" s="284"/>
      <c r="B53" s="239"/>
      <c r="C53" s="239"/>
      <c r="E53" s="322"/>
      <c r="F53" s="571">
        <v>440</v>
      </c>
      <c r="G53" s="571">
        <v>440</v>
      </c>
      <c r="H53" s="571">
        <v>440</v>
      </c>
      <c r="I53" s="324"/>
      <c r="L53" s="239"/>
      <c r="M53" s="239"/>
      <c r="N53" s="239"/>
      <c r="Q53" s="783"/>
      <c r="R53" s="781"/>
      <c r="S53" s="782"/>
      <c r="T53" s="632"/>
      <c r="U53" s="633"/>
      <c r="V53" s="633"/>
      <c r="W53" s="633"/>
      <c r="X53" s="633"/>
      <c r="Y53" s="633"/>
      <c r="Z53" s="633"/>
      <c r="AA53" s="633"/>
      <c r="AB53" s="634"/>
      <c r="AC53" s="632"/>
      <c r="AD53" s="633"/>
      <c r="AE53" s="633"/>
      <c r="AF53" s="633"/>
      <c r="AG53" s="633"/>
      <c r="AH53" s="633"/>
      <c r="AI53" s="633"/>
      <c r="AJ53" s="652"/>
      <c r="AK53" s="793" t="s">
        <v>239</v>
      </c>
      <c r="AL53" s="827"/>
      <c r="AM53" s="828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20"/>
    </row>
    <row r="54" spans="1:93" ht="24" thickBot="1" x14ac:dyDescent="0.3">
      <c r="A54" s="284"/>
      <c r="B54" s="239"/>
      <c r="C54" s="239"/>
      <c r="E54" s="325"/>
      <c r="F54" s="571">
        <v>440</v>
      </c>
      <c r="G54" s="571">
        <v>440</v>
      </c>
      <c r="H54" s="571">
        <v>440</v>
      </c>
      <c r="I54" s="324"/>
      <c r="L54" s="239"/>
      <c r="M54" s="239"/>
      <c r="N54" s="239"/>
      <c r="Q54" s="783"/>
      <c r="R54" s="781"/>
      <c r="S54" s="782"/>
      <c r="T54" s="635"/>
      <c r="U54" s="636"/>
      <c r="V54" s="636"/>
      <c r="W54" s="636"/>
      <c r="X54" s="636"/>
      <c r="Y54" s="636"/>
      <c r="Z54" s="636"/>
      <c r="AA54" s="636"/>
      <c r="AB54" s="637"/>
      <c r="AC54" s="635"/>
      <c r="AD54" s="636"/>
      <c r="AE54" s="636"/>
      <c r="AF54" s="636"/>
      <c r="AG54" s="636"/>
      <c r="AH54" s="636"/>
      <c r="AI54" s="636"/>
      <c r="AJ54" s="653"/>
      <c r="AK54" s="654"/>
      <c r="AL54" s="655"/>
      <c r="AM54" s="656"/>
      <c r="CO54" s="13"/>
    </row>
    <row r="55" spans="1:93" ht="15.75" x14ac:dyDescent="0.25">
      <c r="A55" s="284"/>
      <c r="B55" s="600"/>
      <c r="C55" s="239"/>
      <c r="E55" s="286"/>
      <c r="F55" s="321" t="s">
        <v>170</v>
      </c>
      <c r="G55" s="321" t="s">
        <v>170</v>
      </c>
      <c r="H55" s="321" t="s">
        <v>170</v>
      </c>
      <c r="Q55" s="783"/>
      <c r="R55" s="781"/>
      <c r="S55" s="782"/>
      <c r="T55" s="15"/>
      <c r="U55" s="15"/>
      <c r="V55" s="15"/>
      <c r="W55" s="15"/>
      <c r="X55" s="15"/>
      <c r="Y55" s="15"/>
      <c r="Z55" s="15"/>
      <c r="AA55" s="15"/>
      <c r="AB55" s="327"/>
      <c r="AC55" s="327"/>
      <c r="AD55" s="327"/>
      <c r="AE55" s="327"/>
      <c r="AF55" s="327"/>
      <c r="AG55" s="327"/>
      <c r="AH55" s="327"/>
      <c r="AI55" s="327"/>
      <c r="AJ55" s="327"/>
      <c r="AK55" s="327"/>
      <c r="AL55" s="327"/>
      <c r="AM55" s="327"/>
      <c r="AN55" s="327"/>
      <c r="AO55" s="327"/>
      <c r="AP55" s="327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27"/>
      <c r="BH55" s="327"/>
      <c r="BI55" s="327"/>
      <c r="BJ55" s="327"/>
      <c r="BK55" s="327"/>
      <c r="BL55" s="327"/>
      <c r="BM55" s="327"/>
      <c r="BN55" s="327"/>
      <c r="BO55" s="327"/>
      <c r="BP55" s="327"/>
      <c r="BQ55" s="327"/>
      <c r="BR55" s="327"/>
      <c r="BS55" s="327"/>
      <c r="BT55" s="327"/>
      <c r="BU55" s="327"/>
      <c r="BV55" s="327"/>
      <c r="BW55" s="327"/>
      <c r="BX55" s="327"/>
      <c r="BY55" s="327"/>
      <c r="BZ55" s="327"/>
      <c r="CA55" s="327"/>
      <c r="CB55" s="327"/>
      <c r="CC55" s="327"/>
      <c r="CD55" s="327"/>
      <c r="CE55" s="327"/>
      <c r="CF55" s="327"/>
      <c r="CG55" s="327"/>
      <c r="CH55" s="327"/>
      <c r="CI55" s="327"/>
      <c r="CJ55" s="327"/>
      <c r="CK55" s="327"/>
      <c r="CL55" s="327"/>
      <c r="CM55" s="327"/>
      <c r="CN55" s="327"/>
    </row>
    <row r="56" spans="1:93" ht="15.75" x14ac:dyDescent="0.25">
      <c r="A56" s="284"/>
      <c r="B56" s="600"/>
      <c r="C56" s="239"/>
      <c r="E56" s="328"/>
      <c r="F56" s="239">
        <v>6</v>
      </c>
      <c r="G56" s="239">
        <v>5</v>
      </c>
      <c r="H56" s="239">
        <v>4</v>
      </c>
      <c r="I56" s="239"/>
      <c r="Q56" s="783"/>
      <c r="R56" s="781"/>
      <c r="S56" s="782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</row>
    <row r="57" spans="1:93" ht="15.75" x14ac:dyDescent="0.25">
      <c r="A57" s="284"/>
      <c r="B57" s="600"/>
      <c r="C57" s="239"/>
      <c r="D57" s="329"/>
      <c r="J57" s="239"/>
      <c r="Q57" s="783"/>
      <c r="R57" s="781"/>
      <c r="S57" s="782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</row>
    <row r="58" spans="1:93" x14ac:dyDescent="0.25">
      <c r="A58" s="284"/>
      <c r="B58" s="239"/>
      <c r="C58" s="239"/>
      <c r="Q58" s="783"/>
      <c r="R58" s="781"/>
      <c r="S58" s="782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P58" s="330"/>
      <c r="BQ58" s="330"/>
      <c r="BR58" s="330"/>
      <c r="BS58" s="330"/>
      <c r="BT58" s="330"/>
      <c r="BU58" s="330"/>
      <c r="BV58" s="330"/>
      <c r="BW58" s="330"/>
      <c r="BX58" s="330"/>
      <c r="BY58" s="330"/>
      <c r="BZ58" s="330"/>
      <c r="CA58" s="330"/>
      <c r="CB58" s="330"/>
      <c r="CC58" s="330"/>
      <c r="CD58" s="330"/>
      <c r="CE58" s="330"/>
      <c r="CF58" s="330"/>
      <c r="CG58" s="330"/>
      <c r="CH58" s="330"/>
      <c r="CI58" s="330"/>
      <c r="CJ58" s="330"/>
      <c r="CK58" s="330"/>
      <c r="CL58" s="11"/>
      <c r="CM58" s="11"/>
      <c r="CN58" s="11"/>
    </row>
    <row r="59" spans="1:93" x14ac:dyDescent="0.25">
      <c r="A59" s="284"/>
      <c r="B59" s="285"/>
      <c r="E59" s="239"/>
      <c r="F59" s="331"/>
      <c r="Q59" s="783"/>
      <c r="R59" s="781"/>
      <c r="S59" s="782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330"/>
      <c r="AP59" s="330"/>
      <c r="AQ59" s="330"/>
      <c r="AR59" s="330"/>
      <c r="AS59" s="330"/>
      <c r="AT59" s="330"/>
      <c r="AU59" s="330"/>
      <c r="AV59" s="330"/>
      <c r="AW59" s="330"/>
      <c r="AX59" s="330"/>
      <c r="AY59" s="330"/>
      <c r="AZ59" s="330"/>
      <c r="BA59" s="330"/>
      <c r="BB59" s="330"/>
      <c r="BC59" s="330"/>
      <c r="BD59" s="330"/>
      <c r="BE59" s="330"/>
      <c r="BF59" s="330"/>
      <c r="BG59" s="330"/>
      <c r="BH59" s="330"/>
      <c r="BI59" s="330"/>
      <c r="BJ59" s="330"/>
      <c r="BK59" s="330"/>
      <c r="BL59" s="330"/>
      <c r="BM59" s="330"/>
      <c r="BN59" s="330"/>
      <c r="BO59" s="330"/>
      <c r="BP59" s="330"/>
      <c r="BQ59" s="330"/>
      <c r="BR59" s="330"/>
      <c r="BS59" s="330"/>
      <c r="BT59" s="330"/>
      <c r="BU59" s="330"/>
      <c r="BV59" s="330"/>
      <c r="BW59" s="330"/>
      <c r="BX59" s="330"/>
      <c r="BY59" s="330"/>
      <c r="BZ59" s="330"/>
      <c r="CA59" s="330"/>
      <c r="CB59" s="330"/>
      <c r="CC59" s="330"/>
      <c r="CD59" s="330"/>
      <c r="CE59" s="330"/>
      <c r="CF59" s="330"/>
      <c r="CG59" s="330"/>
      <c r="CH59" s="330"/>
      <c r="CI59" s="330"/>
      <c r="CJ59" s="330"/>
      <c r="CK59" s="330"/>
      <c r="CL59" s="11"/>
      <c r="CM59" s="11"/>
      <c r="CN59" s="11"/>
    </row>
    <row r="60" spans="1:93" ht="15.75" x14ac:dyDescent="0.25">
      <c r="A60" s="284"/>
      <c r="B60" s="597"/>
      <c r="E60" s="239"/>
      <c r="F60" s="285"/>
      <c r="Q60" s="783"/>
      <c r="R60" s="781"/>
      <c r="S60" s="782"/>
      <c r="T60" s="330"/>
      <c r="U60" s="330"/>
      <c r="V60" s="330"/>
      <c r="W60" s="330"/>
      <c r="X60" s="330"/>
      <c r="Y60" s="330"/>
      <c r="Z60" s="330"/>
      <c r="AA60" s="330"/>
      <c r="AB60" s="330"/>
      <c r="AC60" s="332"/>
      <c r="AD60" s="332"/>
      <c r="AE60" s="332"/>
      <c r="AF60" s="332"/>
      <c r="AG60" s="332"/>
      <c r="AH60" s="330"/>
      <c r="AI60" s="330"/>
      <c r="AJ60" s="330"/>
      <c r="AK60" s="330"/>
      <c r="AL60" s="330"/>
      <c r="AM60" s="330"/>
      <c r="AN60" s="330"/>
      <c r="AO60" s="330"/>
      <c r="AP60" s="330"/>
      <c r="AQ60" s="330"/>
      <c r="AR60" s="330"/>
      <c r="AS60" s="330"/>
      <c r="AT60" s="330"/>
      <c r="AU60" s="330"/>
      <c r="AV60" s="330"/>
      <c r="AW60" s="330"/>
      <c r="AX60" s="330"/>
      <c r="AY60" s="330"/>
      <c r="AZ60" s="330"/>
      <c r="BA60" s="330"/>
      <c r="BB60" s="330"/>
      <c r="BC60" s="330"/>
      <c r="BD60" s="330"/>
      <c r="BE60" s="330"/>
      <c r="BF60" s="330"/>
      <c r="BG60" s="330"/>
      <c r="BH60" s="330"/>
      <c r="BI60" s="330"/>
      <c r="BJ60" s="330"/>
      <c r="BK60" s="330"/>
      <c r="BL60" s="330"/>
      <c r="BM60" s="330"/>
      <c r="BN60" s="330"/>
      <c r="BO60" s="330"/>
      <c r="BP60" s="330"/>
      <c r="BQ60" s="330"/>
      <c r="BR60" s="330"/>
      <c r="BS60" s="330"/>
      <c r="BT60" s="330"/>
      <c r="BU60" s="330"/>
      <c r="BV60" s="330"/>
      <c r="BW60" s="330"/>
      <c r="BX60" s="330"/>
      <c r="BY60" s="330"/>
      <c r="BZ60" s="330"/>
      <c r="CA60" s="330"/>
      <c r="CB60" s="330"/>
      <c r="CC60" s="330"/>
      <c r="CD60" s="330"/>
      <c r="CE60" s="330"/>
      <c r="CF60" s="330"/>
      <c r="CG60" s="330"/>
      <c r="CH60" s="330"/>
      <c r="CI60" s="330"/>
      <c r="CJ60" s="330"/>
      <c r="CK60" s="330"/>
      <c r="CL60" s="11"/>
      <c r="CM60" s="11"/>
      <c r="CN60" s="11"/>
    </row>
    <row r="61" spans="1:93" ht="21" x14ac:dyDescent="0.25">
      <c r="A61" s="284"/>
      <c r="B61" s="597"/>
      <c r="F61" s="333"/>
      <c r="L61" s="333"/>
      <c r="Q61" s="783"/>
      <c r="R61" s="781"/>
      <c r="S61" s="782"/>
      <c r="T61" s="330"/>
      <c r="U61" s="330"/>
      <c r="V61" s="330"/>
      <c r="W61" s="330"/>
      <c r="X61" s="330"/>
      <c r="Y61" s="330"/>
      <c r="Z61" s="330"/>
      <c r="AA61" s="330"/>
      <c r="AB61" s="330"/>
      <c r="AC61" s="332"/>
      <c r="AD61" s="332"/>
      <c r="AE61" s="332"/>
      <c r="AF61" s="332"/>
      <c r="AG61" s="332"/>
      <c r="AH61" s="330"/>
      <c r="AI61" s="330"/>
      <c r="AJ61" s="330"/>
      <c r="AK61" s="330"/>
      <c r="AL61" s="330"/>
      <c r="AM61" s="330"/>
      <c r="AN61" s="330"/>
      <c r="AO61" s="330"/>
      <c r="AP61" s="330"/>
      <c r="AQ61" s="330"/>
      <c r="AR61" s="330"/>
      <c r="AS61" s="330"/>
      <c r="AT61" s="330"/>
      <c r="AU61" s="330"/>
      <c r="AV61" s="330"/>
      <c r="AW61" s="330"/>
      <c r="AX61" s="330"/>
      <c r="AY61" s="330"/>
      <c r="AZ61" s="330"/>
      <c r="BA61" s="330"/>
      <c r="BB61" s="330"/>
      <c r="BC61" s="330"/>
      <c r="BD61" s="330"/>
      <c r="BE61" s="330"/>
      <c r="BF61" s="330"/>
      <c r="BG61" s="330"/>
      <c r="BH61" s="330"/>
      <c r="BI61" s="330"/>
      <c r="BJ61" s="330"/>
      <c r="BK61" s="330"/>
      <c r="BL61" s="330"/>
      <c r="BM61" s="330"/>
      <c r="BN61" s="330"/>
      <c r="BO61" s="330"/>
      <c r="BP61" s="330"/>
      <c r="BQ61" s="330"/>
      <c r="BR61" s="330"/>
      <c r="BS61" s="330"/>
      <c r="BT61" s="330"/>
      <c r="BU61" s="330"/>
      <c r="BV61" s="330"/>
      <c r="BW61" s="330"/>
      <c r="BX61" s="330"/>
      <c r="BY61" s="330"/>
      <c r="BZ61" s="330"/>
      <c r="CA61" s="330"/>
      <c r="CB61" s="330"/>
      <c r="CC61" s="330"/>
      <c r="CD61" s="330"/>
      <c r="CE61" s="330"/>
      <c r="CF61" s="330"/>
      <c r="CG61" s="330"/>
      <c r="CH61" s="330"/>
      <c r="CI61" s="330"/>
      <c r="CJ61" s="330"/>
      <c r="CK61" s="330"/>
      <c r="CL61" s="11"/>
      <c r="CM61" s="11"/>
      <c r="CN61" s="11"/>
    </row>
    <row r="62" spans="1:93" ht="21" x14ac:dyDescent="0.25">
      <c r="A62" s="284"/>
      <c r="B62" s="601"/>
      <c r="F62" s="335" t="s">
        <v>234</v>
      </c>
      <c r="G62" s="335"/>
      <c r="H62" s="335"/>
      <c r="I62" s="336"/>
      <c r="J62" s="239"/>
      <c r="K62" s="285"/>
      <c r="P62" s="319"/>
      <c r="Q62" s="783"/>
      <c r="R62" s="781"/>
      <c r="S62" s="782"/>
      <c r="T62" s="330"/>
      <c r="U62" s="330"/>
      <c r="V62" s="330"/>
      <c r="AJ62" s="330"/>
      <c r="AK62" s="330"/>
      <c r="AL62" s="330"/>
      <c r="AM62" s="330"/>
      <c r="AN62" s="330"/>
      <c r="AO62" s="330"/>
      <c r="AP62" s="330"/>
      <c r="AQ62" s="330"/>
      <c r="AR62" s="330"/>
      <c r="AS62" s="330"/>
      <c r="AT62" s="330"/>
      <c r="AU62" s="330"/>
      <c r="AV62" s="330"/>
      <c r="AW62" s="330"/>
      <c r="AX62" s="330"/>
      <c r="AY62" s="330"/>
      <c r="AZ62" s="330"/>
      <c r="BA62" s="330"/>
      <c r="BB62" s="330"/>
      <c r="BC62" s="330"/>
      <c r="BD62" s="330"/>
      <c r="BE62" s="330"/>
      <c r="BF62" s="330"/>
      <c r="BG62" s="330"/>
      <c r="BH62" s="330"/>
      <c r="BI62" s="330"/>
      <c r="BJ62" s="330"/>
      <c r="BK62" s="330"/>
      <c r="BL62" s="330"/>
      <c r="BM62" s="330"/>
      <c r="BN62" s="330"/>
      <c r="BO62" s="330"/>
      <c r="BP62" s="330"/>
      <c r="BQ62" s="330"/>
      <c r="BR62" s="330"/>
      <c r="BS62" s="330"/>
      <c r="BT62" s="330"/>
      <c r="BU62" s="330"/>
      <c r="BV62" s="330"/>
      <c r="BW62" s="330"/>
      <c r="BX62" s="330"/>
      <c r="BY62" s="330"/>
      <c r="BZ62" s="330"/>
      <c r="CA62" s="330"/>
      <c r="CB62" s="330"/>
      <c r="CC62" s="330"/>
      <c r="CD62" s="330"/>
      <c r="CE62" s="330"/>
      <c r="CF62" s="330"/>
      <c r="CG62" s="330"/>
      <c r="CH62" s="330"/>
      <c r="CI62" s="330"/>
      <c r="CJ62" s="330"/>
      <c r="CK62" s="330"/>
      <c r="CL62" s="11"/>
      <c r="CM62" s="11"/>
      <c r="CN62" s="11"/>
    </row>
    <row r="63" spans="1:93" ht="15.75" x14ac:dyDescent="0.25">
      <c r="A63" s="284"/>
      <c r="B63" s="601"/>
      <c r="F63" s="73">
        <v>1</v>
      </c>
      <c r="G63" s="236">
        <v>2</v>
      </c>
      <c r="H63" s="236">
        <v>3</v>
      </c>
      <c r="I63" s="73"/>
      <c r="K63" s="285"/>
      <c r="L63" s="292"/>
      <c r="M63" s="249"/>
      <c r="N63" s="292"/>
      <c r="O63" s="249"/>
      <c r="Q63" s="783"/>
      <c r="R63" s="781"/>
      <c r="S63" s="782"/>
      <c r="T63" s="330"/>
      <c r="U63" s="330"/>
      <c r="V63" s="330"/>
      <c r="AJ63" s="330"/>
      <c r="AK63" s="330"/>
      <c r="AL63" s="330"/>
      <c r="AM63" s="330"/>
      <c r="AN63" s="330"/>
      <c r="AO63" s="330"/>
      <c r="AP63" s="330"/>
      <c r="AQ63" s="330"/>
      <c r="AR63" s="330"/>
      <c r="AS63" s="330"/>
      <c r="AT63" s="330"/>
      <c r="AU63" s="330"/>
      <c r="AV63" s="330"/>
      <c r="AW63" s="330"/>
      <c r="AX63" s="330"/>
      <c r="AY63" s="330"/>
      <c r="AZ63" s="330"/>
      <c r="BA63" s="330"/>
      <c r="BB63" s="330"/>
      <c r="BC63" s="330"/>
      <c r="BD63" s="330"/>
      <c r="BE63" s="330"/>
      <c r="BF63" s="330"/>
      <c r="BG63" s="330"/>
      <c r="BH63" s="330"/>
      <c r="BI63" s="330"/>
      <c r="BJ63" s="330"/>
      <c r="BK63" s="330"/>
      <c r="BL63" s="330"/>
      <c r="BM63" s="330"/>
      <c r="BN63" s="330"/>
      <c r="BO63" s="330"/>
      <c r="BP63" s="330"/>
      <c r="BQ63" s="330"/>
      <c r="BR63" s="330"/>
      <c r="BS63" s="330"/>
      <c r="BT63" s="330"/>
      <c r="BU63" s="330"/>
      <c r="BV63" s="330"/>
      <c r="BW63" s="330"/>
      <c r="BX63" s="330"/>
      <c r="BY63" s="330"/>
      <c r="BZ63" s="330"/>
      <c r="CA63" s="330"/>
      <c r="CB63" s="330"/>
      <c r="CC63" s="330"/>
      <c r="CD63" s="330"/>
      <c r="CE63" s="330"/>
      <c r="CF63" s="330"/>
      <c r="CG63" s="330"/>
      <c r="CH63" s="330"/>
      <c r="CI63" s="330"/>
      <c r="CJ63" s="330"/>
      <c r="CK63" s="330"/>
      <c r="CL63" s="11"/>
      <c r="CM63" s="11"/>
      <c r="CN63" s="11"/>
    </row>
    <row r="64" spans="1:93" ht="21" x14ac:dyDescent="0.25">
      <c r="A64" s="284"/>
      <c r="B64" s="657" t="s">
        <v>234</v>
      </c>
      <c r="C64" s="658"/>
      <c r="D64" s="658"/>
      <c r="F64" s="133" t="s">
        <v>190</v>
      </c>
      <c r="G64" s="133" t="s">
        <v>190</v>
      </c>
      <c r="H64" s="133" t="s">
        <v>190</v>
      </c>
      <c r="K64" s="297"/>
      <c r="L64" s="337"/>
      <c r="M64" s="299"/>
      <c r="N64" s="337"/>
      <c r="O64" s="299"/>
      <c r="Q64" s="783"/>
      <c r="R64" s="781"/>
      <c r="S64" s="782"/>
      <c r="T64" s="330"/>
      <c r="U64" s="330"/>
      <c r="V64" s="330"/>
      <c r="AJ64" s="330"/>
      <c r="AK64" s="330"/>
      <c r="AL64" s="330"/>
      <c r="AM64" s="330"/>
      <c r="AN64" s="330"/>
      <c r="AO64" s="330"/>
      <c r="AP64" s="330"/>
      <c r="AQ64" s="330"/>
      <c r="AR64" s="330"/>
      <c r="AS64" s="330"/>
      <c r="AT64" s="330"/>
      <c r="AU64" s="330"/>
      <c r="AV64" s="330"/>
      <c r="AW64" s="330"/>
      <c r="AX64" s="330"/>
      <c r="AY64" s="330"/>
      <c r="AZ64" s="330"/>
      <c r="BA64" s="330"/>
      <c r="BB64" s="330"/>
      <c r="BC64" s="330"/>
      <c r="BD64" s="330"/>
      <c r="BE64" s="330"/>
      <c r="BF64" s="330"/>
      <c r="BG64" s="330"/>
      <c r="BH64" s="330"/>
      <c r="BI64" s="330"/>
      <c r="BJ64" s="330"/>
      <c r="BK64" s="330"/>
      <c r="BL64" s="330"/>
      <c r="BM64" s="330"/>
      <c r="BN64" s="330"/>
      <c r="BO64" s="330"/>
      <c r="BP64" s="330"/>
      <c r="BQ64" s="330"/>
      <c r="BR64" s="330"/>
      <c r="BS64" s="330"/>
      <c r="BT64" s="330"/>
      <c r="BU64" s="330"/>
      <c r="BV64" s="330"/>
      <c r="BW64" s="330"/>
      <c r="BX64" s="330"/>
      <c r="BY64" s="330"/>
      <c r="BZ64" s="330"/>
      <c r="CA64" s="330"/>
      <c r="CB64" s="330"/>
      <c r="CC64" s="330"/>
      <c r="CD64" s="330"/>
      <c r="CE64" s="330"/>
      <c r="CF64" s="330"/>
      <c r="CG64" s="330"/>
      <c r="CH64" s="330"/>
      <c r="CI64" s="330"/>
      <c r="CJ64" s="330"/>
      <c r="CK64" s="330"/>
      <c r="CL64" s="11"/>
      <c r="CM64" s="11"/>
      <c r="CN64" s="11"/>
    </row>
    <row r="65" spans="1:92" ht="23.25" x14ac:dyDescent="0.25">
      <c r="A65" s="284"/>
      <c r="B65" s="134"/>
      <c r="C65" s="24" t="s">
        <v>184</v>
      </c>
      <c r="E65" s="133"/>
      <c r="F65" s="572">
        <v>880</v>
      </c>
      <c r="G65" s="573">
        <v>880</v>
      </c>
      <c r="H65" s="574">
        <v>880</v>
      </c>
      <c r="I65" s="133"/>
      <c r="K65" s="341"/>
      <c r="L65" s="303"/>
      <c r="M65" s="86"/>
      <c r="N65" s="303"/>
      <c r="O65" s="341"/>
      <c r="Q65" s="783"/>
      <c r="R65" s="781"/>
      <c r="S65" s="782"/>
      <c r="T65" s="330"/>
      <c r="U65" s="330"/>
      <c r="V65" s="330"/>
      <c r="W65" s="330"/>
      <c r="X65" s="330"/>
      <c r="Y65" s="330"/>
      <c r="Z65" s="330"/>
      <c r="AA65" s="330"/>
      <c r="AB65" s="330"/>
      <c r="AC65" s="332"/>
      <c r="AD65" s="332"/>
      <c r="AE65" s="332"/>
      <c r="AF65" s="332"/>
      <c r="AG65" s="332"/>
      <c r="AH65" s="330"/>
      <c r="AI65" s="330"/>
      <c r="AJ65" s="330"/>
      <c r="AK65" s="330"/>
      <c r="AL65" s="330"/>
      <c r="AM65" s="330"/>
      <c r="AN65" s="330"/>
      <c r="AO65" s="330"/>
      <c r="AP65" s="330"/>
      <c r="AQ65" s="330"/>
      <c r="AR65" s="330"/>
      <c r="AS65" s="330"/>
      <c r="AT65" s="330"/>
      <c r="AU65" s="330"/>
      <c r="AV65" s="330"/>
      <c r="AW65" s="330"/>
      <c r="AX65" s="330"/>
      <c r="AY65" s="330"/>
      <c r="AZ65" s="330"/>
      <c r="BA65" s="330"/>
      <c r="BB65" s="330"/>
      <c r="BC65" s="330"/>
      <c r="BD65" s="330"/>
      <c r="BE65" s="330"/>
      <c r="BF65" s="330"/>
      <c r="BG65" s="330"/>
      <c r="BH65" s="330"/>
      <c r="BI65" s="330"/>
      <c r="BJ65" s="330"/>
      <c r="BK65" s="330"/>
      <c r="BL65" s="330"/>
      <c r="BM65" s="330"/>
      <c r="BN65" s="330"/>
      <c r="BO65" s="330"/>
      <c r="BP65" s="330"/>
      <c r="BQ65" s="330"/>
      <c r="BR65" s="330"/>
      <c r="BS65" s="330"/>
      <c r="BT65" s="330"/>
      <c r="BU65" s="330"/>
      <c r="BV65" s="330"/>
      <c r="BW65" s="330"/>
      <c r="BX65" s="330"/>
      <c r="BY65" s="330"/>
      <c r="BZ65" s="330"/>
      <c r="CA65" s="330"/>
      <c r="CB65" s="330"/>
      <c r="CC65" s="330"/>
      <c r="CD65" s="330"/>
      <c r="CE65" s="330"/>
      <c r="CF65" s="330"/>
      <c r="CG65" s="330"/>
      <c r="CH65" s="330"/>
      <c r="CI65" s="330"/>
      <c r="CJ65" s="330"/>
      <c r="CK65" s="330"/>
      <c r="CL65" s="11"/>
      <c r="CM65" s="11"/>
      <c r="CN65" s="11"/>
    </row>
    <row r="66" spans="1:92" ht="23.25" x14ac:dyDescent="0.25">
      <c r="A66" s="284"/>
      <c r="B66" s="342">
        <v>880</v>
      </c>
      <c r="C66" s="134" t="s">
        <v>242</v>
      </c>
      <c r="D66" s="286">
        <v>1</v>
      </c>
      <c r="E66" s="133"/>
      <c r="F66" s="572">
        <v>880</v>
      </c>
      <c r="G66" s="573">
        <v>880</v>
      </c>
      <c r="H66" s="575">
        <v>880</v>
      </c>
      <c r="I66" s="133"/>
      <c r="K66" s="341"/>
      <c r="L66" s="303"/>
      <c r="M66" s="86"/>
      <c r="N66" s="303"/>
      <c r="O66" s="341"/>
      <c r="Q66" s="783"/>
      <c r="R66" s="781"/>
      <c r="S66" s="782"/>
      <c r="T66" s="330"/>
      <c r="U66" s="330"/>
      <c r="V66" s="330"/>
      <c r="W66" s="330"/>
      <c r="X66" s="330"/>
      <c r="Y66" s="330"/>
      <c r="Z66" s="330"/>
      <c r="AA66" s="330"/>
      <c r="AB66" s="330"/>
      <c r="AC66" s="332"/>
      <c r="AD66" s="332"/>
      <c r="AE66" s="332"/>
      <c r="AF66" s="332"/>
      <c r="AG66" s="332"/>
      <c r="AH66" s="330"/>
      <c r="AI66" s="330"/>
      <c r="AJ66" s="330"/>
      <c r="AK66" s="330"/>
      <c r="AL66" s="330"/>
      <c r="AM66" s="330"/>
      <c r="AN66" s="330"/>
      <c r="AO66" s="330"/>
      <c r="AP66" s="330"/>
      <c r="AQ66" s="330"/>
      <c r="AR66" s="330"/>
      <c r="AS66" s="330"/>
      <c r="AT66" s="330"/>
      <c r="AU66" s="330"/>
      <c r="AV66" s="330"/>
      <c r="AW66" s="330"/>
      <c r="AX66" s="330"/>
      <c r="AY66" s="330"/>
      <c r="AZ66" s="330"/>
      <c r="BA66" s="330"/>
      <c r="BB66" s="330"/>
      <c r="BC66" s="330"/>
      <c r="BD66" s="330"/>
      <c r="BE66" s="330"/>
      <c r="BF66" s="330"/>
      <c r="BG66" s="330"/>
      <c r="BH66" s="330"/>
      <c r="BI66" s="330"/>
      <c r="BJ66" s="330"/>
      <c r="BK66" s="330"/>
      <c r="BL66" s="330"/>
      <c r="BM66" s="330"/>
      <c r="BN66" s="330"/>
      <c r="BO66" s="330"/>
      <c r="BP66" s="330"/>
      <c r="BQ66" s="330"/>
      <c r="BR66" s="330"/>
      <c r="BS66" s="330"/>
      <c r="BT66" s="330"/>
      <c r="BU66" s="330"/>
      <c r="BV66" s="330"/>
      <c r="BW66" s="330"/>
      <c r="BX66" s="330"/>
      <c r="BY66" s="330"/>
      <c r="BZ66" s="330"/>
      <c r="CA66" s="330"/>
      <c r="CB66" s="330"/>
      <c r="CC66" s="330"/>
      <c r="CD66" s="330"/>
      <c r="CE66" s="330"/>
      <c r="CF66" s="330"/>
      <c r="CG66" s="330"/>
      <c r="CH66" s="330"/>
      <c r="CI66" s="330"/>
      <c r="CJ66" s="330"/>
      <c r="CK66" s="330"/>
      <c r="CL66" s="11"/>
      <c r="CM66" s="11"/>
      <c r="CN66" s="11"/>
    </row>
    <row r="67" spans="1:92" ht="21" x14ac:dyDescent="0.25">
      <c r="A67" s="284"/>
      <c r="B67" s="344"/>
      <c r="D67" s="286"/>
      <c r="F67" s="133" t="s">
        <v>190</v>
      </c>
      <c r="G67" s="133" t="s">
        <v>190</v>
      </c>
      <c r="H67" s="133" t="s">
        <v>190</v>
      </c>
      <c r="K67" s="299"/>
      <c r="L67" s="337"/>
      <c r="M67" s="299"/>
      <c r="N67" s="337"/>
      <c r="O67" s="299"/>
      <c r="Q67" s="783"/>
      <c r="R67" s="781"/>
      <c r="S67" s="782"/>
      <c r="T67" s="330"/>
      <c r="U67" s="330"/>
      <c r="V67" s="330"/>
      <c r="W67" s="330"/>
      <c r="X67" s="330"/>
      <c r="Y67" s="330"/>
      <c r="Z67" s="330"/>
      <c r="AA67" s="330"/>
      <c r="AB67" s="330"/>
      <c r="AC67" s="332"/>
      <c r="AD67" s="332"/>
      <c r="AE67" s="332"/>
      <c r="AF67" s="332"/>
      <c r="AG67" s="332"/>
      <c r="AH67" s="330"/>
      <c r="AI67" s="330"/>
      <c r="AJ67" s="330"/>
      <c r="AK67" s="330"/>
      <c r="AL67" s="330"/>
      <c r="AM67" s="330"/>
      <c r="AN67" s="330"/>
      <c r="AO67" s="330"/>
      <c r="AP67" s="330"/>
      <c r="AQ67" s="330"/>
      <c r="AR67" s="330"/>
      <c r="AS67" s="330"/>
      <c r="AT67" s="330"/>
      <c r="AU67" s="330"/>
      <c r="AV67" s="330"/>
      <c r="AW67" s="330"/>
      <c r="AX67" s="330"/>
      <c r="AY67" s="330"/>
      <c r="AZ67" s="330"/>
      <c r="BA67" s="330"/>
      <c r="BB67" s="330"/>
      <c r="BC67" s="330"/>
      <c r="BD67" s="330"/>
      <c r="BE67" s="330"/>
      <c r="BF67" s="330"/>
      <c r="BG67" s="330"/>
      <c r="BH67" s="330"/>
      <c r="BI67" s="330"/>
      <c r="BJ67" s="330"/>
      <c r="BK67" s="330"/>
      <c r="BL67" s="330"/>
      <c r="BM67" s="330"/>
      <c r="BN67" s="330"/>
      <c r="BO67" s="330"/>
      <c r="BP67" s="330"/>
      <c r="BQ67" s="330"/>
      <c r="BR67" s="330"/>
      <c r="BS67" s="330"/>
      <c r="BT67" s="330"/>
      <c r="BU67" s="330"/>
      <c r="BV67" s="330"/>
      <c r="BW67" s="330"/>
      <c r="BX67" s="330"/>
      <c r="BY67" s="330"/>
      <c r="BZ67" s="330"/>
      <c r="CA67" s="330"/>
      <c r="CB67" s="330"/>
      <c r="CC67" s="330"/>
      <c r="CD67" s="330"/>
      <c r="CE67" s="330"/>
      <c r="CF67" s="330"/>
      <c r="CG67" s="330"/>
      <c r="CH67" s="330"/>
      <c r="CI67" s="330"/>
      <c r="CJ67" s="330"/>
      <c r="CK67" s="330"/>
      <c r="CL67" s="11"/>
      <c r="CM67" s="11"/>
      <c r="CN67" s="11"/>
    </row>
    <row r="68" spans="1:92" ht="23.25" x14ac:dyDescent="0.25">
      <c r="A68" s="284"/>
      <c r="B68" s="342">
        <v>880</v>
      </c>
      <c r="C68" s="134" t="s">
        <v>242</v>
      </c>
      <c r="D68" s="286">
        <v>2</v>
      </c>
      <c r="F68" s="236">
        <v>6</v>
      </c>
      <c r="G68" s="236">
        <v>5</v>
      </c>
      <c r="H68" s="236">
        <v>4</v>
      </c>
      <c r="I68" s="236"/>
      <c r="J68" s="236"/>
      <c r="K68" s="239"/>
      <c r="L68" s="292"/>
      <c r="M68" s="249"/>
      <c r="N68" s="292"/>
      <c r="O68" s="249"/>
      <c r="P68" s="236"/>
      <c r="Q68" s="783"/>
      <c r="R68" s="781"/>
      <c r="S68" s="782"/>
      <c r="T68" s="330"/>
      <c r="U68" s="330"/>
      <c r="V68" s="330"/>
      <c r="W68" s="330"/>
      <c r="X68" s="330"/>
      <c r="Y68" s="330"/>
      <c r="Z68" s="330"/>
      <c r="AA68" s="330"/>
      <c r="AB68" s="330"/>
      <c r="AC68" s="332"/>
      <c r="AD68" s="332"/>
      <c r="AE68" s="332"/>
      <c r="AF68" s="332"/>
      <c r="AG68" s="332"/>
      <c r="AH68" s="330"/>
      <c r="AI68" s="330"/>
      <c r="AJ68" s="330"/>
      <c r="AK68" s="330"/>
      <c r="AL68" s="330"/>
      <c r="AM68" s="330"/>
      <c r="AN68" s="330"/>
      <c r="AO68" s="330"/>
      <c r="AP68" s="330"/>
      <c r="AQ68" s="330"/>
      <c r="AR68" s="330"/>
      <c r="AS68" s="330"/>
      <c r="AT68" s="330"/>
      <c r="AU68" s="330"/>
      <c r="AV68" s="330"/>
      <c r="AW68" s="330"/>
      <c r="AX68" s="330"/>
      <c r="AY68" s="330"/>
      <c r="AZ68" s="330"/>
      <c r="BA68" s="330"/>
      <c r="BB68" s="330"/>
      <c r="BC68" s="330"/>
      <c r="BD68" s="330"/>
      <c r="BE68" s="330"/>
      <c r="BF68" s="330"/>
      <c r="BG68" s="330"/>
      <c r="BH68" s="330"/>
      <c r="BI68" s="330"/>
      <c r="BJ68" s="330"/>
      <c r="BK68" s="330"/>
      <c r="BL68" s="330"/>
      <c r="BM68" s="330"/>
      <c r="BN68" s="330"/>
      <c r="BO68" s="330"/>
      <c r="BP68" s="330"/>
      <c r="BQ68" s="330"/>
      <c r="BR68" s="330"/>
      <c r="BS68" s="330"/>
      <c r="BT68" s="330"/>
      <c r="BU68" s="330"/>
      <c r="BV68" s="330"/>
      <c r="BW68" s="330"/>
      <c r="BX68" s="330"/>
      <c r="BY68" s="330"/>
      <c r="BZ68" s="330"/>
      <c r="CA68" s="330"/>
      <c r="CB68" s="330"/>
      <c r="CC68" s="330"/>
      <c r="CD68" s="330"/>
      <c r="CE68" s="330"/>
      <c r="CF68" s="330"/>
      <c r="CG68" s="330"/>
      <c r="CH68" s="330"/>
      <c r="CI68" s="330"/>
      <c r="CJ68" s="330"/>
      <c r="CK68" s="330"/>
      <c r="CL68" s="11"/>
      <c r="CM68" s="11"/>
      <c r="CN68" s="11"/>
    </row>
    <row r="69" spans="1:92" ht="21" x14ac:dyDescent="0.25">
      <c r="A69" s="284"/>
      <c r="B69" s="344"/>
      <c r="C69" s="331"/>
      <c r="D69" s="286"/>
      <c r="E69" s="331"/>
      <c r="K69" s="239"/>
      <c r="L69" s="625"/>
      <c r="M69" s="625"/>
      <c r="N69" s="625"/>
      <c r="O69" s="625"/>
      <c r="P69" s="331"/>
      <c r="Q69" s="783"/>
      <c r="R69" s="781"/>
      <c r="S69" s="782"/>
      <c r="T69" s="330"/>
      <c r="U69" s="330"/>
      <c r="V69" s="330"/>
      <c r="W69" s="330"/>
      <c r="X69" s="330"/>
      <c r="Y69" s="330"/>
      <c r="Z69" s="330"/>
      <c r="AA69" s="330"/>
      <c r="AB69" s="330"/>
      <c r="AC69" s="332"/>
      <c r="AD69" s="332"/>
      <c r="AE69" s="332"/>
      <c r="AF69" s="332"/>
      <c r="AG69" s="332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  <c r="AV69" s="330"/>
      <c r="AW69" s="330"/>
      <c r="AX69" s="330"/>
      <c r="AY69" s="330"/>
      <c r="AZ69" s="330"/>
      <c r="BA69" s="330"/>
      <c r="BB69" s="330"/>
      <c r="BC69" s="330"/>
      <c r="BD69" s="330"/>
      <c r="BE69" s="330"/>
      <c r="BF69" s="330"/>
      <c r="BG69" s="330"/>
      <c r="BH69" s="330"/>
      <c r="BI69" s="330"/>
      <c r="BJ69" s="330"/>
      <c r="BK69" s="330"/>
      <c r="BL69" s="330"/>
      <c r="BM69" s="330"/>
      <c r="BN69" s="330"/>
      <c r="BO69" s="330"/>
      <c r="BP69" s="330"/>
      <c r="BQ69" s="330"/>
      <c r="BR69" s="330"/>
      <c r="BS69" s="330"/>
      <c r="BT69" s="330"/>
      <c r="BU69" s="330"/>
      <c r="BV69" s="330"/>
      <c r="BW69" s="330"/>
      <c r="BX69" s="330"/>
      <c r="BY69" s="330"/>
      <c r="BZ69" s="330"/>
      <c r="CA69" s="330"/>
      <c r="CB69" s="330"/>
      <c r="CC69" s="330"/>
      <c r="CD69" s="330"/>
      <c r="CE69" s="330"/>
      <c r="CF69" s="330"/>
      <c r="CG69" s="330"/>
      <c r="CH69" s="330"/>
      <c r="CI69" s="330"/>
      <c r="CJ69" s="330"/>
      <c r="CK69" s="330"/>
      <c r="CL69" s="11"/>
      <c r="CM69" s="11"/>
      <c r="CN69" s="11"/>
    </row>
    <row r="70" spans="1:92" ht="23.25" x14ac:dyDescent="0.25">
      <c r="A70" s="284"/>
      <c r="B70" s="342">
        <v>880</v>
      </c>
      <c r="C70" s="134" t="s">
        <v>242</v>
      </c>
      <c r="D70" s="286">
        <v>3</v>
      </c>
      <c r="E70" s="331"/>
      <c r="K70" s="331"/>
      <c r="L70" s="331"/>
      <c r="M70" s="233"/>
      <c r="N70" s="233"/>
      <c r="O70" s="331"/>
      <c r="P70" s="331"/>
      <c r="Q70" s="783"/>
      <c r="R70" s="781"/>
      <c r="S70" s="782"/>
      <c r="T70" s="330"/>
      <c r="U70" s="330"/>
      <c r="V70" s="330"/>
      <c r="W70" s="330"/>
      <c r="X70" s="330"/>
      <c r="Y70" s="330"/>
      <c r="Z70" s="330"/>
      <c r="AA70" s="330"/>
      <c r="AB70" s="330"/>
      <c r="AC70" s="332"/>
      <c r="AD70" s="332"/>
      <c r="AE70" s="332"/>
      <c r="AF70" s="332"/>
      <c r="AG70" s="332"/>
      <c r="AH70" s="330"/>
      <c r="AI70" s="330"/>
      <c r="AJ70" s="330"/>
      <c r="AK70" s="330"/>
      <c r="AL70" s="330"/>
      <c r="AM70" s="330"/>
      <c r="AN70" s="330"/>
      <c r="AO70" s="330"/>
      <c r="AP70" s="330"/>
      <c r="AQ70" s="330"/>
      <c r="AR70" s="330"/>
      <c r="AS70" s="330"/>
      <c r="AT70" s="330"/>
      <c r="AU70" s="330"/>
      <c r="AV70" s="330"/>
      <c r="AW70" s="330"/>
      <c r="AX70" s="330"/>
      <c r="AY70" s="330"/>
      <c r="AZ70" s="330"/>
      <c r="BA70" s="330"/>
      <c r="BB70" s="330"/>
      <c r="BC70" s="330"/>
      <c r="BD70" s="330"/>
      <c r="BE70" s="330"/>
      <c r="BF70" s="330"/>
      <c r="BG70" s="330"/>
      <c r="BH70" s="330"/>
      <c r="BI70" s="330"/>
      <c r="BJ70" s="330"/>
      <c r="BK70" s="330"/>
      <c r="BL70" s="330"/>
      <c r="BM70" s="330"/>
      <c r="BN70" s="330"/>
      <c r="BO70" s="330"/>
      <c r="BP70" s="330"/>
      <c r="BQ70" s="330"/>
      <c r="BR70" s="330"/>
      <c r="BS70" s="330"/>
      <c r="BT70" s="330"/>
      <c r="BU70" s="330"/>
      <c r="BV70" s="330"/>
      <c r="BW70" s="330"/>
      <c r="BX70" s="330"/>
      <c r="BY70" s="330"/>
      <c r="BZ70" s="330"/>
      <c r="CA70" s="330"/>
      <c r="CB70" s="330"/>
      <c r="CC70" s="330"/>
      <c r="CD70" s="330"/>
      <c r="CE70" s="330"/>
      <c r="CF70" s="330"/>
      <c r="CG70" s="330"/>
      <c r="CH70" s="330"/>
      <c r="CI70" s="330"/>
      <c r="CJ70" s="330"/>
      <c r="CK70" s="330"/>
      <c r="CL70" s="11"/>
      <c r="CM70" s="11"/>
      <c r="CN70" s="11"/>
    </row>
    <row r="71" spans="1:92" x14ac:dyDescent="0.25">
      <c r="A71" s="284"/>
      <c r="B71" s="344"/>
      <c r="C71" s="331"/>
      <c r="D71" s="345"/>
      <c r="E71" s="285"/>
      <c r="F71" s="239"/>
      <c r="G71" s="239"/>
      <c r="H71" s="239"/>
      <c r="I71" s="331"/>
      <c r="J71" s="331"/>
      <c r="K71" s="331"/>
      <c r="L71" s="331"/>
      <c r="M71" s="233"/>
      <c r="N71" s="233"/>
      <c r="O71" s="331"/>
      <c r="P71" s="331"/>
      <c r="Q71" s="783"/>
      <c r="R71" s="781"/>
      <c r="S71" s="782"/>
      <c r="T71" s="330"/>
      <c r="U71" s="330"/>
      <c r="V71" s="330"/>
      <c r="W71" s="330"/>
      <c r="X71" s="330"/>
      <c r="Y71" s="330"/>
      <c r="Z71" s="330"/>
      <c r="AA71" s="330"/>
      <c r="AB71" s="330"/>
      <c r="AC71" s="332"/>
      <c r="AD71" s="332"/>
      <c r="AE71" s="332"/>
      <c r="AF71" s="332"/>
      <c r="AG71" s="332"/>
      <c r="AH71" s="330"/>
      <c r="AI71" s="330"/>
      <c r="AJ71" s="330"/>
      <c r="AK71" s="330"/>
      <c r="AL71" s="330"/>
      <c r="AM71" s="330"/>
      <c r="AN71" s="330"/>
      <c r="AO71" s="330"/>
      <c r="AP71" s="330"/>
      <c r="AQ71" s="330"/>
      <c r="AR71" s="330"/>
      <c r="AS71" s="330"/>
      <c r="AT71" s="330"/>
      <c r="AU71" s="330"/>
      <c r="AV71" s="330"/>
      <c r="AW71" s="330"/>
      <c r="AX71" s="330"/>
      <c r="AY71" s="330"/>
      <c r="AZ71" s="330"/>
      <c r="BA71" s="330"/>
      <c r="BB71" s="330"/>
      <c r="BC71" s="330"/>
      <c r="BD71" s="330"/>
      <c r="BE71" s="330"/>
      <c r="BF71" s="330"/>
      <c r="BG71" s="330"/>
      <c r="BH71" s="330"/>
      <c r="BI71" s="330"/>
      <c r="BJ71" s="330"/>
      <c r="BK71" s="330"/>
      <c r="BL71" s="330"/>
      <c r="BM71" s="330"/>
      <c r="BN71" s="330"/>
      <c r="BO71" s="330"/>
      <c r="BP71" s="330"/>
      <c r="BQ71" s="330"/>
      <c r="BR71" s="330"/>
      <c r="BS71" s="330"/>
      <c r="BT71" s="330"/>
      <c r="BU71" s="330"/>
      <c r="BV71" s="330"/>
      <c r="BW71" s="330"/>
      <c r="BX71" s="330"/>
      <c r="BY71" s="330"/>
      <c r="BZ71" s="330"/>
      <c r="CA71" s="330"/>
      <c r="CB71" s="330"/>
      <c r="CC71" s="330"/>
      <c r="CD71" s="330"/>
      <c r="CE71" s="330"/>
      <c r="CF71" s="330"/>
      <c r="CG71" s="330"/>
      <c r="CH71" s="330"/>
      <c r="CI71" s="330"/>
      <c r="CJ71" s="330"/>
      <c r="CK71" s="330"/>
      <c r="CL71" s="11"/>
      <c r="CM71" s="11"/>
      <c r="CN71" s="11"/>
    </row>
    <row r="72" spans="1:92" ht="26.25" x14ac:dyDescent="0.4">
      <c r="A72" s="284"/>
      <c r="B72" s="342">
        <v>880</v>
      </c>
      <c r="C72" s="134" t="s">
        <v>242</v>
      </c>
      <c r="D72" s="286">
        <v>4</v>
      </c>
      <c r="E72" s="239"/>
      <c r="F72" s="346"/>
      <c r="G72" s="346"/>
      <c r="H72" s="346"/>
      <c r="I72" s="346"/>
      <c r="J72" s="346"/>
      <c r="K72" s="346"/>
      <c r="L72" s="346"/>
      <c r="M72" s="331"/>
      <c r="N72" s="347"/>
      <c r="O72" s="331"/>
      <c r="P72" s="331"/>
      <c r="Q72" s="783"/>
      <c r="R72" s="781"/>
      <c r="S72" s="782"/>
      <c r="T72" s="330"/>
      <c r="U72" s="330"/>
      <c r="V72" s="330"/>
      <c r="W72" s="330"/>
      <c r="X72" s="330"/>
      <c r="Y72" s="330"/>
      <c r="Z72" s="330"/>
      <c r="AA72" s="330"/>
      <c r="AB72" s="330"/>
      <c r="AC72" s="332"/>
      <c r="AD72" s="332"/>
      <c r="AE72" s="332"/>
      <c r="AF72" s="332"/>
      <c r="AG72" s="332"/>
      <c r="AH72" s="330"/>
      <c r="AI72" s="330"/>
      <c r="AJ72" s="330"/>
      <c r="AK72" s="330"/>
      <c r="AL72" s="330"/>
      <c r="AM72" s="330"/>
      <c r="AN72" s="330"/>
      <c r="AO72" s="330"/>
      <c r="AP72" s="330"/>
      <c r="AQ72" s="330"/>
      <c r="AR72" s="330"/>
      <c r="AS72" s="330"/>
      <c r="AT72" s="330"/>
      <c r="AU72" s="330"/>
      <c r="AV72" s="330"/>
      <c r="AW72" s="330"/>
      <c r="AX72" s="330"/>
      <c r="AY72" s="330"/>
      <c r="AZ72" s="330"/>
      <c r="BA72" s="330"/>
      <c r="BB72" s="330"/>
      <c r="BC72" s="330"/>
      <c r="BD72" s="330"/>
      <c r="BE72" s="330"/>
      <c r="BF72" s="330"/>
      <c r="BG72" s="330"/>
      <c r="BH72" s="330"/>
      <c r="BI72" s="330"/>
      <c r="BJ72" s="330"/>
      <c r="BK72" s="330"/>
      <c r="BL72" s="330"/>
      <c r="BM72" s="330"/>
      <c r="BN72" s="330"/>
      <c r="BO72" s="330"/>
      <c r="BP72" s="330"/>
      <c r="BQ72" s="330"/>
      <c r="BR72" s="330"/>
      <c r="BS72" s="330"/>
      <c r="BT72" s="330"/>
      <c r="BU72" s="330"/>
      <c r="BV72" s="330"/>
      <c r="BW72" s="330"/>
      <c r="BX72" s="330"/>
      <c r="BY72" s="330"/>
      <c r="BZ72" s="330"/>
      <c r="CA72" s="330"/>
      <c r="CB72" s="330"/>
      <c r="CC72" s="330"/>
      <c r="CD72" s="330"/>
      <c r="CE72" s="330"/>
      <c r="CF72" s="330"/>
      <c r="CG72" s="330"/>
      <c r="CH72" s="330"/>
      <c r="CI72" s="330"/>
      <c r="CJ72" s="330"/>
      <c r="CK72" s="330"/>
      <c r="CL72" s="11"/>
      <c r="CM72" s="11"/>
      <c r="CN72" s="11"/>
    </row>
    <row r="73" spans="1:92" ht="27" thickBot="1" x14ac:dyDescent="0.45">
      <c r="A73" s="284"/>
      <c r="B73" s="348"/>
      <c r="C73" s="349"/>
      <c r="D73" s="349"/>
      <c r="E73" s="349"/>
      <c r="F73" s="42"/>
      <c r="G73" s="577"/>
      <c r="H73" s="350"/>
      <c r="I73" s="577"/>
      <c r="J73" s="351"/>
      <c r="K73" s="577"/>
      <c r="L73" s="351"/>
      <c r="M73" s="577"/>
      <c r="N73" s="352"/>
      <c r="O73" s="577"/>
      <c r="P73" s="349"/>
      <c r="Q73" s="784"/>
      <c r="R73" s="785"/>
      <c r="S73" s="786"/>
      <c r="T73" s="330"/>
      <c r="U73" s="330"/>
      <c r="V73" s="330"/>
      <c r="W73" s="330"/>
      <c r="X73" s="330"/>
      <c r="Y73" s="330"/>
      <c r="Z73" s="330"/>
      <c r="AA73" s="330"/>
      <c r="AB73" s="330"/>
      <c r="AC73" s="332"/>
      <c r="AD73" s="332"/>
      <c r="AE73" s="332"/>
      <c r="AF73" s="332"/>
      <c r="AG73" s="332"/>
      <c r="AH73" s="330"/>
      <c r="AI73" s="330"/>
      <c r="AJ73" s="330"/>
      <c r="AK73" s="330"/>
      <c r="AL73" s="330"/>
      <c r="AM73" s="330"/>
      <c r="AN73" s="330"/>
      <c r="AO73" s="330"/>
      <c r="AP73" s="330"/>
      <c r="AQ73" s="330"/>
      <c r="AR73" s="330"/>
      <c r="AS73" s="330"/>
      <c r="AT73" s="330"/>
      <c r="AU73" s="330"/>
      <c r="AV73" s="330"/>
      <c r="AW73" s="330"/>
      <c r="AX73" s="330"/>
      <c r="AY73" s="330"/>
      <c r="AZ73" s="330"/>
      <c r="BA73" s="330"/>
      <c r="BB73" s="330"/>
      <c r="BC73" s="330"/>
      <c r="BD73" s="330"/>
      <c r="BE73" s="330"/>
      <c r="BF73" s="330"/>
      <c r="BG73" s="330"/>
      <c r="BH73" s="330"/>
      <c r="BI73" s="330"/>
      <c r="BJ73" s="330"/>
      <c r="BK73" s="330"/>
      <c r="BL73" s="330"/>
      <c r="BM73" s="330"/>
      <c r="BN73" s="330"/>
      <c r="BO73" s="330"/>
      <c r="BP73" s="330"/>
      <c r="BQ73" s="330"/>
      <c r="BR73" s="330"/>
      <c r="BS73" s="330"/>
      <c r="BT73" s="330"/>
      <c r="BU73" s="330"/>
      <c r="BV73" s="330"/>
      <c r="BW73" s="330"/>
      <c r="BX73" s="330"/>
      <c r="BY73" s="330"/>
      <c r="BZ73" s="330"/>
      <c r="CA73" s="330"/>
      <c r="CB73" s="330"/>
      <c r="CC73" s="330"/>
      <c r="CD73" s="330"/>
      <c r="CE73" s="330"/>
      <c r="CF73" s="330"/>
      <c r="CG73" s="330"/>
      <c r="CH73" s="330"/>
      <c r="CI73" s="330"/>
      <c r="CJ73" s="330"/>
      <c r="CK73" s="330"/>
      <c r="CL73" s="11"/>
      <c r="CM73" s="11"/>
      <c r="CN73" s="11"/>
    </row>
    <row r="74" spans="1:92" x14ac:dyDescent="0.25">
      <c r="A74" s="353"/>
      <c r="B74" s="354"/>
      <c r="C74" s="355"/>
      <c r="D74" s="76"/>
      <c r="E74" s="76"/>
      <c r="H74" s="330"/>
      <c r="I74" s="330"/>
      <c r="J74" s="330"/>
      <c r="K74" s="330"/>
      <c r="L74" s="330"/>
      <c r="M74" s="330"/>
      <c r="N74" s="356"/>
      <c r="O74" s="330"/>
      <c r="P74" s="330"/>
      <c r="Q74" s="330"/>
      <c r="R74" s="330"/>
      <c r="S74" s="330"/>
      <c r="T74" s="330"/>
      <c r="U74" s="330"/>
      <c r="V74" s="330"/>
      <c r="W74" s="330"/>
      <c r="X74" s="330"/>
      <c r="Y74" s="330"/>
      <c r="Z74" s="330"/>
      <c r="AA74" s="330"/>
      <c r="AB74" s="330"/>
      <c r="AC74" s="332"/>
      <c r="AD74" s="332"/>
      <c r="AE74" s="332"/>
      <c r="AF74" s="332"/>
      <c r="AG74" s="332"/>
      <c r="AH74" s="330"/>
      <c r="AI74" s="330"/>
      <c r="AJ74" s="330"/>
      <c r="AK74" s="330"/>
      <c r="AL74" s="330"/>
      <c r="AM74" s="330"/>
      <c r="AN74" s="330"/>
      <c r="AO74" s="330"/>
      <c r="AP74" s="330"/>
      <c r="AQ74" s="330"/>
      <c r="AR74" s="330"/>
      <c r="AS74" s="330"/>
      <c r="AT74" s="330"/>
      <c r="AU74" s="330"/>
      <c r="AV74" s="330"/>
      <c r="AW74" s="330"/>
      <c r="AX74" s="330"/>
      <c r="AY74" s="330"/>
      <c r="AZ74" s="330"/>
      <c r="BA74" s="330"/>
      <c r="BB74" s="330"/>
      <c r="BC74" s="330"/>
      <c r="BD74" s="330"/>
      <c r="BE74" s="330"/>
      <c r="BF74" s="330"/>
      <c r="BG74" s="330"/>
      <c r="BH74" s="330"/>
      <c r="BI74" s="330"/>
      <c r="BJ74" s="330"/>
      <c r="BK74" s="330"/>
      <c r="BL74" s="330"/>
      <c r="BM74" s="330"/>
      <c r="BN74" s="330"/>
      <c r="BO74" s="330"/>
      <c r="BP74" s="330"/>
      <c r="BQ74" s="330"/>
      <c r="BR74" s="330"/>
      <c r="BS74" s="330"/>
      <c r="BT74" s="330"/>
      <c r="BU74" s="330"/>
      <c r="BV74" s="330"/>
      <c r="BW74" s="330"/>
      <c r="BX74" s="330"/>
      <c r="BY74" s="330"/>
      <c r="BZ74" s="330"/>
      <c r="CA74" s="330"/>
      <c r="CB74" s="330"/>
      <c r="CC74" s="330"/>
      <c r="CD74" s="330"/>
      <c r="CE74" s="330"/>
      <c r="CF74" s="330"/>
      <c r="CG74" s="330"/>
      <c r="CH74" s="330"/>
      <c r="CI74" s="330"/>
      <c r="CJ74" s="330"/>
      <c r="CK74" s="330"/>
      <c r="CL74" s="11"/>
      <c r="CM74" s="11"/>
      <c r="CN74" s="11"/>
    </row>
    <row r="75" spans="1:92" x14ac:dyDescent="0.25">
      <c r="A75" s="353"/>
      <c r="B75" s="357"/>
      <c r="C75" s="11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356"/>
      <c r="O75" s="330"/>
      <c r="P75" s="330"/>
      <c r="Q75" s="330"/>
      <c r="R75" s="330"/>
      <c r="S75" s="330"/>
      <c r="T75" s="330"/>
      <c r="U75" s="330"/>
      <c r="V75" s="330"/>
      <c r="W75" s="330"/>
      <c r="X75" s="330"/>
      <c r="Y75" s="330"/>
      <c r="Z75" s="330"/>
      <c r="AA75" s="330"/>
      <c r="AB75" s="330"/>
      <c r="AC75" s="332"/>
      <c r="AD75" s="332"/>
      <c r="AE75" s="332"/>
      <c r="AF75" s="332"/>
      <c r="AG75" s="332"/>
      <c r="AH75" s="330"/>
      <c r="AI75" s="330"/>
      <c r="AJ75" s="330"/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30"/>
      <c r="AW75" s="330"/>
      <c r="AX75" s="330"/>
      <c r="AY75" s="330"/>
      <c r="AZ75" s="330"/>
      <c r="BA75" s="330"/>
      <c r="BB75" s="330"/>
      <c r="BC75" s="330"/>
      <c r="BD75" s="330"/>
      <c r="BE75" s="330"/>
      <c r="BF75" s="330"/>
      <c r="BG75" s="330"/>
      <c r="BH75" s="330"/>
      <c r="BI75" s="330"/>
      <c r="BJ75" s="330"/>
      <c r="BK75" s="330"/>
      <c r="BL75" s="330"/>
      <c r="BM75" s="330"/>
      <c r="BN75" s="330"/>
      <c r="BO75" s="330"/>
      <c r="BP75" s="330"/>
      <c r="BQ75" s="330"/>
      <c r="BR75" s="330"/>
      <c r="BS75" s="330"/>
      <c r="BT75" s="330"/>
      <c r="BU75" s="330"/>
      <c r="BV75" s="330"/>
      <c r="BW75" s="330"/>
      <c r="BX75" s="330"/>
      <c r="BY75" s="330"/>
      <c r="BZ75" s="330"/>
      <c r="CA75" s="330"/>
      <c r="CB75" s="330"/>
      <c r="CC75" s="330"/>
      <c r="CD75" s="330"/>
      <c r="CE75" s="330"/>
      <c r="CF75" s="330"/>
      <c r="CG75" s="330"/>
      <c r="CH75" s="330"/>
      <c r="CI75" s="330"/>
      <c r="CJ75" s="330"/>
      <c r="CK75" s="330"/>
      <c r="CL75" s="11"/>
      <c r="CM75" s="11"/>
      <c r="CN75" s="11"/>
    </row>
  </sheetData>
  <mergeCells count="39">
    <mergeCell ref="BE25:BG25"/>
    <mergeCell ref="A1:CN1"/>
    <mergeCell ref="BL3:BO7"/>
    <mergeCell ref="CK3:CL3"/>
    <mergeCell ref="B18:D18"/>
    <mergeCell ref="E18:F18"/>
    <mergeCell ref="BI18:BJ18"/>
    <mergeCell ref="AR20:AU20"/>
    <mergeCell ref="AR23:AU23"/>
    <mergeCell ref="AW23:AY23"/>
    <mergeCell ref="BL23:BL24"/>
    <mergeCell ref="AI24:AK24"/>
    <mergeCell ref="AW26:AY26"/>
    <mergeCell ref="BC26:BG26"/>
    <mergeCell ref="CC26:CD26"/>
    <mergeCell ref="CH26:CJ27"/>
    <mergeCell ref="AT27:AW27"/>
    <mergeCell ref="CD27:CE27"/>
    <mergeCell ref="BL28:BT28"/>
    <mergeCell ref="A29:B29"/>
    <mergeCell ref="AC29:AF29"/>
    <mergeCell ref="AH29:AK29"/>
    <mergeCell ref="CH31:CJ32"/>
    <mergeCell ref="AW32:BC39"/>
    <mergeCell ref="J33:K33"/>
    <mergeCell ref="S33:U33"/>
    <mergeCell ref="B37:H37"/>
    <mergeCell ref="M38:N38"/>
    <mergeCell ref="B48:C48"/>
    <mergeCell ref="AK49:AM52"/>
    <mergeCell ref="AC51:AJ54"/>
    <mergeCell ref="AK53:AM54"/>
    <mergeCell ref="B64:D64"/>
    <mergeCell ref="L69:O69"/>
    <mergeCell ref="Q40:S73"/>
    <mergeCell ref="AF40:AH40"/>
    <mergeCell ref="BS40:BT40"/>
    <mergeCell ref="T44:AB54"/>
    <mergeCell ref="AE46:AM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2025-10-28T19:24:28Z</dcterms:modified>
</cp:coreProperties>
</file>