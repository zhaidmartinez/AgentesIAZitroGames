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8A327CA8-905F-47FF-B5C9-BCBF05CC2B37}" xr6:coauthVersionLast="47" xr6:coauthVersionMax="47" xr10:uidLastSave="{00000000-0000-0000-0000-000000000000}"/>
  <bookViews>
    <workbookView xWindow="-11670" yWindow="-21720" windowWidth="51840" windowHeight="21120" tabRatio="796" activeTab="3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externalReferences>
    <externalReference r:id="rId5"/>
  </externalReferences>
  <definedNames>
    <definedName name="_abb88">#REF!</definedName>
    <definedName name="BBDD_DASH">OFFSET([1]TAM!$AQ$1,0,0,COUNTA([1]TAM!$AR:$AR),34)</definedName>
    <definedName name="bbdd_ranking_juegos">OFFSET([1]VarDash!XEZ1,0,0,COUNTA([1]VarDash!XEZ1:XEZ94),3)</definedName>
    <definedName name="FUMAR" localSheetId="1">'Layout Actual'!#REF!</definedName>
    <definedName name="P" localSheetId="1">'Layout Actual'!#REF!</definedName>
    <definedName name="P" localSheetId="0">'Licencias Actual'!#REF!</definedName>
    <definedName name="rango_rankings">OFFSET('[1]BD Rankings'!$A$1,0,0, COUNTA('[1]BD Rankings'!$A:$A),COUNTA('[1]BD Rankings'!$1:$1))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2" i="51" l="1"/>
  <c r="E482" i="51"/>
  <c r="N481" i="51"/>
  <c r="E481" i="51"/>
  <c r="N480" i="51"/>
  <c r="E480" i="51"/>
  <c r="E478" i="51"/>
  <c r="N477" i="51"/>
  <c r="N478" i="51" s="1"/>
  <c r="E477" i="51"/>
  <c r="N476" i="51"/>
  <c r="E476" i="51"/>
  <c r="N475" i="51"/>
  <c r="E475" i="51"/>
  <c r="N474" i="51"/>
  <c r="E474" i="51"/>
  <c r="N473" i="51"/>
  <c r="E473" i="51"/>
  <c r="N472" i="51"/>
  <c r="E472" i="51"/>
  <c r="N471" i="51"/>
  <c r="E471" i="51"/>
  <c r="N470" i="51"/>
  <c r="E470" i="51"/>
  <c r="N469" i="51"/>
  <c r="E469" i="51"/>
  <c r="N468" i="51"/>
  <c r="E468" i="51"/>
  <c r="N467" i="51"/>
  <c r="E467" i="51"/>
  <c r="N466" i="51"/>
  <c r="E466" i="51"/>
  <c r="N463" i="51"/>
  <c r="E463" i="51"/>
  <c r="N462" i="51"/>
  <c r="E462" i="51"/>
  <c r="N461" i="51"/>
  <c r="E461" i="51"/>
  <c r="N460" i="51"/>
  <c r="N464" i="51" s="1"/>
  <c r="E460" i="51"/>
  <c r="E464" i="51" s="1"/>
  <c r="N457" i="51"/>
  <c r="E457" i="51"/>
  <c r="N456" i="51"/>
  <c r="E456" i="51"/>
  <c r="N455" i="51"/>
  <c r="E455" i="51"/>
  <c r="N454" i="51"/>
  <c r="E454" i="51"/>
  <c r="N453" i="51"/>
  <c r="E453" i="51"/>
  <c r="N452" i="51"/>
  <c r="N458" i="51" s="1"/>
  <c r="E452" i="51"/>
  <c r="E458" i="51" s="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40" i="51"/>
  <c r="E440" i="51"/>
  <c r="N439" i="51"/>
  <c r="E439" i="51"/>
  <c r="N438" i="51"/>
  <c r="E438" i="51"/>
  <c r="N437" i="51"/>
  <c r="E437" i="51"/>
  <c r="N436" i="51"/>
  <c r="E436" i="51"/>
  <c r="N435" i="51"/>
  <c r="E435" i="51"/>
  <c r="N434" i="51"/>
  <c r="E434" i="51"/>
  <c r="N433" i="51"/>
  <c r="E433" i="51"/>
  <c r="N432" i="51"/>
  <c r="E432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N450" i="51" s="1"/>
  <c r="E423" i="51"/>
  <c r="E450" i="51" s="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N421" i="51" s="1"/>
  <c r="E340" i="51"/>
  <c r="E421" i="51" s="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E321" i="51"/>
  <c r="N320" i="51"/>
  <c r="E320" i="51"/>
  <c r="N319" i="51"/>
  <c r="E319" i="51"/>
  <c r="N318" i="51"/>
  <c r="E318" i="51"/>
  <c r="N317" i="51"/>
  <c r="E317" i="51"/>
  <c r="N316" i="51"/>
  <c r="E316" i="51"/>
  <c r="N315" i="51"/>
  <c r="E315" i="51"/>
  <c r="N314" i="51"/>
  <c r="E314" i="51"/>
  <c r="N313" i="51"/>
  <c r="E313" i="51"/>
  <c r="N312" i="51"/>
  <c r="E312" i="51"/>
  <c r="N311" i="51"/>
  <c r="E311" i="51"/>
  <c r="N310" i="51"/>
  <c r="N338" i="51" s="1"/>
  <c r="O307" i="51" s="1"/>
  <c r="E310" i="51"/>
  <c r="E338" i="51" s="1"/>
  <c r="M296" i="51"/>
  <c r="D296" i="51"/>
  <c r="P296" i="51" s="1"/>
  <c r="Q296" i="51" s="1"/>
  <c r="M295" i="51"/>
  <c r="D295" i="51"/>
  <c r="P295" i="51" s="1"/>
  <c r="Q295" i="51" s="1"/>
  <c r="M294" i="51"/>
  <c r="D294" i="51"/>
  <c r="P294" i="51" s="1"/>
  <c r="Q294" i="51" s="1"/>
  <c r="M293" i="51"/>
  <c r="D293" i="51"/>
  <c r="P293" i="51" s="1"/>
  <c r="Q293" i="51" s="1"/>
  <c r="M292" i="51"/>
  <c r="D292" i="51"/>
  <c r="P292" i="51" s="1"/>
  <c r="Q292" i="51" s="1"/>
  <c r="M291" i="51"/>
  <c r="D291" i="51"/>
  <c r="P291" i="51" s="1"/>
  <c r="Q291" i="51" s="1"/>
  <c r="M290" i="51"/>
  <c r="D290" i="51"/>
  <c r="P290" i="51" s="1"/>
  <c r="Q290" i="51" s="1"/>
  <c r="M289" i="51"/>
  <c r="D289" i="51"/>
  <c r="P289" i="51" s="1"/>
  <c r="Q289" i="51" s="1"/>
  <c r="M288" i="51"/>
  <c r="D288" i="51"/>
  <c r="P288" i="51" s="1"/>
  <c r="Q288" i="51" s="1"/>
  <c r="M287" i="51"/>
  <c r="D287" i="51"/>
  <c r="P287" i="51" s="1"/>
  <c r="Q287" i="51" s="1"/>
  <c r="M286" i="51"/>
  <c r="D286" i="51"/>
  <c r="P286" i="51" s="1"/>
  <c r="Q286" i="51" s="1"/>
  <c r="M285" i="51"/>
  <c r="D285" i="51"/>
  <c r="P285" i="51" s="1"/>
  <c r="Q285" i="51" s="1"/>
  <c r="M284" i="51"/>
  <c r="D284" i="51"/>
  <c r="P284" i="51" s="1"/>
  <c r="Q284" i="51" s="1"/>
  <c r="M283" i="51"/>
  <c r="D283" i="51"/>
  <c r="P283" i="51" s="1"/>
  <c r="Q283" i="51" s="1"/>
  <c r="M282" i="51"/>
  <c r="D282" i="51"/>
  <c r="P282" i="51" s="1"/>
  <c r="Q282" i="51" s="1"/>
  <c r="M281" i="51"/>
  <c r="D281" i="51"/>
  <c r="P281" i="51" s="1"/>
  <c r="Q281" i="51" s="1"/>
  <c r="M280" i="51"/>
  <c r="D280" i="51"/>
  <c r="P280" i="51" s="1"/>
  <c r="Q280" i="51" s="1"/>
  <c r="M279" i="51"/>
  <c r="D279" i="51"/>
  <c r="P279" i="51" s="1"/>
  <c r="Q279" i="51" s="1"/>
  <c r="M278" i="51"/>
  <c r="D278" i="51"/>
  <c r="P278" i="51" s="1"/>
  <c r="Q278" i="51" s="1"/>
  <c r="M277" i="51"/>
  <c r="D277" i="51"/>
  <c r="P277" i="51" s="1"/>
  <c r="Q277" i="51" s="1"/>
  <c r="M276" i="51"/>
  <c r="D276" i="51"/>
  <c r="P276" i="51" s="1"/>
  <c r="Q276" i="51" s="1"/>
  <c r="M275" i="51"/>
  <c r="D275" i="51"/>
  <c r="P275" i="51" s="1"/>
  <c r="Q275" i="51" s="1"/>
  <c r="M274" i="51"/>
  <c r="D274" i="51"/>
  <c r="P274" i="51" s="1"/>
  <c r="Q274" i="51" s="1"/>
  <c r="M273" i="51"/>
  <c r="D273" i="51"/>
  <c r="P273" i="51" s="1"/>
  <c r="Q273" i="51" s="1"/>
  <c r="M272" i="51"/>
  <c r="D272" i="51"/>
  <c r="P272" i="51" s="1"/>
  <c r="Q272" i="51" s="1"/>
  <c r="M271" i="51"/>
  <c r="D271" i="51"/>
  <c r="P271" i="51" s="1"/>
  <c r="Q271" i="51" s="1"/>
  <c r="M270" i="51"/>
  <c r="D270" i="51"/>
  <c r="P270" i="51" s="1"/>
  <c r="Q270" i="51" s="1"/>
  <c r="M269" i="51"/>
  <c r="D269" i="51"/>
  <c r="P269" i="51" s="1"/>
  <c r="Q269" i="51" s="1"/>
  <c r="M268" i="51"/>
  <c r="D268" i="51"/>
  <c r="P268" i="51" s="1"/>
  <c r="Q268" i="51" s="1"/>
  <c r="M267" i="51"/>
  <c r="D267" i="51"/>
  <c r="P267" i="51" s="1"/>
  <c r="Q267" i="51" s="1"/>
  <c r="M266" i="51"/>
  <c r="D266" i="51"/>
  <c r="P266" i="51" s="1"/>
  <c r="Q266" i="51" s="1"/>
  <c r="M265" i="51"/>
  <c r="D265" i="51"/>
  <c r="P265" i="51" s="1"/>
  <c r="Q265" i="51" s="1"/>
  <c r="M264" i="51"/>
  <c r="D264" i="51"/>
  <c r="P264" i="51" s="1"/>
  <c r="Q264" i="51" s="1"/>
  <c r="M263" i="51"/>
  <c r="D263" i="51"/>
  <c r="P263" i="51" s="1"/>
  <c r="Q263" i="51" s="1"/>
  <c r="M262" i="51"/>
  <c r="D262" i="51"/>
  <c r="P262" i="51" s="1"/>
  <c r="Q262" i="51" s="1"/>
  <c r="M261" i="51"/>
  <c r="D261" i="51"/>
  <c r="P261" i="51" s="1"/>
  <c r="Q261" i="51" s="1"/>
  <c r="M260" i="51"/>
  <c r="D260" i="51"/>
  <c r="P260" i="51" s="1"/>
  <c r="Q260" i="51" s="1"/>
  <c r="M259" i="51"/>
  <c r="D259" i="51"/>
  <c r="P259" i="51" s="1"/>
  <c r="Q259" i="51" s="1"/>
  <c r="M258" i="51"/>
  <c r="D258" i="51"/>
  <c r="P258" i="51" s="1"/>
  <c r="Q258" i="51" s="1"/>
  <c r="M257" i="51"/>
  <c r="D257" i="51"/>
  <c r="P257" i="51" s="1"/>
  <c r="Q257" i="51" s="1"/>
  <c r="M256" i="51"/>
  <c r="D256" i="51"/>
  <c r="P256" i="51" s="1"/>
  <c r="Q256" i="51" s="1"/>
  <c r="M255" i="51"/>
  <c r="D255" i="51"/>
  <c r="P255" i="51" s="1"/>
  <c r="Q255" i="51" s="1"/>
  <c r="M254" i="51"/>
  <c r="D254" i="51"/>
  <c r="P254" i="51" s="1"/>
  <c r="Q254" i="51" s="1"/>
  <c r="M253" i="51"/>
  <c r="D253" i="51"/>
  <c r="P253" i="51" s="1"/>
  <c r="Q253" i="51" s="1"/>
  <c r="M252" i="51"/>
  <c r="D252" i="51"/>
  <c r="P252" i="51" s="1"/>
  <c r="Q252" i="51" s="1"/>
  <c r="M251" i="51"/>
  <c r="O194" i="51" s="1"/>
  <c r="D251" i="51"/>
  <c r="P251" i="51" s="1"/>
  <c r="Q251" i="51" s="1"/>
  <c r="M250" i="51"/>
  <c r="D250" i="51"/>
  <c r="P250" i="51" s="1"/>
  <c r="M249" i="51"/>
  <c r="D249" i="51"/>
  <c r="P249" i="51" s="1"/>
  <c r="Q249" i="51" s="1"/>
  <c r="M248" i="51"/>
  <c r="D248" i="51"/>
  <c r="P248" i="51" s="1"/>
  <c r="Q248" i="51" s="1"/>
  <c r="M247" i="51"/>
  <c r="D247" i="51"/>
  <c r="P247" i="51" s="1"/>
  <c r="Q247" i="51" s="1"/>
  <c r="M246" i="51"/>
  <c r="D246" i="51"/>
  <c r="P246" i="51" s="1"/>
  <c r="Q246" i="51" s="1"/>
  <c r="M245" i="51"/>
  <c r="D245" i="51"/>
  <c r="P245" i="51" s="1"/>
  <c r="Q245" i="51" s="1"/>
  <c r="M244" i="51"/>
  <c r="D244" i="51"/>
  <c r="P244" i="51" s="1"/>
  <c r="Q244" i="51" s="1"/>
  <c r="M243" i="51"/>
  <c r="D243" i="51"/>
  <c r="P243" i="51" s="1"/>
  <c r="Q243" i="51" s="1"/>
  <c r="M242" i="51"/>
  <c r="D242" i="51"/>
  <c r="P242" i="51" s="1"/>
  <c r="Q242" i="51" s="1"/>
  <c r="M241" i="51"/>
  <c r="D241" i="51"/>
  <c r="P241" i="51" s="1"/>
  <c r="Q241" i="51" s="1"/>
  <c r="M240" i="51"/>
  <c r="D240" i="51"/>
  <c r="P240" i="51" s="1"/>
  <c r="Q240" i="51" s="1"/>
  <c r="M239" i="51"/>
  <c r="D239" i="51"/>
  <c r="E224" i="51" s="1"/>
  <c r="P238" i="51"/>
  <c r="M238" i="51"/>
  <c r="D238" i="51"/>
  <c r="Q237" i="51"/>
  <c r="P237" i="51"/>
  <c r="M237" i="51"/>
  <c r="D237" i="51"/>
  <c r="Q236" i="51"/>
  <c r="P236" i="51"/>
  <c r="M236" i="51"/>
  <c r="D236" i="51"/>
  <c r="Q235" i="51"/>
  <c r="P235" i="51"/>
  <c r="M235" i="51"/>
  <c r="D235" i="51"/>
  <c r="Q234" i="51"/>
  <c r="P234" i="51"/>
  <c r="M234" i="51"/>
  <c r="D234" i="51"/>
  <c r="Q233" i="51"/>
  <c r="P233" i="51"/>
  <c r="M233" i="51"/>
  <c r="D233" i="51"/>
  <c r="Q232" i="51"/>
  <c r="P232" i="51"/>
  <c r="M232" i="51"/>
  <c r="D232" i="51"/>
  <c r="Q231" i="51"/>
  <c r="P231" i="51"/>
  <c r="M231" i="51"/>
  <c r="D231" i="51"/>
  <c r="Q230" i="51"/>
  <c r="P230" i="51"/>
  <c r="M230" i="51"/>
  <c r="D230" i="51"/>
  <c r="Q229" i="51"/>
  <c r="P229" i="51"/>
  <c r="M229" i="51"/>
  <c r="D229" i="51"/>
  <c r="Q228" i="51"/>
  <c r="P228" i="51"/>
  <c r="M228" i="51"/>
  <c r="D228" i="51"/>
  <c r="Q227" i="51"/>
  <c r="P227" i="51"/>
  <c r="M227" i="51"/>
  <c r="D227" i="51"/>
  <c r="Q226" i="51"/>
  <c r="P226" i="51"/>
  <c r="M226" i="51"/>
  <c r="D226" i="51"/>
  <c r="Q225" i="51"/>
  <c r="P225" i="51"/>
  <c r="M225" i="51"/>
  <c r="D225" i="51"/>
  <c r="N224" i="51"/>
  <c r="M223" i="51"/>
  <c r="D223" i="51"/>
  <c r="P223" i="51" s="1"/>
  <c r="Q223" i="51" s="1"/>
  <c r="M222" i="51"/>
  <c r="D222" i="51"/>
  <c r="P222" i="51" s="1"/>
  <c r="Q222" i="51" s="1"/>
  <c r="M221" i="51"/>
  <c r="D221" i="51"/>
  <c r="P221" i="51" s="1"/>
  <c r="Q221" i="51" s="1"/>
  <c r="M220" i="51"/>
  <c r="D220" i="51"/>
  <c r="P220" i="51" s="1"/>
  <c r="Q220" i="51" s="1"/>
  <c r="M219" i="51"/>
  <c r="D219" i="51"/>
  <c r="P219" i="51" s="1"/>
  <c r="Q219" i="51" s="1"/>
  <c r="M218" i="51"/>
  <c r="D218" i="51"/>
  <c r="P218" i="51" s="1"/>
  <c r="Q218" i="51" s="1"/>
  <c r="M217" i="51"/>
  <c r="D217" i="51"/>
  <c r="P217" i="51" s="1"/>
  <c r="Q217" i="51" s="1"/>
  <c r="M216" i="51"/>
  <c r="D216" i="51"/>
  <c r="P216" i="51" s="1"/>
  <c r="Q216" i="51" s="1"/>
  <c r="M215" i="51"/>
  <c r="D215" i="51"/>
  <c r="P215" i="51" s="1"/>
  <c r="Q215" i="51" s="1"/>
  <c r="M214" i="51"/>
  <c r="D214" i="51"/>
  <c r="P214" i="51" s="1"/>
  <c r="Q214" i="51" s="1"/>
  <c r="M213" i="51"/>
  <c r="D213" i="51"/>
  <c r="P213" i="51" s="1"/>
  <c r="Q213" i="51" s="1"/>
  <c r="M212" i="51"/>
  <c r="D212" i="51"/>
  <c r="P212" i="51" s="1"/>
  <c r="Q212" i="51" s="1"/>
  <c r="M211" i="51"/>
  <c r="D211" i="51"/>
  <c r="P211" i="51" s="1"/>
  <c r="Q211" i="51" s="1"/>
  <c r="M210" i="51"/>
  <c r="D210" i="51"/>
  <c r="P210" i="51" s="1"/>
  <c r="Q210" i="51" s="1"/>
  <c r="M209" i="51"/>
  <c r="D209" i="51"/>
  <c r="P209" i="51" s="1"/>
  <c r="Q209" i="51" s="1"/>
  <c r="M208" i="51"/>
  <c r="D208" i="51"/>
  <c r="P208" i="51" s="1"/>
  <c r="Q208" i="51" s="1"/>
  <c r="M207" i="51"/>
  <c r="D207" i="51"/>
  <c r="P207" i="51" s="1"/>
  <c r="Q207" i="51" s="1"/>
  <c r="M206" i="51"/>
  <c r="D206" i="51"/>
  <c r="P206" i="51" s="1"/>
  <c r="Q206" i="51" s="1"/>
  <c r="M205" i="51"/>
  <c r="D205" i="51"/>
  <c r="P205" i="51" s="1"/>
  <c r="Q205" i="51" s="1"/>
  <c r="M204" i="51"/>
  <c r="D204" i="51"/>
  <c r="P204" i="51" s="1"/>
  <c r="Q204" i="51" s="1"/>
  <c r="M203" i="51"/>
  <c r="D203" i="51"/>
  <c r="P203" i="51" s="1"/>
  <c r="Q203" i="51" s="1"/>
  <c r="M202" i="51"/>
  <c r="D202" i="51"/>
  <c r="P202" i="51" s="1"/>
  <c r="Q202" i="51" s="1"/>
  <c r="M201" i="51"/>
  <c r="D201" i="51"/>
  <c r="P201" i="51" s="1"/>
  <c r="Q201" i="51" s="1"/>
  <c r="M200" i="51"/>
  <c r="N199" i="51" s="1"/>
  <c r="D200" i="51"/>
  <c r="E199" i="51" s="1"/>
  <c r="Q178" i="51"/>
  <c r="P178" i="51"/>
  <c r="G178" i="51"/>
  <c r="Q177" i="51"/>
  <c r="P177" i="51"/>
  <c r="G177" i="51"/>
  <c r="P176" i="51"/>
  <c r="G176" i="51"/>
  <c r="Q176" i="51" s="1"/>
  <c r="P175" i="51"/>
  <c r="G175" i="51"/>
  <c r="Q175" i="51" s="1"/>
  <c r="Q174" i="51"/>
  <c r="P174" i="51"/>
  <c r="G174" i="51"/>
  <c r="Q173" i="51"/>
  <c r="P173" i="51"/>
  <c r="G173" i="51"/>
  <c r="P172" i="51"/>
  <c r="G172" i="51"/>
  <c r="Q172" i="51" s="1"/>
  <c r="P171" i="51"/>
  <c r="G171" i="51"/>
  <c r="Q171" i="51" s="1"/>
  <c r="Q170" i="51"/>
  <c r="P170" i="51"/>
  <c r="G170" i="51"/>
  <c r="Q169" i="51"/>
  <c r="P169" i="51"/>
  <c r="G169" i="51"/>
  <c r="P168" i="51"/>
  <c r="G168" i="51"/>
  <c r="Q168" i="51" s="1"/>
  <c r="P167" i="51"/>
  <c r="G167" i="51"/>
  <c r="Q167" i="51" s="1"/>
  <c r="Q166" i="51"/>
  <c r="P166" i="51"/>
  <c r="G166" i="51"/>
  <c r="Q165" i="51"/>
  <c r="P165" i="51"/>
  <c r="G165" i="51"/>
  <c r="P164" i="51"/>
  <c r="G164" i="51"/>
  <c r="Q164" i="51" s="1"/>
  <c r="P163" i="51"/>
  <c r="G163" i="51"/>
  <c r="Q163" i="51" s="1"/>
  <c r="Q162" i="51"/>
  <c r="P162" i="51"/>
  <c r="G162" i="51"/>
  <c r="Q161" i="51"/>
  <c r="P161" i="51"/>
  <c r="G161" i="51"/>
  <c r="P160" i="51"/>
  <c r="G160" i="51"/>
  <c r="Q160" i="51" s="1"/>
  <c r="P159" i="51"/>
  <c r="G159" i="51"/>
  <c r="Q159" i="51" s="1"/>
  <c r="Q158" i="51"/>
  <c r="P158" i="51"/>
  <c r="G158" i="51"/>
  <c r="P157" i="51"/>
  <c r="Q157" i="51" s="1"/>
  <c r="G157" i="51"/>
  <c r="P156" i="51"/>
  <c r="G156" i="51"/>
  <c r="Q156" i="51" s="1"/>
  <c r="P155" i="51"/>
  <c r="G155" i="51"/>
  <c r="Q155" i="51" s="1"/>
  <c r="Q154" i="51"/>
  <c r="P154" i="51"/>
  <c r="G154" i="51"/>
  <c r="Q153" i="51"/>
  <c r="P153" i="51"/>
  <c r="G153" i="51"/>
  <c r="P152" i="51"/>
  <c r="G152" i="51"/>
  <c r="Q152" i="51" s="1"/>
  <c r="P151" i="51"/>
  <c r="G151" i="51"/>
  <c r="Q151" i="51" s="1"/>
  <c r="Q150" i="51"/>
  <c r="P150" i="51"/>
  <c r="G150" i="51"/>
  <c r="P149" i="51"/>
  <c r="Q149" i="51" s="1"/>
  <c r="G149" i="51"/>
  <c r="P148" i="51"/>
  <c r="G148" i="51"/>
  <c r="Q148" i="51" s="1"/>
  <c r="P147" i="51"/>
  <c r="G147" i="51"/>
  <c r="Q147" i="51" s="1"/>
  <c r="Q146" i="51"/>
  <c r="P146" i="51"/>
  <c r="G146" i="51"/>
  <c r="Q145" i="51"/>
  <c r="P145" i="51"/>
  <c r="G145" i="51"/>
  <c r="P144" i="51"/>
  <c r="G144" i="51"/>
  <c r="Q144" i="51" s="1"/>
  <c r="P143" i="51"/>
  <c r="G143" i="51"/>
  <c r="Q143" i="51" s="1"/>
  <c r="Q142" i="51"/>
  <c r="P142" i="51"/>
  <c r="G142" i="51"/>
  <c r="P141" i="51"/>
  <c r="Q141" i="51" s="1"/>
  <c r="G141" i="51"/>
  <c r="P140" i="51"/>
  <c r="G140" i="51"/>
  <c r="Q140" i="51" s="1"/>
  <c r="P138" i="51"/>
  <c r="G138" i="51"/>
  <c r="Q138" i="51" s="1"/>
  <c r="Q137" i="51"/>
  <c r="P137" i="51"/>
  <c r="G137" i="51"/>
  <c r="Q136" i="51"/>
  <c r="P136" i="51"/>
  <c r="G136" i="51"/>
  <c r="P135" i="51"/>
  <c r="G135" i="51"/>
  <c r="Q135" i="51" s="1"/>
  <c r="P134" i="51"/>
  <c r="G134" i="51"/>
  <c r="Q134" i="51" s="1"/>
  <c r="Q132" i="51"/>
  <c r="P132" i="51"/>
  <c r="G132" i="51"/>
  <c r="P131" i="51"/>
  <c r="Q131" i="51" s="1"/>
  <c r="G131" i="51"/>
  <c r="P130" i="51"/>
  <c r="G130" i="51"/>
  <c r="Q130" i="51" s="1"/>
  <c r="P129" i="51"/>
  <c r="G129" i="51"/>
  <c r="Q129" i="51" s="1"/>
  <c r="Q128" i="51"/>
  <c r="P128" i="51"/>
  <c r="G128" i="51"/>
  <c r="Q127" i="51"/>
  <c r="P127" i="51"/>
  <c r="G127" i="51"/>
  <c r="P126" i="51"/>
  <c r="G126" i="51"/>
  <c r="Q126" i="51" s="1"/>
  <c r="P125" i="51"/>
  <c r="G125" i="51"/>
  <c r="Q125" i="51" s="1"/>
  <c r="Q124" i="51"/>
  <c r="P124" i="51"/>
  <c r="G124" i="51"/>
  <c r="P123" i="51"/>
  <c r="Q123" i="51" s="1"/>
  <c r="G123" i="51"/>
  <c r="P121" i="51"/>
  <c r="G121" i="51"/>
  <c r="Q121" i="51" s="1"/>
  <c r="P120" i="51"/>
  <c r="G120" i="51"/>
  <c r="Q120" i="51" s="1"/>
  <c r="Q118" i="51"/>
  <c r="P118" i="51"/>
  <c r="G118" i="51"/>
  <c r="Q117" i="51"/>
  <c r="P117" i="51"/>
  <c r="G117" i="51"/>
  <c r="P116" i="51"/>
  <c r="G116" i="51"/>
  <c r="Q116" i="51" s="1"/>
  <c r="P115" i="51"/>
  <c r="G115" i="51"/>
  <c r="Q115" i="51" s="1"/>
  <c r="Q114" i="51"/>
  <c r="P114" i="51"/>
  <c r="G114" i="51"/>
  <c r="P113" i="51"/>
  <c r="Q113" i="51" s="1"/>
  <c r="G113" i="51"/>
  <c r="P112" i="51"/>
  <c r="G112" i="51"/>
  <c r="Q112" i="51" s="1"/>
  <c r="P111" i="51"/>
  <c r="G111" i="51"/>
  <c r="Q111" i="51" s="1"/>
  <c r="Q110" i="51"/>
  <c r="P110" i="51"/>
  <c r="G110" i="51"/>
  <c r="Q109" i="51"/>
  <c r="P109" i="51"/>
  <c r="G109" i="51"/>
  <c r="P108" i="51"/>
  <c r="G108" i="51"/>
  <c r="Q108" i="51" s="1"/>
  <c r="P107" i="51"/>
  <c r="G107" i="51"/>
  <c r="Q107" i="51" s="1"/>
  <c r="Q106" i="51"/>
  <c r="P106" i="51"/>
  <c r="G106" i="51"/>
  <c r="P105" i="51"/>
  <c r="Q105" i="51" s="1"/>
  <c r="G105" i="51"/>
  <c r="P103" i="51"/>
  <c r="G103" i="51"/>
  <c r="Q103" i="51" s="1"/>
  <c r="P102" i="51"/>
  <c r="G102" i="51"/>
  <c r="Q102" i="51" s="1"/>
  <c r="Q101" i="51"/>
  <c r="P101" i="51"/>
  <c r="G101" i="51"/>
  <c r="Q100" i="51"/>
  <c r="P100" i="51"/>
  <c r="G100" i="51"/>
  <c r="P98" i="51"/>
  <c r="G98" i="51"/>
  <c r="Q98" i="51" s="1"/>
  <c r="P97" i="51"/>
  <c r="G97" i="51"/>
  <c r="Q97" i="51" s="1"/>
  <c r="Q96" i="51"/>
  <c r="P96" i="51"/>
  <c r="G96" i="51"/>
  <c r="P94" i="51"/>
  <c r="Q94" i="51" s="1"/>
  <c r="G94" i="51"/>
  <c r="P93" i="51"/>
  <c r="G93" i="51"/>
  <c r="Q93" i="51" s="1"/>
  <c r="P92" i="51"/>
  <c r="G92" i="51"/>
  <c r="Q92" i="51" s="1"/>
  <c r="Q91" i="51"/>
  <c r="P91" i="51"/>
  <c r="G91" i="51"/>
  <c r="G179" i="51" s="1"/>
  <c r="F85" i="51" s="1"/>
  <c r="Q90" i="51"/>
  <c r="P90" i="51"/>
  <c r="P179" i="51" s="1"/>
  <c r="O85" i="51" s="1"/>
  <c r="G90" i="51"/>
  <c r="AA87" i="51"/>
  <c r="U87" i="51"/>
  <c r="AA86" i="51"/>
  <c r="U86" i="51"/>
  <c r="AA85" i="51"/>
  <c r="U85" i="51"/>
  <c r="AA84" i="51"/>
  <c r="U84" i="51"/>
  <c r="AA83" i="51"/>
  <c r="U83" i="51"/>
  <c r="AA82" i="51"/>
  <c r="U82" i="51"/>
  <c r="AA81" i="51"/>
  <c r="U81" i="51"/>
  <c r="J83" i="51" l="1"/>
  <c r="Q179" i="51"/>
  <c r="F307" i="51"/>
  <c r="E305" i="51" s="1"/>
  <c r="F192" i="51"/>
  <c r="F190" i="51" s="1"/>
  <c r="J77" i="51" s="1"/>
  <c r="P200" i="51"/>
  <c r="Q200" i="51" s="1"/>
  <c r="O192" i="51"/>
  <c r="O190" i="51" s="1"/>
  <c r="P239" i="51"/>
  <c r="Q239" i="51" s="1"/>
  <c r="F194" i="51"/>
</calcChain>
</file>

<file path=xl/sharedStrings.xml><?xml version="1.0" encoding="utf-8"?>
<sst xmlns="http://schemas.openxmlformats.org/spreadsheetml/2006/main" count="3202" uniqueCount="960">
  <si>
    <t>PICK&amp;WIN1</t>
  </si>
  <si>
    <t>PICK AND WIN 1</t>
  </si>
  <si>
    <t>PICK&amp;WIN2</t>
  </si>
  <si>
    <t>PICK AND WIN 2</t>
  </si>
  <si>
    <t>PICK&amp;WIN3</t>
  </si>
  <si>
    <t>PICK AND WIN 3</t>
  </si>
  <si>
    <t>HOT DEAL</t>
  </si>
  <si>
    <t>HDEAL</t>
  </si>
  <si>
    <t>LINK KING</t>
  </si>
  <si>
    <t>KING</t>
  </si>
  <si>
    <t>LINK ME</t>
  </si>
  <si>
    <t>LKM</t>
  </si>
  <si>
    <t>HIT</t>
  </si>
  <si>
    <t>BLZPRLS</t>
  </si>
  <si>
    <t>BLAZING PEARLS</t>
  </si>
  <si>
    <t>SPIN HIT</t>
  </si>
  <si>
    <t>LSHK</t>
  </si>
  <si>
    <t>PICK AND WIN SE</t>
  </si>
  <si>
    <t>PICK&amp;WINSE</t>
  </si>
  <si>
    <t>LINK SHOCK</t>
  </si>
  <si>
    <t>88 MULTI</t>
  </si>
  <si>
    <t>88MULTI</t>
  </si>
  <si>
    <t>88 LINK LUCKY CHARMS</t>
  </si>
  <si>
    <t>88LKLCH</t>
  </si>
  <si>
    <t>88 LINK WILD DUELS</t>
  </si>
  <si>
    <t>88LKWDLS</t>
  </si>
  <si>
    <t>BASHIBA</t>
  </si>
  <si>
    <t>BSHIBA</t>
  </si>
  <si>
    <t>BLAZING PEARLS II</t>
  </si>
  <si>
    <t>BLZPRLSII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</si>
  <si>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</si>
  <si>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</si>
  <si>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</si>
  <si>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</si>
  <si>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</si>
  <si>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</si>
  <si>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</si>
  <si>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</si>
  <si>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LINK KING II</t>
  </si>
  <si>
    <t>KINGII</t>
  </si>
  <si>
    <t>LINK ME II</t>
  </si>
  <si>
    <t>LKMII</t>
  </si>
  <si>
    <t>PICK AND WIN 24</t>
  </si>
  <si>
    <t>P&amp;W24</t>
  </si>
  <si>
    <t>PICK AND WIN 24 / HOT DEAL</t>
  </si>
  <si>
    <t>24HDEAL</t>
  </si>
  <si>
    <t>PICK AND WIN 24 / SPIN HIT</t>
  </si>
  <si>
    <t>24HIT</t>
  </si>
  <si>
    <t>SMART SPINS</t>
  </si>
  <si>
    <t>SSPINS</t>
  </si>
  <si>
    <t>SMART SPINS II</t>
  </si>
  <si>
    <t>SSPINSII</t>
  </si>
  <si>
    <t>88 LINK SHOCK</t>
  </si>
  <si>
    <t>88LKSHK</t>
  </si>
  <si>
    <t>88 MULTI SHOCK</t>
  </si>
  <si>
    <t>88MULTISHK</t>
  </si>
  <si>
    <t>LINK ME SHOCK</t>
  </si>
  <si>
    <t>LKMSHK</t>
  </si>
  <si>
    <t>LINK SHOCK II</t>
  </si>
  <si>
    <t>LSHKII</t>
  </si>
  <si>
    <t>88 LINK MULTIPLIER</t>
  </si>
  <si>
    <t>88LKMULTI</t>
  </si>
  <si>
    <t>BASHIBA ALLURE</t>
  </si>
  <si>
    <t>BSHIBAAALL</t>
  </si>
  <si>
    <t>BASHIBA EGYPTIAN</t>
  </si>
  <si>
    <t>BSHIBAEGYP</t>
  </si>
  <si>
    <t>5 TO WIN</t>
  </si>
  <si>
    <t>5WIN</t>
  </si>
  <si>
    <t>DOUBLE LINK</t>
  </si>
  <si>
    <t>DBLK</t>
  </si>
  <si>
    <t>HOT DEAL II</t>
  </si>
  <si>
    <t>HDEALII</t>
  </si>
  <si>
    <t>LIKE IT</t>
  </si>
  <si>
    <t>LKIT</t>
  </si>
  <si>
    <t>LINK UP</t>
  </si>
  <si>
    <t>LKUP</t>
  </si>
  <si>
    <t>F10LWDR</t>
  </si>
  <si>
    <t>F10HL</t>
  </si>
  <si>
    <t>HIGH LIFE</t>
  </si>
  <si>
    <t>LONG WANG DRAGON</t>
  </si>
  <si>
    <t>BLSTD</t>
  </si>
  <si>
    <t>BLAST DYNASTY</t>
  </si>
  <si>
    <t>MEISHK</t>
  </si>
  <si>
    <t>MEI SHI MEI KE</t>
  </si>
  <si>
    <t>WLEG</t>
  </si>
  <si>
    <t>WHEEL OF LEGENDS</t>
  </si>
  <si>
    <t>DBLKMW</t>
  </si>
  <si>
    <t>DOUBLE LINK MULTIPLIER WARRIORS</t>
  </si>
  <si>
    <t>88LKMS</t>
  </si>
  <si>
    <t>88 LINK MS</t>
  </si>
  <si>
    <t>BSHIBALUXMS</t>
  </si>
  <si>
    <t>BASHIBA LUXOR MS</t>
  </si>
  <si>
    <t>DLMWMS</t>
  </si>
  <si>
    <t>DOUBLE LINK MULTIPLIER WARRIOS MS</t>
  </si>
  <si>
    <t>KING2MS</t>
  </si>
  <si>
    <t>LINK KING 2 MS</t>
  </si>
  <si>
    <t>KING3MS</t>
  </si>
  <si>
    <t>LINK KING 3 MS</t>
  </si>
  <si>
    <t>KING4MS</t>
  </si>
  <si>
    <t>LINK KING 4 MS</t>
  </si>
  <si>
    <t>LKM2MS</t>
  </si>
  <si>
    <t>LINK ME 2 MS</t>
  </si>
  <si>
    <t>MKING</t>
  </si>
  <si>
    <t>MEGA KING</t>
  </si>
  <si>
    <t>F10MG</t>
  </si>
  <si>
    <t>FORTUNE 10 MULTIGAME</t>
  </si>
  <si>
    <t>SPIGUA</t>
  </si>
  <si>
    <t>BISMUS</t>
  </si>
  <si>
    <t>BISON MUSTANG</t>
  </si>
  <si>
    <t>FUSHOU</t>
  </si>
  <si>
    <t>RTWIST</t>
  </si>
  <si>
    <t>ROYAL TWIST</t>
  </si>
  <si>
    <t>MHAM</t>
  </si>
  <si>
    <t>FRWLK</t>
  </si>
  <si>
    <t>FAR WEST LINK</t>
  </si>
  <si>
    <t>FRWLKWM</t>
  </si>
  <si>
    <t>FAR WEST LINK WOLF MUSTANG</t>
  </si>
  <si>
    <t>LTMPL</t>
  </si>
  <si>
    <t>LIGHT TEMPLE</t>
  </si>
  <si>
    <t>MROOTS</t>
  </si>
  <si>
    <t>MAGIC ROOTS</t>
  </si>
  <si>
    <t>LKWLD</t>
  </si>
  <si>
    <t>WILD LINK</t>
  </si>
  <si>
    <t>CHSTS</t>
  </si>
  <si>
    <t>COLFIRE</t>
  </si>
  <si>
    <t>COLOSSUS FIRE</t>
  </si>
  <si>
    <t>BACK TO THE WILD</t>
  </si>
  <si>
    <t>BKWLD</t>
  </si>
  <si>
    <t>LINK KING BOOST</t>
  </si>
  <si>
    <t>KINGB</t>
  </si>
  <si>
    <t>LINK ME BOOST</t>
  </si>
  <si>
    <t>LKMB</t>
  </si>
  <si>
    <t>EPIC KINGDOM</t>
  </si>
  <si>
    <t>EPKNG</t>
  </si>
  <si>
    <t>LTMPLv2</t>
  </si>
  <si>
    <t>MROOTSv2</t>
  </si>
  <si>
    <t>MAGIC ROOTS v2</t>
  </si>
  <si>
    <t>MHAMU</t>
  </si>
  <si>
    <t>FUPTS</t>
  </si>
  <si>
    <t>FUSHLK</t>
  </si>
  <si>
    <t>SPIN GUARDIANS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</si>
  <si>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</si>
  <si>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</si>
  <si>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</si>
  <si>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</si>
  <si>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</si>
  <si>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</si>
  <si>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</si>
  <si>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</si>
  <si>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</si>
  <si>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</si>
  <si>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</si>
  <si>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</si>
  <si>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</si>
  <si>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</si>
  <si>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</si>
  <si>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</si>
  <si>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</si>
  <si>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>88LKSHI</t>
  </si>
  <si>
    <t>BPIG</t>
  </si>
  <si>
    <t>MIGHTY HAMMER</t>
  </si>
  <si>
    <t>BILLY THE PIG</t>
  </si>
  <si>
    <t>I D  6 1 1 7 - P L A Y    C I T Y    A N T A R A</t>
  </si>
  <si>
    <t>SALIDA DE EMERGENCIA</t>
  </si>
  <si>
    <t>MIN JUG $3.40</t>
  </si>
  <si>
    <t>MIN JUG 4.40</t>
  </si>
  <si>
    <t>ISLA 15</t>
  </si>
  <si>
    <t>Zi</t>
  </si>
  <si>
    <t>EIBE</t>
  </si>
  <si>
    <t>CAJA</t>
  </si>
  <si>
    <t>BARRA</t>
  </si>
  <si>
    <t>50c</t>
  </si>
  <si>
    <t>ISLA 16</t>
  </si>
  <si>
    <t xml:space="preserve"> 44 PC</t>
  </si>
  <si>
    <t>ISLA 1</t>
  </si>
  <si>
    <t>5C</t>
  </si>
  <si>
    <t>TIRADA MINIMA $3.40</t>
  </si>
  <si>
    <t>ISLA 2</t>
  </si>
  <si>
    <t>ISLA 17</t>
  </si>
  <si>
    <t xml:space="preserve"> 46 PC</t>
  </si>
  <si>
    <t>COIN FU 10 cts</t>
  </si>
  <si>
    <t>ISLA 4</t>
  </si>
  <si>
    <t>5c</t>
  </si>
  <si>
    <t>SIGN MKING-2</t>
  </si>
  <si>
    <t>ISLA 6</t>
  </si>
  <si>
    <t>Clover Link Xtreme D10c</t>
  </si>
  <si>
    <t>ISLA 3</t>
  </si>
  <si>
    <t>SIGN FROG-2</t>
  </si>
  <si>
    <t xml:space="preserve"> 45 PC</t>
  </si>
  <si>
    <t>WINPOTSL</t>
  </si>
  <si>
    <t>IGT</t>
  </si>
  <si>
    <t>APEX</t>
  </si>
  <si>
    <t>15 cts</t>
  </si>
  <si>
    <t>LUD/IGT B</t>
  </si>
  <si>
    <t>047 PC</t>
  </si>
  <si>
    <t>ISLA 19</t>
  </si>
  <si>
    <t xml:space="preserve"> 48 PC</t>
  </si>
  <si>
    <t>ISLA 8</t>
  </si>
  <si>
    <t>TIRADA MINIMA 5.00</t>
  </si>
  <si>
    <t>MIN JUG $4.00</t>
  </si>
  <si>
    <t>TIRADA MINIMA $2.50</t>
  </si>
  <si>
    <t>ACCESO A FUMAR</t>
  </si>
  <si>
    <t>10C</t>
  </si>
  <si>
    <t>SIGN LSHOCK-2</t>
  </si>
  <si>
    <t>Dragon link</t>
  </si>
  <si>
    <t>Restaurante</t>
  </si>
  <si>
    <t>AGS</t>
  </si>
  <si>
    <t>AR</t>
  </si>
  <si>
    <t xml:space="preserve"> 50 PC</t>
  </si>
  <si>
    <t>SIGN FUPTS-2</t>
  </si>
  <si>
    <t>ISLA 5</t>
  </si>
  <si>
    <t>MIN JUG $3.75</t>
  </si>
  <si>
    <t>026 PC</t>
  </si>
  <si>
    <t>I 28 PC</t>
  </si>
  <si>
    <t>I 30 PC</t>
  </si>
  <si>
    <t>I 31 PC</t>
  </si>
  <si>
    <t>Olympus Link 10 cts</t>
  </si>
  <si>
    <t>Prosperity Link 5cts</t>
  </si>
  <si>
    <t>Egyptian Link 5cts</t>
  </si>
  <si>
    <t>SIGN LM-2</t>
  </si>
  <si>
    <t>ISLA 10</t>
  </si>
  <si>
    <t>ISLA 7</t>
  </si>
  <si>
    <t>SIGN BLDL</t>
  </si>
  <si>
    <t>MIN JUG $5.00</t>
  </si>
  <si>
    <t>TIRADA MINIMA $5.00</t>
  </si>
  <si>
    <t>MIN JUG $3.00</t>
  </si>
  <si>
    <t>ISLA 26</t>
  </si>
  <si>
    <t>SIGN DBLK/BASHIBA</t>
  </si>
  <si>
    <t>SIGN COLF-2</t>
  </si>
  <si>
    <t>ISLA 12</t>
  </si>
  <si>
    <t>Lightning Link 10cts</t>
  </si>
  <si>
    <t>I 39PC</t>
  </si>
  <si>
    <t>I 40 PC</t>
  </si>
  <si>
    <t>I 41 PC</t>
  </si>
  <si>
    <t>ISLA 11</t>
  </si>
  <si>
    <t>ISLA 14</t>
  </si>
  <si>
    <t>AW</t>
  </si>
  <si>
    <t>025 PC</t>
  </si>
  <si>
    <t>ISLA 13</t>
  </si>
  <si>
    <t>TM$3.40</t>
  </si>
  <si>
    <t>EGT</t>
  </si>
  <si>
    <t>SIGN BPIG-2</t>
  </si>
  <si>
    <t>LIGHGNING LINK</t>
  </si>
  <si>
    <t>p</t>
  </si>
  <si>
    <t>ISLA 20</t>
  </si>
  <si>
    <t>|</t>
  </si>
  <si>
    <t>Lightning Link 5 cts</t>
  </si>
  <si>
    <t>SIGN LK-2</t>
  </si>
  <si>
    <t>ISLA 24</t>
  </si>
  <si>
    <t>Ultra Lucky Link  10 cts</t>
  </si>
  <si>
    <t>AFI</t>
  </si>
  <si>
    <t>SCIGA</t>
  </si>
  <si>
    <t>SIGN LKB/LMB-2</t>
  </si>
  <si>
    <t>SIGN MHAM-2</t>
  </si>
  <si>
    <t>GC</t>
  </si>
  <si>
    <t>MIN JUG $2.50</t>
  </si>
  <si>
    <t>ISLA 22</t>
  </si>
  <si>
    <t>Entre Islas</t>
  </si>
  <si>
    <t xml:space="preserve">  65PC</t>
  </si>
  <si>
    <t>ISLA 18</t>
  </si>
  <si>
    <t>SIGN CRLEDA-MHAM</t>
  </si>
  <si>
    <t>ISLA 21</t>
  </si>
  <si>
    <t>ISLA 23</t>
  </si>
  <si>
    <t xml:space="preserve">ENTRADA  </t>
  </si>
  <si>
    <t xml:space="preserve">Entrada cocina </t>
  </si>
  <si>
    <t xml:space="preserve">Salida cocina </t>
  </si>
  <si>
    <t>MIN JUG $4.40</t>
  </si>
  <si>
    <t>CAJAS</t>
  </si>
  <si>
    <t>COCINA</t>
  </si>
  <si>
    <t>WC</t>
  </si>
  <si>
    <t>TOTAL SALA</t>
  </si>
  <si>
    <t>ANTERIOR THERMO ENTREGADO</t>
  </si>
  <si>
    <t>THERMO ACTUAL</t>
  </si>
  <si>
    <t>2303-25</t>
  </si>
  <si>
    <t>FECHA</t>
  </si>
  <si>
    <t>SEMANA</t>
  </si>
  <si>
    <t>S24 a S35</t>
  </si>
  <si>
    <t>S33 a S44</t>
  </si>
  <si>
    <t>150 MAQ.</t>
  </si>
  <si>
    <t>TOTAL</t>
  </si>
  <si>
    <t>VS</t>
  </si>
  <si>
    <t>170 MAQ.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</si>
  <si>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</si>
  <si>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</si>
  <si>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</si>
  <si>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</si>
  <si>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</si>
  <si>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</si>
  <si>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</si>
  <si>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</si>
  <si>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</si>
  <si>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</si>
  <si>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</si>
  <si>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BRYKE</t>
  </si>
  <si>
    <t>TOTAL PACK</t>
  </si>
  <si>
    <t>ALARMAS O COMENTARIOS</t>
  </si>
  <si>
    <t>ALLURE - ILLUSION</t>
  </si>
  <si>
    <t>88 LINK SHIRO</t>
  </si>
  <si>
    <t>ALTIUS</t>
  </si>
  <si>
    <t>ILLUSION</t>
  </si>
  <si>
    <t>ALLURE</t>
  </si>
  <si>
    <t>FORTUNE 10</t>
  </si>
  <si>
    <t>GONG GAMES</t>
  </si>
  <si>
    <t>GONG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</si>
  <si>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</si>
  <si>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</si>
  <si>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</si>
  <si>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</si>
  <si>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</si>
  <si>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</si>
  <si>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</si>
  <si>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</si>
  <si>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</si>
  <si>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</si>
  <si>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</si>
  <si>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</si>
  <si>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</si>
  <si>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</si>
  <si>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</si>
  <si>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</si>
  <si>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AMBRA GAMING</t>
  </si>
  <si>
    <t>AMBRA</t>
  </si>
  <si>
    <t>METRONIA / BEMEX</t>
  </si>
  <si>
    <t>MET</t>
  </si>
  <si>
    <t>SABIA</t>
  </si>
  <si>
    <t>SAB</t>
  </si>
  <si>
    <t>FBM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</si>
  <si>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</si>
  <si>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</si>
  <si>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</si>
  <si>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</si>
  <si>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</si>
  <si>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</si>
  <si>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</si>
  <si>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</si>
  <si>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SLEIC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</si>
  <si>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</si>
  <si>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</si>
  <si>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</si>
  <si>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</si>
  <si>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</si>
  <si>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</si>
  <si>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</si>
  <si>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</si>
  <si>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</si>
  <si>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</si>
  <si>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</si>
  <si>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</si>
  <si>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</si>
  <si>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</si>
  <si>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</si>
  <si>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</si>
  <si>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</si>
  <si>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</si>
  <si>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</si>
  <si>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</si>
  <si>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</si>
  <si>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</si>
  <si>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</si>
  <si>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</si>
  <si>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</si>
  <si>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</si>
  <si>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</si>
  <si>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</si>
  <si>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</si>
  <si>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</si>
  <si>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</si>
  <si>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</si>
  <si>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</si>
  <si>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</si>
  <si>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</si>
  <si>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</si>
  <si>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</si>
  <si>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</si>
  <si>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ARISTOCRAT</t>
  </si>
  <si>
    <t>ARUZE</t>
  </si>
  <si>
    <t>ARU</t>
  </si>
  <si>
    <t>ASTRO</t>
  </si>
  <si>
    <t>ATRONIC</t>
  </si>
  <si>
    <t>AT</t>
  </si>
  <si>
    <t>AURIFY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</si>
  <si>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</si>
  <si>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</si>
  <si>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</si>
  <si>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</si>
  <si>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</si>
  <si>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</si>
  <si>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</si>
  <si>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</si>
  <si>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</si>
  <si>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</si>
  <si>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</si>
  <si>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</si>
  <si>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</si>
  <si>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</si>
  <si>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</si>
  <si>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</si>
  <si>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</si>
  <si>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</si>
  <si>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</si>
  <si>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</si>
  <si>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</si>
  <si>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</si>
  <si>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</si>
  <si>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</si>
  <si>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</si>
  <si>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</si>
  <si>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</si>
  <si>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</si>
  <si>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</si>
  <si>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</si>
  <si>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</si>
  <si>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</si>
  <si>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</si>
  <si>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</si>
  <si>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</si>
  <si>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</si>
  <si>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</si>
  <si>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</si>
  <si>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</si>
  <si>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</si>
  <si>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</si>
  <si>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</si>
  <si>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</si>
  <si>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</si>
  <si>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</si>
  <si>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</si>
  <si>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</si>
  <si>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</si>
  <si>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</si>
  <si>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</si>
  <si>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</si>
  <si>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</si>
  <si>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</si>
  <si>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</si>
  <si>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</si>
  <si>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</si>
  <si>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</si>
  <si>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</si>
  <si>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</si>
  <si>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</si>
  <si>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</si>
  <si>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</si>
  <si>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</si>
  <si>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KN</t>
  </si>
  <si>
    <t>LEGENDARY GAMING/BAUM GAMES</t>
  </si>
  <si>
    <t>BAUM</t>
  </si>
  <si>
    <t>MERKUR</t>
  </si>
  <si>
    <t>MER</t>
  </si>
  <si>
    <t>MULTI MEDIA GAMES</t>
  </si>
  <si>
    <t>MMG</t>
  </si>
  <si>
    <t>NOVOMATIC</t>
  </si>
  <si>
    <t>NOV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</si>
  <si>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</si>
  <si>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</si>
  <si>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</si>
  <si>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</si>
  <si>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</si>
  <si>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</si>
  <si>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</si>
  <si>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</si>
  <si>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</si>
  <si>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</si>
  <si>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</si>
  <si>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</si>
  <si>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</si>
  <si>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</si>
  <si>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</si>
  <si>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</si>
  <si>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</si>
  <si>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</si>
  <si>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</si>
  <si>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</si>
  <si>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</si>
  <si>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</si>
  <si>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</si>
  <si>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</si>
  <si>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</si>
  <si>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</si>
  <si>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</si>
  <si>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</si>
  <si>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 SYSTEM</t>
  </si>
  <si>
    <t>WS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</si>
  <si>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</si>
  <si>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</si>
  <si>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</si>
  <si>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</si>
  <si>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</si>
  <si>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</si>
  <si>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</si>
  <si>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</si>
  <si>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</si>
  <si>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</si>
  <si>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</si>
  <si>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</si>
  <si>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</si>
  <si>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</si>
  <si>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</si>
  <si>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</si>
  <si>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</si>
  <si>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</si>
  <si>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</si>
  <si>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</si>
  <si>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</si>
  <si>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</si>
  <si>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</si>
  <si>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</si>
  <si>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</si>
  <si>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</si>
  <si>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</si>
  <si>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</si>
  <si>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</si>
  <si>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</si>
  <si>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</si>
  <si>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</si>
  <si>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</si>
  <si>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</si>
  <si>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</si>
  <si>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</si>
  <si>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</si>
  <si>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</si>
  <si>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</si>
  <si>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</si>
  <si>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</si>
  <si>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</si>
  <si>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</si>
  <si>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</si>
  <si>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</si>
  <si>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</si>
  <si>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</si>
  <si>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</si>
  <si>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</si>
  <si>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</si>
  <si>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</si>
  <si>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</si>
  <si>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</si>
  <si>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</si>
  <si>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</si>
  <si>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</si>
  <si>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</si>
  <si>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</si>
  <si>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</si>
  <si>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</si>
  <si>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</si>
  <si>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</si>
  <si>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</si>
  <si>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</si>
  <si>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</si>
  <si>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</si>
  <si>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</si>
  <si>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</si>
  <si>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</si>
  <si>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</si>
  <si>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</si>
  <si>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</si>
  <si>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</si>
  <si>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</si>
  <si>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</si>
  <si>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</si>
  <si>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</si>
  <si>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DOUBLE LINK 2 CARAS</t>
  </si>
  <si>
    <t>SIGN DBLK-2</t>
  </si>
  <si>
    <t>ENERGY LINK RODILLOS 2 CARAS</t>
  </si>
  <si>
    <t>SIGN ELINKR-2</t>
  </si>
  <si>
    <t>FU FROG 2 CARAS</t>
  </si>
  <si>
    <t>SIGN FUFRG-2</t>
  </si>
  <si>
    <t>FU POTS 2 CARAS</t>
  </si>
  <si>
    <t>FU FROG / FU POTS 2 CARAS</t>
  </si>
  <si>
    <t>SIGN FUFRG/FUPTS-2</t>
  </si>
  <si>
    <t>FU FROG / 88 LINK 2 CARAS</t>
  </si>
  <si>
    <t>SIGN FUFRG/88LINK-2</t>
  </si>
  <si>
    <t>FU POTS / 88 LINK 2 CARAS</t>
  </si>
  <si>
    <t>SIGN FUPTS/88LINK-2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</si>
  <si>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</si>
  <si>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</si>
  <si>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</si>
  <si>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</si>
  <si>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</si>
  <si>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</si>
  <si>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</si>
  <si>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</si>
  <si>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</si>
  <si>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LINK KING II MEGA SHARE 2 CARAS</t>
  </si>
  <si>
    <t>SIGN LK2MS-2</t>
  </si>
  <si>
    <t>LINK KING BOOST 2 CARAS</t>
  </si>
  <si>
    <t>SIGN LKB-2</t>
  </si>
  <si>
    <t>LINK ME 2 CARAS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</si>
  <si>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</si>
  <si>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</si>
  <si>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</si>
  <si>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</si>
  <si>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</si>
  <si>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</si>
  <si>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</si>
  <si>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</si>
  <si>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</si>
  <si>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</si>
  <si>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</si>
  <si>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</si>
  <si>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</si>
  <si>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</si>
  <si>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</si>
  <si>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</si>
  <si>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</si>
  <si>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</si>
  <si>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</si>
  <si>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</si>
  <si>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</si>
  <si>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</si>
  <si>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</si>
  <si>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</si>
  <si>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</si>
  <si>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</si>
  <si>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</si>
  <si>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</si>
  <si>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</si>
  <si>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</si>
  <si>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</si>
  <si>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</si>
  <si>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</si>
  <si>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</si>
  <si>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</si>
  <si>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</si>
  <si>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</si>
  <si>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</si>
  <si>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LINK ME / PICK &amp; WIN 2 CARAS</t>
  </si>
  <si>
    <t>SIGN LM/P&amp;W-2</t>
  </si>
  <si>
    <t>LINK KING / PICK &amp; WIN 2 CARAS</t>
  </si>
  <si>
    <t>SIGN LK/P&amp;W-2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</si>
  <si>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</si>
  <si>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</si>
  <si>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</si>
  <si>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</si>
  <si>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</si>
  <si>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</si>
  <si>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</si>
  <si>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</si>
  <si>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</si>
  <si>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</si>
  <si>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</si>
  <si>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</si>
  <si>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</si>
  <si>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</si>
  <si>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</si>
  <si>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</si>
  <si>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</si>
  <si>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</si>
  <si>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</si>
  <si>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</si>
  <si>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</si>
  <si>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</si>
  <si>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BASHIBA 2 CARAS</t>
  </si>
  <si>
    <t>SIGN DBLK/BASHIBA-2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</si>
  <si>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</si>
  <si>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</si>
  <si>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</si>
  <si>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</si>
  <si>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</si>
  <si>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</si>
  <si>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</si>
  <si>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</si>
  <si>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</si>
  <si>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</si>
  <si>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</si>
  <si>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SIGN MROOTSV2/LM-2</t>
  </si>
  <si>
    <t>MEGA KING 2 CARAS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</si>
  <si>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</si>
  <si>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</si>
  <si>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</si>
  <si>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</si>
  <si>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</si>
  <si>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</si>
  <si>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</si>
  <si>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</si>
  <si>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</si>
  <si>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</si>
  <si>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</si>
  <si>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</si>
  <si>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</si>
  <si>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</si>
  <si>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</si>
  <si>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</si>
  <si>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</si>
  <si>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</si>
  <si>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</si>
  <si>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</si>
  <si>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</si>
  <si>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</si>
  <si>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</si>
  <si>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</si>
  <si>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</si>
  <si>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</si>
  <si>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</si>
  <si>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</si>
  <si>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</si>
  <si>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</si>
  <si>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</si>
  <si>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</si>
  <si>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</si>
  <si>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</si>
  <si>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</si>
  <si>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</si>
  <si>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</si>
  <si>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</si>
  <si>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</si>
  <si>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</si>
  <si>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</si>
  <si>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</si>
  <si>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</si>
  <si>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</si>
  <si>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</si>
  <si>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</si>
  <si>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</si>
  <si>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</si>
  <si>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</si>
  <si>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</si>
  <si>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</si>
  <si>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</si>
  <si>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</si>
  <si>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</si>
  <si>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</si>
  <si>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</si>
  <si>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</si>
  <si>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</si>
  <si>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</si>
  <si>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</si>
  <si>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</si>
  <si>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CRLED-FUFRG</t>
  </si>
  <si>
    <t>FU FROG CON ACUMULADO</t>
  </si>
  <si>
    <t>SIGN CRLEDA-FUFRG</t>
  </si>
  <si>
    <t>SIGN CRLED-FUPTS</t>
  </si>
  <si>
    <t>FU POTS CON ACUMULADO</t>
  </si>
  <si>
    <t>SIGN CRLEDA-FUPTS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</si>
  <si>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</si>
  <si>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</si>
  <si>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</si>
  <si>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</si>
  <si>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</si>
  <si>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</si>
  <si>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</si>
  <si>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</si>
  <si>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</si>
  <si>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</si>
  <si>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</si>
  <si>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</si>
  <si>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</si>
  <si>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</si>
  <si>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SIGN CRLED-MHAM</t>
  </si>
  <si>
    <t>MIGHTY HAMMER CON ACUMULADO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</si>
  <si>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</si>
  <si>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</si>
  <si>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</si>
  <si>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</si>
  <si>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</si>
  <si>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</si>
  <si>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</si>
  <si>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</si>
  <si>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</si>
  <si>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</si>
  <si>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</si>
  <si>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</si>
  <si>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</si>
  <si>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</si>
  <si>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</si>
  <si>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</si>
  <si>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</si>
  <si>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</si>
  <si>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</si>
  <si>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</si>
  <si>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</si>
  <si>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</si>
  <si>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</si>
  <si>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</si>
  <si>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</si>
  <si>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</si>
  <si>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</si>
  <si>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</si>
  <si>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</si>
  <si>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</si>
  <si>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</si>
  <si>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</si>
  <si>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</si>
  <si>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</si>
  <si>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</si>
  <si>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LIMITAZO</t>
  </si>
  <si>
    <t>#70/55320</t>
  </si>
  <si>
    <t>#70/56534</t>
  </si>
  <si>
    <t>#70/56506</t>
  </si>
  <si>
    <t>#70/56504</t>
  </si>
  <si>
    <t>#90/58530</t>
  </si>
  <si>
    <t>#90/58528</t>
  </si>
  <si>
    <t>#72/58524</t>
  </si>
  <si>
    <t>#72/58502</t>
  </si>
  <si>
    <t>#90/58507</t>
  </si>
  <si>
    <t>#90/58504</t>
  </si>
  <si>
    <t>#90/58527</t>
  </si>
  <si>
    <t>#31/28530</t>
  </si>
  <si>
    <t>#31/28529</t>
  </si>
  <si>
    <t>#31/28531</t>
  </si>
  <si>
    <t>#31/28526</t>
  </si>
  <si>
    <t>#31/22782</t>
  </si>
  <si>
    <t>#31/28525</t>
  </si>
  <si>
    <t>#31/30292</t>
  </si>
  <si>
    <t xml:space="preserve">#31/28524 </t>
  </si>
  <si>
    <t>#31/22049</t>
  </si>
  <si>
    <t>#31/29133</t>
  </si>
  <si>
    <t>#31/30313</t>
  </si>
  <si>
    <t>#31/29148</t>
  </si>
  <si>
    <t>#31/30316</t>
  </si>
  <si>
    <t>#31/36142</t>
  </si>
  <si>
    <t>#67/47213</t>
  </si>
  <si>
    <t>#67/47239</t>
  </si>
  <si>
    <t>#67/47240</t>
  </si>
  <si>
    <t>#67/47234</t>
  </si>
  <si>
    <t>#72/58446</t>
  </si>
  <si>
    <t>#72/58453</t>
  </si>
  <si>
    <t>#72/58461</t>
  </si>
  <si>
    <t>#38/39280</t>
  </si>
  <si>
    <t>#38/39107</t>
  </si>
  <si>
    <t>#38/42187</t>
  </si>
  <si>
    <t>#38/42186</t>
  </si>
  <si>
    <t>#38/39498</t>
  </si>
  <si>
    <t>#38/39474</t>
  </si>
  <si>
    <t>#38/39500</t>
  </si>
  <si>
    <t>#38/39513</t>
  </si>
  <si>
    <t>#38/39505</t>
  </si>
  <si>
    <t>#38/39486</t>
  </si>
  <si>
    <t>#70/56868</t>
  </si>
  <si>
    <t>#70/56853</t>
  </si>
  <si>
    <t>#70/57002</t>
  </si>
  <si>
    <t>#70/56989</t>
  </si>
  <si>
    <t>#31/26923</t>
  </si>
  <si>
    <t>#31/26948</t>
  </si>
  <si>
    <t>#31/26919</t>
  </si>
  <si>
    <t>#31/26921</t>
  </si>
  <si>
    <t>#31/26926</t>
  </si>
  <si>
    <t>#31/26935</t>
  </si>
  <si>
    <t>#31/26940</t>
  </si>
  <si>
    <t>#31/21435</t>
  </si>
  <si>
    <t>#31/22751</t>
  </si>
  <si>
    <t>#37/28775</t>
  </si>
  <si>
    <t>#37/28768</t>
  </si>
  <si>
    <t>#37/28751</t>
  </si>
  <si>
    <t>#37/28761</t>
  </si>
  <si>
    <t>#37/28748</t>
  </si>
  <si>
    <t>#36/28834</t>
  </si>
  <si>
    <t>#72/58464</t>
  </si>
  <si>
    <t>#72/58475</t>
  </si>
  <si>
    <t>#72/58510</t>
  </si>
  <si>
    <t>#90/58544</t>
  </si>
  <si>
    <t>#90/58538</t>
  </si>
  <si>
    <t>#90/58478</t>
  </si>
  <si>
    <t>#31/20169</t>
  </si>
  <si>
    <t>#31/20168</t>
  </si>
  <si>
    <t>#31/20167</t>
  </si>
  <si>
    <t>#31/20170</t>
  </si>
  <si>
    <t>#31/20171</t>
  </si>
  <si>
    <t>#31/20166</t>
  </si>
  <si>
    <t>#31/27113</t>
  </si>
  <si>
    <t>#31/27105</t>
  </si>
  <si>
    <t>#31/27111</t>
  </si>
  <si>
    <t>#31/27112</t>
  </si>
  <si>
    <t>#31/27109</t>
  </si>
  <si>
    <t>#31/27098</t>
  </si>
  <si>
    <t>#38/36721</t>
  </si>
  <si>
    <t>#38/36697</t>
  </si>
  <si>
    <t>#38/36695</t>
  </si>
  <si>
    <t>#38/36731</t>
  </si>
  <si>
    <t>#38/36587</t>
  </si>
  <si>
    <t>#38/36570</t>
  </si>
  <si>
    <t>#31/27099</t>
  </si>
  <si>
    <t>#31/28528</t>
  </si>
  <si>
    <t>#31/27102</t>
  </si>
  <si>
    <t>#31/28527</t>
  </si>
  <si>
    <t>#70/47845</t>
  </si>
  <si>
    <t>#70/47984</t>
  </si>
  <si>
    <t>#70/48009</t>
  </si>
  <si>
    <t>#70/48004</t>
  </si>
  <si>
    <t>#70/55321</t>
  </si>
  <si>
    <t>#70/55326</t>
  </si>
  <si>
    <t>#70/55309</t>
  </si>
  <si>
    <t>#70/55311</t>
  </si>
  <si>
    <t>#72/58483</t>
  </si>
  <si>
    <t>#72/58512</t>
  </si>
  <si>
    <t>#72/58450</t>
  </si>
  <si>
    <t>#72/58462</t>
  </si>
  <si>
    <t>#72/58491</t>
  </si>
  <si>
    <t>#72/58449</t>
  </si>
  <si>
    <t xml:space="preserve">#94/67160 </t>
  </si>
  <si>
    <t xml:space="preserve">#94/67158 </t>
  </si>
  <si>
    <t xml:space="preserve">#94/67210 </t>
  </si>
  <si>
    <t xml:space="preserve">#94/67184 </t>
  </si>
  <si>
    <t xml:space="preserve">#94/67211 </t>
  </si>
  <si>
    <t xml:space="preserve">#94/67189 </t>
  </si>
  <si>
    <t>#60/53556</t>
  </si>
  <si>
    <t>#60/53561</t>
  </si>
  <si>
    <t>#60/52410</t>
  </si>
  <si>
    <t>#60/52530</t>
  </si>
  <si>
    <t>#60/48055</t>
  </si>
  <si>
    <t>#60/48088</t>
  </si>
  <si>
    <t>#60/48069</t>
  </si>
  <si>
    <t>#60/48057</t>
  </si>
  <si>
    <t>#60/55594</t>
  </si>
  <si>
    <t>#60/55546</t>
  </si>
  <si>
    <t>#31/22755</t>
  </si>
  <si>
    <t>#31/22754</t>
  </si>
  <si>
    <t>#31/22753</t>
  </si>
  <si>
    <t>#31/22756</t>
  </si>
  <si>
    <t>#31/22752</t>
  </si>
  <si>
    <t>#31/21436</t>
  </si>
  <si>
    <t>#70/55481</t>
  </si>
  <si>
    <t>#70/55365</t>
  </si>
  <si>
    <t>#70/55399</t>
  </si>
  <si>
    <t>#70/55500</t>
  </si>
  <si>
    <t>#70/56570</t>
  </si>
  <si>
    <t>#36/34020</t>
  </si>
  <si>
    <t>#36/34167</t>
  </si>
  <si>
    <t>#36/34177</t>
  </si>
  <si>
    <t>#36/34173</t>
  </si>
  <si>
    <t>#70/47714</t>
  </si>
  <si>
    <t>#70/47712</t>
  </si>
  <si>
    <t>#70/47607</t>
  </si>
  <si>
    <t>#70/47674</t>
  </si>
  <si>
    <t>#70/56689</t>
  </si>
  <si>
    <t xml:space="preserve">#93/67790 </t>
  </si>
  <si>
    <t xml:space="preserve">#93/67792 </t>
  </si>
  <si>
    <t xml:space="preserve">#93/67778 </t>
  </si>
  <si>
    <t xml:space="preserve">#93/67782 </t>
  </si>
  <si>
    <t xml:space="preserve">#93/67768 </t>
  </si>
  <si>
    <t xml:space="preserve">#93/67803 </t>
  </si>
  <si>
    <t>#95/69659</t>
  </si>
  <si>
    <t>#95/69690</t>
  </si>
  <si>
    <t>#95/69689</t>
  </si>
  <si>
    <t>#95/69642</t>
  </si>
  <si>
    <t>#36/43029</t>
  </si>
  <si>
    <t>#36/43041</t>
  </si>
  <si>
    <t>#36/42566</t>
  </si>
  <si>
    <t>#36/34174</t>
  </si>
  <si>
    <t>#36/42565</t>
  </si>
  <si>
    <t>#36/34178</t>
  </si>
  <si>
    <t>#37/28744</t>
  </si>
  <si>
    <t>#36/28836</t>
  </si>
  <si>
    <t>#93/70509</t>
  </si>
  <si>
    <t>#93/70519</t>
  </si>
  <si>
    <t>#93/70529</t>
  </si>
  <si>
    <t>#93/70517</t>
  </si>
  <si>
    <t>#93/70510</t>
  </si>
  <si>
    <t>#93/70523</t>
  </si>
  <si>
    <t>#95/69644</t>
  </si>
  <si>
    <t>#95/69699</t>
  </si>
  <si>
    <t>#95/69678</t>
  </si>
  <si>
    <t>#95/69653</t>
  </si>
  <si>
    <t>#38/39284</t>
  </si>
  <si>
    <t>#38/36601</t>
  </si>
  <si>
    <t>#38/36586</t>
  </si>
  <si>
    <t>#38/39112</t>
  </si>
  <si>
    <t>#38/39128</t>
  </si>
  <si>
    <t>#38/39295</t>
  </si>
  <si>
    <t>SIGN DBLKBASHIBA</t>
  </si>
  <si>
    <t>SIGN LKBLMB-2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</si>
</sst>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_);[Red]\(&quot;$&quot;#,##0\)"/>
    <numFmt numFmtId="171" formatCode="_(* #,##0_);_(* \(#,##0\);_(* &quot;-&quot;_);_(@_)"/>
    <numFmt numFmtId="172" formatCode="h:mm;@"/>
    <numFmt numFmtId="173" formatCode="_-* #,##0\ _€_-;\-* #,##0\ _€_-;_-* &quot;-&quot;\ _€_-;_-@_-"/>
    <numFmt numFmtId="174" formatCode="0000000"/>
  </numFmts>
  <fonts count="14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Arial"/>
      <family val="2"/>
    </font>
    <font>
      <b/>
      <sz val="26"/>
      <color indexed="8"/>
      <name val="Calibri"/>
      <family val="2"/>
    </font>
    <font>
      <b/>
      <sz val="11"/>
      <color rgb="FFFF0000"/>
      <name val="Calibri"/>
      <family val="2"/>
    </font>
    <font>
      <b/>
      <sz val="22"/>
      <color indexed="8"/>
      <name val="Calibri"/>
      <family val="2"/>
    </font>
    <font>
      <b/>
      <sz val="20"/>
      <color rgb="FFFF0000"/>
      <name val="Calibri"/>
      <family val="2"/>
    </font>
    <font>
      <b/>
      <sz val="14"/>
      <color indexed="8"/>
      <name val="Calibri"/>
      <family val="2"/>
    </font>
    <font>
      <sz val="14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Arial"/>
      <family val="2"/>
    </font>
    <font>
      <b/>
      <sz val="14"/>
      <color rgb="FF0070C0"/>
      <name val="Calibri"/>
      <family val="2"/>
    </font>
    <font>
      <b/>
      <sz val="18"/>
      <name val="Calibri"/>
      <family val="2"/>
    </font>
    <font>
      <b/>
      <sz val="18"/>
      <color rgb="FF1F4A7E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8"/>
      <color rgb="FFFFFF00"/>
      <name val="Calibri"/>
      <family val="2"/>
    </font>
    <font>
      <b/>
      <sz val="18"/>
      <color rgb="FF7030A0"/>
      <name val="Calibri"/>
      <family val="2"/>
    </font>
    <font>
      <sz val="14"/>
      <color rgb="FFFF0000"/>
      <name val="Calibri"/>
      <family val="2"/>
    </font>
    <font>
      <sz val="14"/>
      <color rgb="FFFFFFFF"/>
      <name val="Calibri"/>
      <family val="2"/>
    </font>
    <font>
      <sz val="14"/>
      <color indexed="8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indexed="8"/>
      <name val="Calibri"/>
      <family val="2"/>
    </font>
    <font>
      <sz val="14"/>
      <color rgb="FF000000"/>
      <name val="Calibri"/>
      <family val="2"/>
    </font>
    <font>
      <b/>
      <sz val="14"/>
      <color rgb="FF00B0F0"/>
      <name val="Calibri"/>
      <family val="2"/>
    </font>
    <font>
      <b/>
      <sz val="14"/>
      <color rgb="FFFF0000"/>
      <name val="Calibri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0"/>
      <color indexed="57"/>
      <name val="Arial"/>
      <family val="2"/>
    </font>
    <font>
      <b/>
      <sz val="14"/>
      <name val="Arial"/>
      <family val="2"/>
    </font>
    <font>
      <b/>
      <sz val="14"/>
      <color indexed="9"/>
      <name val="Calibri"/>
      <family val="2"/>
    </font>
    <font>
      <b/>
      <sz val="8"/>
      <color rgb="FFFF0000"/>
      <name val="Calibri"/>
      <family val="2"/>
    </font>
    <font>
      <b/>
      <sz val="14"/>
      <name val="Calibri"/>
      <family val="2"/>
    </font>
    <font>
      <b/>
      <sz val="18"/>
      <color rgb="FFFFFFFF"/>
      <name val="Calibri"/>
      <family val="2"/>
    </font>
    <font>
      <sz val="16"/>
      <color rgb="FF000000"/>
      <name val="Calibri"/>
      <family val="2"/>
    </font>
    <font>
      <sz val="8"/>
      <color indexed="8"/>
      <name val="Arial"/>
      <family val="2"/>
    </font>
    <font>
      <b/>
      <sz val="18"/>
      <color rgb="FF000000"/>
      <name val="Calibri"/>
      <family val="2"/>
    </font>
    <font>
      <b/>
      <sz val="12"/>
      <color rgb="FF1F4A7E"/>
      <name val="Calibri"/>
      <family val="2"/>
    </font>
    <font>
      <sz val="11"/>
      <color rgb="FFFFFFFF"/>
      <name val="Calibri"/>
      <family val="2"/>
    </font>
    <font>
      <sz val="14"/>
      <color rgb="FFFFFFFF"/>
      <name val="Arial"/>
      <family val="2"/>
    </font>
    <font>
      <b/>
      <sz val="16"/>
      <color rgb="FFFFFFFF"/>
      <name val="Calibri"/>
      <family val="2"/>
    </font>
    <font>
      <b/>
      <sz val="9"/>
      <color indexed="8"/>
      <name val="Arial"/>
      <family val="2"/>
    </font>
    <font>
      <b/>
      <sz val="14"/>
      <color indexed="10"/>
      <name val="Calibri"/>
      <family val="2"/>
    </font>
    <font>
      <b/>
      <sz val="14"/>
      <color rgb="FFC00000"/>
      <name val="Arial"/>
      <family val="2"/>
    </font>
    <font>
      <b/>
      <sz val="16"/>
      <color rgb="FFFF0000"/>
      <name val="Calibri"/>
      <family val="2"/>
    </font>
    <font>
      <b/>
      <sz val="11"/>
      <color indexed="8"/>
      <name val="Calibri"/>
      <family val="2"/>
    </font>
    <font>
      <b/>
      <sz val="20"/>
      <color rgb="FF000000"/>
      <name val="Calibri"/>
      <family val="2"/>
    </font>
    <font>
      <sz val="12"/>
      <color rgb="FFFABF8F"/>
      <name val="Calibri"/>
      <family val="2"/>
    </font>
    <font>
      <sz val="8"/>
      <name val="Arial"/>
      <family val="2"/>
    </font>
    <font>
      <b/>
      <sz val="18"/>
      <color rgb="FFF2DCDB"/>
      <name val="Calibri"/>
      <family val="2"/>
    </font>
    <font>
      <sz val="12"/>
      <color rgb="FF000000"/>
      <name val="Calibri"/>
      <family val="2"/>
    </font>
    <font>
      <sz val="8"/>
      <color indexed="60"/>
      <name val="Calibri"/>
      <family val="2"/>
    </font>
    <font>
      <sz val="12"/>
      <color indexed="8"/>
      <name val="Arial"/>
      <family val="2"/>
    </font>
    <font>
      <b/>
      <sz val="18"/>
      <color rgb="FFFF0000"/>
      <name val="Calibri"/>
      <family val="2"/>
    </font>
    <font>
      <b/>
      <sz val="11"/>
      <color rgb="FFFFFFFF"/>
      <name val="Calibri"/>
      <family val="2"/>
    </font>
    <font>
      <b/>
      <sz val="18"/>
      <color rgb="FF17375E"/>
      <name val="Calibri"/>
      <family val="2"/>
    </font>
    <font>
      <sz val="11"/>
      <color indexed="62"/>
      <name val="Calibri"/>
      <family val="2"/>
    </font>
    <font>
      <sz val="10"/>
      <color indexed="30"/>
      <name val="Arial"/>
      <family val="2"/>
    </font>
    <font>
      <sz val="14"/>
      <color indexed="60"/>
      <name val="Calibri"/>
      <family val="2"/>
    </font>
    <font>
      <b/>
      <sz val="12"/>
      <color indexed="8"/>
      <name val="Calibri"/>
      <family val="2"/>
    </font>
    <font>
      <sz val="10"/>
      <color indexed="10"/>
      <name val="Arial"/>
      <family val="2"/>
    </font>
    <font>
      <sz val="14"/>
      <color indexed="10"/>
      <name val="Arial"/>
      <family val="2"/>
    </font>
    <font>
      <sz val="14"/>
      <color indexed="54"/>
      <name val="Calibri"/>
      <family val="2"/>
    </font>
    <font>
      <sz val="14"/>
      <color indexed="23"/>
      <name val="Arial"/>
      <family val="2"/>
    </font>
    <font>
      <sz val="14"/>
      <color indexed="21"/>
      <name val="Calibri"/>
      <family val="2"/>
    </font>
    <font>
      <sz val="14"/>
      <color indexed="30"/>
      <name val="Arial"/>
      <family val="2"/>
    </font>
    <font>
      <b/>
      <sz val="18"/>
      <color rgb="FFFF0000"/>
      <name val="Arial"/>
      <family val="2"/>
    </font>
    <font>
      <sz val="14"/>
      <color indexed="62"/>
      <name val="Calibri"/>
      <family val="2"/>
    </font>
    <font>
      <b/>
      <sz val="12"/>
      <color rgb="FF4A4529"/>
      <name val="Calibri"/>
      <family val="2"/>
    </font>
    <font>
      <b/>
      <sz val="11"/>
      <name val="Calibri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8"/>
      <color rgb="FFEEECE1"/>
      <name val="Calibri"/>
      <family val="2"/>
    </font>
    <font>
      <b/>
      <sz val="12"/>
      <color rgb="FF75923B"/>
      <name val="Calibri"/>
      <family val="2"/>
    </font>
    <font>
      <b/>
      <sz val="12"/>
      <color indexed="62"/>
      <name val="Arial"/>
      <family val="2"/>
    </font>
    <font>
      <b/>
      <sz val="14"/>
      <color rgb="FF4A4529"/>
      <name val="Calibri"/>
      <family val="2"/>
    </font>
    <font>
      <sz val="16"/>
      <color rgb="FFFFFFFF"/>
      <name val="Calibri"/>
      <family val="2"/>
    </font>
    <font>
      <b/>
      <sz val="14"/>
      <color indexed="30"/>
      <name val="Arial"/>
      <family val="2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</font>
    <font>
      <b/>
      <sz val="13"/>
      <color rgb="FFFFFFFF"/>
      <name val="Calibri"/>
      <family val="2"/>
    </font>
    <font>
      <b/>
      <sz val="14"/>
      <color rgb="FF000000"/>
      <name val="Arial"/>
      <family val="2"/>
    </font>
    <font>
      <b/>
      <sz val="13"/>
      <color rgb="FF000000"/>
      <name val="Calibri"/>
      <family val="2"/>
    </font>
    <font>
      <sz val="9"/>
      <name val="Calibri"/>
      <family val="2"/>
    </font>
    <font>
      <b/>
      <sz val="26"/>
      <color rgb="FF000000"/>
      <name val="Calibri"/>
      <family val="2"/>
    </font>
    <font>
      <b/>
      <sz val="16"/>
      <color rgb="FF000000"/>
      <name val="Calibri"/>
      <family val="2"/>
    </font>
    <font>
      <b/>
      <sz val="24"/>
      <color rgb="FFFFFFFF"/>
      <name val="Calibri"/>
      <family val="2"/>
    </font>
    <font>
      <b/>
      <sz val="22"/>
      <color rgb="FFFF0000"/>
      <name val="Calibri"/>
      <family val="2"/>
    </font>
    <font>
      <sz val="12"/>
      <name val="Arial"/>
      <family val="2"/>
    </font>
    <font>
      <b/>
      <sz val="18"/>
      <color rgb="FF002060"/>
      <name val="Calibri"/>
      <family val="2"/>
    </font>
    <font>
      <b/>
      <sz val="18"/>
      <color rgb="FF3F3051"/>
      <name val="Calibri"/>
      <family val="2"/>
    </font>
    <font>
      <b/>
      <sz val="18"/>
      <color rgb="FF974706"/>
      <name val="Calibri"/>
      <family val="2"/>
    </font>
    <font>
      <b/>
      <sz val="18"/>
      <color rgb="FFC00000"/>
      <name val="Calibri"/>
      <family val="2"/>
    </font>
    <font>
      <b/>
      <sz val="18"/>
      <color rgb="FFFDE9D9"/>
      <name val="Calibri"/>
      <family val="2"/>
    </font>
    <font>
      <b/>
      <sz val="18"/>
      <color rgb="FF0070C0"/>
      <name val="Calibri"/>
      <family val="2"/>
    </font>
    <font>
      <b/>
      <sz val="18"/>
      <color rgb="FFFF3399"/>
      <name val="Calibri"/>
      <family val="2"/>
    </font>
    <font>
      <b/>
      <sz val="18"/>
      <color rgb="FF00B050"/>
      <name val="Calibri"/>
      <family val="2"/>
    </font>
    <font>
      <b/>
      <sz val="18"/>
      <color rgb="FFFFC000"/>
      <name val="Calibri"/>
      <family val="2"/>
    </font>
    <font>
      <b/>
      <sz val="18"/>
      <color rgb="FF5F4979"/>
      <name val="Calibri"/>
      <family val="2"/>
    </font>
    <font>
      <b/>
      <sz val="18"/>
      <color rgb="FFE36B09"/>
      <name val="Calibri"/>
      <family val="2"/>
    </font>
    <font>
      <b/>
      <sz val="18"/>
      <color rgb="FFF79544"/>
      <name val="Calibri"/>
      <family val="2"/>
    </font>
    <font>
      <b/>
      <sz val="18"/>
      <color rgb="FFDDDDDD"/>
      <name val="Calibri"/>
      <family val="2"/>
    </font>
    <font>
      <b/>
      <sz val="18"/>
      <color rgb="FFD99694"/>
      <name val="Calibri"/>
      <family val="2"/>
    </font>
    <font>
      <b/>
      <sz val="24"/>
      <name val="Calibri"/>
      <family val="2"/>
    </font>
    <font>
      <b/>
      <sz val="12"/>
      <name val="Calibri"/>
      <family val="2"/>
    </font>
    <font>
      <b/>
      <sz val="12"/>
      <color rgb="FF568FD4"/>
      <name val="Calibri"/>
      <family val="2"/>
    </font>
    <font>
      <b/>
      <sz val="12"/>
      <color rgb="FF000000"/>
      <name val="Arial"/>
      <family val="2"/>
    </font>
    <font>
      <b/>
      <sz val="12"/>
      <color rgb="FFFABF8F"/>
      <name val="Calibri"/>
      <family val="2"/>
    </font>
    <font>
      <b/>
      <sz val="12"/>
      <color rgb="FFFFFF00"/>
      <name val="Calibri"/>
      <family val="2"/>
    </font>
    <font>
      <b/>
      <sz val="12"/>
      <color rgb="FFF79544"/>
      <name val="Arial"/>
      <family val="2"/>
    </font>
    <font>
      <b/>
      <sz val="12"/>
      <color rgb="FFFF0000"/>
      <name val="Arial"/>
      <family val="2"/>
    </font>
    <font>
      <b/>
      <sz val="12"/>
      <color rgb="FFDBEEF3"/>
      <name val="Arial"/>
      <family val="2"/>
    </font>
    <font>
      <b/>
      <sz val="36"/>
      <color rgb="FF000000"/>
      <name val="Calibri"/>
      <family val="2"/>
    </font>
    <font>
      <sz val="12"/>
      <name val="Calibri"/>
      <family val="2"/>
    </font>
  </fonts>
  <fills count="16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0000"/>
        <bgColor rgb="FFFF0000"/>
      </patternFill>
    </fill>
    <fill>
      <patternFill patternType="solid">
        <fgColor rgb="FFD99694"/>
        <bgColor indexed="64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64252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4E6127"/>
        <bgColor indexed="64"/>
      </patternFill>
    </fill>
    <fill>
      <patternFill patternType="solid">
        <fgColor rgb="FFB2A1C6"/>
        <bgColor indexed="64"/>
      </patternFill>
    </fill>
    <fill>
      <patternFill patternType="gray125">
        <fgColor rgb="FFFFFFFF"/>
        <bgColor rgb="FF9ABA58"/>
      </patternFill>
    </fill>
    <fill>
      <patternFill patternType="solid">
        <fgColor rgb="FF9ABA58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330066"/>
        <bgColor indexed="64"/>
      </patternFill>
    </fill>
    <fill>
      <patternFill patternType="gray125">
        <fgColor rgb="FFFFFFFF"/>
        <bgColor rgb="FFEEF321"/>
      </patternFill>
    </fill>
    <fill>
      <patternFill patternType="solid">
        <fgColor rgb="FFFFFFFF"/>
        <bgColor rgb="FFFF0000"/>
      </patternFill>
    </fill>
    <fill>
      <patternFill patternType="solid">
        <fgColor rgb="FF002060"/>
        <bgColor indexed="64"/>
      </patternFill>
    </fill>
    <fill>
      <patternFill patternType="gray0625">
        <bgColor rgb="FF9ABA58"/>
      </patternFill>
    </fill>
    <fill>
      <patternFill patternType="solid">
        <fgColor rgb="FFE36B09"/>
        <bgColor indexed="64"/>
      </patternFill>
    </fill>
    <fill>
      <patternFill patternType="solid">
        <fgColor rgb="FF5F4979"/>
        <bgColor indexed="64"/>
      </patternFill>
    </fill>
    <fill>
      <patternFill patternType="solid">
        <fgColor rgb="FFC0514D"/>
        <bgColor indexed="64"/>
      </patternFill>
    </fill>
    <fill>
      <patternFill patternType="gray0625">
        <bgColor rgb="FFC2D69B"/>
      </patternFill>
    </fill>
    <fill>
      <patternFill patternType="solid">
        <fgColor rgb="FF974706"/>
        <bgColor indexed="64"/>
      </patternFill>
    </fill>
    <fill>
      <patternFill patternType="solid">
        <fgColor rgb="FF96B3D7"/>
        <bgColor indexed="64"/>
      </patternFill>
    </fill>
    <fill>
      <patternFill patternType="gray0625">
        <bgColor rgb="FF568FD4"/>
      </patternFill>
    </fill>
    <fill>
      <patternFill patternType="solid">
        <fgColor rgb="FF000000"/>
      </patternFill>
    </fill>
    <fill>
      <patternFill patternType="gray125">
        <bgColor rgb="FF974706"/>
      </patternFill>
    </fill>
    <fill>
      <patternFill patternType="solid">
        <fgColor theme="1"/>
        <bgColor indexed="64"/>
      </patternFill>
    </fill>
    <fill>
      <patternFill patternType="gray0625">
        <bgColor rgb="FFCBC0D9"/>
      </patternFill>
    </fill>
    <fill>
      <patternFill patternType="solid">
        <fgColor rgb="FF330066"/>
      </patternFill>
    </fill>
    <fill>
      <patternFill patternType="solid">
        <fgColor rgb="FF963734"/>
        <bgColor indexed="64"/>
      </patternFill>
    </fill>
    <fill>
      <patternFill patternType="solid">
        <fgColor rgb="FFFFFF00"/>
      </patternFill>
    </fill>
    <fill>
      <patternFill patternType="solid">
        <fgColor rgb="FF1F4A7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</patternFill>
    </fill>
    <fill>
      <patternFill patternType="solid">
        <fgColor rgb="FF5181BD"/>
        <bgColor indexed="64"/>
      </patternFill>
    </fill>
    <fill>
      <patternFill patternType="solid">
        <fgColor rgb="FFF2DCDB"/>
        <bgColor indexed="64"/>
      </patternFill>
    </fill>
    <fill>
      <patternFill patternType="gray0625">
        <bgColor rgb="FF92D050"/>
      </patternFill>
    </fill>
    <fill>
      <patternFill patternType="solid">
        <fgColor rgb="FF1F4A7E"/>
      </patternFill>
    </fill>
    <fill>
      <patternFill patternType="solid">
        <fgColor rgb="FFFFFFFF"/>
        <bgColor rgb="FFFFCC00"/>
      </patternFill>
    </fill>
    <fill>
      <patternFill patternType="solid">
        <fgColor rgb="FFFBD4B4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D9F0"/>
        <bgColor indexed="64"/>
      </patternFill>
    </fill>
    <fill>
      <patternFill patternType="gray125">
        <bgColor rgb="FFFFC000"/>
      </patternFill>
    </fill>
    <fill>
      <patternFill patternType="solid">
        <fgColor rgb="FFF61EA9"/>
      </patternFill>
    </fill>
    <fill>
      <patternFill patternType="lightGray">
        <bgColor rgb="FFDCE5F1"/>
      </patternFill>
    </fill>
    <fill>
      <patternFill patternType="lightGray">
        <bgColor rgb="FFE36B09"/>
      </patternFill>
    </fill>
    <fill>
      <patternFill patternType="gray125">
        <fgColor rgb="FFFFFFFF"/>
        <bgColor rgb="FFCBC0D9"/>
      </patternFill>
    </fill>
    <fill>
      <patternFill patternType="gray125">
        <fgColor rgb="FFFFFFFF"/>
        <bgColor rgb="FF00B0F0"/>
      </patternFill>
    </fill>
    <fill>
      <patternFill patternType="solid">
        <fgColor rgb="FF568FD4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B9CCE4"/>
        <bgColor indexed="64"/>
      </patternFill>
    </fill>
    <fill>
      <patternFill patternType="gray0625">
        <bgColor rgb="FF00B050"/>
      </patternFill>
    </fill>
    <fill>
      <patternFill patternType="gray0625">
        <bgColor rgb="FFAB1D05"/>
      </patternFill>
    </fill>
    <fill>
      <patternFill patternType="gray125">
        <fgColor rgb="FFFFFFFF"/>
        <bgColor rgb="FF96B3D7"/>
      </patternFill>
    </fill>
    <fill>
      <patternFill patternType="solid">
        <fgColor rgb="FFC2D69B"/>
      </patternFill>
    </fill>
    <fill>
      <patternFill patternType="solid">
        <fgColor rgb="FFE36B09"/>
        <bgColor rgb="FF568FD4"/>
      </patternFill>
    </fill>
    <fill>
      <patternFill patternType="solid">
        <fgColor rgb="FF9ABA58"/>
      </patternFill>
    </fill>
    <fill>
      <patternFill patternType="solid">
        <fgColor rgb="FF98EE26"/>
      </patternFill>
    </fill>
    <fill>
      <patternFill patternType="gray0625">
        <fgColor rgb="FF963734"/>
        <bgColor rgb="FF000000"/>
      </patternFill>
    </fill>
    <fill>
      <patternFill patternType="gray0625">
        <fgColor rgb="FF568FD4"/>
        <bgColor rgb="FF000000"/>
      </patternFill>
    </fill>
    <fill>
      <patternFill patternType="solid">
        <fgColor rgb="FF963734"/>
        <bgColor rgb="FFF2F2F2"/>
      </patternFill>
    </fill>
    <fill>
      <patternFill patternType="gray125">
        <fgColor rgb="FFFFFFFF"/>
        <bgColor rgb="FFF79544"/>
      </patternFill>
    </fill>
    <fill>
      <patternFill patternType="gray125">
        <fgColor rgb="FFFFFFFF"/>
        <bgColor rgb="FF974706"/>
      </patternFill>
    </fill>
    <fill>
      <patternFill patternType="gray0625">
        <bgColor rgb="FF94CDDD"/>
      </patternFill>
    </fill>
    <fill>
      <patternFill patternType="gray0625">
        <bgColor rgb="FFB9CCE4"/>
      </patternFill>
    </fill>
    <fill>
      <patternFill patternType="solid">
        <fgColor rgb="FFB9CCE4"/>
      </patternFill>
    </fill>
    <fill>
      <patternFill patternType="gray0625">
        <bgColor rgb="FFFFFF99"/>
      </patternFill>
    </fill>
    <fill>
      <patternFill patternType="gray0625">
        <fgColor rgb="FFC0514D"/>
        <bgColor rgb="FFE5DFEC"/>
      </patternFill>
    </fill>
    <fill>
      <patternFill patternType="gray0625">
        <bgColor rgb="FFCCFF99"/>
      </patternFill>
    </fill>
    <fill>
      <patternFill patternType="gray0625">
        <bgColor rgb="FFC4BD97"/>
      </patternFill>
    </fill>
    <fill>
      <patternFill patternType="darkVertical">
        <bgColor rgb="FFFF0000"/>
      </patternFill>
    </fill>
    <fill>
      <patternFill patternType="lightUp">
        <bgColor rgb="FF1F4A7E"/>
      </patternFill>
    </fill>
    <fill>
      <patternFill patternType="solid">
        <fgColor rgb="FFCBC0D9"/>
      </patternFill>
    </fill>
    <fill>
      <patternFill patternType="gray0625">
        <bgColor rgb="FFEAF1DD"/>
      </patternFill>
    </fill>
    <fill>
      <patternFill patternType="gray0625">
        <bgColor rgb="FF00B0F0"/>
      </patternFill>
    </fill>
    <fill>
      <patternFill patternType="gray0625">
        <bgColor rgb="FF40DA16"/>
      </patternFill>
    </fill>
    <fill>
      <patternFill patternType="gray0625">
        <fgColor rgb="FF568FD4"/>
        <bgColor rgb="FF254061"/>
      </patternFill>
    </fill>
    <fill>
      <patternFill patternType="gray0625">
        <fgColor rgb="FF568FD4"/>
        <bgColor rgb="FFFF0000"/>
      </patternFill>
    </fill>
    <fill>
      <patternFill patternType="gray125">
        <fgColor rgb="FFFFFFFF"/>
        <bgColor rgb="FF7030A0"/>
      </patternFill>
    </fill>
    <fill>
      <patternFill patternType="solid">
        <fgColor rgb="FF3F3051"/>
        <bgColor indexed="64"/>
      </patternFill>
    </fill>
    <fill>
      <patternFill patternType="gray0625">
        <bgColor rgb="FFFDE9D9"/>
      </patternFill>
    </fill>
    <fill>
      <patternFill patternType="solid">
        <fgColor rgb="FF0070C0"/>
        <bgColor indexed="64"/>
      </patternFill>
    </fill>
    <fill>
      <patternFill patternType="solid">
        <fgColor rgb="FFFC04D9"/>
        <bgColor indexed="64"/>
      </patternFill>
    </fill>
    <fill>
      <patternFill patternType="solid">
        <fgColor rgb="FFF2F2F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rgb="FF948A53"/>
        <bgColor rgb="FF0066CC"/>
      </patternFill>
    </fill>
    <fill>
      <patternFill patternType="solid">
        <fgColor rgb="FF17375E"/>
        <bgColor rgb="FF0066CC"/>
      </patternFill>
    </fill>
    <fill>
      <patternFill patternType="solid">
        <fgColor rgb="FFD6E3BC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rgb="FF568FD4"/>
        <bgColor rgb="FF0066CC"/>
      </patternFill>
    </fill>
    <fill>
      <patternFill patternType="solid">
        <fgColor rgb="FF4A452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rgb="FFE5DFEC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rgb="FF215968"/>
        <bgColor indexed="64"/>
      </patternFill>
    </fill>
    <fill>
      <patternFill patternType="solid">
        <fgColor rgb="FF94CDDD"/>
        <bgColor rgb="FF0066CC"/>
      </patternFill>
    </fill>
    <fill>
      <patternFill patternType="solid">
        <fgColor rgb="FF7F7F7F"/>
        <bgColor rgb="FF0066CC"/>
      </patternFill>
    </fill>
    <fill>
      <patternFill patternType="solid">
        <fgColor rgb="FFC4BD97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E6B9B8"/>
        <bgColor rgb="FF0066CC"/>
      </patternFill>
    </fill>
    <fill>
      <patternFill patternType="solid">
        <fgColor rgb="FF9ABA58"/>
        <bgColor rgb="FF0066CC"/>
      </patternFill>
    </fill>
    <fill>
      <patternFill patternType="solid">
        <fgColor rgb="FF4E6127"/>
        <bgColor rgb="FF0066CC"/>
      </patternFill>
    </fill>
    <fill>
      <patternFill patternType="solid">
        <fgColor rgb="FF3F3F3F"/>
        <bgColor indexed="64"/>
      </patternFill>
    </fill>
    <fill>
      <patternFill patternType="solid">
        <fgColor rgb="FFE36B09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rgb="FFE6B9B8"/>
        <bgColor indexed="64"/>
      </patternFill>
    </fill>
    <fill>
      <patternFill patternType="solid">
        <fgColor rgb="FFFDE9D9"/>
        <bgColor rgb="FF0066CC"/>
      </patternFill>
    </fill>
    <fill>
      <patternFill patternType="solid">
        <fgColor rgb="FF7E62A1"/>
        <bgColor rgb="FF0066CC"/>
      </patternFill>
    </fill>
    <fill>
      <patternFill patternType="solid">
        <fgColor rgb="FFB7DDE8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Down="1">
      <left/>
      <right/>
      <top/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medium">
        <color indexed="64"/>
      </right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50505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505050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8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6" applyNumberFormat="0" applyAlignment="0" applyProtection="0"/>
    <xf numFmtId="0" fontId="14" fillId="22" borderId="7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7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9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9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0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2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0" fillId="0" borderId="0"/>
    <xf numFmtId="0" fontId="22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0" fillId="0" borderId="0"/>
    <xf numFmtId="0" fontId="2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2" fillId="0" borderId="0">
      <alignment vertical="top"/>
    </xf>
    <xf numFmtId="0" fontId="1" fillId="0" borderId="0"/>
    <xf numFmtId="0" fontId="10" fillId="0" borderId="0"/>
    <xf numFmtId="0" fontId="10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0" fillId="33" borderId="9" applyNumberFormat="0" applyFont="0" applyAlignment="0" applyProtection="0"/>
    <xf numFmtId="0" fontId="10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16" fillId="0" borderId="13" applyNumberFormat="0" applyFill="0" applyAlignment="0" applyProtection="0"/>
    <xf numFmtId="0" fontId="29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2" fillId="0" borderId="0">
      <protection locked="0"/>
    </xf>
    <xf numFmtId="0" fontId="109" fillId="0" borderId="0">
      <protection locked="0"/>
    </xf>
    <xf numFmtId="167" fontId="1" fillId="0" borderId="0">
      <protection locked="0"/>
    </xf>
  </cellStyleXfs>
  <cellXfs count="1218">
    <xf numFmtId="0" fontId="0" fillId="0" borderId="0" xfId="0"/>
    <xf numFmtId="0" fontId="21" fillId="0" borderId="0" xfId="151" applyFont="1" applyAlignment="1">
      <alignment horizontal="center" vertical="center"/>
    </xf>
    <xf numFmtId="0" fontId="21" fillId="0" borderId="0" xfId="151" applyFont="1" applyAlignment="1">
      <alignment vertical="center"/>
    </xf>
    <xf numFmtId="0" fontId="21" fillId="0" borderId="0" xfId="158" applyFont="1" applyAlignment="1">
      <alignment vertical="center"/>
    </xf>
    <xf numFmtId="0" fontId="2" fillId="0" borderId="0" xfId="158" applyAlignment="1">
      <alignment vertical="center"/>
    </xf>
    <xf numFmtId="0" fontId="10" fillId="0" borderId="0" xfId="151" applyAlignment="1">
      <alignment vertical="center"/>
    </xf>
    <xf numFmtId="0" fontId="21" fillId="0" borderId="18" xfId="151" applyFont="1" applyBorder="1" applyAlignment="1">
      <alignment horizontal="center" vertical="center"/>
    </xf>
    <xf numFmtId="0" fontId="21" fillId="0" borderId="4" xfId="151" applyFont="1" applyBorder="1" applyAlignment="1">
      <alignment horizontal="center" vertical="center"/>
    </xf>
    <xf numFmtId="0" fontId="21" fillId="0" borderId="19" xfId="151" applyFont="1" applyBorder="1" applyAlignment="1">
      <alignment horizontal="center" vertical="center"/>
    </xf>
    <xf numFmtId="0" fontId="35" fillId="0" borderId="0" xfId="151" applyFont="1" applyAlignment="1">
      <alignment vertical="center"/>
    </xf>
    <xf numFmtId="0" fontId="35" fillId="0" borderId="18" xfId="151" applyFont="1" applyBorder="1" applyAlignment="1">
      <alignment vertical="center"/>
    </xf>
    <xf numFmtId="0" fontId="37" fillId="0" borderId="18" xfId="151" applyFont="1" applyBorder="1" applyAlignment="1">
      <alignment vertical="center"/>
    </xf>
    <xf numFmtId="0" fontId="36" fillId="35" borderId="0" xfId="151" applyFont="1" applyFill="1" applyAlignment="1">
      <alignment horizontal="center"/>
    </xf>
    <xf numFmtId="0" fontId="36" fillId="46" borderId="19" xfId="151" applyFont="1" applyFill="1" applyBorder="1"/>
    <xf numFmtId="0" fontId="37" fillId="0" borderId="18" xfId="151" applyFont="1" applyBorder="1" applyAlignment="1">
      <alignment horizontal="center" vertical="center"/>
    </xf>
    <xf numFmtId="0" fontId="37" fillId="0" borderId="0" xfId="151" applyFont="1" applyAlignment="1">
      <alignment horizontal="center" vertical="center"/>
    </xf>
    <xf numFmtId="0" fontId="35" fillId="0" borderId="0" xfId="151" applyFont="1" applyAlignment="1">
      <alignment horizontal="center" vertical="center"/>
    </xf>
    <xf numFmtId="0" fontId="1" fillId="0" borderId="0" xfId="151" applyFont="1" applyAlignment="1">
      <alignment horizontal="center" vertical="center"/>
    </xf>
    <xf numFmtId="0" fontId="21" fillId="0" borderId="0" xfId="151" applyFont="1" applyProtection="1">
      <protection locked="0"/>
    </xf>
    <xf numFmtId="0" fontId="21" fillId="0" borderId="23" xfId="151" applyFont="1" applyBorder="1" applyAlignment="1">
      <alignment horizontal="center" vertical="center"/>
    </xf>
    <xf numFmtId="0" fontId="21" fillId="0" borderId="24" xfId="151" applyFont="1" applyBorder="1" applyAlignment="1">
      <alignment horizontal="center" vertical="center"/>
    </xf>
    <xf numFmtId="0" fontId="21" fillId="0" borderId="25" xfId="151" applyFont="1" applyBorder="1" applyAlignment="1">
      <alignment horizontal="center" vertical="center"/>
    </xf>
    <xf numFmtId="0" fontId="38" fillId="47" borderId="0" xfId="151" applyFont="1" applyFill="1" applyAlignment="1">
      <alignment horizontal="center" vertical="center"/>
    </xf>
    <xf numFmtId="0" fontId="39" fillId="38" borderId="0" xfId="151" applyFont="1" applyFill="1" applyAlignment="1" applyProtection="1">
      <alignment horizontal="center" vertical="center"/>
      <protection locked="0"/>
    </xf>
    <xf numFmtId="0" fontId="38" fillId="48" borderId="0" xfId="158" applyFont="1" applyFill="1" applyAlignment="1">
      <alignment horizontal="center" vertical="center"/>
    </xf>
    <xf numFmtId="0" fontId="40" fillId="49" borderId="26" xfId="141" applyFont="1" applyFill="1" applyBorder="1" applyAlignment="1" applyProtection="1">
      <alignment horizontal="center" vertical="center" shrinkToFit="1"/>
    </xf>
    <xf numFmtId="0" fontId="32" fillId="48" borderId="0" xfId="158" applyFont="1" applyFill="1" applyAlignment="1">
      <alignment horizontal="center" vertical="center"/>
    </xf>
    <xf numFmtId="0" fontId="41" fillId="0" borderId="23" xfId="242" applyFont="1" applyBorder="1" applyAlignment="1" applyProtection="1">
      <alignment horizontal="center" vertical="center"/>
    </xf>
    <xf numFmtId="0" fontId="1" fillId="0" borderId="24" xfId="151" applyFont="1" applyBorder="1"/>
    <xf numFmtId="0" fontId="1" fillId="0" borderId="25" xfId="151" applyFont="1" applyBorder="1"/>
    <xf numFmtId="0" fontId="21" fillId="0" borderId="0" xfId="158" applyFont="1" applyAlignment="1">
      <alignment horizontal="center" vertical="center"/>
    </xf>
    <xf numFmtId="0" fontId="42" fillId="50" borderId="0" xfId="151" applyFont="1" applyFill="1" applyAlignment="1">
      <alignment horizontal="center"/>
    </xf>
    <xf numFmtId="0" fontId="43" fillId="40" borderId="1" xfId="132" applyFont="1" applyFill="1" applyBorder="1" applyAlignment="1" applyProtection="1">
      <alignment horizontal="center" vertical="center" shrinkToFit="1"/>
    </xf>
    <xf numFmtId="0" fontId="44" fillId="0" borderId="0" xfId="243" applyFont="1" applyAlignment="1" applyProtection="1">
      <alignment horizontal="center"/>
    </xf>
    <xf numFmtId="0" fontId="45" fillId="43" borderId="0" xfId="151" applyFont="1" applyFill="1" applyAlignment="1">
      <alignment horizontal="center" vertical="center"/>
    </xf>
    <xf numFmtId="0" fontId="46" fillId="51" borderId="17" xfId="132" applyFont="1" applyFill="1" applyBorder="1" applyAlignment="1" applyProtection="1">
      <alignment horizontal="center" vertical="center" shrinkToFit="1"/>
    </xf>
    <xf numFmtId="0" fontId="47" fillId="52" borderId="17" xfId="132" applyFont="1" applyFill="1" applyBorder="1" applyAlignment="1" applyProtection="1">
      <alignment horizontal="center" vertical="center" shrinkToFit="1"/>
    </xf>
    <xf numFmtId="0" fontId="48" fillId="0" borderId="0" xfId="151" applyFont="1" applyAlignment="1">
      <alignment horizontal="center" vertical="center"/>
    </xf>
    <xf numFmtId="0" fontId="49" fillId="0" borderId="0" xfId="151" applyFont="1" applyAlignment="1">
      <alignment horizontal="center" vertical="center"/>
    </xf>
    <xf numFmtId="0" fontId="50" fillId="0" borderId="27" xfId="151" applyFont="1" applyBorder="1" applyAlignment="1">
      <alignment horizontal="center" vertical="center"/>
    </xf>
    <xf numFmtId="0" fontId="50" fillId="0" borderId="28" xfId="158" applyFont="1" applyBorder="1" applyAlignment="1">
      <alignment horizontal="center" vertical="center"/>
    </xf>
    <xf numFmtId="0" fontId="51" fillId="42" borderId="1" xfId="243" applyFont="1" applyFill="1" applyBorder="1" applyAlignment="1" applyProtection="1">
      <alignment horizontal="center"/>
    </xf>
    <xf numFmtId="0" fontId="50" fillId="46" borderId="0" xfId="158" applyFont="1" applyFill="1" applyAlignment="1">
      <alignment horizontal="center" vertical="center"/>
    </xf>
    <xf numFmtId="0" fontId="38" fillId="46" borderId="0" xfId="151" applyFont="1" applyFill="1" applyAlignment="1">
      <alignment horizontal="center" vertical="center"/>
    </xf>
    <xf numFmtId="0" fontId="50" fillId="46" borderId="0" xfId="151" applyFont="1" applyFill="1" applyAlignment="1">
      <alignment horizontal="center" vertical="center"/>
    </xf>
    <xf numFmtId="0" fontId="50" fillId="0" borderId="29" xfId="151" applyFont="1" applyBorder="1" applyAlignment="1">
      <alignment horizontal="center" vertical="center"/>
    </xf>
    <xf numFmtId="0" fontId="37" fillId="0" borderId="0" xfId="151" applyFont="1" applyAlignment="1">
      <alignment vertical="center"/>
    </xf>
    <xf numFmtId="0" fontId="50" fillId="0" borderId="0" xfId="151" applyFont="1" applyAlignment="1">
      <alignment horizontal="center" vertical="center"/>
    </xf>
    <xf numFmtId="0" fontId="35" fillId="0" borderId="32" xfId="151" applyFont="1" applyBorder="1" applyAlignment="1">
      <alignment horizontal="center" vertical="center"/>
    </xf>
    <xf numFmtId="0" fontId="21" fillId="0" borderId="32" xfId="151" applyFont="1" applyBorder="1" applyAlignment="1">
      <alignment horizontal="center" vertical="center"/>
    </xf>
    <xf numFmtId="0" fontId="21" fillId="0" borderId="29" xfId="151" applyFont="1" applyBorder="1" applyAlignment="1">
      <alignment horizontal="center" vertical="center"/>
    </xf>
    <xf numFmtId="0" fontId="38" fillId="47" borderId="0" xfId="158" applyFont="1" applyFill="1" applyAlignment="1">
      <alignment horizontal="center" vertical="center"/>
    </xf>
    <xf numFmtId="0" fontId="31" fillId="38" borderId="0" xfId="158" applyFont="1" applyFill="1" applyAlignment="1">
      <alignment horizontal="center" vertical="center"/>
    </xf>
    <xf numFmtId="0" fontId="39" fillId="38" borderId="0" xfId="158" applyFont="1" applyFill="1" applyAlignment="1" applyProtection="1">
      <alignment horizontal="center" vertical="center"/>
      <protection locked="0"/>
    </xf>
    <xf numFmtId="0" fontId="54" fillId="48" borderId="0" xfId="158" applyFont="1" applyFill="1" applyAlignment="1">
      <alignment horizontal="center" vertical="center"/>
    </xf>
    <xf numFmtId="0" fontId="41" fillId="38" borderId="0" xfId="242" applyFont="1" applyFill="1" applyAlignment="1" applyProtection="1">
      <alignment horizontal="center" vertical="center"/>
    </xf>
    <xf numFmtId="0" fontId="41" fillId="0" borderId="0" xfId="242" applyFont="1" applyAlignment="1" applyProtection="1">
      <alignment horizontal="center" vertical="center"/>
    </xf>
    <xf numFmtId="0" fontId="41" fillId="0" borderId="32" xfId="242" applyFont="1" applyBorder="1" applyAlignment="1" applyProtection="1">
      <alignment horizontal="center" vertical="center"/>
    </xf>
    <xf numFmtId="0" fontId="1" fillId="0" borderId="0" xfId="151" applyFont="1"/>
    <xf numFmtId="0" fontId="1" fillId="0" borderId="29" xfId="151" applyFont="1" applyBorder="1"/>
    <xf numFmtId="0" fontId="55" fillId="0" borderId="0" xfId="244" applyFont="1" applyAlignment="1" applyProtection="1">
      <alignment horizontal="center" vertical="center"/>
    </xf>
    <xf numFmtId="0" fontId="56" fillId="46" borderId="0" xfId="244" applyFont="1" applyFill="1" applyAlignment="1" applyProtection="1">
      <alignment vertical="center"/>
    </xf>
    <xf numFmtId="0" fontId="56" fillId="35" borderId="0" xfId="244" applyFont="1" applyFill="1" applyAlignment="1" applyProtection="1">
      <alignment horizontal="center" vertical="center"/>
    </xf>
    <xf numFmtId="0" fontId="57" fillId="0" borderId="0" xfId="151" applyFont="1"/>
    <xf numFmtId="0" fontId="55" fillId="0" borderId="0" xfId="244" applyFont="1" applyAlignment="1" applyProtection="1">
      <alignment horizontal="center"/>
    </xf>
    <xf numFmtId="0" fontId="56" fillId="35" borderId="0" xfId="151" applyFont="1" applyFill="1" applyAlignment="1">
      <alignment horizontal="center"/>
    </xf>
    <xf numFmtId="0" fontId="58" fillId="45" borderId="1" xfId="158" applyFont="1" applyFill="1" applyBorder="1" applyAlignment="1">
      <alignment horizontal="center" vertical="center" shrinkToFit="1"/>
    </xf>
    <xf numFmtId="0" fontId="31" fillId="0" borderId="0" xfId="151" applyFont="1" applyAlignment="1">
      <alignment horizontal="right" vertical="center"/>
    </xf>
    <xf numFmtId="0" fontId="50" fillId="46" borderId="29" xfId="151" applyFont="1" applyFill="1" applyBorder="1" applyAlignment="1">
      <alignment horizontal="center" vertical="center"/>
    </xf>
    <xf numFmtId="0" fontId="21" fillId="46" borderId="0" xfId="151" applyFont="1" applyFill="1"/>
    <xf numFmtId="0" fontId="31" fillId="46" borderId="0" xfId="158" applyFont="1" applyFill="1" applyAlignment="1">
      <alignment horizontal="center" vertical="center"/>
    </xf>
    <xf numFmtId="0" fontId="21" fillId="38" borderId="0" xfId="158" applyFont="1" applyFill="1"/>
    <xf numFmtId="0" fontId="32" fillId="0" borderId="0" xfId="158" applyFont="1" applyAlignment="1">
      <alignment horizontal="center" vertical="center"/>
    </xf>
    <xf numFmtId="0" fontId="59" fillId="0" borderId="0" xfId="151" applyFont="1" applyAlignment="1">
      <alignment horizontal="center" vertical="center"/>
    </xf>
    <xf numFmtId="0" fontId="52" fillId="0" borderId="0" xfId="243" applyFont="1" applyAlignment="1" applyProtection="1">
      <alignment horizontal="center"/>
    </xf>
    <xf numFmtId="0" fontId="52" fillId="0" borderId="0" xfId="243" applyFont="1" applyAlignment="1" applyProtection="1">
      <alignment horizontal="center" vertical="top"/>
    </xf>
    <xf numFmtId="170" fontId="60" fillId="46" borderId="0" xfId="151" applyNumberFormat="1" applyFont="1" applyFill="1" applyAlignment="1">
      <alignment horizontal="center" vertical="center"/>
    </xf>
    <xf numFmtId="0" fontId="50" fillId="38" borderId="0" xfId="151" applyFont="1" applyFill="1" applyAlignment="1">
      <alignment horizontal="center" vertical="center"/>
    </xf>
    <xf numFmtId="0" fontId="38" fillId="46" borderId="0" xfId="158" applyFont="1" applyFill="1" applyAlignment="1">
      <alignment horizontal="center" vertical="center"/>
    </xf>
    <xf numFmtId="0" fontId="21" fillId="46" borderId="0" xfId="151" applyFont="1" applyFill="1" applyAlignment="1">
      <alignment horizontal="center" vertical="center"/>
    </xf>
    <xf numFmtId="0" fontId="52" fillId="0" borderId="32" xfId="151" applyFont="1" applyBorder="1" applyAlignment="1">
      <alignment horizontal="center" vertical="center"/>
    </xf>
    <xf numFmtId="0" fontId="39" fillId="46" borderId="0" xfId="158" applyFont="1" applyFill="1" applyAlignment="1" applyProtection="1">
      <alignment horizontal="center" vertical="center"/>
      <protection locked="0"/>
    </xf>
    <xf numFmtId="0" fontId="21" fillId="0" borderId="32" xfId="158" applyFont="1" applyBorder="1" applyAlignment="1">
      <alignment vertical="center"/>
    </xf>
    <xf numFmtId="0" fontId="61" fillId="53" borderId="0" xfId="158" applyFont="1" applyFill="1" applyAlignment="1">
      <alignment horizontal="center" vertical="center"/>
    </xf>
    <xf numFmtId="0" fontId="62" fillId="35" borderId="2" xfId="244" applyFont="1" applyFill="1" applyBorder="1" applyAlignment="1" applyProtection="1">
      <alignment horizontal="center" vertical="center"/>
    </xf>
    <xf numFmtId="0" fontId="31" fillId="54" borderId="0" xfId="151" applyFont="1" applyFill="1" applyAlignment="1">
      <alignment horizontal="center"/>
    </xf>
    <xf numFmtId="0" fontId="63" fillId="0" borderId="0" xfId="151" applyFont="1" applyAlignment="1">
      <alignment horizontal="center" vertical="center"/>
    </xf>
    <xf numFmtId="0" fontId="52" fillId="0" borderId="0" xfId="243" applyFont="1" applyAlignment="1" applyProtection="1">
      <alignment horizontal="center" vertical="center"/>
    </xf>
    <xf numFmtId="0" fontId="52" fillId="0" borderId="0" xfId="151" applyFont="1" applyAlignment="1">
      <alignment horizontal="center"/>
    </xf>
    <xf numFmtId="0" fontId="64" fillId="55" borderId="0" xfId="151" applyFont="1" applyFill="1" applyAlignment="1">
      <alignment horizontal="center"/>
    </xf>
    <xf numFmtId="0" fontId="34" fillId="35" borderId="0" xfId="151" applyFont="1" applyFill="1" applyAlignment="1">
      <alignment vertical="center"/>
    </xf>
    <xf numFmtId="0" fontId="49" fillId="0" borderId="0" xfId="158" applyFont="1" applyAlignment="1">
      <alignment horizontal="center" vertical="center"/>
    </xf>
    <xf numFmtId="0" fontId="49" fillId="46" borderId="0" xfId="158" applyFont="1" applyFill="1" applyAlignment="1">
      <alignment horizontal="center" vertical="center"/>
    </xf>
    <xf numFmtId="0" fontId="52" fillId="48" borderId="0" xfId="151" applyFont="1" applyFill="1" applyAlignment="1">
      <alignment horizontal="center" vertical="center"/>
    </xf>
    <xf numFmtId="0" fontId="65" fillId="46" borderId="0" xfId="158" applyFont="1" applyFill="1" applyAlignment="1">
      <alignment horizontal="center" vertical="center"/>
    </xf>
    <xf numFmtId="0" fontId="21" fillId="0" borderId="32" xfId="151" applyFont="1" applyBorder="1" applyAlignment="1">
      <alignment vertical="center"/>
    </xf>
    <xf numFmtId="0" fontId="21" fillId="0" borderId="29" xfId="151" applyFont="1" applyBorder="1"/>
    <xf numFmtId="0" fontId="31" fillId="38" borderId="0" xfId="158" applyFont="1" applyFill="1" applyAlignment="1">
      <alignment horizontal="right" vertical="center"/>
    </xf>
    <xf numFmtId="0" fontId="66" fillId="0" borderId="0" xfId="151" applyFont="1"/>
    <xf numFmtId="0" fontId="51" fillId="39" borderId="17" xfId="243" applyFont="1" applyFill="1" applyBorder="1" applyAlignment="1" applyProtection="1">
      <alignment horizontal="center"/>
    </xf>
    <xf numFmtId="0" fontId="46" fillId="50" borderId="17" xfId="132" applyFont="1" applyFill="1" applyBorder="1" applyAlignment="1" applyProtection="1">
      <alignment horizontal="center" vertical="center" shrinkToFit="1"/>
    </xf>
    <xf numFmtId="0" fontId="39" fillId="56" borderId="36" xfId="243" applyFont="1" applyFill="1" applyBorder="1" applyAlignment="1" applyProtection="1">
      <alignment horizontal="center"/>
    </xf>
    <xf numFmtId="0" fontId="43" fillId="57" borderId="17" xfId="132" applyFont="1" applyFill="1" applyBorder="1" applyAlignment="1" applyProtection="1">
      <alignment horizontal="center" vertical="center" shrinkToFit="1"/>
    </xf>
    <xf numFmtId="0" fontId="51" fillId="58" borderId="1" xfId="158" applyFont="1" applyFill="1" applyBorder="1" applyAlignment="1">
      <alignment horizontal="center"/>
    </xf>
    <xf numFmtId="0" fontId="67" fillId="59" borderId="17" xfId="132" applyFont="1" applyFill="1" applyBorder="1" applyAlignment="1" applyProtection="1">
      <alignment horizontal="center" vertical="center" shrinkToFit="1"/>
    </xf>
    <xf numFmtId="0" fontId="52" fillId="46" borderId="0" xfId="158" applyFont="1" applyFill="1" applyAlignment="1">
      <alignment horizontal="center"/>
    </xf>
    <xf numFmtId="0" fontId="68" fillId="60" borderId="1" xfId="243" applyFont="1" applyFill="1" applyBorder="1" applyAlignment="1" applyProtection="1">
      <alignment horizontal="center"/>
    </xf>
    <xf numFmtId="0" fontId="31" fillId="0" borderId="0" xfId="151" applyFont="1" applyAlignment="1">
      <alignment vertical="center"/>
    </xf>
    <xf numFmtId="0" fontId="38" fillId="0" borderId="29" xfId="151" applyFont="1" applyBorder="1" applyAlignment="1">
      <alignment horizontal="center" vertical="center"/>
    </xf>
    <xf numFmtId="0" fontId="50" fillId="0" borderId="0" xfId="151" applyFont="1"/>
    <xf numFmtId="0" fontId="31" fillId="0" borderId="0" xfId="151" applyFont="1" applyAlignment="1">
      <alignment horizontal="center" vertical="center"/>
    </xf>
    <xf numFmtId="0" fontId="59" fillId="0" borderId="35" xfId="151" applyFont="1" applyBorder="1" applyAlignment="1">
      <alignment horizontal="center" vertical="center"/>
    </xf>
    <xf numFmtId="0" fontId="36" fillId="46" borderId="18" xfId="151" applyFont="1" applyFill="1" applyBorder="1"/>
    <xf numFmtId="0" fontId="59" fillId="0" borderId="18" xfId="151" applyFont="1" applyBorder="1" applyAlignment="1">
      <alignment horizontal="center" vertical="center"/>
    </xf>
    <xf numFmtId="0" fontId="1" fillId="0" borderId="39" xfId="151" applyFont="1" applyBorder="1"/>
    <xf numFmtId="0" fontId="61" fillId="61" borderId="0" xfId="158" applyFont="1" applyFill="1" applyAlignment="1">
      <alignment horizontal="center" vertical="center"/>
    </xf>
    <xf numFmtId="0" fontId="43" fillId="62" borderId="17" xfId="132" applyFont="1" applyFill="1" applyBorder="1" applyAlignment="1" applyProtection="1">
      <alignment horizontal="center" vertical="center" shrinkToFit="1"/>
    </xf>
    <xf numFmtId="0" fontId="31" fillId="0" borderId="0" xfId="151" applyFont="1" applyAlignment="1">
      <alignment horizontal="left" vertical="center"/>
    </xf>
    <xf numFmtId="0" fontId="65" fillId="46" borderId="0" xfId="151" applyFont="1" applyFill="1"/>
    <xf numFmtId="0" fontId="69" fillId="46" borderId="0" xfId="151" applyFont="1" applyFill="1"/>
    <xf numFmtId="0" fontId="69" fillId="0" borderId="0" xfId="151" applyFont="1"/>
    <xf numFmtId="0" fontId="21" fillId="46" borderId="0" xfId="158" applyFont="1" applyFill="1" applyAlignment="1">
      <alignment horizontal="right"/>
    </xf>
    <xf numFmtId="0" fontId="41" fillId="46" borderId="0" xfId="242" applyFont="1" applyFill="1" applyAlignment="1" applyProtection="1">
      <alignment horizontal="center" vertical="center"/>
    </xf>
    <xf numFmtId="0" fontId="40" fillId="63" borderId="40" xfId="141" applyFont="1" applyFill="1" applyBorder="1" applyAlignment="1" applyProtection="1">
      <alignment horizontal="center" vertical="center" shrinkToFit="1"/>
    </xf>
    <xf numFmtId="0" fontId="70" fillId="0" borderId="0" xfId="151" applyFont="1" applyAlignment="1">
      <alignment horizontal="center" vertical="center"/>
    </xf>
    <xf numFmtId="0" fontId="60" fillId="46" borderId="0" xfId="158" applyFont="1" applyFill="1" applyAlignment="1">
      <alignment horizontal="center" vertical="center"/>
    </xf>
    <xf numFmtId="0" fontId="50" fillId="0" borderId="0" xfId="158" applyFont="1" applyAlignment="1">
      <alignment horizontal="center" vertical="center"/>
    </xf>
    <xf numFmtId="0" fontId="65" fillId="46" borderId="0" xfId="151" applyFont="1" applyFill="1" applyAlignment="1">
      <alignment horizontal="center" vertical="center"/>
    </xf>
    <xf numFmtId="0" fontId="60" fillId="0" borderId="0" xfId="151" applyFont="1" applyAlignment="1">
      <alignment horizontal="center" vertical="center"/>
    </xf>
    <xf numFmtId="0" fontId="45" fillId="48" borderId="0" xfId="158" applyFont="1" applyFill="1" applyAlignment="1">
      <alignment horizontal="center" vertical="center"/>
    </xf>
    <xf numFmtId="0" fontId="36" fillId="0" borderId="0" xfId="151" applyFont="1"/>
    <xf numFmtId="0" fontId="31" fillId="0" borderId="41" xfId="151" applyFont="1" applyBorder="1" applyAlignment="1">
      <alignment horizontal="center" vertical="center"/>
    </xf>
    <xf numFmtId="0" fontId="21" fillId="64" borderId="0" xfId="151" applyFont="1" applyFill="1"/>
    <xf numFmtId="0" fontId="56" fillId="35" borderId="0" xfId="244" applyFont="1" applyFill="1" applyAlignment="1" applyProtection="1">
      <alignment vertical="center"/>
    </xf>
    <xf numFmtId="0" fontId="36" fillId="46" borderId="0" xfId="151" applyFont="1" applyFill="1"/>
    <xf numFmtId="0" fontId="65" fillId="0" borderId="0" xfId="151" applyFont="1" applyAlignment="1">
      <alignment wrapText="1"/>
    </xf>
    <xf numFmtId="0" fontId="71" fillId="0" borderId="0" xfId="243" applyFont="1" applyAlignment="1" applyProtection="1">
      <alignment horizontal="center"/>
    </xf>
    <xf numFmtId="0" fontId="50" fillId="46" borderId="0" xfId="151" applyFont="1" applyFill="1" applyAlignment="1">
      <alignment vertical="center" wrapText="1"/>
    </xf>
    <xf numFmtId="0" fontId="39" fillId="0" borderId="0" xfId="151" applyFont="1" applyAlignment="1" applyProtection="1">
      <alignment horizontal="center" vertical="center"/>
      <protection locked="0"/>
    </xf>
    <xf numFmtId="0" fontId="38" fillId="0" borderId="0" xfId="151" applyFont="1" applyAlignment="1">
      <alignment horizontal="center" vertical="center"/>
    </xf>
    <xf numFmtId="0" fontId="21" fillId="0" borderId="29" xfId="158" applyFont="1" applyBorder="1"/>
    <xf numFmtId="0" fontId="44" fillId="64" borderId="0" xfId="158" applyFont="1" applyFill="1" applyAlignment="1">
      <alignment horizontal="center"/>
    </xf>
    <xf numFmtId="0" fontId="72" fillId="0" borderId="0" xfId="151" applyFont="1" applyAlignment="1">
      <alignment horizontal="center" vertical="center"/>
    </xf>
    <xf numFmtId="0" fontId="72" fillId="46" borderId="0" xfId="151" applyFont="1" applyFill="1" applyAlignment="1">
      <alignment horizontal="center" vertical="center"/>
    </xf>
    <xf numFmtId="0" fontId="63" fillId="38" borderId="0" xfId="151" applyFont="1" applyFill="1" applyAlignment="1">
      <alignment horizontal="center" vertical="center"/>
    </xf>
    <xf numFmtId="0" fontId="74" fillId="0" borderId="0" xfId="151" applyFont="1" applyAlignment="1">
      <alignment horizontal="center" vertical="center"/>
    </xf>
    <xf numFmtId="0" fontId="50" fillId="46" borderId="0" xfId="151" applyFont="1" applyFill="1" applyAlignment="1">
      <alignment vertical="center"/>
    </xf>
    <xf numFmtId="0" fontId="54" fillId="0" borderId="0" xfId="151" applyFont="1" applyAlignment="1">
      <alignment horizontal="center" vertical="center"/>
    </xf>
    <xf numFmtId="0" fontId="45" fillId="64" borderId="0" xfId="242" applyFont="1" applyFill="1" applyAlignment="1" applyProtection="1">
      <alignment horizontal="center" vertical="center"/>
    </xf>
    <xf numFmtId="0" fontId="76" fillId="56" borderId="0" xfId="244" applyFont="1" applyFill="1" applyAlignment="1" applyProtection="1">
      <alignment horizontal="center" vertical="center"/>
    </xf>
    <xf numFmtId="0" fontId="73" fillId="46" borderId="43" xfId="244" applyFont="1" applyFill="1" applyBorder="1" applyAlignment="1" applyProtection="1">
      <alignment vertical="center"/>
    </xf>
    <xf numFmtId="0" fontId="45" fillId="55" borderId="0" xfId="158" applyFont="1" applyFill="1" applyAlignment="1">
      <alignment horizontal="center" vertical="center"/>
    </xf>
    <xf numFmtId="0" fontId="69" fillId="0" borderId="0" xfId="151" applyFont="1" applyAlignment="1">
      <alignment horizontal="center" vertical="center"/>
    </xf>
    <xf numFmtId="0" fontId="21" fillId="38" borderId="0" xfId="151" applyFont="1" applyFill="1"/>
    <xf numFmtId="0" fontId="56" fillId="35" borderId="0" xfId="158" applyFont="1" applyFill="1" applyAlignment="1">
      <alignment vertical="center"/>
    </xf>
    <xf numFmtId="0" fontId="10" fillId="35" borderId="0" xfId="151" applyFill="1" applyAlignment="1">
      <alignment vertical="center"/>
    </xf>
    <xf numFmtId="0" fontId="31" fillId="38" borderId="0" xfId="151" applyFont="1" applyFill="1" applyAlignment="1">
      <alignment horizontal="center" vertical="center"/>
    </xf>
    <xf numFmtId="0" fontId="78" fillId="43" borderId="36" xfId="151" applyFont="1" applyFill="1" applyBorder="1" applyAlignment="1">
      <alignment horizontal="center"/>
    </xf>
    <xf numFmtId="0" fontId="67" fillId="46" borderId="17" xfId="132" applyFont="1" applyFill="1" applyBorder="1" applyAlignment="1" applyProtection="1">
      <alignment horizontal="center" vertical="center" shrinkToFit="1"/>
    </xf>
    <xf numFmtId="0" fontId="64" fillId="65" borderId="1" xfId="132" applyFont="1" applyFill="1" applyBorder="1" applyAlignment="1" applyProtection="1">
      <alignment horizontal="center" vertical="center" shrinkToFit="1"/>
    </xf>
    <xf numFmtId="0" fontId="44" fillId="45" borderId="1" xfId="243" applyFont="1" applyFill="1" applyBorder="1" applyAlignment="1" applyProtection="1">
      <alignment horizontal="center"/>
    </xf>
    <xf numFmtId="0" fontId="46" fillId="66" borderId="17" xfId="132" applyFont="1" applyFill="1" applyBorder="1" applyAlignment="1" applyProtection="1">
      <alignment horizontal="center" vertical="center" shrinkToFit="1"/>
    </xf>
    <xf numFmtId="0" fontId="10" fillId="0" borderId="0" xfId="151" applyAlignment="1">
      <alignment horizontal="center" vertical="center"/>
    </xf>
    <xf numFmtId="0" fontId="38" fillId="48" borderId="0" xfId="151" applyFont="1" applyFill="1" applyAlignment="1">
      <alignment horizontal="center" vertical="center"/>
    </xf>
    <xf numFmtId="0" fontId="76" fillId="61" borderId="0" xfId="244" applyFont="1" applyFill="1" applyAlignment="1" applyProtection="1">
      <alignment horizontal="center" vertical="center"/>
    </xf>
    <xf numFmtId="0" fontId="64" fillId="53" borderId="0" xfId="151" applyFont="1" applyFill="1" applyAlignment="1">
      <alignment horizontal="center"/>
    </xf>
    <xf numFmtId="0" fontId="64" fillId="67" borderId="0" xfId="242" applyFont="1" applyFill="1" applyAlignment="1" applyProtection="1">
      <alignment horizontal="center" vertical="center"/>
    </xf>
    <xf numFmtId="0" fontId="56" fillId="38" borderId="0" xfId="158" applyFont="1" applyFill="1" applyAlignment="1">
      <alignment horizontal="center" vertical="center"/>
    </xf>
    <xf numFmtId="0" fontId="79" fillId="0" borderId="0" xfId="151" applyFont="1" applyAlignment="1">
      <alignment horizontal="center" vertical="center"/>
    </xf>
    <xf numFmtId="0" fontId="21" fillId="38" borderId="0" xfId="151" applyFont="1" applyFill="1" applyAlignment="1">
      <alignment vertical="center"/>
    </xf>
    <xf numFmtId="0" fontId="68" fillId="60" borderId="1" xfId="243" applyFont="1" applyFill="1" applyBorder="1" applyAlignment="1" applyProtection="1">
      <alignment horizontal="center" vertical="center"/>
    </xf>
    <xf numFmtId="0" fontId="67" fillId="68" borderId="17" xfId="132" applyFont="1" applyFill="1" applyBorder="1" applyAlignment="1" applyProtection="1">
      <alignment horizontal="center" vertical="center" shrinkToFit="1"/>
    </xf>
    <xf numFmtId="0" fontId="80" fillId="67" borderId="17" xfId="132" applyFont="1" applyFill="1" applyBorder="1" applyAlignment="1" applyProtection="1">
      <alignment horizontal="center" vertical="center" shrinkToFit="1"/>
    </xf>
    <xf numFmtId="0" fontId="21" fillId="0" borderId="18" xfId="151" applyFont="1" applyBorder="1"/>
    <xf numFmtId="0" fontId="21" fillId="0" borderId="39" xfId="151" applyFont="1" applyBorder="1"/>
    <xf numFmtId="0" fontId="31" fillId="46" borderId="0" xfId="158" applyFont="1" applyFill="1" applyAlignment="1">
      <alignment horizontal="right" vertical="center"/>
    </xf>
    <xf numFmtId="0" fontId="45" fillId="46" borderId="0" xfId="158" applyFont="1" applyFill="1" applyAlignment="1">
      <alignment horizontal="center" vertical="center"/>
    </xf>
    <xf numFmtId="0" fontId="40" fillId="63" borderId="26" xfId="141" applyFont="1" applyFill="1" applyBorder="1" applyAlignment="1" applyProtection="1">
      <alignment horizontal="center" vertical="center" shrinkToFit="1"/>
    </xf>
    <xf numFmtId="0" fontId="21" fillId="46" borderId="0" xfId="158" applyFont="1" applyFill="1" applyAlignment="1">
      <alignment vertical="center"/>
    </xf>
    <xf numFmtId="0" fontId="30" fillId="46" borderId="0" xfId="151" applyFont="1" applyFill="1" applyAlignment="1">
      <alignment horizontal="center" vertical="center"/>
    </xf>
    <xf numFmtId="0" fontId="30" fillId="0" borderId="0" xfId="151" applyFont="1" applyAlignment="1">
      <alignment horizontal="center" vertical="center"/>
    </xf>
    <xf numFmtId="0" fontId="66" fillId="46" borderId="0" xfId="151" applyFont="1" applyFill="1"/>
    <xf numFmtId="0" fontId="52" fillId="0" borderId="47" xfId="158" applyFont="1" applyBorder="1" applyAlignment="1">
      <alignment horizontal="center" vertical="center"/>
    </xf>
    <xf numFmtId="0" fontId="60" fillId="38" borderId="0" xfId="151" applyFont="1" applyFill="1" applyAlignment="1">
      <alignment horizontal="center" vertical="center"/>
    </xf>
    <xf numFmtId="0" fontId="60" fillId="46" borderId="0" xfId="151" applyFont="1" applyFill="1" applyAlignment="1">
      <alignment horizontal="center" vertical="center"/>
    </xf>
    <xf numFmtId="0" fontId="31" fillId="46" borderId="0" xfId="151" applyFont="1" applyFill="1" applyAlignment="1">
      <alignment horizontal="center" vertical="center"/>
    </xf>
    <xf numFmtId="0" fontId="45" fillId="46" borderId="0" xfId="151" applyFont="1" applyFill="1" applyAlignment="1">
      <alignment horizontal="center" vertical="center"/>
    </xf>
    <xf numFmtId="0" fontId="63" fillId="46" borderId="0" xfId="151" applyFont="1" applyFill="1" applyAlignment="1">
      <alignment horizontal="center" vertical="center"/>
    </xf>
    <xf numFmtId="0" fontId="60" fillId="0" borderId="0" xfId="158" applyFont="1" applyAlignment="1">
      <alignment horizontal="center" vertical="center"/>
    </xf>
    <xf numFmtId="0" fontId="39" fillId="0" borderId="0" xfId="158" applyFont="1" applyAlignment="1" applyProtection="1">
      <alignment horizontal="center" vertical="center"/>
      <protection locked="0"/>
    </xf>
    <xf numFmtId="0" fontId="10" fillId="46" borderId="0" xfId="151" applyFill="1" applyAlignment="1">
      <alignment vertical="center"/>
    </xf>
    <xf numFmtId="0" fontId="39" fillId="46" borderId="0" xfId="151" applyFont="1" applyFill="1" applyAlignment="1" applyProtection="1">
      <alignment horizontal="center" vertical="center"/>
      <protection locked="0"/>
    </xf>
    <xf numFmtId="0" fontId="43" fillId="69" borderId="1" xfId="132" applyFont="1" applyFill="1" applyBorder="1" applyAlignment="1" applyProtection="1">
      <alignment horizontal="center" vertical="center" shrinkToFit="1"/>
    </xf>
    <xf numFmtId="0" fontId="81" fillId="0" borderId="0" xfId="243" applyFont="1" applyAlignment="1" applyProtection="1">
      <alignment horizontal="center"/>
    </xf>
    <xf numFmtId="0" fontId="82" fillId="0" borderId="0" xfId="158" applyFont="1" applyAlignment="1">
      <alignment horizontal="center"/>
    </xf>
    <xf numFmtId="0" fontId="83" fillId="0" borderId="0" xfId="151" applyFont="1" applyAlignment="1">
      <alignment vertical="center"/>
    </xf>
    <xf numFmtId="0" fontId="31" fillId="56" borderId="0" xfId="244" applyFont="1" applyFill="1" applyAlignment="1" applyProtection="1">
      <alignment horizontal="center" vertical="center"/>
    </xf>
    <xf numFmtId="0" fontId="45" fillId="70" borderId="0" xfId="151" applyFont="1" applyFill="1" applyAlignment="1">
      <alignment horizontal="center" vertical="center"/>
    </xf>
    <xf numFmtId="0" fontId="38" fillId="71" borderId="0" xfId="151" applyFont="1" applyFill="1" applyAlignment="1">
      <alignment horizontal="center" vertical="center"/>
    </xf>
    <xf numFmtId="0" fontId="31" fillId="0" borderId="0" xfId="158" applyFont="1" applyAlignment="1">
      <alignment horizontal="center" vertical="center"/>
    </xf>
    <xf numFmtId="0" fontId="37" fillId="0" borderId="0" xfId="244" applyFont="1" applyAlignment="1" applyProtection="1">
      <alignment horizontal="center" vertical="center"/>
    </xf>
    <xf numFmtId="0" fontId="64" fillId="72" borderId="17" xfId="132" applyFont="1" applyFill="1" applyBorder="1" applyAlignment="1" applyProtection="1">
      <alignment horizontal="center" vertical="center" shrinkToFit="1"/>
    </xf>
    <xf numFmtId="0" fontId="50" fillId="70" borderId="0" xfId="151" applyFont="1" applyFill="1"/>
    <xf numFmtId="0" fontId="84" fillId="73" borderId="17" xfId="132" applyFont="1" applyFill="1" applyBorder="1" applyAlignment="1" applyProtection="1">
      <alignment horizontal="center" vertical="center" shrinkToFit="1"/>
    </xf>
    <xf numFmtId="0" fontId="46" fillId="74" borderId="17" xfId="132" applyFont="1" applyFill="1" applyBorder="1" applyAlignment="1" applyProtection="1">
      <alignment horizontal="center" vertical="center" shrinkToFit="1"/>
    </xf>
    <xf numFmtId="0" fontId="1" fillId="70" borderId="0" xfId="151" applyFont="1" applyFill="1"/>
    <xf numFmtId="0" fontId="65" fillId="46" borderId="32" xfId="151" applyFont="1" applyFill="1" applyBorder="1" applyAlignment="1">
      <alignment horizontal="center" vertical="center"/>
    </xf>
    <xf numFmtId="0" fontId="38" fillId="0" borderId="0" xfId="158" applyFont="1" applyAlignment="1">
      <alignment horizontal="center" vertical="center"/>
    </xf>
    <xf numFmtId="0" fontId="31" fillId="46" borderId="0" xfId="151" applyFont="1" applyFill="1"/>
    <xf numFmtId="0" fontId="21" fillId="70" borderId="0" xfId="151" applyFont="1" applyFill="1" applyAlignment="1">
      <alignment vertical="center"/>
    </xf>
    <xf numFmtId="0" fontId="45" fillId="0" borderId="0" xfId="158" applyFont="1" applyAlignment="1">
      <alignment horizontal="center" vertical="center"/>
    </xf>
    <xf numFmtId="0" fontId="21" fillId="56" borderId="0" xfId="151" applyFont="1" applyFill="1" applyAlignment="1">
      <alignment horizontal="center" vertical="center"/>
    </xf>
    <xf numFmtId="0" fontId="38" fillId="38" borderId="0" xfId="151" applyFont="1" applyFill="1" applyAlignment="1">
      <alignment horizontal="center" vertical="center"/>
    </xf>
    <xf numFmtId="0" fontId="38" fillId="0" borderId="32" xfId="151" applyFont="1" applyBorder="1" applyAlignment="1">
      <alignment horizontal="center" vertical="center"/>
    </xf>
    <xf numFmtId="0" fontId="85" fillId="39" borderId="0" xfId="151" applyFont="1" applyFill="1" applyAlignment="1">
      <alignment horizontal="center" vertical="center"/>
    </xf>
    <xf numFmtId="0" fontId="34" fillId="35" borderId="0" xfId="158" applyFont="1" applyFill="1" applyAlignment="1">
      <alignment horizontal="center" vertical="center"/>
    </xf>
    <xf numFmtId="0" fontId="1" fillId="0" borderId="0" xfId="158" applyFont="1"/>
    <xf numFmtId="0" fontId="37" fillId="0" borderId="0" xfId="244" applyFont="1" applyAlignment="1" applyProtection="1">
      <alignment horizontal="center"/>
    </xf>
    <xf numFmtId="0" fontId="50" fillId="0" borderId="32" xfId="151" applyFont="1" applyBorder="1" applyAlignment="1">
      <alignment horizontal="center" vertical="center"/>
    </xf>
    <xf numFmtId="0" fontId="43" fillId="57" borderId="1" xfId="132" applyFont="1" applyFill="1" applyBorder="1" applyAlignment="1" applyProtection="1">
      <alignment horizontal="center" vertical="center" shrinkToFit="1"/>
    </xf>
    <xf numFmtId="0" fontId="67" fillId="48" borderId="17" xfId="132" applyFont="1" applyFill="1" applyBorder="1" applyAlignment="1" applyProtection="1">
      <alignment horizontal="center" vertical="center" shrinkToFit="1"/>
    </xf>
    <xf numFmtId="0" fontId="60" fillId="54" borderId="0" xfId="151" applyFont="1" applyFill="1" applyAlignment="1">
      <alignment horizontal="center" vertical="center"/>
    </xf>
    <xf numFmtId="0" fontId="83" fillId="0" borderId="0" xfId="151" applyFont="1"/>
    <xf numFmtId="0" fontId="86" fillId="76" borderId="17" xfId="132" applyFont="1" applyFill="1" applyBorder="1" applyAlignment="1" applyProtection="1">
      <alignment horizontal="center" vertical="center" shrinkToFit="1"/>
    </xf>
    <xf numFmtId="0" fontId="21" fillId="56" borderId="0" xfId="244" applyFill="1" applyAlignment="1" applyProtection="1">
      <alignment horizontal="center" vertical="center"/>
    </xf>
    <xf numFmtId="0" fontId="21" fillId="0" borderId="32" xfId="151" applyFont="1" applyBorder="1"/>
    <xf numFmtId="0" fontId="1" fillId="77" borderId="0" xfId="151" applyFont="1" applyFill="1" applyAlignment="1">
      <alignment horizontal="center" vertical="center"/>
    </xf>
    <xf numFmtId="0" fontId="44" fillId="78" borderId="1" xfId="243" applyFont="1" applyFill="1" applyBorder="1" applyAlignment="1" applyProtection="1">
      <alignment horizontal="center"/>
    </xf>
    <xf numFmtId="0" fontId="87" fillId="0" borderId="0" xfId="151" applyFont="1"/>
    <xf numFmtId="0" fontId="1" fillId="0" borderId="0" xfId="158" applyFont="1" applyAlignment="1">
      <alignment horizontal="center" vertical="center"/>
    </xf>
    <xf numFmtId="0" fontId="1" fillId="0" borderId="0" xfId="158" applyFont="1" applyAlignment="1">
      <alignment vertical="center" wrapText="1"/>
    </xf>
    <xf numFmtId="0" fontId="1" fillId="0" borderId="0" xfId="244" applyFont="1" applyProtection="1"/>
    <xf numFmtId="0" fontId="88" fillId="0" borderId="0" xfId="151" applyFont="1" applyAlignment="1">
      <alignment horizontal="center" vertical="center" shrinkToFit="1"/>
    </xf>
    <xf numFmtId="0" fontId="87" fillId="0" borderId="0" xfId="151" applyFont="1" applyAlignment="1">
      <alignment horizontal="center" vertical="center"/>
    </xf>
    <xf numFmtId="0" fontId="76" fillId="0" borderId="0" xfId="151" applyFont="1" applyAlignment="1">
      <alignment horizontal="center" vertical="center"/>
    </xf>
    <xf numFmtId="0" fontId="76" fillId="0" borderId="0" xfId="158" applyFont="1" applyAlignment="1">
      <alignment horizontal="center" vertical="center"/>
    </xf>
    <xf numFmtId="0" fontId="89" fillId="0" borderId="0" xfId="151" applyFont="1" applyAlignment="1">
      <alignment horizontal="center"/>
    </xf>
    <xf numFmtId="0" fontId="75" fillId="38" borderId="0" xfId="151" applyFont="1" applyFill="1" applyAlignment="1">
      <alignment horizontal="center" vertical="center"/>
    </xf>
    <xf numFmtId="0" fontId="40" fillId="0" borderId="0" xfId="243" applyFont="1" applyAlignment="1" applyProtection="1">
      <alignment vertical="center"/>
    </xf>
    <xf numFmtId="0" fontId="71" fillId="80" borderId="30" xfId="158" applyFont="1" applyFill="1" applyBorder="1" applyAlignment="1">
      <alignment horizontal="center" vertical="center"/>
    </xf>
    <xf numFmtId="0" fontId="71" fillId="80" borderId="31" xfId="158" applyFont="1" applyFill="1" applyBorder="1" applyAlignment="1">
      <alignment horizontal="center" vertical="center"/>
    </xf>
    <xf numFmtId="0" fontId="90" fillId="0" borderId="0" xfId="151" applyFont="1" applyAlignment="1">
      <alignment horizontal="left" vertical="center"/>
    </xf>
    <xf numFmtId="0" fontId="63" fillId="46" borderId="0" xfId="151" applyFont="1" applyFill="1" applyAlignment="1">
      <alignment horizontal="center" vertical="center" shrinkToFit="1"/>
    </xf>
    <xf numFmtId="0" fontId="41" fillId="46" borderId="0" xfId="151" applyFont="1" applyFill="1" applyAlignment="1">
      <alignment horizontal="center" vertical="center"/>
    </xf>
    <xf numFmtId="0" fontId="31" fillId="50" borderId="0" xfId="158" applyFont="1" applyFill="1" applyAlignment="1">
      <alignment horizontal="center" vertical="center"/>
    </xf>
    <xf numFmtId="0" fontId="76" fillId="46" borderId="0" xfId="244" applyFont="1" applyFill="1" applyAlignment="1" applyProtection="1">
      <alignment horizontal="center" vertical="center"/>
    </xf>
    <xf numFmtId="0" fontId="71" fillId="80" borderId="33" xfId="158" applyFont="1" applyFill="1" applyBorder="1" applyAlignment="1">
      <alignment horizontal="center" vertical="center"/>
    </xf>
    <xf numFmtId="0" fontId="71" fillId="80" borderId="34" xfId="158" applyFont="1" applyFill="1" applyBorder="1" applyAlignment="1">
      <alignment horizontal="center" vertical="center"/>
    </xf>
    <xf numFmtId="0" fontId="1" fillId="0" borderId="32" xfId="151" applyFont="1" applyBorder="1" applyAlignment="1">
      <alignment vertical="center" wrapText="1"/>
    </xf>
    <xf numFmtId="0" fontId="91" fillId="0" borderId="0" xfId="151" applyFont="1" applyAlignment="1">
      <alignment horizontal="center" vertical="center" shrinkToFit="1"/>
    </xf>
    <xf numFmtId="0" fontId="92" fillId="0" borderId="0" xfId="151" applyFont="1" applyAlignment="1">
      <alignment horizontal="center" vertical="center" shrinkToFit="1"/>
    </xf>
    <xf numFmtId="0" fontId="93" fillId="0" borderId="0" xfId="151" applyFont="1" applyAlignment="1">
      <alignment horizontal="center" vertical="center" shrinkToFit="1"/>
    </xf>
    <xf numFmtId="0" fontId="94" fillId="46" borderId="0" xfId="151" applyFont="1" applyFill="1" applyAlignment="1">
      <alignment horizontal="center" vertical="center" shrinkToFit="1"/>
    </xf>
    <xf numFmtId="0" fontId="95" fillId="46" borderId="0" xfId="151" applyFont="1" applyFill="1" applyAlignment="1">
      <alignment horizontal="center" vertical="center" shrinkToFit="1"/>
    </xf>
    <xf numFmtId="0" fontId="96" fillId="0" borderId="0" xfId="151" applyFont="1" applyAlignment="1">
      <alignment horizontal="center" vertical="center" shrinkToFit="1"/>
    </xf>
    <xf numFmtId="0" fontId="94" fillId="0" borderId="29" xfId="151" applyFont="1" applyBorder="1" applyAlignment="1">
      <alignment horizontal="center" vertical="center" shrinkToFit="1"/>
    </xf>
    <xf numFmtId="0" fontId="21" fillId="50" borderId="0" xfId="158" applyFont="1" applyFill="1" applyAlignment="1">
      <alignment vertical="center"/>
    </xf>
    <xf numFmtId="0" fontId="84" fillId="50" borderId="1" xfId="132" applyFont="1" applyFill="1" applyBorder="1" applyAlignment="1" applyProtection="1">
      <alignment horizontal="center" vertical="center" shrinkToFit="1"/>
    </xf>
    <xf numFmtId="0" fontId="44" fillId="45" borderId="48" xfId="243" applyFont="1" applyFill="1" applyBorder="1" applyAlignment="1" applyProtection="1">
      <alignment horizontal="center" vertical="center"/>
    </xf>
    <xf numFmtId="0" fontId="53" fillId="81" borderId="0" xfId="151" applyFont="1" applyFill="1" applyAlignment="1">
      <alignment vertical="center"/>
    </xf>
    <xf numFmtId="0" fontId="21" fillId="0" borderId="34" xfId="151" applyFont="1" applyBorder="1" applyAlignment="1">
      <alignment vertical="center"/>
    </xf>
    <xf numFmtId="0" fontId="71" fillId="80" borderId="37" xfId="158" applyFont="1" applyFill="1" applyBorder="1" applyAlignment="1">
      <alignment horizontal="center" vertical="center"/>
    </xf>
    <xf numFmtId="0" fontId="71" fillId="80" borderId="38" xfId="158" applyFont="1" applyFill="1" applyBorder="1" applyAlignment="1">
      <alignment horizontal="center" vertical="center"/>
    </xf>
    <xf numFmtId="0" fontId="1" fillId="0" borderId="35" xfId="151" applyFont="1" applyBorder="1" applyAlignment="1">
      <alignment vertical="center" wrapText="1"/>
    </xf>
    <xf numFmtId="0" fontId="1" fillId="0" borderId="18" xfId="151" applyFont="1" applyBorder="1" applyAlignment="1">
      <alignment horizontal="center" vertical="center"/>
    </xf>
    <xf numFmtId="0" fontId="88" fillId="0" borderId="18" xfId="151" applyFont="1" applyBorder="1" applyAlignment="1">
      <alignment horizontal="center" vertical="center" shrinkToFit="1"/>
    </xf>
    <xf numFmtId="0" fontId="50" fillId="0" borderId="18" xfId="151" applyFont="1" applyBorder="1" applyAlignment="1">
      <alignment horizontal="center" vertical="center"/>
    </xf>
    <xf numFmtId="0" fontId="54" fillId="0" borderId="18" xfId="151" applyFont="1" applyBorder="1" applyAlignment="1">
      <alignment horizontal="center" vertical="center"/>
    </xf>
    <xf numFmtId="0" fontId="38" fillId="0" borderId="18" xfId="151" applyFont="1" applyBorder="1" applyAlignment="1">
      <alignment horizontal="center" vertical="center"/>
    </xf>
    <xf numFmtId="0" fontId="21" fillId="0" borderId="18" xfId="151" applyFont="1" applyBorder="1" applyAlignment="1">
      <alignment vertical="center"/>
    </xf>
    <xf numFmtId="0" fontId="21" fillId="0" borderId="18" xfId="158" applyFont="1" applyBorder="1"/>
    <xf numFmtId="0" fontId="21" fillId="0" borderId="18" xfId="158" applyFont="1" applyBorder="1" applyAlignment="1">
      <alignment vertical="center"/>
    </xf>
    <xf numFmtId="0" fontId="95" fillId="46" borderId="18" xfId="151" applyFont="1" applyFill="1" applyBorder="1" applyAlignment="1">
      <alignment horizontal="center" vertical="center" shrinkToFit="1"/>
    </xf>
    <xf numFmtId="0" fontId="94" fillId="0" borderId="39" xfId="151" applyFont="1" applyBorder="1" applyAlignment="1">
      <alignment horizontal="center" vertical="center" shrinkToFit="1"/>
    </xf>
    <xf numFmtId="0" fontId="88" fillId="0" borderId="0" xfId="151" applyFont="1" applyAlignment="1">
      <alignment horizontal="center" vertical="center"/>
    </xf>
    <xf numFmtId="0" fontId="54" fillId="0" borderId="0" xfId="151" applyFont="1"/>
    <xf numFmtId="0" fontId="52" fillId="0" borderId="0" xfId="151" applyFont="1" applyAlignment="1">
      <alignment horizontal="center" vertical="center"/>
    </xf>
    <xf numFmtId="0" fontId="91" fillId="0" borderId="0" xfId="151" applyFont="1" applyAlignment="1">
      <alignment vertical="center"/>
    </xf>
    <xf numFmtId="0" fontId="54" fillId="0" borderId="0" xfId="151" applyFont="1" applyAlignment="1">
      <alignment horizontal="left"/>
    </xf>
    <xf numFmtId="0" fontId="98" fillId="0" borderId="0" xfId="151" applyFont="1" applyAlignment="1">
      <alignment horizontal="center" vertical="center"/>
    </xf>
    <xf numFmtId="0" fontId="31" fillId="0" borderId="0" xfId="151" applyFont="1" applyAlignment="1">
      <alignment horizontal="center"/>
    </xf>
    <xf numFmtId="0" fontId="99" fillId="0" borderId="0" xfId="243" applyFont="1" applyAlignment="1" applyProtection="1">
      <alignment horizontal="center"/>
    </xf>
    <xf numFmtId="0" fontId="88" fillId="0" borderId="0" xfId="158" applyFont="1" applyAlignment="1">
      <alignment horizontal="center" vertical="center"/>
    </xf>
    <xf numFmtId="0" fontId="100" fillId="46" borderId="0" xfId="158" applyFont="1" applyFill="1" applyAlignment="1">
      <alignment vertical="center"/>
    </xf>
    <xf numFmtId="0" fontId="39" fillId="46" borderId="0" xfId="158" applyFont="1" applyFill="1"/>
    <xf numFmtId="0" fontId="91" fillId="0" borderId="0" xfId="158" applyFont="1" applyAlignment="1">
      <alignment vertical="center"/>
    </xf>
    <xf numFmtId="0" fontId="42" fillId="61" borderId="0" xfId="151" applyFont="1" applyFill="1" applyAlignment="1">
      <alignment horizontal="center"/>
    </xf>
    <xf numFmtId="0" fontId="44" fillId="45" borderId="15" xfId="243" applyFont="1" applyFill="1" applyBorder="1" applyAlignment="1" applyProtection="1">
      <alignment horizontal="center"/>
    </xf>
    <xf numFmtId="0" fontId="21" fillId="61" borderId="0" xfId="244" applyFill="1" applyAlignment="1" applyProtection="1">
      <alignment horizontal="center" vertical="center"/>
    </xf>
    <xf numFmtId="0" fontId="84" fillId="82" borderId="1" xfId="132" applyFont="1" applyFill="1" applyBorder="1" applyAlignment="1" applyProtection="1">
      <alignment horizontal="center" vertical="center" shrinkToFit="1"/>
    </xf>
    <xf numFmtId="0" fontId="53" fillId="81" borderId="18" xfId="151" applyFont="1" applyFill="1" applyBorder="1" applyAlignment="1">
      <alignment vertical="center"/>
    </xf>
    <xf numFmtId="0" fontId="53" fillId="81" borderId="49" xfId="151" applyFont="1" applyFill="1" applyBorder="1" applyAlignment="1">
      <alignment vertical="center"/>
    </xf>
    <xf numFmtId="0" fontId="21" fillId="0" borderId="38" xfId="151" applyFont="1" applyBorder="1" applyAlignment="1">
      <alignment vertical="center"/>
    </xf>
    <xf numFmtId="0" fontId="31" fillId="46" borderId="0" xfId="151" applyFont="1" applyFill="1" applyAlignment="1">
      <alignment horizontal="left"/>
    </xf>
    <xf numFmtId="0" fontId="101" fillId="83" borderId="1" xfId="132" applyFont="1" applyFill="1" applyBorder="1" applyAlignment="1" applyProtection="1">
      <alignment horizontal="center" vertical="center" shrinkToFit="1"/>
    </xf>
    <xf numFmtId="0" fontId="102" fillId="84" borderId="1" xfId="132" applyFont="1" applyFill="1" applyBorder="1" applyAlignment="1" applyProtection="1">
      <alignment horizontal="center" vertical="center" shrinkToFit="1"/>
    </xf>
    <xf numFmtId="0" fontId="44" fillId="78" borderId="17" xfId="243" applyFont="1" applyFill="1" applyBorder="1" applyAlignment="1" applyProtection="1">
      <alignment horizontal="center"/>
    </xf>
    <xf numFmtId="0" fontId="46" fillId="74" borderId="1" xfId="132" applyFont="1" applyFill="1" applyBorder="1" applyAlignment="1" applyProtection="1">
      <alignment horizontal="center" vertical="center" shrinkToFit="1"/>
    </xf>
    <xf numFmtId="0" fontId="54" fillId="0" borderId="23" xfId="151" applyFont="1" applyBorder="1" applyAlignment="1">
      <alignment horizontal="center" vertical="center"/>
    </xf>
    <xf numFmtId="0" fontId="54" fillId="0" borderId="24" xfId="151" applyFont="1" applyBorder="1" applyAlignment="1">
      <alignment horizontal="center" vertical="center"/>
    </xf>
    <xf numFmtId="0" fontId="31" fillId="0" borderId="0" xfId="244" applyFont="1" applyAlignment="1" applyProtection="1">
      <alignment horizontal="center" vertical="center"/>
    </xf>
    <xf numFmtId="0" fontId="39" fillId="0" borderId="0" xfId="243" applyFont="1" applyAlignment="1" applyProtection="1">
      <alignment horizontal="center"/>
    </xf>
    <xf numFmtId="0" fontId="73" fillId="46" borderId="0" xfId="244" applyFont="1" applyFill="1" applyAlignment="1" applyProtection="1">
      <alignment vertical="center"/>
    </xf>
    <xf numFmtId="0" fontId="54" fillId="0" borderId="32" xfId="151" applyFont="1" applyBorder="1" applyAlignment="1">
      <alignment horizontal="center" vertical="center"/>
    </xf>
    <xf numFmtId="0" fontId="64" fillId="85" borderId="1" xfId="132" applyFont="1" applyFill="1" applyBorder="1" applyAlignment="1" applyProtection="1">
      <alignment horizontal="center" vertical="center" shrinkToFit="1"/>
    </xf>
    <xf numFmtId="0" fontId="103" fillId="86" borderId="1" xfId="132" applyFont="1" applyFill="1" applyBorder="1" applyAlignment="1" applyProtection="1">
      <alignment horizontal="center" vertical="center" shrinkToFit="1"/>
    </xf>
    <xf numFmtId="0" fontId="66" fillId="0" borderId="0" xfId="158" applyFont="1"/>
    <xf numFmtId="0" fontId="104" fillId="0" borderId="0" xfId="243" applyFont="1" applyAlignment="1" applyProtection="1">
      <alignment horizontal="center"/>
    </xf>
    <xf numFmtId="0" fontId="36" fillId="35" borderId="0" xfId="151" applyFont="1" applyFill="1"/>
    <xf numFmtId="0" fontId="54" fillId="0" borderId="0" xfId="151" applyFont="1" applyAlignment="1">
      <alignment horizontal="center"/>
    </xf>
    <xf numFmtId="0" fontId="84" fillId="46" borderId="0" xfId="151" applyFont="1" applyFill="1"/>
    <xf numFmtId="0" fontId="21" fillId="50" borderId="0" xfId="158" applyFont="1" applyFill="1"/>
    <xf numFmtId="0" fontId="84" fillId="35" borderId="0" xfId="151" applyFont="1" applyFill="1" applyAlignment="1">
      <alignment horizontal="center" vertical="center"/>
    </xf>
    <xf numFmtId="0" fontId="50" fillId="81" borderId="0" xfId="151" applyFont="1" applyFill="1"/>
    <xf numFmtId="0" fontId="61" fillId="56" borderId="0" xfId="158" applyFont="1" applyFill="1" applyAlignment="1">
      <alignment horizontal="center" vertical="center"/>
    </xf>
    <xf numFmtId="0" fontId="62" fillId="35" borderId="0" xfId="151" applyFont="1" applyFill="1" applyAlignment="1">
      <alignment horizontal="center" vertical="center"/>
    </xf>
    <xf numFmtId="0" fontId="106" fillId="0" borderId="0" xfId="243" applyFont="1" applyAlignment="1" applyProtection="1">
      <alignment horizontal="center"/>
    </xf>
    <xf numFmtId="0" fontId="76" fillId="0" borderId="0" xfId="244" applyFont="1" applyAlignment="1" applyProtection="1">
      <alignment horizontal="center" vertical="center"/>
    </xf>
    <xf numFmtId="0" fontId="51" fillId="0" borderId="0" xfId="151" applyFont="1" applyAlignment="1">
      <alignment horizontal="right" vertical="center"/>
    </xf>
    <xf numFmtId="0" fontId="51" fillId="39" borderId="36" xfId="243" applyFont="1" applyFill="1" applyBorder="1" applyAlignment="1" applyProtection="1">
      <alignment horizontal="center"/>
    </xf>
    <xf numFmtId="0" fontId="45" fillId="0" borderId="0" xfId="243" applyFont="1" applyAlignment="1" applyProtection="1">
      <alignment horizontal="center"/>
    </xf>
    <xf numFmtId="0" fontId="54" fillId="0" borderId="0" xfId="243" applyFont="1" applyAlignment="1" applyProtection="1">
      <alignment horizontal="center"/>
    </xf>
    <xf numFmtId="0" fontId="94" fillId="0" borderId="0" xfId="151" applyFont="1" applyAlignment="1">
      <alignment horizontal="center" vertical="center"/>
    </xf>
    <xf numFmtId="0" fontId="54" fillId="0" borderId="34" xfId="151" applyFont="1" applyBorder="1" applyAlignment="1">
      <alignment horizontal="center" vertical="center"/>
    </xf>
    <xf numFmtId="0" fontId="105" fillId="0" borderId="0" xfId="245" applyFont="1" applyAlignment="1" applyProtection="1">
      <alignment horizontal="center" vertical="center" shrinkToFit="1"/>
    </xf>
    <xf numFmtId="0" fontId="88" fillId="81" borderId="0" xfId="151" applyFont="1" applyFill="1" applyAlignment="1">
      <alignment horizontal="center" vertical="center"/>
    </xf>
    <xf numFmtId="0" fontId="76" fillId="0" borderId="0" xfId="151" applyFont="1" applyAlignment="1">
      <alignment horizontal="center"/>
    </xf>
    <xf numFmtId="0" fontId="31" fillId="0" borderId="0" xfId="158" applyFont="1" applyAlignment="1">
      <alignment horizontal="center"/>
    </xf>
    <xf numFmtId="0" fontId="94" fillId="0" borderId="0" xfId="158" applyFont="1" applyAlignment="1">
      <alignment horizontal="center" vertical="center"/>
    </xf>
    <xf numFmtId="0" fontId="50" fillId="0" borderId="0" xfId="158" applyFont="1"/>
    <xf numFmtId="0" fontId="36" fillId="0" borderId="0" xfId="244" applyFont="1" applyAlignment="1" applyProtection="1">
      <alignment vertical="center"/>
    </xf>
    <xf numFmtId="0" fontId="1" fillId="81" borderId="0" xfId="151" applyFont="1" applyFill="1"/>
    <xf numFmtId="0" fontId="10" fillId="77" borderId="0" xfId="151" applyFill="1" applyAlignment="1">
      <alignment vertical="center"/>
    </xf>
    <xf numFmtId="0" fontId="56" fillId="0" borderId="0" xfId="244" applyFont="1" applyAlignment="1" applyProtection="1">
      <alignment vertical="center"/>
    </xf>
    <xf numFmtId="0" fontId="32" fillId="0" borderId="0" xfId="151" applyFont="1" applyAlignment="1">
      <alignment horizontal="center" vertical="center"/>
    </xf>
    <xf numFmtId="0" fontId="64" fillId="0" borderId="0" xfId="151" applyFont="1" applyAlignment="1">
      <alignment horizontal="center"/>
    </xf>
    <xf numFmtId="0" fontId="98" fillId="0" borderId="50" xfId="151" applyFont="1" applyBorder="1"/>
    <xf numFmtId="0" fontId="50" fillId="0" borderId="53" xfId="151" applyFont="1" applyBorder="1"/>
    <xf numFmtId="0" fontId="107" fillId="0" borderId="0" xfId="158" applyFont="1" applyAlignment="1">
      <alignment vertical="center"/>
    </xf>
    <xf numFmtId="0" fontId="105" fillId="35" borderId="1" xfId="132" applyFont="1" applyFill="1" applyBorder="1" applyAlignment="1" applyProtection="1">
      <alignment horizontal="center" vertical="center" shrinkToFit="1"/>
    </xf>
    <xf numFmtId="0" fontId="54" fillId="0" borderId="38" xfId="158" applyFont="1" applyBorder="1" applyAlignment="1">
      <alignment horizontal="center" vertical="center"/>
    </xf>
    <xf numFmtId="0" fontId="1" fillId="35" borderId="23" xfId="158" applyFont="1" applyFill="1" applyBorder="1"/>
    <xf numFmtId="0" fontId="1" fillId="35" borderId="24" xfId="158" applyFont="1" applyFill="1" applyBorder="1"/>
    <xf numFmtId="0" fontId="1" fillId="35" borderId="54" xfId="158" applyFont="1" applyFill="1" applyBorder="1"/>
    <xf numFmtId="0" fontId="1" fillId="35" borderId="55" xfId="158" applyFont="1" applyFill="1" applyBorder="1"/>
    <xf numFmtId="0" fontId="1" fillId="35" borderId="29" xfId="158" applyFont="1" applyFill="1" applyBorder="1"/>
    <xf numFmtId="0" fontId="32" fillId="87" borderId="24" xfId="132" applyFont="1" applyFill="1" applyBorder="1" applyAlignment="1" applyProtection="1">
      <alignment vertical="center" shrinkToFit="1"/>
    </xf>
    <xf numFmtId="0" fontId="50" fillId="0" borderId="24" xfId="151" applyFont="1" applyBorder="1"/>
    <xf numFmtId="0" fontId="53" fillId="35" borderId="32" xfId="158" applyFont="1" applyFill="1" applyBorder="1"/>
    <xf numFmtId="0" fontId="53" fillId="35" borderId="0" xfId="158" applyFont="1" applyFill="1"/>
    <xf numFmtId="0" fontId="53" fillId="35" borderId="28" xfId="158" applyFont="1" applyFill="1" applyBorder="1"/>
    <xf numFmtId="0" fontId="53" fillId="35" borderId="25" xfId="158" applyFont="1" applyFill="1" applyBorder="1"/>
    <xf numFmtId="0" fontId="50" fillId="0" borderId="25" xfId="151" applyFont="1" applyBorder="1"/>
    <xf numFmtId="0" fontId="37" fillId="35" borderId="23" xfId="151" applyFont="1" applyFill="1" applyBorder="1" applyAlignment="1">
      <alignment horizontal="center" vertical="center"/>
    </xf>
    <xf numFmtId="0" fontId="37" fillId="35" borderId="24" xfId="151" applyFont="1" applyFill="1" applyBorder="1" applyAlignment="1">
      <alignment horizontal="center" vertical="center"/>
    </xf>
    <xf numFmtId="0" fontId="37" fillId="35" borderId="54" xfId="151" applyFont="1" applyFill="1" applyBorder="1" applyAlignment="1">
      <alignment horizontal="center" vertical="center"/>
    </xf>
    <xf numFmtId="0" fontId="108" fillId="35" borderId="24" xfId="151" applyFont="1" applyFill="1" applyBorder="1" applyAlignment="1">
      <alignment horizontal="center" vertical="center"/>
    </xf>
    <xf numFmtId="0" fontId="37" fillId="35" borderId="25" xfId="151" applyFont="1" applyFill="1" applyBorder="1" applyAlignment="1">
      <alignment horizontal="center" vertical="center"/>
    </xf>
    <xf numFmtId="0" fontId="50" fillId="0" borderId="24" xfId="151" applyFont="1" applyBorder="1" applyAlignment="1">
      <alignment horizontal="center" vertical="center"/>
    </xf>
    <xf numFmtId="0" fontId="54" fillId="46" borderId="0" xfId="151" applyFont="1" applyFill="1" applyAlignment="1">
      <alignment horizontal="center" vertical="center"/>
    </xf>
    <xf numFmtId="0" fontId="1" fillId="35" borderId="32" xfId="158" applyFont="1" applyFill="1" applyBorder="1"/>
    <xf numFmtId="0" fontId="1" fillId="35" borderId="0" xfId="158" applyFont="1" applyFill="1"/>
    <xf numFmtId="0" fontId="53" fillId="35" borderId="29" xfId="158" applyFont="1" applyFill="1" applyBorder="1"/>
    <xf numFmtId="0" fontId="50" fillId="0" borderId="28" xfId="151" applyFont="1" applyBorder="1"/>
    <xf numFmtId="0" fontId="50" fillId="0" borderId="29" xfId="151" applyFont="1" applyBorder="1"/>
    <xf numFmtId="0" fontId="37" fillId="35" borderId="32" xfId="151" applyFont="1" applyFill="1" applyBorder="1" applyAlignment="1">
      <alignment horizontal="center" vertical="center"/>
    </xf>
    <xf numFmtId="0" fontId="37" fillId="35" borderId="0" xfId="151" applyFont="1" applyFill="1" applyAlignment="1">
      <alignment horizontal="center" vertical="center"/>
    </xf>
    <xf numFmtId="0" fontId="37" fillId="35" borderId="29" xfId="151" applyFont="1" applyFill="1" applyBorder="1" applyAlignment="1">
      <alignment horizontal="center" vertical="center"/>
    </xf>
    <xf numFmtId="0" fontId="53" fillId="35" borderId="0" xfId="158" applyFont="1" applyFill="1" applyAlignment="1">
      <alignment horizontal="center"/>
    </xf>
    <xf numFmtId="0" fontId="96" fillId="0" borderId="0" xfId="151" applyFont="1" applyAlignment="1">
      <alignment horizontal="center" vertical="center"/>
    </xf>
    <xf numFmtId="0" fontId="108" fillId="35" borderId="32" xfId="151" applyFont="1" applyFill="1" applyBorder="1" applyAlignment="1">
      <alignment horizontal="center" vertical="center"/>
    </xf>
    <xf numFmtId="0" fontId="108" fillId="35" borderId="0" xfId="151" applyFont="1" applyFill="1" applyAlignment="1">
      <alignment horizontal="center" vertical="center"/>
    </xf>
    <xf numFmtId="0" fontId="1" fillId="0" borderId="18" xfId="151" applyFont="1" applyBorder="1"/>
    <xf numFmtId="0" fontId="1" fillId="35" borderId="35" xfId="158" applyFont="1" applyFill="1" applyBorder="1"/>
    <xf numFmtId="0" fontId="1" fillId="35" borderId="18" xfId="158" applyFont="1" applyFill="1" applyBorder="1"/>
    <xf numFmtId="0" fontId="1" fillId="35" borderId="39" xfId="158" applyFont="1" applyFill="1" applyBorder="1"/>
    <xf numFmtId="0" fontId="53" fillId="35" borderId="35" xfId="158" applyFont="1" applyFill="1" applyBorder="1"/>
    <xf numFmtId="0" fontId="53" fillId="35" borderId="18" xfId="158" applyFont="1" applyFill="1" applyBorder="1"/>
    <xf numFmtId="0" fontId="53" fillId="35" borderId="39" xfId="158" applyFont="1" applyFill="1" applyBorder="1"/>
    <xf numFmtId="0" fontId="37" fillId="35" borderId="35" xfId="151" applyFont="1" applyFill="1" applyBorder="1" applyAlignment="1">
      <alignment horizontal="center" vertical="center"/>
    </xf>
    <xf numFmtId="0" fontId="37" fillId="35" borderId="18" xfId="151" applyFont="1" applyFill="1" applyBorder="1" applyAlignment="1">
      <alignment horizontal="center" vertical="center"/>
    </xf>
    <xf numFmtId="0" fontId="37" fillId="35" borderId="39" xfId="151" applyFont="1" applyFill="1" applyBorder="1" applyAlignment="1">
      <alignment horizontal="center" vertical="center"/>
    </xf>
    <xf numFmtId="0" fontId="21" fillId="0" borderId="0" xfId="158" applyFont="1" applyProtection="1">
      <protection locked="0"/>
    </xf>
    <xf numFmtId="0" fontId="114" fillId="0" borderId="0" xfId="246" applyFont="1" applyAlignment="1">
      <alignment horizontal="center" vertical="top" shrinkToFit="1"/>
      <protection locked="0"/>
    </xf>
    <xf numFmtId="0" fontId="111" fillId="0" borderId="0" xfId="246" applyFont="1" applyAlignment="1">
      <alignment horizontal="center" vertical="top" shrinkToFit="1"/>
      <protection locked="0"/>
    </xf>
    <xf numFmtId="0" fontId="112" fillId="0" borderId="0" xfId="246" applyFont="1" applyAlignment="1" applyProtection="1">
      <alignment horizontal="center" vertical="center" shrinkToFit="1"/>
    </xf>
    <xf numFmtId="0" fontId="2" fillId="0" borderId="0" xfId="158" applyProtection="1">
      <protection locked="0"/>
    </xf>
    <xf numFmtId="0" fontId="6" fillId="0" borderId="0" xfId="132" applyFont="1" applyAlignment="1">
      <alignment horizontal="center" vertical="center"/>
      <protection locked="0"/>
    </xf>
    <xf numFmtId="0" fontId="116" fillId="0" borderId="0" xfId="158" applyFont="1" applyProtection="1">
      <protection locked="0"/>
    </xf>
    <xf numFmtId="0" fontId="115" fillId="0" borderId="1" xfId="158" applyFont="1" applyBorder="1" applyAlignment="1">
      <alignment horizontal="center" vertical="center" wrapText="1"/>
    </xf>
    <xf numFmtId="14" fontId="113" fillId="78" borderId="1" xfId="158" applyNumberFormat="1" applyFont="1" applyFill="1" applyBorder="1" applyAlignment="1" applyProtection="1">
      <alignment horizontal="center" vertical="center" wrapText="1"/>
      <protection locked="0"/>
    </xf>
    <xf numFmtId="0" fontId="31" fillId="89" borderId="1" xfId="158" applyFont="1" applyFill="1" applyBorder="1" applyAlignment="1" applyProtection="1">
      <alignment horizontal="center" vertical="center" wrapText="1"/>
      <protection locked="0"/>
    </xf>
    <xf numFmtId="167" fontId="31" fillId="89" borderId="1" xfId="247" applyFont="1" applyFill="1" applyBorder="1" applyAlignment="1" applyProtection="1">
      <alignment horizontal="right" vertical="center"/>
    </xf>
    <xf numFmtId="0" fontId="31" fillId="90" borderId="1" xfId="158" applyFont="1" applyFill="1" applyBorder="1" applyAlignment="1" applyProtection="1">
      <alignment horizontal="center" vertical="center" wrapText="1"/>
      <protection locked="0"/>
    </xf>
    <xf numFmtId="0" fontId="21" fillId="0" borderId="0" xfId="158" applyFont="1" applyAlignment="1" applyProtection="1">
      <alignment horizontal="left" vertical="center"/>
      <protection locked="0"/>
    </xf>
    <xf numFmtId="0" fontId="117" fillId="0" borderId="0" xfId="158" applyFont="1" applyAlignment="1" applyProtection="1">
      <alignment horizontal="center" vertical="center"/>
      <protection locked="0"/>
    </xf>
    <xf numFmtId="0" fontId="31" fillId="91" borderId="1" xfId="158" applyFont="1" applyFill="1" applyBorder="1" applyAlignment="1" applyProtection="1">
      <alignment horizontal="center" vertical="center" wrapText="1"/>
      <protection locked="0"/>
    </xf>
    <xf numFmtId="167" fontId="31" fillId="91" borderId="1" xfId="247" applyFont="1" applyFill="1" applyBorder="1" applyAlignment="1" applyProtection="1">
      <alignment horizontal="right" vertical="center"/>
    </xf>
    <xf numFmtId="0" fontId="31" fillId="59" borderId="15" xfId="158" applyFont="1" applyFill="1" applyBorder="1" applyAlignment="1" applyProtection="1">
      <alignment horizontal="center" vertical="center" wrapText="1"/>
      <protection locked="0"/>
    </xf>
    <xf numFmtId="172" fontId="31" fillId="59" borderId="1" xfId="186" applyNumberFormat="1" applyFont="1" applyFill="1" applyBorder="1" applyAlignment="1" applyProtection="1">
      <alignment horizontal="right" vertical="center" wrapText="1"/>
      <protection locked="0"/>
    </xf>
    <xf numFmtId="0" fontId="119" fillId="0" borderId="0" xfId="158" applyFont="1" applyAlignment="1" applyProtection="1">
      <alignment horizontal="center" vertical="center"/>
      <protection locked="0"/>
    </xf>
    <xf numFmtId="0" fontId="31" fillId="44" borderId="1" xfId="158" applyFont="1" applyFill="1" applyBorder="1" applyAlignment="1" applyProtection="1">
      <alignment horizontal="center" vertical="center" wrapText="1"/>
      <protection locked="0"/>
    </xf>
    <xf numFmtId="10" fontId="31" fillId="44" borderId="1" xfId="186" applyNumberFormat="1" applyFont="1" applyFill="1" applyBorder="1" applyAlignment="1" applyProtection="1">
      <alignment horizontal="right" vertical="center"/>
    </xf>
    <xf numFmtId="0" fontId="31" fillId="93" borderId="1" xfId="158" applyFont="1" applyFill="1" applyBorder="1" applyAlignment="1" applyProtection="1">
      <alignment horizontal="center" vertical="center" wrapText="1"/>
      <protection locked="0"/>
    </xf>
    <xf numFmtId="1" fontId="31" fillId="93" borderId="2" xfId="186" applyNumberFormat="1" applyFont="1" applyFill="1" applyBorder="1" applyAlignment="1" applyProtection="1">
      <alignment horizontal="right" vertical="center"/>
    </xf>
    <xf numFmtId="0" fontId="31" fillId="54" borderId="1" xfId="158" applyFont="1" applyFill="1" applyBorder="1" applyAlignment="1" applyProtection="1">
      <alignment horizontal="center" vertical="center" wrapText="1"/>
      <protection locked="0"/>
    </xf>
    <xf numFmtId="1" fontId="31" fillId="54" borderId="1" xfId="186" applyNumberFormat="1" applyFont="1" applyFill="1" applyBorder="1" applyAlignment="1" applyProtection="1">
      <alignment horizontal="right" vertical="center"/>
    </xf>
    <xf numFmtId="0" fontId="115" fillId="0" borderId="0" xfId="158" applyFont="1" applyAlignment="1" applyProtection="1">
      <alignment horizontal="center" wrapText="1"/>
      <protection locked="0"/>
    </xf>
    <xf numFmtId="0" fontId="31" fillId="92" borderId="1" xfId="158" applyFont="1" applyFill="1" applyBorder="1" applyAlignment="1" applyProtection="1">
      <alignment horizontal="center" vertical="center" wrapText="1"/>
      <protection locked="0"/>
    </xf>
    <xf numFmtId="1" fontId="31" fillId="92" borderId="1" xfId="186" applyNumberFormat="1" applyFont="1" applyFill="1" applyBorder="1" applyAlignment="1" applyProtection="1">
      <alignment horizontal="right" vertical="center"/>
    </xf>
    <xf numFmtId="14" fontId="115" fillId="0" borderId="0" xfId="158" applyNumberFormat="1" applyFont="1" applyAlignment="1" applyProtection="1">
      <alignment horizontal="center" wrapText="1"/>
      <protection locked="0"/>
    </xf>
    <xf numFmtId="0" fontId="44" fillId="45" borderId="1" xfId="158" applyFont="1" applyFill="1" applyBorder="1" applyAlignment="1">
      <alignment horizontal="center" vertical="center"/>
    </xf>
    <xf numFmtId="0" fontId="51" fillId="94" borderId="5" xfId="158" applyFont="1" applyFill="1" applyBorder="1" applyAlignment="1">
      <alignment horizontal="center" vertical="center"/>
    </xf>
    <xf numFmtId="0" fontId="102" fillId="0" borderId="15" xfId="141" applyFont="1" applyBorder="1" applyAlignment="1">
      <alignment horizontal="left" vertical="center" shrinkToFit="1"/>
      <protection locked="0"/>
    </xf>
    <xf numFmtId="0" fontId="102" fillId="0" borderId="59" xfId="141" applyFont="1" applyBorder="1" applyAlignment="1">
      <alignment horizontal="left" vertical="center" shrinkToFit="1"/>
      <protection locked="0"/>
    </xf>
    <xf numFmtId="0" fontId="121" fillId="0" borderId="59" xfId="141" applyFont="1" applyBorder="1" applyAlignment="1">
      <alignment vertical="center" shrinkToFit="1"/>
      <protection locked="0"/>
    </xf>
    <xf numFmtId="0" fontId="121" fillId="0" borderId="17" xfId="141" applyFont="1" applyBorder="1" applyAlignment="1">
      <alignment vertical="center" shrinkToFit="1"/>
      <protection locked="0"/>
    </xf>
    <xf numFmtId="171" fontId="21" fillId="0" borderId="17" xfId="158" applyNumberFormat="1" applyFont="1" applyBorder="1" applyAlignment="1">
      <alignment horizontal="center" vertical="center"/>
    </xf>
    <xf numFmtId="171" fontId="60" fillId="0" borderId="2" xfId="132" applyNumberFormat="1" applyFont="1" applyBorder="1" applyAlignment="1" applyProtection="1">
      <alignment horizontal="center" vertical="center" shrinkToFit="1"/>
    </xf>
    <xf numFmtId="0" fontId="84" fillId="82" borderId="17" xfId="132" applyFont="1" applyFill="1" applyBorder="1" applyAlignment="1" applyProtection="1">
      <alignment horizontal="center" vertical="center" shrinkToFit="1"/>
    </xf>
    <xf numFmtId="171" fontId="60" fillId="0" borderId="1" xfId="132" applyNumberFormat="1" applyFont="1" applyBorder="1" applyAlignment="1" applyProtection="1">
      <alignment horizontal="center" vertical="center" shrinkToFit="1"/>
    </xf>
    <xf numFmtId="0" fontId="84" fillId="50" borderId="17" xfId="132" applyFont="1" applyFill="1" applyBorder="1" applyAlignment="1" applyProtection="1">
      <alignment horizontal="center" vertical="center" shrinkToFit="1"/>
    </xf>
    <xf numFmtId="0" fontId="122" fillId="95" borderId="17" xfId="132" applyFont="1" applyFill="1" applyBorder="1" applyAlignment="1" applyProtection="1">
      <alignment horizontal="center" vertical="center" shrinkToFit="1"/>
    </xf>
    <xf numFmtId="0" fontId="121" fillId="89" borderId="59" xfId="141" applyFont="1" applyFill="1" applyBorder="1" applyAlignment="1">
      <alignment vertical="center" shrinkToFit="1"/>
      <protection locked="0"/>
    </xf>
    <xf numFmtId="0" fontId="121" fillId="89" borderId="17" xfId="141" applyFont="1" applyFill="1" applyBorder="1" applyAlignment="1">
      <alignment vertical="center" shrinkToFit="1"/>
      <protection locked="0"/>
    </xf>
    <xf numFmtId="0" fontId="121" fillId="89" borderId="60" xfId="141" applyFont="1" applyFill="1" applyBorder="1" applyAlignment="1">
      <alignment vertical="center" shrinkToFit="1"/>
      <protection locked="0"/>
    </xf>
    <xf numFmtId="171" fontId="21" fillId="89" borderId="17" xfId="158" applyNumberFormat="1" applyFont="1" applyFill="1" applyBorder="1" applyAlignment="1">
      <alignment horizontal="center" vertical="center"/>
    </xf>
    <xf numFmtId="171" fontId="60" fillId="89" borderId="1" xfId="132" applyNumberFormat="1" applyFont="1" applyFill="1" applyBorder="1" applyAlignment="1" applyProtection="1">
      <alignment horizontal="center" vertical="center" shrinkToFit="1"/>
    </xf>
    <xf numFmtId="0" fontId="43" fillId="96" borderId="17" xfId="132" applyFont="1" applyFill="1" applyBorder="1" applyAlignment="1" applyProtection="1">
      <alignment horizontal="center" vertical="center" shrinkToFit="1"/>
    </xf>
    <xf numFmtId="0" fontId="123" fillId="97" borderId="17" xfId="132" applyFont="1" applyFill="1" applyBorder="1" applyAlignment="1" applyProtection="1">
      <alignment horizontal="center" vertical="center" shrinkToFit="1"/>
    </xf>
    <xf numFmtId="0" fontId="46" fillId="98" borderId="17" xfId="132" applyFont="1" applyFill="1" applyBorder="1" applyAlignment="1" applyProtection="1">
      <alignment horizontal="center" vertical="center" shrinkToFit="1"/>
    </xf>
    <xf numFmtId="0" fontId="124" fillId="99" borderId="17" xfId="132" applyFont="1" applyFill="1" applyBorder="1" applyAlignment="1" applyProtection="1">
      <alignment horizontal="center" vertical="center" shrinkToFit="1"/>
    </xf>
    <xf numFmtId="0" fontId="46" fillId="100" borderId="17" xfId="132" applyFont="1" applyFill="1" applyBorder="1" applyAlignment="1" applyProtection="1">
      <alignment horizontal="center" vertical="center" shrinkToFit="1"/>
    </xf>
    <xf numFmtId="0" fontId="124" fillId="35" borderId="17" xfId="132" applyFont="1" applyFill="1" applyBorder="1" applyAlignment="1" applyProtection="1">
      <alignment horizontal="center" vertical="center" shrinkToFit="1"/>
    </xf>
    <xf numFmtId="0" fontId="124" fillId="59" borderId="17" xfId="132" applyFont="1" applyFill="1" applyBorder="1" applyAlignment="1" applyProtection="1">
      <alignment horizontal="center" vertical="center" shrinkToFit="1"/>
    </xf>
    <xf numFmtId="0" fontId="46" fillId="34" borderId="17" xfId="132" applyFont="1" applyFill="1" applyBorder="1" applyAlignment="1" applyProtection="1">
      <alignment horizontal="center" vertical="center" shrinkToFit="1"/>
    </xf>
    <xf numFmtId="0" fontId="67" fillId="101" borderId="17" xfId="132" applyFont="1" applyFill="1" applyBorder="1" applyAlignment="1" applyProtection="1">
      <alignment horizontal="center" vertical="center" shrinkToFit="1"/>
    </xf>
    <xf numFmtId="0" fontId="125" fillId="39" borderId="17" xfId="132" applyFont="1" applyFill="1" applyBorder="1" applyAlignment="1" applyProtection="1">
      <alignment horizontal="center" vertical="center" shrinkToFit="1"/>
    </xf>
    <xf numFmtId="0" fontId="67" fillId="102" borderId="17" xfId="132" applyFont="1" applyFill="1" applyBorder="1" applyAlignment="1" applyProtection="1">
      <alignment horizontal="center" vertical="center" shrinkToFit="1"/>
    </xf>
    <xf numFmtId="171" fontId="21" fillId="0" borderId="1" xfId="158" applyNumberFormat="1" applyFont="1" applyBorder="1" applyAlignment="1">
      <alignment horizontal="center" vertical="center"/>
    </xf>
    <xf numFmtId="0" fontId="125" fillId="38" borderId="17" xfId="132" applyFont="1" applyFill="1" applyBorder="1" applyAlignment="1" applyProtection="1">
      <alignment horizontal="center" vertical="center" shrinkToFit="1"/>
    </xf>
    <xf numFmtId="0" fontId="125" fillId="51" borderId="17" xfId="132" applyFont="1" applyFill="1" applyBorder="1" applyAlignment="1" applyProtection="1">
      <alignment horizontal="center" vertical="center" shrinkToFit="1"/>
    </xf>
    <xf numFmtId="0" fontId="67" fillId="103" borderId="17" xfId="132" applyFont="1" applyFill="1" applyBorder="1" applyAlignment="1" applyProtection="1">
      <alignment horizontal="center" vertical="center" shrinkToFit="1"/>
    </xf>
    <xf numFmtId="0" fontId="47" fillId="104" borderId="17" xfId="132" applyFont="1" applyFill="1" applyBorder="1" applyAlignment="1" applyProtection="1">
      <alignment horizontal="center" vertical="center" shrinkToFit="1"/>
    </xf>
    <xf numFmtId="0" fontId="121" fillId="89" borderId="1" xfId="141" applyFont="1" applyFill="1" applyBorder="1" applyAlignment="1">
      <alignment vertical="center" shrinkToFit="1"/>
      <protection locked="0"/>
    </xf>
    <xf numFmtId="171" fontId="21" fillId="89" borderId="1" xfId="158" applyNumberFormat="1" applyFont="1" applyFill="1" applyBorder="1" applyAlignment="1">
      <alignment horizontal="center" vertical="center"/>
    </xf>
    <xf numFmtId="0" fontId="21" fillId="0" borderId="59" xfId="158" applyFont="1" applyBorder="1" applyProtection="1">
      <protection locked="0"/>
    </xf>
    <xf numFmtId="0" fontId="21" fillId="0" borderId="17" xfId="158" applyFont="1" applyBorder="1" applyProtection="1">
      <protection locked="0"/>
    </xf>
    <xf numFmtId="0" fontId="43" fillId="105" borderId="17" xfId="132" applyFont="1" applyFill="1" applyBorder="1" applyAlignment="1" applyProtection="1">
      <alignment horizontal="center" vertical="center" shrinkToFit="1"/>
    </xf>
    <xf numFmtId="0" fontId="46" fillId="106" borderId="17" xfId="132" applyFont="1" applyFill="1" applyBorder="1" applyAlignment="1" applyProtection="1">
      <alignment horizontal="center" vertical="center" shrinkToFit="1"/>
    </xf>
    <xf numFmtId="0" fontId="126" fillId="74" borderId="17" xfId="132" applyFont="1" applyFill="1" applyBorder="1" applyAlignment="1" applyProtection="1">
      <alignment horizontal="center" vertical="center" shrinkToFit="1"/>
    </xf>
    <xf numFmtId="0" fontId="43" fillId="107" borderId="17" xfId="132" applyFont="1" applyFill="1" applyBorder="1" applyAlignment="1" applyProtection="1">
      <alignment horizontal="center" vertical="center" shrinkToFit="1"/>
    </xf>
    <xf numFmtId="0" fontId="43" fillId="69" borderId="17" xfId="132" applyFont="1" applyFill="1" applyBorder="1" applyAlignment="1" applyProtection="1">
      <alignment horizontal="center" vertical="center" shrinkToFit="1"/>
    </xf>
    <xf numFmtId="0" fontId="127" fillId="108" borderId="17" xfId="132" applyFont="1" applyFill="1" applyBorder="1" applyAlignment="1" applyProtection="1">
      <alignment horizontal="center" vertical="center" shrinkToFit="1"/>
    </xf>
    <xf numFmtId="0" fontId="128" fillId="108" borderId="17" xfId="132" applyFont="1" applyFill="1" applyBorder="1" applyAlignment="1" applyProtection="1">
      <alignment horizontal="center" vertical="center" shrinkToFit="1"/>
    </xf>
    <xf numFmtId="0" fontId="129" fillId="108" borderId="17" xfId="132" applyFont="1" applyFill="1" applyBorder="1" applyAlignment="1" applyProtection="1">
      <alignment horizontal="center" vertical="center" shrinkToFit="1"/>
    </xf>
    <xf numFmtId="0" fontId="46" fillId="52" borderId="17" xfId="132" applyFont="1" applyFill="1" applyBorder="1" applyAlignment="1" applyProtection="1">
      <alignment horizontal="center" vertical="center" shrinkToFit="1"/>
    </xf>
    <xf numFmtId="0" fontId="43" fillId="40" borderId="17" xfId="132" applyFont="1" applyFill="1" applyBorder="1" applyAlignment="1" applyProtection="1">
      <alignment horizontal="center" vertical="center" shrinkToFit="1"/>
    </xf>
    <xf numFmtId="0" fontId="43" fillId="41" borderId="17" xfId="132" applyFont="1" applyFill="1" applyBorder="1" applyAlignment="1" applyProtection="1">
      <alignment horizontal="center" vertical="center" shrinkToFit="1"/>
    </xf>
    <xf numFmtId="0" fontId="43" fillId="109" borderId="17" xfId="132" applyFont="1" applyFill="1" applyBorder="1" applyAlignment="1" applyProtection="1">
      <alignment horizontal="center" vertical="center" shrinkToFit="1"/>
    </xf>
    <xf numFmtId="0" fontId="64" fillId="36" borderId="17" xfId="132" applyFont="1" applyFill="1" applyBorder="1" applyAlignment="1" applyProtection="1">
      <alignment horizontal="center" vertical="center" shrinkToFit="1"/>
    </xf>
    <xf numFmtId="0" fontId="64" fillId="110" borderId="17" xfId="132" applyFont="1" applyFill="1" applyBorder="1" applyAlignment="1" applyProtection="1">
      <alignment horizontal="center" vertical="center" shrinkToFit="1"/>
    </xf>
    <xf numFmtId="0" fontId="43" fillId="111" borderId="17" xfId="132" applyFont="1" applyFill="1" applyBorder="1" applyAlignment="1" applyProtection="1">
      <alignment horizontal="center" vertical="center" shrinkToFit="1"/>
    </xf>
    <xf numFmtId="0" fontId="130" fillId="112" borderId="17" xfId="132" applyFont="1" applyFill="1" applyBorder="1" applyAlignment="1" applyProtection="1">
      <alignment horizontal="center" vertical="center" shrinkToFit="1"/>
    </xf>
    <xf numFmtId="0" fontId="130" fillId="113" borderId="17" xfId="132" applyFont="1" applyFill="1" applyBorder="1" applyAlignment="1" applyProtection="1">
      <alignment horizontal="center" vertical="center" shrinkToFit="1"/>
    </xf>
    <xf numFmtId="0" fontId="46" fillId="114" borderId="17" xfId="132" applyFont="1" applyFill="1" applyBorder="1" applyAlignment="1" applyProtection="1">
      <alignment horizontal="center" vertical="center" shrinkToFit="1"/>
    </xf>
    <xf numFmtId="0" fontId="43" fillId="115" borderId="17" xfId="132" applyFont="1" applyFill="1" applyBorder="1" applyAlignment="1" applyProtection="1">
      <alignment horizontal="center" vertical="center" shrinkToFit="1"/>
    </xf>
    <xf numFmtId="0" fontId="103" fillId="116" borderId="17" xfId="132" applyFont="1" applyFill="1" applyBorder="1" applyAlignment="1" applyProtection="1">
      <alignment horizontal="center" vertical="center" shrinkToFit="1"/>
    </xf>
    <xf numFmtId="0" fontId="43" fillId="117" borderId="17" xfId="132" applyFont="1" applyFill="1" applyBorder="1" applyAlignment="1" applyProtection="1">
      <alignment horizontal="center" vertical="center" shrinkToFit="1"/>
    </xf>
    <xf numFmtId="0" fontId="67" fillId="118" borderId="17" xfId="132" applyFont="1" applyFill="1" applyBorder="1" applyAlignment="1" applyProtection="1">
      <alignment horizontal="center" vertical="center" shrinkToFit="1"/>
    </xf>
    <xf numFmtId="0" fontId="131" fillId="119" borderId="17" xfId="132" applyFont="1" applyFill="1" applyBorder="1" applyAlignment="1" applyProtection="1">
      <alignment horizontal="center" vertical="center" shrinkToFit="1"/>
    </xf>
    <xf numFmtId="0" fontId="43" fillId="120" borderId="17" xfId="132" applyFont="1" applyFill="1" applyBorder="1" applyAlignment="1" applyProtection="1">
      <alignment horizontal="center" vertical="center" shrinkToFit="1"/>
    </xf>
    <xf numFmtId="0" fontId="43" fillId="121" borderId="17" xfId="132" applyFont="1" applyFill="1" applyBorder="1" applyAlignment="1" applyProtection="1">
      <alignment horizontal="center" vertical="center" shrinkToFit="1"/>
    </xf>
    <xf numFmtId="0" fontId="43" fillId="122" borderId="17" xfId="132" applyFont="1" applyFill="1" applyBorder="1" applyAlignment="1" applyProtection="1">
      <alignment horizontal="center" vertical="center" shrinkToFit="1"/>
    </xf>
    <xf numFmtId="0" fontId="43" fillId="123" borderId="17" xfId="132" applyFont="1" applyFill="1" applyBorder="1" applyAlignment="1" applyProtection="1">
      <alignment horizontal="center" vertical="center" shrinkToFit="1"/>
    </xf>
    <xf numFmtId="0" fontId="64" fillId="124" borderId="17" xfId="132" applyFont="1" applyFill="1" applyBorder="1" applyAlignment="1" applyProtection="1">
      <alignment horizontal="center" vertical="center" shrinkToFit="1"/>
    </xf>
    <xf numFmtId="0" fontId="46" fillId="125" borderId="17" xfId="132" applyFont="1" applyFill="1" applyBorder="1" applyAlignment="1" applyProtection="1">
      <alignment horizontal="center" vertical="center" shrinkToFit="1"/>
    </xf>
    <xf numFmtId="0" fontId="132" fillId="35" borderId="17" xfId="132" applyFont="1" applyFill="1" applyBorder="1" applyAlignment="1" applyProtection="1">
      <alignment horizontal="center" vertical="center" shrinkToFit="1"/>
    </xf>
    <xf numFmtId="0" fontId="133" fillId="126" borderId="17" xfId="132" applyFont="1" applyFill="1" applyBorder="1" applyAlignment="1" applyProtection="1">
      <alignment horizontal="center" vertical="center" shrinkToFit="1"/>
    </xf>
    <xf numFmtId="0" fontId="43" fillId="127" borderId="17" xfId="132" applyFont="1" applyFill="1" applyBorder="1" applyAlignment="1" applyProtection="1">
      <alignment horizontal="center" vertical="center" shrinkToFit="1"/>
    </xf>
    <xf numFmtId="0" fontId="103" fillId="86" borderId="17" xfId="132" applyFont="1" applyFill="1" applyBorder="1" applyAlignment="1" applyProtection="1">
      <alignment horizontal="center" vertical="center" shrinkToFit="1"/>
    </xf>
    <xf numFmtId="0" fontId="64" fillId="128" borderId="17" xfId="132" applyFont="1" applyFill="1" applyBorder="1" applyAlignment="1" applyProtection="1">
      <alignment horizontal="center" vertical="center" shrinkToFit="1"/>
    </xf>
    <xf numFmtId="0" fontId="64" fillId="85" borderId="17" xfId="132" applyFont="1" applyFill="1" applyBorder="1" applyAlignment="1" applyProtection="1">
      <alignment horizontal="center" vertical="center" shrinkToFit="1"/>
    </xf>
    <xf numFmtId="0" fontId="64" fillId="129" borderId="17" xfId="132" applyFont="1" applyFill="1" applyBorder="1" applyAlignment="1" applyProtection="1">
      <alignment horizontal="center" vertical="center" shrinkToFit="1"/>
    </xf>
    <xf numFmtId="0" fontId="134" fillId="130" borderId="17" xfId="132" applyFont="1" applyFill="1" applyBorder="1" applyAlignment="1" applyProtection="1">
      <alignment horizontal="center" vertical="center" shrinkToFit="1"/>
    </xf>
    <xf numFmtId="0" fontId="134" fillId="131" borderId="17" xfId="132" applyFont="1" applyFill="1" applyBorder="1" applyAlignment="1" applyProtection="1">
      <alignment horizontal="center" vertical="center" shrinkToFit="1"/>
    </xf>
    <xf numFmtId="0" fontId="46" fillId="116" borderId="17" xfId="132" applyFont="1" applyFill="1" applyBorder="1" applyAlignment="1" applyProtection="1">
      <alignment horizontal="center" vertical="center" shrinkToFit="1"/>
    </xf>
    <xf numFmtId="0" fontId="46" fillId="132" borderId="17" xfId="132" applyFont="1" applyFill="1" applyBorder="1" applyAlignment="1" applyProtection="1">
      <alignment horizontal="center" vertical="center" shrinkToFit="1"/>
    </xf>
    <xf numFmtId="0" fontId="123" fillId="50" borderId="17" xfId="132" applyFont="1" applyFill="1" applyBorder="1" applyAlignment="1" applyProtection="1">
      <alignment horizontal="center" vertical="center" shrinkToFit="1"/>
    </xf>
    <xf numFmtId="0" fontId="135" fillId="133" borderId="17" xfId="132" applyFont="1" applyFill="1" applyBorder="1" applyAlignment="1" applyProtection="1">
      <alignment horizontal="center" vertical="center" shrinkToFit="1"/>
    </xf>
    <xf numFmtId="0" fontId="43" fillId="37" borderId="17" xfId="132" applyFont="1" applyFill="1" applyBorder="1" applyAlignment="1" applyProtection="1">
      <alignment horizontal="center" vertical="center" shrinkToFit="1"/>
    </xf>
    <xf numFmtId="0" fontId="43" fillId="38" borderId="17" xfId="132" applyFont="1" applyFill="1" applyBorder="1" applyAlignment="1" applyProtection="1">
      <alignment horizontal="center" vertical="center" shrinkToFit="1"/>
    </xf>
    <xf numFmtId="0" fontId="43" fillId="134" borderId="17" xfId="132" applyFont="1" applyFill="1" applyBorder="1" applyAlignment="1" applyProtection="1">
      <alignment horizontal="center" vertical="center" shrinkToFit="1"/>
    </xf>
    <xf numFmtId="0" fontId="121" fillId="0" borderId="15" xfId="141" applyFont="1" applyBorder="1" applyAlignment="1">
      <alignment vertical="center" shrinkToFit="1"/>
      <protection locked="0"/>
    </xf>
    <xf numFmtId="0" fontId="121" fillId="0" borderId="60" xfId="141" applyFont="1" applyBorder="1" applyAlignment="1">
      <alignment vertical="center" shrinkToFit="1"/>
      <protection locked="0"/>
    </xf>
    <xf numFmtId="0" fontId="121" fillId="0" borderId="1" xfId="141" applyFont="1" applyBorder="1" applyAlignment="1">
      <alignment vertical="center" shrinkToFit="1"/>
      <protection locked="0"/>
    </xf>
    <xf numFmtId="0" fontId="118" fillId="0" borderId="4" xfId="158" applyFont="1" applyBorder="1" applyAlignment="1" applyProtection="1">
      <alignment horizontal="center"/>
      <protection locked="0"/>
    </xf>
    <xf numFmtId="0" fontId="118" fillId="0" borderId="19" xfId="158" applyFont="1" applyBorder="1" applyAlignment="1" applyProtection="1">
      <alignment horizontal="center"/>
      <protection locked="0"/>
    </xf>
    <xf numFmtId="0" fontId="118" fillId="0" borderId="0" xfId="158" applyFont="1" applyAlignment="1" applyProtection="1">
      <alignment horizontal="center"/>
      <protection locked="0"/>
    </xf>
    <xf numFmtId="0" fontId="71" fillId="0" borderId="0" xfId="158" applyFont="1" applyAlignment="1">
      <alignment horizontal="center"/>
    </xf>
    <xf numFmtId="0" fontId="52" fillId="0" borderId="3" xfId="158" applyFont="1" applyBorder="1" applyAlignment="1" applyProtection="1">
      <alignment horizontal="center" vertical="center"/>
      <protection locked="0"/>
    </xf>
    <xf numFmtId="0" fontId="52" fillId="0" borderId="66" xfId="158" applyFont="1" applyBorder="1" applyAlignment="1" applyProtection="1">
      <alignment horizontal="center" vertical="center"/>
      <protection locked="0"/>
    </xf>
    <xf numFmtId="0" fontId="52" fillId="0" borderId="67" xfId="158" applyFont="1" applyBorder="1" applyAlignment="1" applyProtection="1">
      <alignment horizontal="center" vertical="center"/>
      <protection locked="0"/>
    </xf>
    <xf numFmtId="171" fontId="21" fillId="0" borderId="72" xfId="158" applyNumberFormat="1" applyFont="1" applyBorder="1" applyAlignment="1">
      <alignment horizontal="center" vertical="center"/>
    </xf>
    <xf numFmtId="171" fontId="1" fillId="0" borderId="73" xfId="216" applyNumberFormat="1" applyBorder="1" applyAlignment="1" applyProtection="1">
      <alignment horizontal="center" vertical="center"/>
    </xf>
    <xf numFmtId="0" fontId="51" fillId="42" borderId="17" xfId="243" applyFont="1" applyFill="1" applyBorder="1" applyAlignment="1" applyProtection="1">
      <alignment horizontal="center"/>
    </xf>
    <xf numFmtId="0" fontId="44" fillId="0" borderId="0" xfId="158" applyFont="1" applyAlignment="1">
      <alignment horizontal="center" vertical="center"/>
    </xf>
    <xf numFmtId="0" fontId="138" fillId="46" borderId="17" xfId="243" applyFont="1" applyFill="1" applyBorder="1" applyAlignment="1" applyProtection="1">
      <alignment horizontal="center"/>
    </xf>
    <xf numFmtId="0" fontId="137" fillId="135" borderId="17" xfId="243" applyFont="1" applyFill="1" applyBorder="1" applyAlignment="1" applyProtection="1">
      <alignment horizontal="center"/>
    </xf>
    <xf numFmtId="0" fontId="51" fillId="47" borderId="17" xfId="243" applyFont="1" applyFill="1" applyBorder="1" applyAlignment="1" applyProtection="1">
      <alignment horizontal="center"/>
    </xf>
    <xf numFmtId="0" fontId="44" fillId="36" borderId="17" xfId="243" applyFont="1" applyFill="1" applyBorder="1" applyAlignment="1" applyProtection="1">
      <alignment horizontal="center"/>
    </xf>
    <xf numFmtId="0" fontId="51" fillId="60" borderId="17" xfId="243" applyFont="1" applyFill="1" applyBorder="1" applyAlignment="1" applyProtection="1">
      <alignment horizontal="center"/>
    </xf>
    <xf numFmtId="0" fontId="99" fillId="42" borderId="1" xfId="243" applyFont="1" applyFill="1" applyBorder="1" applyAlignment="1" applyProtection="1">
      <alignment horizontal="center"/>
    </xf>
    <xf numFmtId="0" fontId="51" fillId="136" borderId="17" xfId="243" applyFont="1" applyFill="1" applyBorder="1" applyAlignment="1" applyProtection="1">
      <alignment horizontal="center"/>
    </xf>
    <xf numFmtId="0" fontId="51" fillId="40" borderId="17" xfId="243" applyFont="1" applyFill="1" applyBorder="1" applyAlignment="1" applyProtection="1">
      <alignment horizontal="center"/>
    </xf>
    <xf numFmtId="0" fontId="139" fillId="137" borderId="17" xfId="132" applyFont="1" applyFill="1" applyBorder="1" applyAlignment="1" applyProtection="1">
      <alignment horizontal="center" vertical="center" shrinkToFit="1"/>
    </xf>
    <xf numFmtId="0" fontId="51" fillId="60" borderId="1" xfId="243" applyFont="1" applyFill="1" applyBorder="1" applyAlignment="1" applyProtection="1">
      <alignment horizontal="center"/>
    </xf>
    <xf numFmtId="0" fontId="139" fillId="138" borderId="17" xfId="132" applyFont="1" applyFill="1" applyBorder="1" applyAlignment="1" applyProtection="1">
      <alignment horizontal="center" vertical="center" shrinkToFit="1"/>
    </xf>
    <xf numFmtId="0" fontId="139" fillId="139" borderId="17" xfId="132" applyFont="1" applyFill="1" applyBorder="1" applyAlignment="1" applyProtection="1">
      <alignment horizontal="center" vertical="center" shrinkToFit="1"/>
    </xf>
    <xf numFmtId="0" fontId="140" fillId="43" borderId="1" xfId="158" applyFont="1" applyFill="1" applyBorder="1" applyAlignment="1">
      <alignment horizontal="center"/>
    </xf>
    <xf numFmtId="0" fontId="101" fillId="140" borderId="17" xfId="132" applyFont="1" applyFill="1" applyBorder="1" applyAlignment="1" applyProtection="1">
      <alignment horizontal="center" vertical="center" shrinkToFit="1"/>
    </xf>
    <xf numFmtId="0" fontId="102" fillId="141" borderId="17" xfId="132" applyFont="1" applyFill="1" applyBorder="1" applyAlignment="1" applyProtection="1">
      <alignment horizontal="center" vertical="center" shrinkToFit="1"/>
    </xf>
    <xf numFmtId="0" fontId="101" fillId="142" borderId="17" xfId="132" applyFont="1" applyFill="1" applyBorder="1" applyAlignment="1" applyProtection="1">
      <alignment horizontal="center" vertical="center" shrinkToFit="1"/>
    </xf>
    <xf numFmtId="0" fontId="101" fillId="143" borderId="17" xfId="132" applyFont="1" applyFill="1" applyBorder="1" applyAlignment="1" applyProtection="1">
      <alignment horizontal="center" vertical="center" shrinkToFit="1"/>
    </xf>
    <xf numFmtId="0" fontId="51" fillId="56" borderId="1" xfId="158" applyFont="1" applyFill="1" applyBorder="1" applyAlignment="1">
      <alignment horizontal="center"/>
    </xf>
    <xf numFmtId="0" fontId="102" fillId="59" borderId="1" xfId="132" applyFont="1" applyFill="1" applyBorder="1" applyAlignment="1" applyProtection="1">
      <alignment horizontal="center" vertical="center" shrinkToFit="1"/>
    </xf>
    <xf numFmtId="0" fontId="141" fillId="144" borderId="1" xfId="158" applyFont="1" applyFill="1" applyBorder="1" applyAlignment="1">
      <alignment horizontal="center"/>
    </xf>
    <xf numFmtId="0" fontId="51" fillId="144" borderId="1" xfId="158" applyFont="1" applyFill="1" applyBorder="1" applyAlignment="1">
      <alignment horizontal="center"/>
    </xf>
    <xf numFmtId="0" fontId="51" fillId="38" borderId="1" xfId="158" applyFont="1" applyFill="1" applyBorder="1" applyAlignment="1">
      <alignment horizontal="center"/>
    </xf>
    <xf numFmtId="0" fontId="102" fillId="94" borderId="1" xfId="132" applyFont="1" applyFill="1" applyBorder="1" applyAlignment="1" applyProtection="1">
      <alignment horizontal="center" vertical="center" shrinkToFit="1"/>
    </xf>
    <xf numFmtId="0" fontId="101" fillId="80" borderId="1" xfId="132" applyFont="1" applyFill="1" applyBorder="1" applyAlignment="1" applyProtection="1">
      <alignment horizontal="center" vertical="center" shrinkToFit="1"/>
    </xf>
    <xf numFmtId="0" fontId="137" fillId="92" borderId="1" xfId="158" applyFont="1" applyFill="1" applyBorder="1" applyAlignment="1">
      <alignment horizontal="center"/>
    </xf>
    <xf numFmtId="0" fontId="102" fillId="145" borderId="1" xfId="132" applyFont="1" applyFill="1" applyBorder="1" applyAlignment="1" applyProtection="1">
      <alignment horizontal="center" vertical="center" shrinkToFit="1"/>
    </xf>
    <xf numFmtId="0" fontId="39" fillId="38" borderId="1" xfId="158" applyFont="1" applyFill="1" applyBorder="1" applyAlignment="1">
      <alignment horizontal="center"/>
    </xf>
    <xf numFmtId="0" fontId="139" fillId="137" borderId="1" xfId="132" applyFont="1" applyFill="1" applyBorder="1" applyAlignment="1" applyProtection="1">
      <alignment horizontal="center" vertical="center" shrinkToFit="1"/>
    </xf>
    <xf numFmtId="0" fontId="104" fillId="88" borderId="1" xfId="243" applyFont="1" applyFill="1" applyBorder="1" applyAlignment="1" applyProtection="1">
      <alignment horizontal="center"/>
    </xf>
    <xf numFmtId="0" fontId="101" fillId="146" borderId="1" xfId="132" applyFont="1" applyFill="1" applyBorder="1" applyAlignment="1" applyProtection="1">
      <alignment horizontal="center" vertical="center" shrinkToFit="1"/>
    </xf>
    <xf numFmtId="0" fontId="39" fillId="35" borderId="17" xfId="158" applyFont="1" applyFill="1" applyBorder="1" applyAlignment="1">
      <alignment horizontal="center"/>
    </xf>
    <xf numFmtId="0" fontId="141" fillId="0" borderId="1" xfId="158" applyFont="1" applyBorder="1" applyAlignment="1">
      <alignment horizontal="center"/>
    </xf>
    <xf numFmtId="0" fontId="51" fillId="147" borderId="1" xfId="158" applyFont="1" applyFill="1" applyBorder="1" applyAlignment="1">
      <alignment horizontal="center"/>
    </xf>
    <xf numFmtId="0" fontId="102" fillId="141" borderId="1" xfId="132" applyFont="1" applyFill="1" applyBorder="1" applyAlignment="1" applyProtection="1">
      <alignment horizontal="center" vertical="center" shrinkToFit="1"/>
    </xf>
    <xf numFmtId="0" fontId="51" fillId="35" borderId="1" xfId="158" applyFont="1" applyFill="1" applyBorder="1" applyAlignment="1">
      <alignment horizontal="center"/>
    </xf>
    <xf numFmtId="0" fontId="44" fillId="60" borderId="1" xfId="158" applyFont="1" applyFill="1" applyBorder="1" applyAlignment="1">
      <alignment horizontal="center"/>
    </xf>
    <xf numFmtId="0" fontId="101" fillId="148" borderId="1" xfId="132" applyFont="1" applyFill="1" applyBorder="1" applyAlignment="1" applyProtection="1">
      <alignment horizontal="center" vertical="center" shrinkToFit="1"/>
    </xf>
    <xf numFmtId="0" fontId="142" fillId="45" borderId="1" xfId="132" applyFont="1" applyFill="1" applyBorder="1" applyAlignment="1" applyProtection="1">
      <alignment horizontal="center" vertical="center" shrinkToFit="1"/>
    </xf>
    <xf numFmtId="0" fontId="143" fillId="45" borderId="1" xfId="132" applyFont="1" applyFill="1" applyBorder="1" applyAlignment="1" applyProtection="1">
      <alignment horizontal="center" vertical="center" shrinkToFit="1"/>
    </xf>
    <xf numFmtId="0" fontId="144" fillId="43" borderId="1" xfId="132" applyFont="1" applyFill="1" applyBorder="1" applyAlignment="1" applyProtection="1">
      <alignment horizontal="center" vertical="center" shrinkToFit="1"/>
    </xf>
    <xf numFmtId="0" fontId="44" fillId="149" borderId="1" xfId="158" applyFont="1" applyFill="1" applyBorder="1" applyAlignment="1">
      <alignment horizontal="center"/>
    </xf>
    <xf numFmtId="0" fontId="139" fillId="150" borderId="1" xfId="132" applyFont="1" applyFill="1" applyBorder="1" applyAlignment="1">
      <alignment horizontal="center" vertical="center" shrinkToFit="1"/>
      <protection locked="0"/>
    </xf>
    <xf numFmtId="0" fontId="101" fillId="151" borderId="1" xfId="132" applyFont="1" applyFill="1" applyBorder="1" applyAlignment="1" applyProtection="1">
      <alignment horizontal="center" vertical="center" shrinkToFit="1"/>
    </xf>
    <xf numFmtId="0" fontId="51" fillId="36" borderId="1" xfId="158" applyFont="1" applyFill="1" applyBorder="1" applyAlignment="1">
      <alignment horizontal="center"/>
    </xf>
    <xf numFmtId="0" fontId="102" fillId="41" borderId="1" xfId="132" applyFont="1" applyFill="1" applyBorder="1" applyAlignment="1" applyProtection="1">
      <alignment horizontal="center" vertical="center" shrinkToFit="1"/>
    </xf>
    <xf numFmtId="0" fontId="143" fillId="40" borderId="1" xfId="132" applyFont="1" applyFill="1" applyBorder="1" applyAlignment="1">
      <alignment horizontal="center" vertical="center" shrinkToFit="1"/>
      <protection locked="0"/>
    </xf>
    <xf numFmtId="0" fontId="139" fillId="152" borderId="1" xfId="132" applyFont="1" applyFill="1" applyBorder="1" applyAlignment="1" applyProtection="1">
      <alignment horizontal="center" vertical="center" shrinkToFit="1"/>
    </xf>
    <xf numFmtId="0" fontId="51" fillId="153" borderId="1" xfId="158" applyFont="1" applyFill="1" applyBorder="1" applyAlignment="1">
      <alignment horizontal="center"/>
    </xf>
    <xf numFmtId="0" fontId="51" fillId="43" borderId="1" xfId="158" applyFont="1" applyFill="1" applyBorder="1" applyAlignment="1">
      <alignment horizontal="center"/>
    </xf>
    <xf numFmtId="0" fontId="39" fillId="56" borderId="1" xfId="243" applyFont="1" applyFill="1" applyBorder="1" applyAlignment="1" applyProtection="1">
      <alignment horizontal="center"/>
    </xf>
    <xf numFmtId="0" fontId="51" fillId="40" borderId="1" xfId="158" applyFont="1" applyFill="1" applyBorder="1" applyAlignment="1">
      <alignment horizontal="center"/>
    </xf>
    <xf numFmtId="0" fontId="51" fillId="80" borderId="1" xfId="158" applyFont="1" applyFill="1" applyBorder="1" applyAlignment="1">
      <alignment horizontal="center"/>
    </xf>
    <xf numFmtId="0" fontId="139" fillId="154" borderId="1" xfId="132" applyFont="1" applyFill="1" applyBorder="1" applyAlignment="1" applyProtection="1">
      <alignment horizontal="center" vertical="center" shrinkToFit="1"/>
    </xf>
    <xf numFmtId="0" fontId="139" fillId="155" borderId="1" xfId="132" applyFont="1" applyFill="1" applyBorder="1" applyAlignment="1" applyProtection="1">
      <alignment horizontal="center" vertical="center" shrinkToFit="1"/>
    </xf>
    <xf numFmtId="0" fontId="101" fillId="156" borderId="1" xfId="132" applyFont="1" applyFill="1" applyBorder="1" applyAlignment="1" applyProtection="1">
      <alignment horizontal="center" vertical="center" shrinkToFit="1"/>
    </xf>
    <xf numFmtId="0" fontId="99" fillId="41" borderId="1" xfId="243" applyFont="1" applyFill="1" applyBorder="1" applyAlignment="1" applyProtection="1">
      <alignment horizontal="center"/>
    </xf>
    <xf numFmtId="0" fontId="51" fillId="68" borderId="1" xfId="158" applyFont="1" applyFill="1" applyBorder="1" applyAlignment="1">
      <alignment horizontal="center"/>
    </xf>
    <xf numFmtId="0" fontId="51" fillId="101" borderId="1" xfId="243" applyFont="1" applyFill="1" applyBorder="1" applyAlignment="1" applyProtection="1">
      <alignment horizontal="center"/>
    </xf>
    <xf numFmtId="0" fontId="51" fillId="157" borderId="1" xfId="158" applyFont="1" applyFill="1" applyBorder="1" applyAlignment="1">
      <alignment horizontal="center"/>
    </xf>
    <xf numFmtId="0" fontId="139" fillId="158" borderId="1" xfId="132" applyFont="1" applyFill="1" applyBorder="1" applyAlignment="1" applyProtection="1">
      <alignment horizontal="center" vertical="center" shrinkToFit="1"/>
    </xf>
    <xf numFmtId="0" fontId="101" fillId="159" borderId="1" xfId="132" applyFont="1" applyFill="1" applyBorder="1" applyAlignment="1" applyProtection="1">
      <alignment horizontal="center" vertical="center" shrinkToFit="1"/>
    </xf>
    <xf numFmtId="0" fontId="51" fillId="104" borderId="1" xfId="158" applyFont="1" applyFill="1" applyBorder="1" applyAlignment="1">
      <alignment horizontal="center"/>
    </xf>
    <xf numFmtId="0" fontId="51" fillId="160" borderId="1" xfId="158" applyFont="1" applyFill="1" applyBorder="1" applyAlignment="1">
      <alignment horizontal="center"/>
    </xf>
    <xf numFmtId="0" fontId="51" fillId="90" borderId="1" xfId="158" applyFont="1" applyFill="1" applyBorder="1" applyAlignment="1">
      <alignment horizontal="center"/>
    </xf>
    <xf numFmtId="0" fontId="101" fillId="138" borderId="1" xfId="132" applyFont="1" applyFill="1" applyBorder="1" applyAlignment="1" applyProtection="1">
      <alignment horizontal="center" vertical="center" shrinkToFit="1"/>
    </xf>
    <xf numFmtId="0" fontId="143" fillId="161" borderId="1" xfId="132" applyFont="1" applyFill="1" applyBorder="1" applyAlignment="1" applyProtection="1">
      <alignment horizontal="center" vertical="center" shrinkToFit="1"/>
    </xf>
    <xf numFmtId="0" fontId="101" fillId="162" borderId="1" xfId="132" applyFont="1" applyFill="1" applyBorder="1" applyAlignment="1" applyProtection="1">
      <alignment horizontal="center" vertical="center" shrinkToFit="1"/>
    </xf>
    <xf numFmtId="0" fontId="102" fillId="44" borderId="1" xfId="132" applyFont="1" applyFill="1" applyBorder="1" applyAlignment="1" applyProtection="1">
      <alignment horizontal="center" vertical="center" shrinkToFit="1"/>
    </xf>
    <xf numFmtId="0" fontId="51" fillId="88" borderId="1" xfId="158" applyFont="1" applyFill="1" applyBorder="1" applyAlignment="1">
      <alignment horizontal="center"/>
    </xf>
    <xf numFmtId="171" fontId="1" fillId="0" borderId="74" xfId="216" applyNumberFormat="1" applyBorder="1" applyAlignment="1" applyProtection="1">
      <alignment horizontal="center" vertical="center"/>
    </xf>
    <xf numFmtId="173" fontId="77" fillId="0" borderId="3" xfId="158" applyNumberFormat="1" applyFont="1" applyBorder="1" applyAlignment="1">
      <alignment horizontal="center" vertical="center"/>
    </xf>
    <xf numFmtId="173" fontId="114" fillId="163" borderId="1" xfId="132" applyNumberFormat="1" applyFont="1" applyFill="1" applyBorder="1" applyAlignment="1" applyProtection="1">
      <alignment vertical="center" shrinkToFit="1"/>
    </xf>
    <xf numFmtId="0" fontId="69" fillId="42" borderId="0" xfId="158" applyFont="1" applyFill="1" applyAlignment="1">
      <alignment horizontal="center" vertical="center"/>
    </xf>
    <xf numFmtId="0" fontId="50" fillId="0" borderId="68" xfId="151" applyFont="1" applyBorder="1" applyAlignment="1">
      <alignment horizontal="center" vertical="center"/>
    </xf>
    <xf numFmtId="0" fontId="2" fillId="0" borderId="18" xfId="158" applyBorder="1" applyAlignment="1">
      <alignment vertical="center"/>
    </xf>
    <xf numFmtId="0" fontId="56" fillId="35" borderId="18" xfId="158" applyFont="1" applyFill="1" applyBorder="1" applyAlignment="1">
      <alignment vertical="center"/>
    </xf>
    <xf numFmtId="0" fontId="10" fillId="35" borderId="18" xfId="151" applyFill="1" applyBorder="1" applyAlignment="1">
      <alignment vertical="center"/>
    </xf>
    <xf numFmtId="0" fontId="40" fillId="0" borderId="26" xfId="141" applyFont="1" applyBorder="1" applyAlignment="1" applyProtection="1">
      <alignment horizontal="center" vertical="center" shrinkToFit="1"/>
    </xf>
    <xf numFmtId="0" fontId="101" fillId="0" borderId="1" xfId="132" applyFont="1" applyBorder="1" applyAlignment="1" applyProtection="1">
      <alignment horizontal="center" vertical="center" shrinkToFit="1"/>
    </xf>
    <xf numFmtId="0" fontId="102" fillId="0" borderId="1" xfId="132" applyFont="1" applyBorder="1" applyAlignment="1" applyProtection="1">
      <alignment horizontal="center" vertical="center" shrinkToFit="1"/>
    </xf>
    <xf numFmtId="0" fontId="73" fillId="0" borderId="43" xfId="244" applyFont="1" applyBorder="1" applyAlignment="1" applyProtection="1">
      <alignment vertical="center"/>
    </xf>
    <xf numFmtId="0" fontId="105" fillId="0" borderId="1" xfId="132" applyFont="1" applyBorder="1" applyAlignment="1" applyProtection="1">
      <alignment horizontal="center" vertical="center" shrinkToFit="1"/>
    </xf>
    <xf numFmtId="0" fontId="21" fillId="0" borderId="0" xfId="0" applyFont="1" applyAlignment="1">
      <alignment vertical="center"/>
    </xf>
    <xf numFmtId="0" fontId="36" fillId="46" borderId="0" xfId="148" applyFont="1" applyFill="1" applyAlignment="1"/>
    <xf numFmtId="0" fontId="0" fillId="0" borderId="0" xfId="0" applyAlignment="1">
      <alignment vertical="center"/>
    </xf>
    <xf numFmtId="0" fontId="84" fillId="35" borderId="0" xfId="148" applyFont="1" applyFill="1" applyAlignment="1">
      <alignment horizontal="center" vertical="center"/>
    </xf>
    <xf numFmtId="0" fontId="62" fillId="35" borderId="0" xfId="148" applyFont="1" applyFill="1" applyAlignment="1">
      <alignment horizontal="center" vertical="center"/>
    </xf>
    <xf numFmtId="0" fontId="54" fillId="0" borderId="0" xfId="158" applyFont="1" applyAlignment="1">
      <alignment horizontal="center" vertical="center"/>
    </xf>
    <xf numFmtId="0" fontId="21" fillId="0" borderId="0" xfId="158" applyFont="1"/>
    <xf numFmtId="0" fontId="31" fillId="0" borderId="0" xfId="158" applyFont="1" applyAlignment="1">
      <alignment horizontal="right" vertical="center"/>
    </xf>
    <xf numFmtId="0" fontId="21" fillId="0" borderId="0" xfId="158" applyFont="1" applyAlignment="1">
      <alignment horizontal="right"/>
    </xf>
    <xf numFmtId="0" fontId="56" fillId="0" borderId="0" xfId="158" applyFont="1" applyAlignment="1">
      <alignment horizontal="center" vertical="center"/>
    </xf>
    <xf numFmtId="0" fontId="45" fillId="0" borderId="0" xfId="151" applyFont="1" applyAlignment="1">
      <alignment horizontal="center" vertical="center"/>
    </xf>
    <xf numFmtId="0" fontId="78" fillId="0" borderId="36" xfId="151" applyFont="1" applyBorder="1" applyAlignment="1">
      <alignment horizontal="center"/>
    </xf>
    <xf numFmtId="0" fontId="44" fillId="0" borderId="17" xfId="243" applyFont="1" applyBorder="1" applyAlignment="1" applyProtection="1">
      <alignment horizontal="center"/>
    </xf>
    <xf numFmtId="0" fontId="51" fillId="0" borderId="36" xfId="243" applyFont="1" applyBorder="1" applyAlignment="1" applyProtection="1">
      <alignment horizontal="center"/>
    </xf>
    <xf numFmtId="0" fontId="51" fillId="0" borderId="17" xfId="243" applyFont="1" applyBorder="1" applyAlignment="1" applyProtection="1">
      <alignment horizontal="center"/>
    </xf>
    <xf numFmtId="0" fontId="39" fillId="0" borderId="36" xfId="243" applyFont="1" applyBorder="1" applyAlignment="1" applyProtection="1">
      <alignment horizontal="center"/>
    </xf>
    <xf numFmtId="0" fontId="44" fillId="0" borderId="1" xfId="243" applyFont="1" applyBorder="1" applyAlignment="1" applyProtection="1">
      <alignment horizontal="center"/>
    </xf>
    <xf numFmtId="0" fontId="51" fillId="0" borderId="1" xfId="158" applyFont="1" applyBorder="1" applyAlignment="1">
      <alignment horizontal="center"/>
    </xf>
    <xf numFmtId="0" fontId="51" fillId="0" borderId="1" xfId="243" applyFont="1" applyBorder="1" applyAlignment="1" applyProtection="1">
      <alignment horizontal="center"/>
    </xf>
    <xf numFmtId="0" fontId="65" fillId="0" borderId="0" xfId="158" applyFont="1" applyAlignment="1">
      <alignment horizontal="center" vertical="center"/>
    </xf>
    <xf numFmtId="0" fontId="68" fillId="0" borderId="1" xfId="243" applyFont="1" applyBorder="1" applyAlignment="1" applyProtection="1">
      <alignment horizontal="center"/>
    </xf>
    <xf numFmtId="0" fontId="50" fillId="0" borderId="0" xfId="151" applyFont="1" applyAlignment="1">
      <alignment vertical="center" wrapText="1"/>
    </xf>
    <xf numFmtId="0" fontId="50" fillId="0" borderId="0" xfId="151" applyFont="1" applyAlignment="1">
      <alignment vertical="center"/>
    </xf>
    <xf numFmtId="0" fontId="52" fillId="0" borderId="0" xfId="158" applyFont="1" applyAlignment="1">
      <alignment horizontal="center"/>
    </xf>
    <xf numFmtId="0" fontId="21" fillId="0" borderId="0" xfId="151" applyFont="1"/>
    <xf numFmtId="0" fontId="94" fillId="0" borderId="0" xfId="151" applyFont="1" applyAlignment="1">
      <alignment horizontal="center" vertical="center" shrinkToFit="1"/>
    </xf>
    <xf numFmtId="0" fontId="95" fillId="0" borderId="0" xfId="151" applyFont="1" applyAlignment="1">
      <alignment horizontal="center" vertical="center" shrinkToFit="1"/>
    </xf>
    <xf numFmtId="0" fontId="71" fillId="0" borderId="30" xfId="158" applyFont="1" applyBorder="1" applyAlignment="1">
      <alignment horizontal="center" vertical="center"/>
    </xf>
    <xf numFmtId="0" fontId="71" fillId="0" borderId="31" xfId="158" applyFont="1" applyBorder="1" applyAlignment="1">
      <alignment horizontal="center" vertical="center"/>
    </xf>
    <xf numFmtId="0" fontId="71" fillId="0" borderId="33" xfId="158" applyFont="1" applyBorder="1" applyAlignment="1">
      <alignment horizontal="center" vertical="center"/>
    </xf>
    <xf numFmtId="0" fontId="71" fillId="0" borderId="34" xfId="158" applyFont="1" applyBorder="1" applyAlignment="1">
      <alignment horizontal="center" vertical="center"/>
    </xf>
    <xf numFmtId="0" fontId="71" fillId="0" borderId="37" xfId="158" applyFont="1" applyBorder="1" applyAlignment="1">
      <alignment horizontal="center" vertical="center"/>
    </xf>
    <xf numFmtId="0" fontId="71" fillId="0" borderId="38" xfId="158" applyFont="1" applyBorder="1" applyAlignment="1">
      <alignment horizontal="center" vertical="center"/>
    </xf>
    <xf numFmtId="0" fontId="100" fillId="0" borderId="0" xfId="158" applyFont="1" applyAlignment="1">
      <alignment vertical="center"/>
    </xf>
    <xf numFmtId="0" fontId="39" fillId="0" borderId="0" xfId="158" applyFont="1"/>
    <xf numFmtId="0" fontId="44" fillId="0" borderId="15" xfId="243" applyFont="1" applyBorder="1" applyAlignment="1" applyProtection="1">
      <alignment horizontal="center"/>
    </xf>
    <xf numFmtId="0" fontId="34" fillId="0" borderId="0" xfId="151" applyFont="1" applyAlignment="1">
      <alignment vertical="center"/>
    </xf>
    <xf numFmtId="0" fontId="75" fillId="0" borderId="0" xfId="151" applyFont="1" applyAlignment="1">
      <alignment horizontal="center" vertical="center"/>
    </xf>
    <xf numFmtId="0" fontId="63" fillId="0" borderId="0" xfId="151" applyFont="1" applyAlignment="1">
      <alignment horizontal="center" vertical="center" shrinkToFit="1"/>
    </xf>
    <xf numFmtId="0" fontId="68" fillId="0" borderId="1" xfId="243" applyFont="1" applyBorder="1" applyAlignment="1" applyProtection="1">
      <alignment horizontal="center" vertical="center"/>
    </xf>
    <xf numFmtId="0" fontId="44" fillId="0" borderId="48" xfId="243" applyFont="1" applyBorder="1" applyAlignment="1" applyProtection="1">
      <alignment horizontal="center" vertical="center"/>
    </xf>
    <xf numFmtId="0" fontId="36" fillId="0" borderId="0" xfId="151" applyFont="1" applyAlignment="1">
      <alignment horizontal="center"/>
    </xf>
    <xf numFmtId="0" fontId="75" fillId="35" borderId="23" xfId="151" applyFont="1" applyFill="1" applyBorder="1" applyAlignment="1">
      <alignment horizontal="center" vertical="center"/>
    </xf>
    <xf numFmtId="0" fontId="75" fillId="35" borderId="24" xfId="151" applyFont="1" applyFill="1" applyBorder="1" applyAlignment="1">
      <alignment horizontal="center" vertical="center"/>
    </xf>
    <xf numFmtId="0" fontId="75" fillId="35" borderId="25" xfId="151" applyFont="1" applyFill="1" applyBorder="1" applyAlignment="1">
      <alignment horizontal="center" vertical="center"/>
    </xf>
    <xf numFmtId="0" fontId="75" fillId="35" borderId="32" xfId="151" applyFont="1" applyFill="1" applyBorder="1" applyAlignment="1">
      <alignment horizontal="center" vertical="center"/>
    </xf>
    <xf numFmtId="0" fontId="75" fillId="35" borderId="0" xfId="151" applyFont="1" applyFill="1" applyAlignment="1">
      <alignment horizontal="center" vertical="center"/>
    </xf>
    <xf numFmtId="0" fontId="75" fillId="35" borderId="29" xfId="151" applyFont="1" applyFill="1" applyBorder="1" applyAlignment="1">
      <alignment horizontal="center" vertical="center"/>
    </xf>
    <xf numFmtId="0" fontId="75" fillId="35" borderId="35" xfId="151" applyFont="1" applyFill="1" applyBorder="1" applyAlignment="1">
      <alignment horizontal="center" vertical="center"/>
    </xf>
    <xf numFmtId="0" fontId="75" fillId="35" borderId="18" xfId="151" applyFont="1" applyFill="1" applyBorder="1" applyAlignment="1">
      <alignment horizontal="center" vertical="center"/>
    </xf>
    <xf numFmtId="0" fontId="75" fillId="35" borderId="39" xfId="151" applyFont="1" applyFill="1" applyBorder="1" applyAlignment="1">
      <alignment horizontal="center" vertical="center"/>
    </xf>
    <xf numFmtId="0" fontId="50" fillId="0" borderId="51" xfId="151" applyFont="1" applyBorder="1" applyAlignment="1">
      <alignment horizontal="center"/>
    </xf>
    <xf numFmtId="0" fontId="50" fillId="0" borderId="0" xfId="151" applyFont="1" applyAlignment="1">
      <alignment horizontal="center"/>
    </xf>
    <xf numFmtId="0" fontId="50" fillId="0" borderId="52" xfId="151" applyFont="1" applyBorder="1" applyAlignment="1">
      <alignment horizontal="center"/>
    </xf>
    <xf numFmtId="0" fontId="34" fillId="35" borderId="24" xfId="151" applyFont="1" applyFill="1" applyBorder="1" applyAlignment="1">
      <alignment horizontal="center"/>
    </xf>
    <xf numFmtId="0" fontId="36" fillId="35" borderId="0" xfId="151" applyFont="1" applyFill="1" applyAlignment="1">
      <alignment horizontal="center"/>
    </xf>
    <xf numFmtId="0" fontId="36" fillId="35" borderId="45" xfId="151" applyFont="1" applyFill="1" applyBorder="1" applyAlignment="1">
      <alignment horizontal="center"/>
    </xf>
    <xf numFmtId="0" fontId="53" fillId="35" borderId="0" xfId="158" applyFont="1" applyFill="1" applyAlignment="1">
      <alignment horizontal="center" vertical="center"/>
    </xf>
    <xf numFmtId="0" fontId="53" fillId="35" borderId="0" xfId="151" applyFont="1" applyFill="1" applyAlignment="1">
      <alignment horizontal="center" vertical="center"/>
    </xf>
    <xf numFmtId="0" fontId="36" fillId="35" borderId="0" xfId="244" applyFont="1" applyFill="1" applyAlignment="1" applyProtection="1">
      <alignment horizontal="center" vertical="center"/>
    </xf>
    <xf numFmtId="0" fontId="56" fillId="35" borderId="0" xfId="244" applyFont="1" applyFill="1" applyAlignment="1" applyProtection="1">
      <alignment horizontal="center" vertical="center"/>
    </xf>
    <xf numFmtId="0" fontId="34" fillId="79" borderId="0" xfId="158" applyFont="1" applyFill="1" applyAlignment="1">
      <alignment horizontal="center" vertical="center"/>
    </xf>
    <xf numFmtId="0" fontId="56" fillId="0" borderId="0" xfId="244" applyFont="1" applyAlignment="1" applyProtection="1">
      <alignment horizontal="center" vertical="center"/>
    </xf>
    <xf numFmtId="0" fontId="34" fillId="35" borderId="0" xfId="151" applyFont="1" applyFill="1" applyAlignment="1">
      <alignment horizontal="center" vertical="center"/>
    </xf>
    <xf numFmtId="0" fontId="97" fillId="35" borderId="4" xfId="151" applyFont="1" applyFill="1" applyBorder="1" applyAlignment="1">
      <alignment horizontal="center" vertical="center" shrinkToFit="1"/>
    </xf>
    <xf numFmtId="0" fontId="97" fillId="35" borderId="19" xfId="151" applyFont="1" applyFill="1" applyBorder="1" applyAlignment="1">
      <alignment horizontal="center" vertical="center" shrinkToFit="1"/>
    </xf>
    <xf numFmtId="0" fontId="97" fillId="35" borderId="5" xfId="151" applyFont="1" applyFill="1" applyBorder="1" applyAlignment="1">
      <alignment horizontal="center" vertical="center" shrinkToFit="1"/>
    </xf>
    <xf numFmtId="0" fontId="36" fillId="35" borderId="18" xfId="244" applyFont="1" applyFill="1" applyBorder="1" applyAlignment="1" applyProtection="1">
      <alignment horizontal="center" vertical="center"/>
    </xf>
    <xf numFmtId="0" fontId="105" fillId="35" borderId="23" xfId="132" applyFont="1" applyFill="1" applyBorder="1" applyAlignment="1" applyProtection="1">
      <alignment horizontal="center" vertical="center" shrinkToFit="1"/>
    </xf>
    <xf numFmtId="0" fontId="105" fillId="35" borderId="24" xfId="132" applyFont="1" applyFill="1" applyBorder="1" applyAlignment="1" applyProtection="1">
      <alignment horizontal="center" vertical="center" shrinkToFit="1"/>
    </xf>
    <xf numFmtId="0" fontId="105" fillId="35" borderId="25" xfId="132" applyFont="1" applyFill="1" applyBorder="1" applyAlignment="1" applyProtection="1">
      <alignment horizontal="center" vertical="center" shrinkToFit="1"/>
    </xf>
    <xf numFmtId="0" fontId="105" fillId="35" borderId="32" xfId="132" applyFont="1" applyFill="1" applyBorder="1" applyAlignment="1" applyProtection="1">
      <alignment horizontal="center" vertical="center" shrinkToFit="1"/>
    </xf>
    <xf numFmtId="0" fontId="105" fillId="35" borderId="0" xfId="132" applyFont="1" applyFill="1" applyAlignment="1" applyProtection="1">
      <alignment horizontal="center" vertical="center" shrinkToFit="1"/>
    </xf>
    <xf numFmtId="0" fontId="105" fillId="35" borderId="29" xfId="132" applyFont="1" applyFill="1" applyBorder="1" applyAlignment="1" applyProtection="1">
      <alignment horizontal="center" vertical="center" shrinkToFit="1"/>
    </xf>
    <xf numFmtId="0" fontId="105" fillId="35" borderId="35" xfId="132" applyFont="1" applyFill="1" applyBorder="1" applyAlignment="1" applyProtection="1">
      <alignment horizontal="center" vertical="center" shrinkToFit="1"/>
    </xf>
    <xf numFmtId="0" fontId="105" fillId="35" borderId="18" xfId="132" applyFont="1" applyFill="1" applyBorder="1" applyAlignment="1" applyProtection="1">
      <alignment horizontal="center" vertical="center" shrinkToFit="1"/>
    </xf>
    <xf numFmtId="0" fontId="105" fillId="35" borderId="39" xfId="132" applyFont="1" applyFill="1" applyBorder="1" applyAlignment="1" applyProtection="1">
      <alignment horizontal="center" vertical="center" shrinkToFit="1"/>
    </xf>
    <xf numFmtId="0" fontId="75" fillId="35" borderId="42" xfId="151" applyFont="1" applyFill="1" applyBorder="1" applyAlignment="1">
      <alignment horizontal="center" vertical="center" textRotation="90" wrapText="1"/>
    </xf>
    <xf numFmtId="0" fontId="75" fillId="35" borderId="44" xfId="151" applyFont="1" applyFill="1" applyBorder="1" applyAlignment="1">
      <alignment horizontal="center" vertical="center" textRotation="90" wrapText="1"/>
    </xf>
    <xf numFmtId="0" fontId="75" fillId="35" borderId="46" xfId="151" applyFont="1" applyFill="1" applyBorder="1" applyAlignment="1">
      <alignment horizontal="center" vertical="center" textRotation="90" wrapText="1"/>
    </xf>
    <xf numFmtId="0" fontId="56" fillId="35" borderId="0" xfId="151" applyFont="1" applyFill="1" applyAlignment="1">
      <alignment horizontal="center"/>
    </xf>
    <xf numFmtId="0" fontId="77" fillId="35" borderId="23" xfId="151" applyFont="1" applyFill="1" applyBorder="1" applyAlignment="1">
      <alignment horizontal="center" vertical="center"/>
    </xf>
    <xf numFmtId="0" fontId="77" fillId="35" borderId="24" xfId="151" applyFont="1" applyFill="1" applyBorder="1" applyAlignment="1">
      <alignment horizontal="center" vertical="center"/>
    </xf>
    <xf numFmtId="0" fontId="77" fillId="35" borderId="25" xfId="151" applyFont="1" applyFill="1" applyBorder="1" applyAlignment="1">
      <alignment horizontal="center" vertical="center"/>
    </xf>
    <xf numFmtId="0" fontId="77" fillId="35" borderId="32" xfId="151" applyFont="1" applyFill="1" applyBorder="1" applyAlignment="1">
      <alignment horizontal="center" vertical="center"/>
    </xf>
    <xf numFmtId="0" fontId="77" fillId="35" borderId="0" xfId="151" applyFont="1" applyFill="1" applyAlignment="1">
      <alignment horizontal="center" vertical="center"/>
    </xf>
    <xf numFmtId="0" fontId="77" fillId="35" borderId="29" xfId="151" applyFont="1" applyFill="1" applyBorder="1" applyAlignment="1">
      <alignment horizontal="center" vertical="center"/>
    </xf>
    <xf numFmtId="0" fontId="77" fillId="35" borderId="35" xfId="151" applyFont="1" applyFill="1" applyBorder="1" applyAlignment="1">
      <alignment horizontal="center" vertical="center"/>
    </xf>
    <xf numFmtId="0" fontId="77" fillId="35" borderId="18" xfId="151" applyFont="1" applyFill="1" applyBorder="1" applyAlignment="1">
      <alignment horizontal="center" vertical="center"/>
    </xf>
    <xf numFmtId="0" fontId="77" fillId="35" borderId="39" xfId="151" applyFont="1" applyFill="1" applyBorder="1" applyAlignment="1">
      <alignment horizontal="center" vertical="center"/>
    </xf>
    <xf numFmtId="1" fontId="40" fillId="0" borderId="45" xfId="158" applyNumberFormat="1" applyFont="1" applyBorder="1" applyAlignment="1">
      <alignment horizontal="center" vertical="center" wrapText="1"/>
    </xf>
    <xf numFmtId="1" fontId="40" fillId="0" borderId="0" xfId="158" applyNumberFormat="1" applyFont="1" applyAlignment="1">
      <alignment horizontal="center" vertical="center" wrapText="1"/>
    </xf>
    <xf numFmtId="0" fontId="84" fillId="35" borderId="0" xfId="151" applyFont="1" applyFill="1" applyAlignment="1">
      <alignment horizontal="center"/>
    </xf>
    <xf numFmtId="0" fontId="56" fillId="0" borderId="16" xfId="244" applyFont="1" applyBorder="1" applyAlignment="1" applyProtection="1">
      <alignment horizontal="center" vertical="center"/>
    </xf>
    <xf numFmtId="0" fontId="73" fillId="35" borderId="0" xfId="244" applyFont="1" applyFill="1" applyAlignment="1" applyProtection="1">
      <alignment horizontal="center" vertical="center"/>
    </xf>
    <xf numFmtId="0" fontId="33" fillId="41" borderId="4" xfId="151" applyFont="1" applyFill="1" applyBorder="1" applyAlignment="1">
      <alignment horizontal="center" vertical="center"/>
    </xf>
    <xf numFmtId="0" fontId="33" fillId="41" borderId="19" xfId="151" applyFont="1" applyFill="1" applyBorder="1" applyAlignment="1">
      <alignment horizontal="center" vertical="center"/>
    </xf>
    <xf numFmtId="0" fontId="33" fillId="41" borderId="5" xfId="151" applyFont="1" applyFill="1" applyBorder="1" applyAlignment="1">
      <alignment horizontal="center" vertical="center"/>
    </xf>
    <xf numFmtId="0" fontId="34" fillId="35" borderId="4" xfId="151" applyFont="1" applyFill="1" applyBorder="1" applyAlignment="1">
      <alignment horizontal="center" vertical="center"/>
    </xf>
    <xf numFmtId="0" fontId="34" fillId="35" borderId="5" xfId="151" applyFont="1" applyFill="1" applyBorder="1" applyAlignment="1">
      <alignment horizontal="center" vertical="center"/>
    </xf>
    <xf numFmtId="0" fontId="36" fillId="35" borderId="20" xfId="151" applyFont="1" applyFill="1" applyBorder="1" applyAlignment="1">
      <alignment horizontal="center"/>
    </xf>
    <xf numFmtId="0" fontId="36" fillId="35" borderId="21" xfId="151" applyFont="1" applyFill="1" applyBorder="1" applyAlignment="1">
      <alignment horizontal="center"/>
    </xf>
    <xf numFmtId="0" fontId="36" fillId="35" borderId="22" xfId="151" applyFont="1" applyFill="1" applyBorder="1" applyAlignment="1">
      <alignment horizontal="center"/>
    </xf>
    <xf numFmtId="0" fontId="36" fillId="46" borderId="22" xfId="151" applyFont="1" applyFill="1" applyBorder="1" applyAlignment="1">
      <alignment horizontal="center"/>
    </xf>
    <xf numFmtId="0" fontId="52" fillId="35" borderId="30" xfId="151" applyFont="1" applyFill="1" applyBorder="1" applyAlignment="1">
      <alignment horizontal="center" vertical="center"/>
    </xf>
    <xf numFmtId="0" fontId="52" fillId="35" borderId="31" xfId="151" applyFont="1" applyFill="1" applyBorder="1" applyAlignment="1">
      <alignment horizontal="center" vertical="center"/>
    </xf>
    <xf numFmtId="0" fontId="52" fillId="35" borderId="33" xfId="151" applyFont="1" applyFill="1" applyBorder="1" applyAlignment="1">
      <alignment horizontal="center" vertical="center"/>
    </xf>
    <xf numFmtId="0" fontId="52" fillId="35" borderId="34" xfId="151" applyFont="1" applyFill="1" applyBorder="1" applyAlignment="1">
      <alignment horizontal="center" vertical="center"/>
    </xf>
    <xf numFmtId="0" fontId="52" fillId="35" borderId="37" xfId="151" applyFont="1" applyFill="1" applyBorder="1" applyAlignment="1">
      <alignment horizontal="center" vertical="center"/>
    </xf>
    <xf numFmtId="0" fontId="52" fillId="35" borderId="38" xfId="151" applyFont="1" applyFill="1" applyBorder="1" applyAlignment="1">
      <alignment horizontal="center" vertical="center"/>
    </xf>
    <xf numFmtId="0" fontId="53" fillId="35" borderId="23" xfId="151" applyFont="1" applyFill="1" applyBorder="1" applyAlignment="1">
      <alignment horizontal="center" vertical="center"/>
    </xf>
    <xf numFmtId="0" fontId="53" fillId="35" borderId="24" xfId="151" applyFont="1" applyFill="1" applyBorder="1" applyAlignment="1">
      <alignment horizontal="center" vertical="center"/>
    </xf>
    <xf numFmtId="0" fontId="53" fillId="35" borderId="32" xfId="151" applyFont="1" applyFill="1" applyBorder="1" applyAlignment="1">
      <alignment horizontal="center" vertical="center"/>
    </xf>
    <xf numFmtId="0" fontId="53" fillId="35" borderId="35" xfId="151" applyFont="1" applyFill="1" applyBorder="1" applyAlignment="1">
      <alignment horizontal="center" vertical="center"/>
    </xf>
    <xf numFmtId="0" fontId="53" fillId="35" borderId="18" xfId="151" applyFont="1" applyFill="1" applyBorder="1" applyAlignment="1">
      <alignment horizontal="center" vertical="center"/>
    </xf>
    <xf numFmtId="0" fontId="102" fillId="0" borderId="1" xfId="158" applyFont="1" applyBorder="1" applyAlignment="1">
      <alignment horizontal="left" vertical="center" wrapText="1" shrinkToFit="1"/>
    </xf>
    <xf numFmtId="0" fontId="146" fillId="0" borderId="15" xfId="141" applyFont="1" applyBorder="1" applyAlignment="1" applyProtection="1">
      <alignment horizontal="left" vertical="center" shrinkToFit="1"/>
    </xf>
    <xf numFmtId="0" fontId="146" fillId="0" borderId="59" xfId="141" applyFont="1" applyBorder="1" applyAlignment="1" applyProtection="1">
      <alignment horizontal="left" vertical="center" shrinkToFit="1"/>
    </xf>
    <xf numFmtId="0" fontId="146" fillId="0" borderId="17" xfId="141" applyFont="1" applyBorder="1" applyAlignment="1" applyProtection="1">
      <alignment horizontal="left" vertical="center" shrinkToFit="1"/>
    </xf>
    <xf numFmtId="0" fontId="60" fillId="0" borderId="4" xfId="158" applyFont="1" applyBorder="1" applyAlignment="1">
      <alignment horizontal="center" vertical="center" wrapText="1" shrinkToFit="1"/>
    </xf>
    <xf numFmtId="0" fontId="60" fillId="0" borderId="19" xfId="158" applyFont="1" applyBorder="1" applyAlignment="1">
      <alignment horizontal="center" vertical="center" wrapText="1" shrinkToFit="1"/>
    </xf>
    <xf numFmtId="0" fontId="60" fillId="0" borderId="5" xfId="158" applyFont="1" applyBorder="1" applyAlignment="1">
      <alignment horizontal="center" vertical="center" wrapText="1" shrinkToFit="1"/>
    </xf>
    <xf numFmtId="0" fontId="102" fillId="0" borderId="75" xfId="158" applyFont="1" applyBorder="1" applyAlignment="1">
      <alignment horizontal="left" vertical="center" wrapText="1" shrinkToFit="1"/>
    </xf>
    <xf numFmtId="0" fontId="102" fillId="0" borderId="76" xfId="158" applyFont="1" applyBorder="1" applyAlignment="1">
      <alignment horizontal="left" vertical="center" wrapText="1" shrinkToFit="1"/>
    </xf>
    <xf numFmtId="0" fontId="102" fillId="0" borderId="77" xfId="158" applyFont="1" applyBorder="1" applyAlignment="1">
      <alignment horizontal="left" vertical="center" wrapText="1" shrinkToFit="1"/>
    </xf>
    <xf numFmtId="0" fontId="137" fillId="0" borderId="15" xfId="120" applyFont="1" applyBorder="1" applyAlignment="1">
      <alignment horizontal="left" shrinkToFit="1"/>
    </xf>
    <xf numFmtId="0" fontId="137" fillId="0" borderId="17" xfId="120" applyFont="1" applyBorder="1" applyAlignment="1">
      <alignment horizontal="left" shrinkToFit="1"/>
    </xf>
    <xf numFmtId="0" fontId="145" fillId="35" borderId="0" xfId="158" applyFont="1" applyFill="1" applyAlignment="1" applyProtection="1">
      <alignment horizontal="center" vertical="center"/>
      <protection locked="0"/>
    </xf>
    <xf numFmtId="0" fontId="34" fillId="90" borderId="4" xfId="158" applyFont="1" applyFill="1" applyBorder="1" applyAlignment="1">
      <alignment horizontal="center" vertical="center"/>
    </xf>
    <xf numFmtId="0" fontId="34" fillId="90" borderId="19" xfId="158" applyFont="1" applyFill="1" applyBorder="1" applyAlignment="1">
      <alignment horizontal="center" vertical="center"/>
    </xf>
    <xf numFmtId="0" fontId="34" fillId="90" borderId="5" xfId="158" applyFont="1" applyFill="1" applyBorder="1" applyAlignment="1">
      <alignment horizontal="center" vertical="center"/>
    </xf>
    <xf numFmtId="0" fontId="118" fillId="0" borderId="4" xfId="158" applyFont="1" applyBorder="1" applyAlignment="1" applyProtection="1">
      <alignment horizontal="center"/>
      <protection locked="0"/>
    </xf>
    <xf numFmtId="0" fontId="118" fillId="0" borderId="19" xfId="158" applyFont="1" applyBorder="1" applyAlignment="1" applyProtection="1">
      <alignment horizontal="center"/>
      <protection locked="0"/>
    </xf>
    <xf numFmtId="0" fontId="118" fillId="0" borderId="5" xfId="158" applyFont="1" applyBorder="1" applyAlignment="1" applyProtection="1">
      <alignment horizontal="center"/>
      <protection locked="0"/>
    </xf>
    <xf numFmtId="171" fontId="71" fillId="45" borderId="4" xfId="158" applyNumberFormat="1" applyFont="1" applyFill="1" applyBorder="1" applyAlignment="1">
      <alignment horizontal="center" vertical="center"/>
    </xf>
    <xf numFmtId="171" fontId="71" fillId="45" borderId="5" xfId="158" applyNumberFormat="1" applyFont="1" applyFill="1" applyBorder="1" applyAlignment="1">
      <alignment horizontal="center" vertical="center"/>
    </xf>
    <xf numFmtId="0" fontId="101" fillId="45" borderId="69" xfId="132" applyFont="1" applyFill="1" applyBorder="1" applyAlignment="1">
      <alignment horizontal="center" vertical="center" shrinkToFit="1"/>
      <protection locked="0"/>
    </xf>
    <xf numFmtId="0" fontId="101" fillId="45" borderId="70" xfId="132" applyFont="1" applyFill="1" applyBorder="1" applyAlignment="1">
      <alignment horizontal="center" vertical="center" shrinkToFit="1"/>
      <protection locked="0"/>
    </xf>
    <xf numFmtId="0" fontId="101" fillId="45" borderId="59" xfId="132" applyFont="1" applyFill="1" applyBorder="1" applyAlignment="1">
      <alignment horizontal="center" vertical="center" shrinkToFit="1"/>
      <protection locked="0"/>
    </xf>
    <xf numFmtId="0" fontId="101" fillId="45" borderId="17" xfId="132" applyFont="1" applyFill="1" applyBorder="1" applyAlignment="1">
      <alignment horizontal="center" vertical="center" shrinkToFit="1"/>
      <protection locked="0"/>
    </xf>
    <xf numFmtId="0" fontId="137" fillId="0" borderId="15" xfId="120" applyFont="1" applyBorder="1" applyAlignment="1" applyProtection="1">
      <alignment horizontal="left" shrinkToFit="1"/>
      <protection locked="0"/>
    </xf>
    <xf numFmtId="0" fontId="137" fillId="0" borderId="71" xfId="120" applyFont="1" applyBorder="1" applyAlignment="1" applyProtection="1">
      <alignment horizontal="left" shrinkToFit="1"/>
      <protection locked="0"/>
    </xf>
    <xf numFmtId="0" fontId="101" fillId="45" borderId="68" xfId="132" applyFont="1" applyFill="1" applyBorder="1" applyAlignment="1">
      <alignment horizontal="center" vertical="center" shrinkToFit="1"/>
      <protection locked="0"/>
    </xf>
    <xf numFmtId="0" fontId="101" fillId="45" borderId="0" xfId="132" applyFont="1" applyFill="1" applyAlignment="1">
      <alignment horizontal="center" vertical="center" shrinkToFit="1"/>
      <protection locked="0"/>
    </xf>
    <xf numFmtId="0" fontId="119" fillId="45" borderId="0" xfId="158" applyFont="1" applyFill="1" applyAlignment="1" applyProtection="1">
      <alignment horizontal="center" vertical="center"/>
      <protection locked="0"/>
    </xf>
    <xf numFmtId="0" fontId="136" fillId="35" borderId="0" xfId="158" applyFont="1" applyFill="1" applyAlignment="1" applyProtection="1">
      <alignment horizontal="center" vertical="center"/>
      <protection locked="0"/>
    </xf>
    <xf numFmtId="0" fontId="102" fillId="0" borderId="15" xfId="141" applyFont="1" applyBorder="1" applyAlignment="1">
      <alignment horizontal="left" vertical="center" shrinkToFit="1"/>
      <protection locked="0"/>
    </xf>
    <xf numFmtId="0" fontId="102" fillId="0" borderId="59" xfId="141" applyFont="1" applyBorder="1" applyAlignment="1">
      <alignment horizontal="left" vertical="center" shrinkToFit="1"/>
      <protection locked="0"/>
    </xf>
    <xf numFmtId="0" fontId="102" fillId="0" borderId="61" xfId="141" applyFont="1" applyBorder="1" applyAlignment="1">
      <alignment horizontal="left" vertical="center" shrinkToFit="1"/>
      <protection locked="0"/>
    </xf>
    <xf numFmtId="0" fontId="102" fillId="0" borderId="62" xfId="141" applyFont="1" applyBorder="1" applyAlignment="1">
      <alignment horizontal="left" vertical="center" shrinkToFit="1"/>
      <protection locked="0"/>
    </xf>
    <xf numFmtId="0" fontId="102" fillId="0" borderId="63" xfId="141" applyFont="1" applyBorder="1" applyAlignment="1">
      <alignment horizontal="left" vertical="center" shrinkToFit="1"/>
      <protection locked="0"/>
    </xf>
    <xf numFmtId="0" fontId="102" fillId="89" borderId="15" xfId="141" applyFont="1" applyFill="1" applyBorder="1" applyAlignment="1">
      <alignment horizontal="left" vertical="center" shrinkToFit="1"/>
      <protection locked="0"/>
    </xf>
    <xf numFmtId="0" fontId="102" fillId="89" borderId="59" xfId="141" applyFont="1" applyFill="1" applyBorder="1" applyAlignment="1">
      <alignment horizontal="left" vertical="center" shrinkToFit="1"/>
      <protection locked="0"/>
    </xf>
    <xf numFmtId="0" fontId="21" fillId="0" borderId="59" xfId="158" applyFont="1" applyBorder="1" applyAlignment="1">
      <alignment horizontal="left" vertical="center" shrinkToFit="1"/>
    </xf>
    <xf numFmtId="0" fontId="102" fillId="89" borderId="57" xfId="132" applyFont="1" applyFill="1" applyBorder="1" applyAlignment="1">
      <alignment horizontal="center" vertical="center" shrinkToFit="1"/>
      <protection locked="0"/>
    </xf>
    <xf numFmtId="0" fontId="102" fillId="89" borderId="45" xfId="132" applyFont="1" applyFill="1" applyBorder="1" applyAlignment="1">
      <alignment horizontal="center" vertical="center" shrinkToFit="1"/>
      <protection locked="0"/>
    </xf>
    <xf numFmtId="0" fontId="102" fillId="89" borderId="58" xfId="132" applyFont="1" applyFill="1" applyBorder="1" applyAlignment="1">
      <alignment horizontal="center" vertical="center" shrinkToFit="1"/>
      <protection locked="0"/>
    </xf>
    <xf numFmtId="0" fontId="120" fillId="35" borderId="4" xfId="158" applyFont="1" applyFill="1" applyBorder="1" applyAlignment="1" applyProtection="1">
      <alignment horizontal="center" vertical="center"/>
      <protection locked="0"/>
    </xf>
    <xf numFmtId="0" fontId="120" fillId="35" borderId="19" xfId="158" applyFont="1" applyFill="1" applyBorder="1" applyAlignment="1" applyProtection="1">
      <alignment horizontal="center" vertical="center"/>
      <protection locked="0"/>
    </xf>
    <xf numFmtId="0" fontId="120" fillId="35" borderId="5" xfId="158" applyFont="1" applyFill="1" applyBorder="1" applyAlignment="1" applyProtection="1">
      <alignment horizontal="center" vertical="center"/>
      <protection locked="0"/>
    </xf>
    <xf numFmtId="0" fontId="21" fillId="0" borderId="23" xfId="158" applyFont="1" applyBorder="1" applyAlignment="1">
      <alignment horizontal="center"/>
    </xf>
    <xf numFmtId="0" fontId="21" fillId="0" borderId="24" xfId="158" applyFont="1" applyBorder="1" applyAlignment="1">
      <alignment horizontal="center"/>
    </xf>
    <xf numFmtId="0" fontId="21" fillId="0" borderId="25" xfId="158" applyFont="1" applyBorder="1" applyAlignment="1">
      <alignment horizontal="center"/>
    </xf>
    <xf numFmtId="0" fontId="21" fillId="0" borderId="32" xfId="158" applyFont="1" applyBorder="1" applyAlignment="1">
      <alignment horizontal="center"/>
    </xf>
    <xf numFmtId="0" fontId="21" fillId="0" borderId="0" xfId="158" applyFont="1" applyAlignment="1">
      <alignment horizontal="center"/>
    </xf>
    <xf numFmtId="0" fontId="21" fillId="0" borderId="29" xfId="158" applyFont="1" applyBorder="1" applyAlignment="1">
      <alignment horizontal="center"/>
    </xf>
    <xf numFmtId="0" fontId="21" fillId="0" borderId="35" xfId="158" applyFont="1" applyBorder="1" applyAlignment="1">
      <alignment horizontal="center"/>
    </xf>
    <xf numFmtId="0" fontId="21" fillId="0" borderId="18" xfId="158" applyFont="1" applyBorder="1" applyAlignment="1">
      <alignment horizontal="center"/>
    </xf>
    <xf numFmtId="0" fontId="21" fillId="0" borderId="39" xfId="158" applyFont="1" applyBorder="1" applyAlignment="1">
      <alignment horizontal="center"/>
    </xf>
    <xf numFmtId="0" fontId="110" fillId="0" borderId="4" xfId="246" applyFont="1" applyBorder="1" applyAlignment="1">
      <alignment horizontal="center" vertical="top" shrinkToFit="1"/>
      <protection locked="0"/>
    </xf>
    <xf numFmtId="0" fontId="111" fillId="0" borderId="19" xfId="246" applyFont="1" applyBorder="1" applyAlignment="1">
      <alignment horizontal="center" vertical="top" shrinkToFit="1"/>
      <protection locked="0"/>
    </xf>
    <xf numFmtId="0" fontId="111" fillId="0" borderId="5" xfId="246" applyFont="1" applyBorder="1" applyAlignment="1">
      <alignment horizontal="center" vertical="top" shrinkToFit="1"/>
      <protection locked="0"/>
    </xf>
    <xf numFmtId="171" fontId="112" fillId="0" borderId="4" xfId="246" applyNumberFormat="1" applyFont="1" applyBorder="1" applyAlignment="1" applyProtection="1">
      <alignment horizontal="center" vertical="center" shrinkToFit="1"/>
    </xf>
    <xf numFmtId="171" fontId="112" fillId="0" borderId="19" xfId="246" applyNumberFormat="1" applyFont="1" applyBorder="1" applyAlignment="1" applyProtection="1">
      <alignment horizontal="center" vertical="center" shrinkToFit="1"/>
    </xf>
    <xf numFmtId="171" fontId="112" fillId="0" borderId="5" xfId="246" applyNumberFormat="1" applyFont="1" applyBorder="1" applyAlignment="1" applyProtection="1">
      <alignment horizontal="center" vertical="center" shrinkToFit="1"/>
    </xf>
    <xf numFmtId="0" fontId="113" fillId="36" borderId="1" xfId="158" applyFont="1" applyFill="1" applyBorder="1" applyAlignment="1" applyProtection="1">
      <alignment horizontal="center" vertical="center" wrapText="1"/>
      <protection locked="0"/>
    </xf>
    <xf numFmtId="0" fontId="67" fillId="0" borderId="28" xfId="158" applyFont="1" applyBorder="1" applyAlignment="1" applyProtection="1">
      <alignment horizontal="center"/>
      <protection locked="0"/>
    </xf>
    <xf numFmtId="0" fontId="67" fillId="0" borderId="56" xfId="158" applyFont="1" applyBorder="1" applyAlignment="1" applyProtection="1">
      <alignment horizontal="center"/>
      <protection locked="0"/>
    </xf>
    <xf numFmtId="0" fontId="117" fillId="35" borderId="0" xfId="158" applyFont="1" applyFill="1" applyAlignment="1" applyProtection="1">
      <alignment horizontal="center" vertical="center"/>
      <protection locked="0"/>
    </xf>
    <xf numFmtId="0" fontId="118" fillId="92" borderId="4" xfId="158" applyFont="1" applyFill="1" applyBorder="1" applyAlignment="1" applyProtection="1">
      <alignment horizontal="center" vertical="center"/>
      <protection locked="0"/>
    </xf>
    <xf numFmtId="0" fontId="118" fillId="92" borderId="19" xfId="158" applyFont="1" applyFill="1" applyBorder="1" applyAlignment="1" applyProtection="1">
      <alignment horizontal="center" vertical="center"/>
      <protection locked="0"/>
    </xf>
    <xf numFmtId="0" fontId="118" fillId="92" borderId="5" xfId="158" applyFont="1" applyFill="1" applyBorder="1" applyAlignment="1" applyProtection="1">
      <alignment horizontal="center" vertical="center"/>
      <protection locked="0"/>
    </xf>
    <xf numFmtId="0" fontId="118" fillId="35" borderId="4" xfId="158" applyFont="1" applyFill="1" applyBorder="1" applyAlignment="1" applyProtection="1">
      <alignment horizontal="center"/>
      <protection locked="0"/>
    </xf>
    <xf numFmtId="0" fontId="118" fillId="35" borderId="19" xfId="158" applyFont="1" applyFill="1" applyBorder="1" applyAlignment="1" applyProtection="1">
      <alignment horizontal="center"/>
      <protection locked="0"/>
    </xf>
    <xf numFmtId="0" fontId="118" fillId="35" borderId="5" xfId="158" applyFont="1" applyFill="1" applyBorder="1" applyAlignment="1" applyProtection="1">
      <alignment horizontal="center"/>
      <protection locked="0"/>
    </xf>
    <xf numFmtId="0" fontId="115" fillId="88" borderId="1" xfId="158" applyFont="1" applyFill="1" applyBorder="1" applyAlignment="1" applyProtection="1">
      <alignment horizontal="center" wrapText="1"/>
      <protection locked="0"/>
    </xf>
    <xf numFmtId="14" fontId="115" fillId="0" borderId="1" xfId="158" applyNumberFormat="1" applyFont="1" applyBorder="1" applyAlignment="1">
      <alignment horizontal="center" wrapText="1"/>
    </xf>
    <xf numFmtId="0" fontId="115" fillId="0" borderId="1" xfId="158" applyFont="1" applyBorder="1" applyAlignment="1" applyProtection="1">
      <alignment horizontal="center" wrapText="1"/>
      <protection locked="0"/>
    </xf>
    <xf numFmtId="1" fontId="40" fillId="35" borderId="45" xfId="158" applyNumberFormat="1" applyFont="1" applyFill="1" applyBorder="1" applyAlignment="1">
      <alignment horizontal="center" vertical="center" wrapText="1"/>
    </xf>
    <xf numFmtId="1" fontId="40" fillId="35" borderId="0" xfId="158" applyNumberFormat="1" applyFont="1" applyFill="1" applyAlignment="1">
      <alignment horizontal="center" vertical="center" wrapText="1"/>
    </xf>
    <xf numFmtId="0" fontId="56" fillId="75" borderId="16" xfId="244" applyFont="1" applyFill="1" applyBorder="1" applyAlignment="1" applyProtection="1">
      <alignment horizontal="center" vertical="center"/>
    </xf>
    <xf numFmtId="0" fontId="56" fillId="46" borderId="0" xfId="244" applyFont="1" applyFill="1" applyAlignment="1" applyProtection="1">
      <alignment horizontal="center" vertical="center"/>
    </xf>
    <xf numFmtId="0" fontId="45" fillId="45" borderId="64" xfId="158" applyFont="1" applyFill="1" applyBorder="1" applyAlignment="1">
      <alignment horizontal="center" vertical="center"/>
    </xf>
    <xf numFmtId="0" fontId="45" fillId="45" borderId="65" xfId="158" applyFont="1" applyFill="1" applyBorder="1" applyAlignment="1">
      <alignment horizontal="center" vertical="center"/>
    </xf>
    <xf numFmtId="0" fontId="52" fillId="0" borderId="4" xfId="158" applyFont="1" applyBorder="1" applyAlignment="1" applyProtection="1">
      <alignment horizontal="center"/>
      <protection locked="0"/>
    </xf>
    <xf numFmtId="0" fontId="52" fillId="0" borderId="19" xfId="158" applyFont="1" applyBorder="1" applyAlignment="1" applyProtection="1">
      <alignment horizontal="center"/>
      <protection locked="0"/>
    </xf>
    <xf numFmtId="0" fontId="52" fillId="0" borderId="4" xfId="158" applyFont="1" applyBorder="1" applyAlignment="1" applyProtection="1">
      <alignment horizontal="center" vertical="center"/>
      <protection locked="0"/>
    </xf>
    <xf numFmtId="0" fontId="52" fillId="0" borderId="5" xfId="158" applyFont="1" applyBorder="1" applyAlignment="1" applyProtection="1">
      <alignment horizontal="center" vertical="center"/>
      <protection locked="0"/>
    </xf>
    <xf numFmtId="174" fontId="33" fillId="41" borderId="4" xfId="151" applyNumberFormat="1" applyFont="1" applyFill="1" applyBorder="1" applyAlignment="1">
      <alignment horizontal="center" vertical="center"/>
    </xf>
    <xf numFmtId="174" fontId="33" fillId="41" borderId="19" xfId="151" applyNumberFormat="1" applyFont="1" applyFill="1" applyBorder="1" applyAlignment="1">
      <alignment horizontal="center" vertical="center"/>
    </xf>
    <xf numFmtId="174" fontId="33" fillId="41" borderId="5" xfId="151" applyNumberFormat="1" applyFont="1" applyFill="1" applyBorder="1" applyAlignment="1">
      <alignment horizontal="center" vertical="center"/>
    </xf>
    <xf numFmtId="174" fontId="21" fillId="0" borderId="0" xfId="151" applyNumberFormat="1" applyFont="1" applyAlignment="1">
      <alignment horizontal="center" vertical="center"/>
    </xf>
    <xf numFmtId="174" fontId="21" fillId="0" borderId="0" xfId="151" applyNumberFormat="1" applyFont="1" applyAlignment="1">
      <alignment vertical="center"/>
    </xf>
    <xf numFmtId="174" fontId="21" fillId="0" borderId="0" xfId="158" applyNumberFormat="1" applyFont="1" applyAlignment="1">
      <alignment vertical="center"/>
    </xf>
    <xf numFmtId="174" fontId="2" fillId="0" borderId="0" xfId="158" applyNumberFormat="1" applyAlignment="1">
      <alignment vertical="center"/>
    </xf>
    <xf numFmtId="174" fontId="10" fillId="0" borderId="0" xfId="151" applyNumberFormat="1" applyAlignment="1">
      <alignment vertical="center"/>
    </xf>
    <xf numFmtId="174" fontId="21" fillId="0" borderId="18" xfId="151" applyNumberFormat="1" applyFont="1" applyBorder="1" applyAlignment="1">
      <alignment horizontal="center" vertical="center"/>
    </xf>
    <xf numFmtId="174" fontId="34" fillId="35" borderId="4" xfId="151" applyNumberFormat="1" applyFont="1" applyFill="1" applyBorder="1" applyAlignment="1">
      <alignment horizontal="center" vertical="center"/>
    </xf>
    <xf numFmtId="174" fontId="34" fillId="35" borderId="5" xfId="151" applyNumberFormat="1" applyFont="1" applyFill="1" applyBorder="1" applyAlignment="1">
      <alignment horizontal="center" vertical="center"/>
    </xf>
    <xf numFmtId="174" fontId="21" fillId="0" borderId="4" xfId="151" applyNumberFormat="1" applyFont="1" applyBorder="1" applyAlignment="1">
      <alignment horizontal="center" vertical="center"/>
    </xf>
    <xf numFmtId="174" fontId="21" fillId="0" borderId="19" xfId="151" applyNumberFormat="1" applyFont="1" applyBorder="1" applyAlignment="1">
      <alignment horizontal="center" vertical="center"/>
    </xf>
    <xf numFmtId="174" fontId="35" fillId="0" borderId="0" xfId="151" applyNumberFormat="1" applyFont="1" applyAlignment="1">
      <alignment vertical="center"/>
    </xf>
    <xf numFmtId="174" fontId="35" fillId="0" borderId="18" xfId="151" applyNumberFormat="1" applyFont="1" applyBorder="1" applyAlignment="1">
      <alignment vertical="center"/>
    </xf>
    <xf numFmtId="174" fontId="36" fillId="35" borderId="20" xfId="151" applyNumberFormat="1" applyFont="1" applyFill="1" applyBorder="1" applyAlignment="1">
      <alignment horizontal="center"/>
    </xf>
    <xf numFmtId="174" fontId="36" fillId="35" borderId="21" xfId="151" applyNumberFormat="1" applyFont="1" applyFill="1" applyBorder="1" applyAlignment="1">
      <alignment horizontal="center"/>
    </xf>
    <xf numFmtId="174" fontId="37" fillId="0" borderId="18" xfId="151" applyNumberFormat="1" applyFont="1" applyBorder="1" applyAlignment="1">
      <alignment vertical="center"/>
    </xf>
    <xf numFmtId="174" fontId="36" fillId="35" borderId="0" xfId="151" applyNumberFormat="1" applyFont="1" applyFill="1" applyAlignment="1">
      <alignment horizontal="center"/>
    </xf>
    <xf numFmtId="174" fontId="36" fillId="35" borderId="22" xfId="151" applyNumberFormat="1" applyFont="1" applyFill="1" applyBorder="1" applyAlignment="1">
      <alignment horizontal="center"/>
    </xf>
    <xf numFmtId="174" fontId="36" fillId="46" borderId="22" xfId="151" applyNumberFormat="1" applyFont="1" applyFill="1" applyBorder="1" applyAlignment="1">
      <alignment horizontal="center"/>
    </xf>
    <xf numFmtId="174" fontId="36" fillId="46" borderId="19" xfId="151" applyNumberFormat="1" applyFont="1" applyFill="1" applyBorder="1"/>
    <xf numFmtId="174" fontId="37" fillId="0" borderId="18" xfId="151" applyNumberFormat="1" applyFont="1" applyBorder="1" applyAlignment="1">
      <alignment horizontal="center" vertical="center"/>
    </xf>
    <xf numFmtId="174" fontId="37" fillId="0" borderId="0" xfId="151" applyNumberFormat="1" applyFont="1" applyAlignment="1">
      <alignment horizontal="center" vertical="center"/>
    </xf>
    <xf numFmtId="174" fontId="35" fillId="0" borderId="0" xfId="151" applyNumberFormat="1" applyFont="1" applyAlignment="1">
      <alignment horizontal="center" vertical="center"/>
    </xf>
    <xf numFmtId="174" fontId="1" fillId="0" borderId="0" xfId="151" applyNumberFormat="1" applyFont="1" applyAlignment="1">
      <alignment horizontal="center" vertical="center"/>
    </xf>
    <xf numFmtId="174" fontId="21" fillId="0" borderId="0" xfId="151" applyNumberFormat="1" applyFont="1" applyProtection="1">
      <protection locked="0"/>
    </xf>
    <xf numFmtId="174" fontId="21" fillId="0" borderId="23" xfId="151" applyNumberFormat="1" applyFont="1" applyBorder="1" applyAlignment="1">
      <alignment horizontal="center" vertical="center"/>
    </xf>
    <xf numFmtId="174" fontId="21" fillId="0" borderId="24" xfId="151" applyNumberFormat="1" applyFont="1" applyBorder="1" applyAlignment="1">
      <alignment horizontal="center" vertical="center"/>
    </xf>
    <xf numFmtId="174" fontId="21" fillId="0" borderId="25" xfId="151" applyNumberFormat="1" applyFont="1" applyBorder="1" applyAlignment="1">
      <alignment horizontal="center" vertical="center"/>
    </xf>
    <xf numFmtId="174" fontId="38" fillId="0" borderId="0" xfId="151" applyNumberFormat="1" applyFont="1" applyAlignment="1">
      <alignment horizontal="center" vertical="center"/>
    </xf>
    <xf numFmtId="174" fontId="39" fillId="0" borderId="0" xfId="151" applyNumberFormat="1" applyFont="1" applyAlignment="1" applyProtection="1">
      <alignment horizontal="center" vertical="center"/>
      <protection locked="0"/>
    </xf>
    <xf numFmtId="174" fontId="38" fillId="0" borderId="0" xfId="158" applyNumberFormat="1" applyFont="1" applyAlignment="1">
      <alignment horizontal="center" vertical="center"/>
    </xf>
    <xf numFmtId="174" fontId="40" fillId="0" borderId="26" xfId="141" applyNumberFormat="1" applyFont="1" applyBorder="1" applyAlignment="1" applyProtection="1">
      <alignment horizontal="center" vertical="center" shrinkToFit="1"/>
    </xf>
    <xf numFmtId="174" fontId="32" fillId="0" borderId="0" xfId="158" applyNumberFormat="1" applyFont="1" applyAlignment="1">
      <alignment horizontal="center" vertical="center"/>
    </xf>
    <xf numFmtId="174" fontId="41" fillId="0" borderId="23" xfId="242" applyNumberFormat="1" applyFont="1" applyBorder="1" applyAlignment="1" applyProtection="1">
      <alignment horizontal="center" vertical="center"/>
    </xf>
    <xf numFmtId="174" fontId="1" fillId="0" borderId="24" xfId="151" applyNumberFormat="1" applyFont="1" applyBorder="1"/>
    <xf numFmtId="174" fontId="1" fillId="0" borderId="25" xfId="151" applyNumberFormat="1" applyFont="1" applyBorder="1"/>
    <xf numFmtId="174" fontId="21" fillId="0" borderId="0" xfId="158" applyNumberFormat="1" applyFont="1" applyAlignment="1">
      <alignment horizontal="center" vertical="center"/>
    </xf>
    <xf numFmtId="174" fontId="42" fillId="50" borderId="0" xfId="151" applyNumberFormat="1" applyFont="1" applyFill="1" applyAlignment="1">
      <alignment horizontal="center"/>
    </xf>
    <xf numFmtId="174" fontId="43" fillId="40" borderId="1" xfId="132" applyNumberFormat="1" applyFont="1" applyFill="1" applyBorder="1" applyAlignment="1" applyProtection="1">
      <alignment horizontal="center" vertical="center" shrinkToFit="1"/>
    </xf>
    <xf numFmtId="174" fontId="44" fillId="0" borderId="0" xfId="243" applyNumberFormat="1" applyFont="1" applyAlignment="1" applyProtection="1">
      <alignment horizontal="center"/>
    </xf>
    <xf numFmtId="174" fontId="45" fillId="43" borderId="0" xfId="151" applyNumberFormat="1" applyFont="1" applyFill="1" applyAlignment="1">
      <alignment horizontal="center" vertical="center"/>
    </xf>
    <xf numFmtId="174" fontId="46" fillId="51" borderId="17" xfId="132" applyNumberFormat="1" applyFont="1" applyFill="1" applyBorder="1" applyAlignment="1" applyProtection="1">
      <alignment horizontal="center" vertical="center" shrinkToFit="1"/>
    </xf>
    <xf numFmtId="174" fontId="47" fillId="52" borderId="17" xfId="132" applyNumberFormat="1" applyFont="1" applyFill="1" applyBorder="1" applyAlignment="1" applyProtection="1">
      <alignment horizontal="center" vertical="center" shrinkToFit="1"/>
    </xf>
    <xf numFmtId="174" fontId="48" fillId="0" borderId="0" xfId="151" applyNumberFormat="1" applyFont="1" applyAlignment="1">
      <alignment horizontal="center" vertical="center"/>
    </xf>
    <xf numFmtId="174" fontId="49" fillId="0" borderId="0" xfId="151" applyNumberFormat="1" applyFont="1" applyAlignment="1">
      <alignment horizontal="center" vertical="center"/>
    </xf>
    <xf numFmtId="174" fontId="50" fillId="0" borderId="27" xfId="151" applyNumberFormat="1" applyFont="1" applyBorder="1" applyAlignment="1">
      <alignment horizontal="center" vertical="center"/>
    </xf>
    <xf numFmtId="174" fontId="50" fillId="0" borderId="68" xfId="151" applyNumberFormat="1" applyFont="1" applyBorder="1" applyAlignment="1">
      <alignment horizontal="center" vertical="center"/>
    </xf>
    <xf numFmtId="174" fontId="50" fillId="0" borderId="28" xfId="158" applyNumberFormat="1" applyFont="1" applyBorder="1" applyAlignment="1">
      <alignment horizontal="center" vertical="center"/>
    </xf>
    <xf numFmtId="174" fontId="51" fillId="0" borderId="1" xfId="243" applyNumberFormat="1" applyFont="1" applyBorder="1" applyAlignment="1" applyProtection="1">
      <alignment horizontal="center"/>
    </xf>
    <xf numFmtId="174" fontId="50" fillId="0" borderId="0" xfId="158" applyNumberFormat="1" applyFont="1" applyAlignment="1">
      <alignment horizontal="center" vertical="center"/>
    </xf>
    <xf numFmtId="174" fontId="38" fillId="46" borderId="0" xfId="151" applyNumberFormat="1" applyFont="1" applyFill="1" applyAlignment="1">
      <alignment horizontal="center" vertical="center"/>
    </xf>
    <xf numFmtId="174" fontId="50" fillId="46" borderId="0" xfId="151" applyNumberFormat="1" applyFont="1" applyFill="1" applyAlignment="1">
      <alignment horizontal="center" vertical="center"/>
    </xf>
    <xf numFmtId="174" fontId="50" fillId="0" borderId="29" xfId="151" applyNumberFormat="1" applyFont="1" applyBorder="1" applyAlignment="1">
      <alignment horizontal="center" vertical="center"/>
    </xf>
    <xf numFmtId="174" fontId="52" fillId="35" borderId="30" xfId="151" applyNumberFormat="1" applyFont="1" applyFill="1" applyBorder="1" applyAlignment="1">
      <alignment horizontal="center" vertical="center"/>
    </xf>
    <xf numFmtId="174" fontId="52" fillId="35" borderId="31" xfId="151" applyNumberFormat="1" applyFont="1" applyFill="1" applyBorder="1" applyAlignment="1">
      <alignment horizontal="center" vertical="center"/>
    </xf>
    <xf numFmtId="174" fontId="37" fillId="0" borderId="0" xfId="151" applyNumberFormat="1" applyFont="1" applyAlignment="1">
      <alignment vertical="center"/>
    </xf>
    <xf numFmtId="174" fontId="50" fillId="0" borderId="0" xfId="151" applyNumberFormat="1" applyFont="1" applyAlignment="1">
      <alignment horizontal="center" vertical="center"/>
    </xf>
    <xf numFmtId="174" fontId="53" fillId="35" borderId="23" xfId="151" applyNumberFormat="1" applyFont="1" applyFill="1" applyBorder="1" applyAlignment="1">
      <alignment horizontal="center" vertical="center"/>
    </xf>
    <xf numFmtId="174" fontId="53" fillId="35" borderId="24" xfId="151" applyNumberFormat="1" applyFont="1" applyFill="1" applyBorder="1" applyAlignment="1">
      <alignment horizontal="center" vertical="center"/>
    </xf>
    <xf numFmtId="174" fontId="35" fillId="0" borderId="32" xfId="151" applyNumberFormat="1" applyFont="1" applyBorder="1" applyAlignment="1">
      <alignment horizontal="center" vertical="center"/>
    </xf>
    <xf numFmtId="174" fontId="21" fillId="0" borderId="32" xfId="151" applyNumberFormat="1" applyFont="1" applyBorder="1" applyAlignment="1">
      <alignment horizontal="center" vertical="center"/>
    </xf>
    <xf numFmtId="174" fontId="21" fillId="0" borderId="29" xfId="151" applyNumberFormat="1" applyFont="1" applyBorder="1" applyAlignment="1">
      <alignment horizontal="center" vertical="center"/>
    </xf>
    <xf numFmtId="174" fontId="31" fillId="0" borderId="0" xfId="158" applyNumberFormat="1" applyFont="1" applyAlignment="1">
      <alignment horizontal="center" vertical="center"/>
    </xf>
    <xf numFmtId="174" fontId="39" fillId="0" borderId="0" xfId="158" applyNumberFormat="1" applyFont="1" applyAlignment="1" applyProtection="1">
      <alignment horizontal="center" vertical="center"/>
      <protection locked="0"/>
    </xf>
    <xf numFmtId="174" fontId="54" fillId="0" borderId="0" xfId="158" applyNumberFormat="1" applyFont="1" applyAlignment="1">
      <alignment horizontal="center" vertical="center"/>
    </xf>
    <xf numFmtId="174" fontId="41" fillId="0" borderId="0" xfId="242" applyNumberFormat="1" applyFont="1" applyAlignment="1" applyProtection="1">
      <alignment horizontal="center" vertical="center"/>
    </xf>
    <xf numFmtId="174" fontId="41" fillId="0" borderId="32" xfId="242" applyNumberFormat="1" applyFont="1" applyBorder="1" applyAlignment="1" applyProtection="1">
      <alignment horizontal="center" vertical="center"/>
    </xf>
    <xf numFmtId="174" fontId="1" fillId="0" borderId="0" xfId="151" applyNumberFormat="1" applyFont="1"/>
    <xf numFmtId="174" fontId="1" fillId="0" borderId="29" xfId="151" applyNumberFormat="1" applyFont="1" applyBorder="1"/>
    <xf numFmtId="174" fontId="55" fillId="0" borderId="0" xfId="244" applyNumberFormat="1" applyFont="1" applyAlignment="1" applyProtection="1">
      <alignment horizontal="center" vertical="center"/>
    </xf>
    <xf numFmtId="174" fontId="56" fillId="46" borderId="0" xfId="244" applyNumberFormat="1" applyFont="1" applyFill="1" applyAlignment="1" applyProtection="1">
      <alignment vertical="center"/>
    </xf>
    <xf numFmtId="174" fontId="56" fillId="35" borderId="0" xfId="244" applyNumberFormat="1" applyFont="1" applyFill="1" applyAlignment="1" applyProtection="1">
      <alignment horizontal="center" vertical="center"/>
    </xf>
    <xf numFmtId="174" fontId="57" fillId="0" borderId="0" xfId="151" applyNumberFormat="1" applyFont="1"/>
    <xf numFmtId="174" fontId="55" fillId="0" borderId="0" xfId="244" applyNumberFormat="1" applyFont="1" applyAlignment="1" applyProtection="1">
      <alignment horizontal="center"/>
    </xf>
    <xf numFmtId="174" fontId="56" fillId="35" borderId="0" xfId="151" applyNumberFormat="1" applyFont="1" applyFill="1" applyAlignment="1">
      <alignment horizontal="center"/>
    </xf>
    <xf numFmtId="174" fontId="58" fillId="45" borderId="1" xfId="158" applyNumberFormat="1" applyFont="1" applyFill="1" applyBorder="1" applyAlignment="1">
      <alignment horizontal="center" vertical="center" shrinkToFit="1"/>
    </xf>
    <xf numFmtId="174" fontId="31" fillId="0" borderId="0" xfId="151" applyNumberFormat="1" applyFont="1" applyAlignment="1">
      <alignment horizontal="right" vertical="center"/>
    </xf>
    <xf numFmtId="174" fontId="50" fillId="46" borderId="29" xfId="151" applyNumberFormat="1" applyFont="1" applyFill="1" applyBorder="1" applyAlignment="1">
      <alignment horizontal="center" vertical="center"/>
    </xf>
    <xf numFmtId="174" fontId="52" fillId="35" borderId="33" xfId="151" applyNumberFormat="1" applyFont="1" applyFill="1" applyBorder="1" applyAlignment="1">
      <alignment horizontal="center" vertical="center"/>
    </xf>
    <xf numFmtId="174" fontId="52" fillId="35" borderId="34" xfId="151" applyNumberFormat="1" applyFont="1" applyFill="1" applyBorder="1" applyAlignment="1">
      <alignment horizontal="center" vertical="center"/>
    </xf>
    <xf numFmtId="174" fontId="21" fillId="46" borderId="0" xfId="151" applyNumberFormat="1" applyFont="1" applyFill="1"/>
    <xf numFmtId="174" fontId="53" fillId="35" borderId="32" xfId="151" applyNumberFormat="1" applyFont="1" applyFill="1" applyBorder="1" applyAlignment="1">
      <alignment horizontal="center" vertical="center"/>
    </xf>
    <xf numFmtId="174" fontId="53" fillId="35" borderId="0" xfId="151" applyNumberFormat="1" applyFont="1" applyFill="1" applyAlignment="1">
      <alignment horizontal="center" vertical="center"/>
    </xf>
    <xf numFmtId="174" fontId="21" fillId="0" borderId="0" xfId="158" applyNumberFormat="1" applyFont="1"/>
    <xf numFmtId="174" fontId="59" fillId="0" borderId="0" xfId="151" applyNumberFormat="1" applyFont="1" applyAlignment="1">
      <alignment horizontal="center" vertical="center"/>
    </xf>
    <xf numFmtId="174" fontId="52" fillId="0" borderId="0" xfId="243" applyNumberFormat="1" applyFont="1" applyAlignment="1" applyProtection="1">
      <alignment horizontal="center"/>
    </xf>
    <xf numFmtId="174" fontId="52" fillId="0" borderId="0" xfId="243" applyNumberFormat="1" applyFont="1" applyAlignment="1" applyProtection="1">
      <alignment horizontal="center" vertical="top"/>
    </xf>
    <xf numFmtId="174" fontId="60" fillId="46" borderId="0" xfId="151" applyNumberFormat="1" applyFont="1" applyFill="1" applyAlignment="1">
      <alignment horizontal="center" vertical="center"/>
    </xf>
    <xf numFmtId="174" fontId="21" fillId="46" borderId="0" xfId="151" applyNumberFormat="1" applyFont="1" applyFill="1" applyAlignment="1">
      <alignment horizontal="center" vertical="center"/>
    </xf>
    <xf numFmtId="174" fontId="53" fillId="35" borderId="35" xfId="151" applyNumberFormat="1" applyFont="1" applyFill="1" applyBorder="1" applyAlignment="1">
      <alignment horizontal="center" vertical="center"/>
    </xf>
    <xf numFmtId="174" fontId="53" fillId="35" borderId="18" xfId="151" applyNumberFormat="1" applyFont="1" applyFill="1" applyBorder="1" applyAlignment="1">
      <alignment horizontal="center" vertical="center"/>
    </xf>
    <xf numFmtId="174" fontId="52" fillId="0" borderId="32" xfId="151" applyNumberFormat="1" applyFont="1" applyBorder="1" applyAlignment="1">
      <alignment horizontal="center" vertical="center"/>
    </xf>
    <xf numFmtId="174" fontId="21" fillId="0" borderId="32" xfId="158" applyNumberFormat="1" applyFont="1" applyBorder="1" applyAlignment="1">
      <alignment vertical="center"/>
    </xf>
    <xf numFmtId="174" fontId="61" fillId="53" borderId="0" xfId="158" applyNumberFormat="1" applyFont="1" applyFill="1" applyAlignment="1">
      <alignment horizontal="center" vertical="center"/>
    </xf>
    <xf numFmtId="174" fontId="62" fillId="35" borderId="2" xfId="244" applyNumberFormat="1" applyFont="1" applyFill="1" applyBorder="1" applyAlignment="1" applyProtection="1">
      <alignment horizontal="center" vertical="center"/>
    </xf>
    <xf numFmtId="174" fontId="31" fillId="54" borderId="0" xfId="151" applyNumberFormat="1" applyFont="1" applyFill="1" applyAlignment="1">
      <alignment horizontal="center"/>
    </xf>
    <xf numFmtId="174" fontId="63" fillId="0" borderId="0" xfId="151" applyNumberFormat="1" applyFont="1" applyAlignment="1">
      <alignment horizontal="center" vertical="center"/>
    </xf>
    <xf numFmtId="174" fontId="52" fillId="0" borderId="0" xfId="243" applyNumberFormat="1" applyFont="1" applyAlignment="1" applyProtection="1">
      <alignment horizontal="center" vertical="center"/>
    </xf>
    <xf numFmtId="174" fontId="52" fillId="0" borderId="0" xfId="151" applyNumberFormat="1" applyFont="1" applyAlignment="1">
      <alignment horizontal="center"/>
    </xf>
    <xf numFmtId="174" fontId="64" fillId="55" borderId="0" xfId="151" applyNumberFormat="1" applyFont="1" applyFill="1" applyAlignment="1">
      <alignment horizontal="center"/>
    </xf>
    <xf numFmtId="174" fontId="34" fillId="35" borderId="0" xfId="151" applyNumberFormat="1" applyFont="1" applyFill="1" applyAlignment="1">
      <alignment vertical="center"/>
    </xf>
    <xf numFmtId="174" fontId="49" fillId="0" borderId="0" xfId="158" applyNumberFormat="1" applyFont="1" applyAlignment="1">
      <alignment horizontal="center" vertical="center"/>
    </xf>
    <xf numFmtId="174" fontId="52" fillId="0" borderId="0" xfId="151" applyNumberFormat="1" applyFont="1" applyAlignment="1">
      <alignment horizontal="center" vertical="center"/>
    </xf>
    <xf numFmtId="174" fontId="65" fillId="0" borderId="0" xfId="158" applyNumberFormat="1" applyFont="1" applyAlignment="1">
      <alignment horizontal="center" vertical="center"/>
    </xf>
    <xf numFmtId="174" fontId="21" fillId="0" borderId="32" xfId="151" applyNumberFormat="1" applyFont="1" applyBorder="1" applyAlignment="1">
      <alignment vertical="center"/>
    </xf>
    <xf numFmtId="174" fontId="21" fillId="0" borderId="29" xfId="151" applyNumberFormat="1" applyFont="1" applyBorder="1"/>
    <xf numFmtId="174" fontId="31" fillId="0" borderId="0" xfId="158" applyNumberFormat="1" applyFont="1" applyAlignment="1">
      <alignment horizontal="right" vertical="center"/>
    </xf>
    <xf numFmtId="174" fontId="66" fillId="0" borderId="0" xfId="151" applyNumberFormat="1" applyFont="1"/>
    <xf numFmtId="174" fontId="51" fillId="0" borderId="17" xfId="243" applyNumberFormat="1" applyFont="1" applyBorder="1" applyAlignment="1" applyProtection="1">
      <alignment horizontal="center"/>
    </xf>
    <xf numFmtId="174" fontId="46" fillId="50" borderId="17" xfId="132" applyNumberFormat="1" applyFont="1" applyFill="1" applyBorder="1" applyAlignment="1" applyProtection="1">
      <alignment horizontal="center" vertical="center" shrinkToFit="1"/>
    </xf>
    <xf numFmtId="174" fontId="39" fillId="0" borderId="36" xfId="243" applyNumberFormat="1" applyFont="1" applyBorder="1" applyAlignment="1" applyProtection="1">
      <alignment horizontal="center"/>
    </xf>
    <xf numFmtId="174" fontId="43" fillId="57" borderId="17" xfId="132" applyNumberFormat="1" applyFont="1" applyFill="1" applyBorder="1" applyAlignment="1" applyProtection="1">
      <alignment horizontal="center" vertical="center" shrinkToFit="1"/>
    </xf>
    <xf numFmtId="174" fontId="51" fillId="0" borderId="1" xfId="158" applyNumberFormat="1" applyFont="1" applyBorder="1" applyAlignment="1">
      <alignment horizontal="center"/>
    </xf>
    <xf numFmtId="174" fontId="67" fillId="59" borderId="17" xfId="132" applyNumberFormat="1" applyFont="1" applyFill="1" applyBorder="1" applyAlignment="1" applyProtection="1">
      <alignment horizontal="center" vertical="center" shrinkToFit="1"/>
    </xf>
    <xf numFmtId="174" fontId="52" fillId="0" borderId="0" xfId="158" applyNumberFormat="1" applyFont="1" applyAlignment="1">
      <alignment horizontal="center"/>
    </xf>
    <xf numFmtId="174" fontId="68" fillId="0" borderId="1" xfId="243" applyNumberFormat="1" applyFont="1" applyBorder="1" applyAlignment="1" applyProtection="1">
      <alignment horizontal="center"/>
    </xf>
    <xf numFmtId="174" fontId="31" fillId="0" borderId="0" xfId="151" applyNumberFormat="1" applyFont="1" applyAlignment="1">
      <alignment vertical="center"/>
    </xf>
    <xf numFmtId="174" fontId="38" fillId="0" borderId="29" xfId="151" applyNumberFormat="1" applyFont="1" applyBorder="1" applyAlignment="1">
      <alignment horizontal="center" vertical="center"/>
    </xf>
    <xf numFmtId="174" fontId="52" fillId="35" borderId="37" xfId="151" applyNumberFormat="1" applyFont="1" applyFill="1" applyBorder="1" applyAlignment="1">
      <alignment horizontal="center" vertical="center"/>
    </xf>
    <xf numFmtId="174" fontId="52" fillId="35" borderId="38" xfId="151" applyNumberFormat="1" applyFont="1" applyFill="1" applyBorder="1" applyAlignment="1">
      <alignment horizontal="center" vertical="center"/>
    </xf>
    <xf numFmtId="174" fontId="50" fillId="0" borderId="0" xfId="151" applyNumberFormat="1" applyFont="1"/>
    <xf numFmtId="174" fontId="56" fillId="0" borderId="0" xfId="244" applyNumberFormat="1" applyFont="1" applyAlignment="1" applyProtection="1">
      <alignment horizontal="center" vertical="center"/>
    </xf>
    <xf numFmtId="174" fontId="31" fillId="0" borderId="0" xfId="151" applyNumberFormat="1" applyFont="1" applyAlignment="1">
      <alignment horizontal="center" vertical="center"/>
    </xf>
    <xf numFmtId="174" fontId="59" fillId="0" borderId="35" xfId="151" applyNumberFormat="1" applyFont="1" applyBorder="1" applyAlignment="1">
      <alignment horizontal="center" vertical="center"/>
    </xf>
    <xf numFmtId="174" fontId="36" fillId="46" borderId="18" xfId="151" applyNumberFormat="1" applyFont="1" applyFill="1" applyBorder="1"/>
    <xf numFmtId="174" fontId="59" fillId="0" borderId="18" xfId="151" applyNumberFormat="1" applyFont="1" applyBorder="1" applyAlignment="1">
      <alignment horizontal="center" vertical="center"/>
    </xf>
    <xf numFmtId="174" fontId="1" fillId="0" borderId="39" xfId="151" applyNumberFormat="1" applyFont="1" applyBorder="1"/>
    <xf numFmtId="174" fontId="61" fillId="61" borderId="0" xfId="158" applyNumberFormat="1" applyFont="1" applyFill="1" applyAlignment="1">
      <alignment horizontal="center" vertical="center"/>
    </xf>
    <xf numFmtId="174" fontId="43" fillId="62" borderId="17" xfId="132" applyNumberFormat="1" applyFont="1" applyFill="1" applyBorder="1" applyAlignment="1" applyProtection="1">
      <alignment horizontal="center" vertical="center" shrinkToFit="1"/>
    </xf>
    <xf numFmtId="174" fontId="31" fillId="0" borderId="0" xfId="151" applyNumberFormat="1" applyFont="1" applyAlignment="1">
      <alignment horizontal="left" vertical="center"/>
    </xf>
    <xf numFmtId="174" fontId="65" fillId="46" borderId="0" xfId="151" applyNumberFormat="1" applyFont="1" applyFill="1"/>
    <xf numFmtId="174" fontId="69" fillId="46" borderId="0" xfId="151" applyNumberFormat="1" applyFont="1" applyFill="1"/>
    <xf numFmtId="174" fontId="69" fillId="0" borderId="0" xfId="151" applyNumberFormat="1" applyFont="1"/>
    <xf numFmtId="174" fontId="21" fillId="0" borderId="0" xfId="158" applyNumberFormat="1" applyFont="1" applyAlignment="1">
      <alignment horizontal="right"/>
    </xf>
    <xf numFmtId="174" fontId="41" fillId="46" borderId="0" xfId="242" applyNumberFormat="1" applyFont="1" applyFill="1" applyAlignment="1" applyProtection="1">
      <alignment horizontal="center" vertical="center"/>
    </xf>
    <xf numFmtId="174" fontId="40" fillId="63" borderId="40" xfId="141" applyNumberFormat="1" applyFont="1" applyFill="1" applyBorder="1" applyAlignment="1" applyProtection="1">
      <alignment horizontal="center" vertical="center" shrinkToFit="1"/>
    </xf>
    <xf numFmtId="174" fontId="70" fillId="0" borderId="0" xfId="151" applyNumberFormat="1" applyFont="1" applyAlignment="1">
      <alignment horizontal="center" vertical="center"/>
    </xf>
    <xf numFmtId="174" fontId="60" fillId="46" borderId="0" xfId="158" applyNumberFormat="1" applyFont="1" applyFill="1" applyAlignment="1">
      <alignment horizontal="center" vertical="center"/>
    </xf>
    <xf numFmtId="174" fontId="65" fillId="46" borderId="0" xfId="151" applyNumberFormat="1" applyFont="1" applyFill="1" applyAlignment="1">
      <alignment horizontal="center" vertical="center"/>
    </xf>
    <xf numFmtId="174" fontId="60" fillId="0" borderId="0" xfId="151" applyNumberFormat="1" applyFont="1" applyAlignment="1">
      <alignment horizontal="center" vertical="center"/>
    </xf>
    <xf numFmtId="174" fontId="45" fillId="0" borderId="0" xfId="158" applyNumberFormat="1" applyFont="1" applyAlignment="1">
      <alignment horizontal="center" vertical="center"/>
    </xf>
    <xf numFmtId="174" fontId="36" fillId="0" borderId="0" xfId="151" applyNumberFormat="1" applyFont="1"/>
    <xf numFmtId="174" fontId="31" fillId="0" borderId="41" xfId="151" applyNumberFormat="1" applyFont="1" applyBorder="1" applyAlignment="1">
      <alignment horizontal="center" vertical="center"/>
    </xf>
    <xf numFmtId="174" fontId="21" fillId="64" borderId="0" xfId="151" applyNumberFormat="1" applyFont="1" applyFill="1"/>
    <xf numFmtId="174" fontId="56" fillId="0" borderId="0" xfId="244" applyNumberFormat="1" applyFont="1" applyAlignment="1" applyProtection="1">
      <alignment vertical="center"/>
    </xf>
    <xf numFmtId="174" fontId="36" fillId="46" borderId="0" xfId="151" applyNumberFormat="1" applyFont="1" applyFill="1"/>
    <xf numFmtId="174" fontId="65" fillId="0" borderId="0" xfId="151" applyNumberFormat="1" applyFont="1" applyAlignment="1">
      <alignment wrapText="1"/>
    </xf>
    <xf numFmtId="174" fontId="71" fillId="0" borderId="0" xfId="243" applyNumberFormat="1" applyFont="1" applyAlignment="1" applyProtection="1">
      <alignment horizontal="center"/>
    </xf>
    <xf numFmtId="174" fontId="50" fillId="0" borderId="0" xfId="151" applyNumberFormat="1" applyFont="1" applyAlignment="1">
      <alignment vertical="center" wrapText="1"/>
    </xf>
    <xf numFmtId="174" fontId="21" fillId="0" borderId="29" xfId="158" applyNumberFormat="1" applyFont="1" applyBorder="1"/>
    <xf numFmtId="174" fontId="44" fillId="64" borderId="0" xfId="158" applyNumberFormat="1" applyFont="1" applyFill="1" applyAlignment="1">
      <alignment horizontal="center"/>
    </xf>
    <xf numFmtId="174" fontId="72" fillId="0" borderId="0" xfId="151" applyNumberFormat="1" applyFont="1" applyAlignment="1">
      <alignment horizontal="center" vertical="center"/>
    </xf>
    <xf numFmtId="174" fontId="72" fillId="46" borderId="0" xfId="151" applyNumberFormat="1" applyFont="1" applyFill="1" applyAlignment="1">
      <alignment horizontal="center" vertical="center"/>
    </xf>
    <xf numFmtId="174" fontId="73" fillId="35" borderId="0" xfId="244" applyNumberFormat="1" applyFont="1" applyFill="1" applyAlignment="1" applyProtection="1">
      <alignment horizontal="center" vertical="center"/>
    </xf>
    <xf numFmtId="174" fontId="74" fillId="0" borderId="0" xfId="151" applyNumberFormat="1" applyFont="1" applyAlignment="1">
      <alignment horizontal="center" vertical="center"/>
    </xf>
    <xf numFmtId="174" fontId="50" fillId="0" borderId="0" xfId="151" applyNumberFormat="1" applyFont="1" applyAlignment="1">
      <alignment vertical="center"/>
    </xf>
    <xf numFmtId="174" fontId="75" fillId="35" borderId="42" xfId="151" applyNumberFormat="1" applyFont="1" applyFill="1" applyBorder="1" applyAlignment="1">
      <alignment horizontal="center" vertical="center" textRotation="90" wrapText="1"/>
    </xf>
    <xf numFmtId="174" fontId="54" fillId="0" borderId="0" xfId="151" applyNumberFormat="1" applyFont="1" applyAlignment="1">
      <alignment horizontal="center" vertical="center"/>
    </xf>
    <xf numFmtId="174" fontId="45" fillId="64" borderId="0" xfId="242" applyNumberFormat="1" applyFont="1" applyFill="1" applyAlignment="1" applyProtection="1">
      <alignment horizontal="center" vertical="center"/>
    </xf>
    <xf numFmtId="174" fontId="76" fillId="56" borderId="0" xfId="244" applyNumberFormat="1" applyFont="1" applyFill="1" applyAlignment="1" applyProtection="1">
      <alignment horizontal="center" vertical="center"/>
    </xf>
    <xf numFmtId="174" fontId="56" fillId="35" borderId="0" xfId="244" applyNumberFormat="1" applyFont="1" applyFill="1" applyAlignment="1" applyProtection="1">
      <alignment horizontal="center" vertical="center"/>
    </xf>
    <xf numFmtId="174" fontId="73" fillId="0" borderId="43" xfId="244" applyNumberFormat="1" applyFont="1" applyBorder="1" applyAlignment="1" applyProtection="1">
      <alignment vertical="center"/>
    </xf>
    <xf numFmtId="174" fontId="45" fillId="55" borderId="0" xfId="158" applyNumberFormat="1" applyFont="1" applyFill="1" applyAlignment="1">
      <alignment horizontal="center" vertical="center"/>
    </xf>
    <xf numFmtId="174" fontId="69" fillId="0" borderId="0" xfId="151" applyNumberFormat="1" applyFont="1" applyAlignment="1">
      <alignment horizontal="center" vertical="center"/>
    </xf>
    <xf numFmtId="174" fontId="21" fillId="0" borderId="0" xfId="151" applyNumberFormat="1" applyFont="1"/>
    <xf numFmtId="174" fontId="75" fillId="35" borderId="44" xfId="151" applyNumberFormat="1" applyFont="1" applyFill="1" applyBorder="1" applyAlignment="1">
      <alignment horizontal="center" vertical="center" textRotation="90" wrapText="1"/>
    </xf>
    <xf numFmtId="174" fontId="56" fillId="35" borderId="0" xfId="158" applyNumberFormat="1" applyFont="1" applyFill="1" applyAlignment="1">
      <alignment vertical="center"/>
    </xf>
    <xf numFmtId="174" fontId="10" fillId="35" borderId="0" xfId="151" applyNumberFormat="1" applyFill="1" applyAlignment="1">
      <alignment vertical="center"/>
    </xf>
    <xf numFmtId="174" fontId="77" fillId="35" borderId="23" xfId="151" applyNumberFormat="1" applyFont="1" applyFill="1" applyBorder="1" applyAlignment="1">
      <alignment horizontal="center" vertical="center"/>
    </xf>
    <xf numFmtId="174" fontId="77" fillId="35" borderId="24" xfId="151" applyNumberFormat="1" applyFont="1" applyFill="1" applyBorder="1" applyAlignment="1">
      <alignment horizontal="center" vertical="center"/>
    </xf>
    <xf numFmtId="174" fontId="77" fillId="35" borderId="25" xfId="151" applyNumberFormat="1" applyFont="1" applyFill="1" applyBorder="1" applyAlignment="1">
      <alignment horizontal="center" vertical="center"/>
    </xf>
    <xf numFmtId="174" fontId="78" fillId="0" borderId="36" xfId="151" applyNumberFormat="1" applyFont="1" applyBorder="1" applyAlignment="1">
      <alignment horizontal="center"/>
    </xf>
    <xf numFmtId="174" fontId="67" fillId="46" borderId="17" xfId="132" applyNumberFormat="1" applyFont="1" applyFill="1" applyBorder="1" applyAlignment="1" applyProtection="1">
      <alignment horizontal="center" vertical="center" shrinkToFit="1"/>
    </xf>
    <xf numFmtId="174" fontId="64" fillId="65" borderId="1" xfId="132" applyNumberFormat="1" applyFont="1" applyFill="1" applyBorder="1" applyAlignment="1" applyProtection="1">
      <alignment horizontal="center" vertical="center" shrinkToFit="1"/>
    </xf>
    <xf numFmtId="174" fontId="44" fillId="0" borderId="1" xfId="243" applyNumberFormat="1" applyFont="1" applyBorder="1" applyAlignment="1" applyProtection="1">
      <alignment horizontal="center"/>
    </xf>
    <xf numFmtId="174" fontId="46" fillId="66" borderId="17" xfId="132" applyNumberFormat="1" applyFont="1" applyFill="1" applyBorder="1" applyAlignment="1" applyProtection="1">
      <alignment horizontal="center" vertical="center" shrinkToFit="1"/>
    </xf>
    <xf numFmtId="174" fontId="10" fillId="0" borderId="0" xfId="151" applyNumberFormat="1" applyAlignment="1">
      <alignment horizontal="center" vertical="center"/>
    </xf>
    <xf numFmtId="174" fontId="77" fillId="35" borderId="32" xfId="151" applyNumberFormat="1" applyFont="1" applyFill="1" applyBorder="1" applyAlignment="1">
      <alignment horizontal="center" vertical="center"/>
    </xf>
    <xf numFmtId="174" fontId="77" fillId="35" borderId="0" xfId="151" applyNumberFormat="1" applyFont="1" applyFill="1" applyAlignment="1">
      <alignment horizontal="center" vertical="center"/>
    </xf>
    <xf numFmtId="174" fontId="77" fillId="35" borderId="29" xfId="151" applyNumberFormat="1" applyFont="1" applyFill="1" applyBorder="1" applyAlignment="1">
      <alignment horizontal="center" vertical="center"/>
    </xf>
    <xf numFmtId="174" fontId="76" fillId="61" borderId="0" xfId="244" applyNumberFormat="1" applyFont="1" applyFill="1" applyAlignment="1" applyProtection="1">
      <alignment horizontal="center" vertical="center"/>
    </xf>
    <xf numFmtId="174" fontId="64" fillId="53" borderId="0" xfId="151" applyNumberFormat="1" applyFont="1" applyFill="1" applyAlignment="1">
      <alignment horizontal="center"/>
    </xf>
    <xf numFmtId="174" fontId="64" fillId="67" borderId="0" xfId="242" applyNumberFormat="1" applyFont="1" applyFill="1" applyAlignment="1" applyProtection="1">
      <alignment horizontal="center" vertical="center"/>
    </xf>
    <xf numFmtId="174" fontId="40" fillId="0" borderId="45" xfId="158" applyNumberFormat="1" applyFont="1" applyBorder="1" applyAlignment="1">
      <alignment horizontal="center" vertical="center" wrapText="1"/>
    </xf>
    <xf numFmtId="174" fontId="56" fillId="0" borderId="0" xfId="158" applyNumberFormat="1" applyFont="1" applyAlignment="1">
      <alignment horizontal="center" vertical="center"/>
    </xf>
    <xf numFmtId="174" fontId="79" fillId="0" borderId="0" xfId="151" applyNumberFormat="1" applyFont="1" applyAlignment="1">
      <alignment horizontal="center" vertical="center"/>
    </xf>
    <xf numFmtId="174" fontId="68" fillId="0" borderId="1" xfId="243" applyNumberFormat="1" applyFont="1" applyBorder="1" applyAlignment="1" applyProtection="1">
      <alignment horizontal="center" vertical="center"/>
    </xf>
    <xf numFmtId="174" fontId="67" fillId="68" borderId="17" xfId="132" applyNumberFormat="1" applyFont="1" applyFill="1" applyBorder="1" applyAlignment="1" applyProtection="1">
      <alignment horizontal="center" vertical="center" shrinkToFit="1"/>
    </xf>
    <xf numFmtId="174" fontId="80" fillId="67" borderId="17" xfId="132" applyNumberFormat="1" applyFont="1" applyFill="1" applyBorder="1" applyAlignment="1" applyProtection="1">
      <alignment horizontal="center" vertical="center" shrinkToFit="1"/>
    </xf>
    <xf numFmtId="174" fontId="21" fillId="0" borderId="18" xfId="151" applyNumberFormat="1" applyFont="1" applyBorder="1"/>
    <xf numFmtId="174" fontId="21" fillId="0" borderId="39" xfId="151" applyNumberFormat="1" applyFont="1" applyBorder="1"/>
    <xf numFmtId="174" fontId="40" fillId="0" borderId="0" xfId="158" applyNumberFormat="1" applyFont="1" applyAlignment="1">
      <alignment horizontal="center" vertical="center" wrapText="1"/>
    </xf>
    <xf numFmtId="174" fontId="30" fillId="46" borderId="0" xfId="151" applyNumberFormat="1" applyFont="1" applyFill="1" applyAlignment="1">
      <alignment horizontal="center" vertical="center"/>
    </xf>
    <xf numFmtId="174" fontId="30" fillId="0" borderId="0" xfId="151" applyNumberFormat="1" applyFont="1" applyAlignment="1">
      <alignment horizontal="center" vertical="center"/>
    </xf>
    <xf numFmtId="174" fontId="66" fillId="46" borderId="0" xfId="151" applyNumberFormat="1" applyFont="1" applyFill="1"/>
    <xf numFmtId="174" fontId="75" fillId="35" borderId="46" xfId="151" applyNumberFormat="1" applyFont="1" applyFill="1" applyBorder="1" applyAlignment="1">
      <alignment horizontal="center" vertical="center" textRotation="90" wrapText="1"/>
    </xf>
    <xf numFmtId="174" fontId="52" fillId="0" borderId="47" xfId="158" applyNumberFormat="1" applyFont="1" applyBorder="1" applyAlignment="1">
      <alignment horizontal="center" vertical="center"/>
    </xf>
    <xf numFmtId="174" fontId="45" fillId="0" borderId="0" xfId="151" applyNumberFormat="1" applyFont="1" applyAlignment="1">
      <alignment horizontal="center" vertical="center"/>
    </xf>
    <xf numFmtId="174" fontId="65" fillId="46" borderId="0" xfId="158" applyNumberFormat="1" applyFont="1" applyFill="1" applyAlignment="1">
      <alignment horizontal="center" vertical="center"/>
    </xf>
    <xf numFmtId="174" fontId="60" fillId="0" borderId="0" xfId="158" applyNumberFormat="1" applyFont="1" applyAlignment="1">
      <alignment horizontal="center" vertical="center"/>
    </xf>
    <xf numFmtId="174" fontId="43" fillId="69" borderId="1" xfId="132" applyNumberFormat="1" applyFont="1" applyFill="1" applyBorder="1" applyAlignment="1" applyProtection="1">
      <alignment horizontal="center" vertical="center" shrinkToFit="1"/>
    </xf>
    <xf numFmtId="174" fontId="81" fillId="0" borderId="0" xfId="243" applyNumberFormat="1" applyFont="1" applyAlignment="1" applyProtection="1">
      <alignment horizontal="center"/>
    </xf>
    <xf numFmtId="174" fontId="82" fillId="0" borderId="0" xfId="158" applyNumberFormat="1" applyFont="1" applyAlignment="1">
      <alignment horizontal="center"/>
    </xf>
    <xf numFmtId="174" fontId="83" fillId="0" borderId="0" xfId="151" applyNumberFormat="1" applyFont="1" applyAlignment="1">
      <alignment vertical="center"/>
    </xf>
    <xf numFmtId="174" fontId="31" fillId="56" borderId="0" xfId="244" applyNumberFormat="1" applyFont="1" applyFill="1" applyAlignment="1" applyProtection="1">
      <alignment horizontal="center" vertical="center"/>
    </xf>
    <xf numFmtId="174" fontId="45" fillId="70" borderId="0" xfId="151" applyNumberFormat="1" applyFont="1" applyFill="1" applyAlignment="1">
      <alignment horizontal="center" vertical="center"/>
    </xf>
    <xf numFmtId="174" fontId="34" fillId="0" borderId="0" xfId="151" applyNumberFormat="1" applyFont="1" applyAlignment="1">
      <alignment vertical="center"/>
    </xf>
    <xf numFmtId="174" fontId="37" fillId="0" borderId="0" xfId="244" applyNumberFormat="1" applyFont="1" applyAlignment="1" applyProtection="1">
      <alignment horizontal="center" vertical="center"/>
    </xf>
    <xf numFmtId="174" fontId="10" fillId="46" borderId="0" xfId="151" applyNumberFormat="1" applyFill="1" applyAlignment="1">
      <alignment vertical="center"/>
    </xf>
    <xf numFmtId="174" fontId="45" fillId="46" borderId="0" xfId="151" applyNumberFormat="1" applyFont="1" applyFill="1" applyAlignment="1">
      <alignment horizontal="center" vertical="center"/>
    </xf>
    <xf numFmtId="174" fontId="64" fillId="72" borderId="17" xfId="132" applyNumberFormat="1" applyFont="1" applyFill="1" applyBorder="1" applyAlignment="1" applyProtection="1">
      <alignment horizontal="center" vertical="center" shrinkToFit="1"/>
    </xf>
    <xf numFmtId="174" fontId="50" fillId="70" borderId="0" xfId="151" applyNumberFormat="1" applyFont="1" applyFill="1"/>
    <xf numFmtId="174" fontId="84" fillId="73" borderId="17" xfId="132" applyNumberFormat="1" applyFont="1" applyFill="1" applyBorder="1" applyAlignment="1" applyProtection="1">
      <alignment horizontal="center" vertical="center" shrinkToFit="1"/>
    </xf>
    <xf numFmtId="174" fontId="46" fillId="74" borderId="17" xfId="132" applyNumberFormat="1" applyFont="1" applyFill="1" applyBorder="1" applyAlignment="1" applyProtection="1">
      <alignment horizontal="center" vertical="center" shrinkToFit="1"/>
    </xf>
    <xf numFmtId="174" fontId="1" fillId="70" borderId="0" xfId="151" applyNumberFormat="1" applyFont="1" applyFill="1"/>
    <xf numFmtId="174" fontId="65" fillId="46" borderId="32" xfId="151" applyNumberFormat="1" applyFont="1" applyFill="1" applyBorder="1" applyAlignment="1">
      <alignment horizontal="center" vertical="center"/>
    </xf>
    <xf numFmtId="174" fontId="84" fillId="35" borderId="0" xfId="151" applyNumberFormat="1" applyFont="1" applyFill="1" applyAlignment="1">
      <alignment horizontal="center"/>
    </xf>
    <xf numFmtId="174" fontId="31" fillId="46" borderId="0" xfId="151" applyNumberFormat="1" applyFont="1" applyFill="1"/>
    <xf numFmtId="174" fontId="36" fillId="35" borderId="0" xfId="151" applyNumberFormat="1" applyFont="1" applyFill="1" applyAlignment="1">
      <alignment horizontal="center"/>
    </xf>
    <xf numFmtId="174" fontId="31" fillId="46" borderId="0" xfId="158" applyNumberFormat="1" applyFont="1" applyFill="1" applyAlignment="1">
      <alignment horizontal="center" vertical="center"/>
    </xf>
    <xf numFmtId="174" fontId="21" fillId="70" borderId="0" xfId="151" applyNumberFormat="1" applyFont="1" applyFill="1" applyAlignment="1">
      <alignment vertical="center"/>
    </xf>
    <xf numFmtId="174" fontId="21" fillId="56" borderId="0" xfId="151" applyNumberFormat="1" applyFont="1" applyFill="1" applyAlignment="1">
      <alignment horizontal="center" vertical="center"/>
    </xf>
    <xf numFmtId="174" fontId="36" fillId="35" borderId="0" xfId="244" applyNumberFormat="1" applyFont="1" applyFill="1" applyAlignment="1" applyProtection="1">
      <alignment horizontal="center" vertical="center"/>
    </xf>
    <xf numFmtId="174" fontId="56" fillId="0" borderId="16" xfId="244" applyNumberFormat="1" applyFont="1" applyBorder="1" applyAlignment="1" applyProtection="1">
      <alignment horizontal="center" vertical="center"/>
    </xf>
    <xf numFmtId="174" fontId="38" fillId="0" borderId="32" xfId="151" applyNumberFormat="1" applyFont="1" applyBorder="1" applyAlignment="1">
      <alignment horizontal="center" vertical="center"/>
    </xf>
    <xf numFmtId="174" fontId="85" fillId="39" borderId="0" xfId="151" applyNumberFormat="1" applyFont="1" applyFill="1" applyAlignment="1">
      <alignment horizontal="center" vertical="center"/>
    </xf>
    <xf numFmtId="174" fontId="34" fillId="35" borderId="0" xfId="158" applyNumberFormat="1" applyFont="1" applyFill="1" applyAlignment="1">
      <alignment horizontal="center" vertical="center"/>
    </xf>
    <xf numFmtId="174" fontId="76" fillId="0" borderId="0" xfId="244" applyNumberFormat="1" applyFont="1" applyAlignment="1" applyProtection="1">
      <alignment horizontal="center" vertical="center"/>
    </xf>
    <xf numFmtId="174" fontId="1" fillId="0" borderId="0" xfId="158" applyNumberFormat="1" applyFont="1"/>
    <xf numFmtId="174" fontId="37" fillId="0" borderId="0" xfId="244" applyNumberFormat="1" applyFont="1" applyAlignment="1" applyProtection="1">
      <alignment horizontal="center"/>
    </xf>
    <xf numFmtId="174" fontId="50" fillId="0" borderId="32" xfId="151" applyNumberFormat="1" applyFont="1" applyBorder="1" applyAlignment="1">
      <alignment horizontal="center" vertical="center"/>
    </xf>
    <xf numFmtId="174" fontId="43" fillId="57" borderId="1" xfId="132" applyNumberFormat="1" applyFont="1" applyFill="1" applyBorder="1" applyAlignment="1" applyProtection="1">
      <alignment horizontal="center" vertical="center" shrinkToFit="1"/>
    </xf>
    <xf numFmtId="174" fontId="44" fillId="0" borderId="48" xfId="243" applyNumberFormat="1" applyFont="1" applyBorder="1" applyAlignment="1" applyProtection="1">
      <alignment horizontal="center" vertical="center"/>
    </xf>
    <xf numFmtId="174" fontId="60" fillId="54" borderId="0" xfId="151" applyNumberFormat="1" applyFont="1" applyFill="1" applyAlignment="1">
      <alignment horizontal="center" vertical="center"/>
    </xf>
    <xf numFmtId="174" fontId="83" fillId="0" borderId="0" xfId="151" applyNumberFormat="1" applyFont="1"/>
    <xf numFmtId="174" fontId="86" fillId="76" borderId="17" xfId="132" applyNumberFormat="1" applyFont="1" applyFill="1" applyBorder="1" applyAlignment="1" applyProtection="1">
      <alignment horizontal="center" vertical="center" shrinkToFit="1"/>
    </xf>
    <xf numFmtId="174" fontId="21" fillId="56" borderId="0" xfId="244" applyNumberFormat="1" applyFill="1" applyAlignment="1" applyProtection="1">
      <alignment horizontal="center" vertical="center"/>
    </xf>
    <xf numFmtId="174" fontId="21" fillId="0" borderId="32" xfId="151" applyNumberFormat="1" applyFont="1" applyBorder="1"/>
    <xf numFmtId="174" fontId="1" fillId="77" borderId="0" xfId="151" applyNumberFormat="1" applyFont="1" applyFill="1" applyAlignment="1">
      <alignment horizontal="center" vertical="center"/>
    </xf>
    <xf numFmtId="174" fontId="87" fillId="0" borderId="0" xfId="151" applyNumberFormat="1" applyFont="1"/>
    <xf numFmtId="174" fontId="1" fillId="0" borderId="0" xfId="158" applyNumberFormat="1" applyFont="1" applyAlignment="1">
      <alignment horizontal="center" vertical="center"/>
    </xf>
    <xf numFmtId="174" fontId="34" fillId="79" borderId="0" xfId="158" applyNumberFormat="1" applyFont="1" applyFill="1" applyAlignment="1">
      <alignment horizontal="center" vertical="center"/>
    </xf>
    <xf numFmtId="174" fontId="56" fillId="35" borderId="0" xfId="151" applyNumberFormat="1" applyFont="1" applyFill="1" applyAlignment="1">
      <alignment horizontal="center"/>
    </xf>
    <xf numFmtId="174" fontId="1" fillId="0" borderId="0" xfId="158" applyNumberFormat="1" applyFont="1" applyAlignment="1">
      <alignment vertical="center" wrapText="1"/>
    </xf>
    <xf numFmtId="174" fontId="1" fillId="0" borderId="0" xfId="244" applyNumberFormat="1" applyFont="1" applyProtection="1"/>
    <xf numFmtId="174" fontId="88" fillId="0" borderId="0" xfId="151" applyNumberFormat="1" applyFont="1" applyAlignment="1">
      <alignment horizontal="center" vertical="center" shrinkToFit="1"/>
    </xf>
    <xf numFmtId="174" fontId="87" fillId="0" borderId="0" xfId="151" applyNumberFormat="1" applyFont="1" applyAlignment="1">
      <alignment horizontal="center" vertical="center"/>
    </xf>
    <xf numFmtId="174" fontId="76" fillId="0" borderId="0" xfId="151" applyNumberFormat="1" applyFont="1" applyAlignment="1">
      <alignment horizontal="center" vertical="center"/>
    </xf>
    <xf numFmtId="174" fontId="76" fillId="0" borderId="0" xfId="158" applyNumberFormat="1" applyFont="1" applyAlignment="1">
      <alignment horizontal="center" vertical="center"/>
    </xf>
    <xf numFmtId="174" fontId="89" fillId="0" borderId="0" xfId="151" applyNumberFormat="1" applyFont="1" applyAlignment="1">
      <alignment horizontal="center"/>
    </xf>
    <xf numFmtId="174" fontId="75" fillId="0" borderId="0" xfId="151" applyNumberFormat="1" applyFont="1" applyAlignment="1">
      <alignment horizontal="center" vertical="center"/>
    </xf>
    <xf numFmtId="174" fontId="40" fillId="0" borderId="0" xfId="243" applyNumberFormat="1" applyFont="1" applyAlignment="1" applyProtection="1">
      <alignment vertical="center"/>
    </xf>
    <xf numFmtId="174" fontId="71" fillId="0" borderId="30" xfId="158" applyNumberFormat="1" applyFont="1" applyBorder="1" applyAlignment="1">
      <alignment horizontal="center" vertical="center"/>
    </xf>
    <xf numFmtId="174" fontId="71" fillId="0" borderId="31" xfId="158" applyNumberFormat="1" applyFont="1" applyBorder="1" applyAlignment="1">
      <alignment horizontal="center" vertical="center"/>
    </xf>
    <xf numFmtId="174" fontId="90" fillId="0" borderId="0" xfId="151" applyNumberFormat="1" applyFont="1" applyAlignment="1">
      <alignment horizontal="left" vertical="center"/>
    </xf>
    <xf numFmtId="174" fontId="34" fillId="35" borderId="0" xfId="151" applyNumberFormat="1" applyFont="1" applyFill="1" applyAlignment="1">
      <alignment horizontal="center" vertical="center"/>
    </xf>
    <xf numFmtId="174" fontId="63" fillId="0" borderId="0" xfId="151" applyNumberFormat="1" applyFont="1" applyAlignment="1">
      <alignment horizontal="center" vertical="center" shrinkToFit="1"/>
    </xf>
    <xf numFmtId="174" fontId="41" fillId="46" borderId="0" xfId="151" applyNumberFormat="1" applyFont="1" applyFill="1" applyAlignment="1">
      <alignment horizontal="center" vertical="center"/>
    </xf>
    <xf numFmtId="174" fontId="31" fillId="50" borderId="0" xfId="158" applyNumberFormat="1" applyFont="1" applyFill="1" applyAlignment="1">
      <alignment horizontal="center" vertical="center"/>
    </xf>
    <xf numFmtId="174" fontId="71" fillId="0" borderId="33" xfId="158" applyNumberFormat="1" applyFont="1" applyBorder="1" applyAlignment="1">
      <alignment horizontal="center" vertical="center"/>
    </xf>
    <xf numFmtId="174" fontId="71" fillId="0" borderId="34" xfId="158" applyNumberFormat="1" applyFont="1" applyBorder="1" applyAlignment="1">
      <alignment horizontal="center" vertical="center"/>
    </xf>
    <xf numFmtId="174" fontId="1" fillId="0" borderId="32" xfId="151" applyNumberFormat="1" applyFont="1" applyBorder="1" applyAlignment="1">
      <alignment vertical="center" wrapText="1"/>
    </xf>
    <xf numFmtId="174" fontId="91" fillId="0" borderId="0" xfId="151" applyNumberFormat="1" applyFont="1" applyAlignment="1">
      <alignment horizontal="center" vertical="center" shrinkToFit="1"/>
    </xf>
    <xf numFmtId="174" fontId="92" fillId="0" borderId="0" xfId="151" applyNumberFormat="1" applyFont="1" applyAlignment="1">
      <alignment horizontal="center" vertical="center" shrinkToFit="1"/>
    </xf>
    <xf numFmtId="174" fontId="93" fillId="0" borderId="0" xfId="151" applyNumberFormat="1" applyFont="1" applyAlignment="1">
      <alignment horizontal="center" vertical="center" shrinkToFit="1"/>
    </xf>
    <xf numFmtId="174" fontId="94" fillId="46" borderId="0" xfId="151" applyNumberFormat="1" applyFont="1" applyFill="1" applyAlignment="1">
      <alignment horizontal="center" vertical="center" shrinkToFit="1"/>
    </xf>
    <xf numFmtId="174" fontId="94" fillId="0" borderId="0" xfId="151" applyNumberFormat="1" applyFont="1" applyAlignment="1">
      <alignment horizontal="center" vertical="center" shrinkToFit="1"/>
    </xf>
    <xf numFmtId="174" fontId="95" fillId="0" borderId="0" xfId="151" applyNumberFormat="1" applyFont="1" applyAlignment="1">
      <alignment horizontal="center" vertical="center" shrinkToFit="1"/>
    </xf>
    <xf numFmtId="174" fontId="96" fillId="0" borderId="0" xfId="151" applyNumberFormat="1" applyFont="1" applyAlignment="1">
      <alignment horizontal="center" vertical="center" shrinkToFit="1"/>
    </xf>
    <xf numFmtId="174" fontId="94" fillId="0" borderId="29" xfId="151" applyNumberFormat="1" applyFont="1" applyBorder="1" applyAlignment="1">
      <alignment horizontal="center" vertical="center" shrinkToFit="1"/>
    </xf>
    <xf numFmtId="174" fontId="21" fillId="50" borderId="0" xfId="158" applyNumberFormat="1" applyFont="1" applyFill="1" applyAlignment="1">
      <alignment vertical="center"/>
    </xf>
    <xf numFmtId="174" fontId="84" fillId="50" borderId="1" xfId="132" applyNumberFormat="1" applyFont="1" applyFill="1" applyBorder="1" applyAlignment="1" applyProtection="1">
      <alignment horizontal="center" vertical="center" shrinkToFit="1"/>
    </xf>
    <xf numFmtId="174" fontId="67" fillId="48" borderId="17" xfId="132" applyNumberFormat="1" applyFont="1" applyFill="1" applyBorder="1" applyAlignment="1" applyProtection="1">
      <alignment horizontal="center" vertical="center" shrinkToFit="1"/>
    </xf>
    <xf numFmtId="174" fontId="53" fillId="81" borderId="0" xfId="151" applyNumberFormat="1" applyFont="1" applyFill="1" applyAlignment="1">
      <alignment vertical="center"/>
    </xf>
    <xf numFmtId="174" fontId="21" fillId="0" borderId="34" xfId="151" applyNumberFormat="1" applyFont="1" applyBorder="1" applyAlignment="1">
      <alignment vertical="center"/>
    </xf>
    <xf numFmtId="174" fontId="71" fillId="0" borderId="37" xfId="158" applyNumberFormat="1" applyFont="1" applyBorder="1" applyAlignment="1">
      <alignment horizontal="center" vertical="center"/>
    </xf>
    <xf numFmtId="174" fontId="71" fillId="0" borderId="38" xfId="158" applyNumberFormat="1" applyFont="1" applyBorder="1" applyAlignment="1">
      <alignment horizontal="center" vertical="center"/>
    </xf>
    <xf numFmtId="174" fontId="1" fillId="0" borderId="35" xfId="151" applyNumberFormat="1" applyFont="1" applyBorder="1" applyAlignment="1">
      <alignment vertical="center" wrapText="1"/>
    </xf>
    <xf numFmtId="174" fontId="1" fillId="0" borderId="18" xfId="151" applyNumberFormat="1" applyFont="1" applyBorder="1" applyAlignment="1">
      <alignment horizontal="center" vertical="center"/>
    </xf>
    <xf numFmtId="174" fontId="88" fillId="0" borderId="18" xfId="151" applyNumberFormat="1" applyFont="1" applyBorder="1" applyAlignment="1">
      <alignment horizontal="center" vertical="center" shrinkToFit="1"/>
    </xf>
    <xf numFmtId="174" fontId="97" fillId="35" borderId="4" xfId="151" applyNumberFormat="1" applyFont="1" applyFill="1" applyBorder="1" applyAlignment="1">
      <alignment horizontal="center" vertical="center" shrinkToFit="1"/>
    </xf>
    <xf numFmtId="174" fontId="97" fillId="35" borderId="19" xfId="151" applyNumberFormat="1" applyFont="1" applyFill="1" applyBorder="1" applyAlignment="1">
      <alignment horizontal="center" vertical="center" shrinkToFit="1"/>
    </xf>
    <xf numFmtId="174" fontId="97" fillId="35" borderId="5" xfId="151" applyNumberFormat="1" applyFont="1" applyFill="1" applyBorder="1" applyAlignment="1">
      <alignment horizontal="center" vertical="center" shrinkToFit="1"/>
    </xf>
    <xf numFmtId="174" fontId="50" fillId="0" borderId="18" xfId="151" applyNumberFormat="1" applyFont="1" applyBorder="1" applyAlignment="1">
      <alignment horizontal="center" vertical="center"/>
    </xf>
    <xf numFmtId="174" fontId="54" fillId="0" borderId="18" xfId="151" applyNumberFormat="1" applyFont="1" applyBorder="1" applyAlignment="1">
      <alignment horizontal="center" vertical="center"/>
    </xf>
    <xf numFmtId="174" fontId="38" fillId="0" borderId="18" xfId="151" applyNumberFormat="1" applyFont="1" applyBorder="1" applyAlignment="1">
      <alignment horizontal="center" vertical="center"/>
    </xf>
    <xf numFmtId="174" fontId="36" fillId="35" borderId="18" xfId="244" applyNumberFormat="1" applyFont="1" applyFill="1" applyBorder="1" applyAlignment="1" applyProtection="1">
      <alignment horizontal="center" vertical="center"/>
    </xf>
    <xf numFmtId="174" fontId="21" fillId="0" borderId="18" xfId="151" applyNumberFormat="1" applyFont="1" applyBorder="1" applyAlignment="1">
      <alignment vertical="center"/>
    </xf>
    <xf numFmtId="174" fontId="21" fillId="0" borderId="18" xfId="158" applyNumberFormat="1" applyFont="1" applyBorder="1"/>
    <xf numFmtId="174" fontId="21" fillId="0" borderId="18" xfId="158" applyNumberFormat="1" applyFont="1" applyBorder="1" applyAlignment="1">
      <alignment vertical="center"/>
    </xf>
    <xf numFmtId="174" fontId="95" fillId="46" borderId="18" xfId="151" applyNumberFormat="1" applyFont="1" applyFill="1" applyBorder="1" applyAlignment="1">
      <alignment horizontal="center" vertical="center" shrinkToFit="1"/>
    </xf>
    <xf numFmtId="174" fontId="94" fillId="0" borderId="39" xfId="151" applyNumberFormat="1" applyFont="1" applyBorder="1" applyAlignment="1">
      <alignment horizontal="center" vertical="center" shrinkToFit="1"/>
    </xf>
    <xf numFmtId="174" fontId="88" fillId="0" borderId="0" xfId="151" applyNumberFormat="1" applyFont="1" applyAlignment="1">
      <alignment horizontal="center" vertical="center"/>
    </xf>
    <xf numFmtId="174" fontId="54" fillId="0" borderId="0" xfId="151" applyNumberFormat="1" applyFont="1"/>
    <xf numFmtId="174" fontId="77" fillId="35" borderId="35" xfId="151" applyNumberFormat="1" applyFont="1" applyFill="1" applyBorder="1" applyAlignment="1">
      <alignment horizontal="center" vertical="center"/>
    </xf>
    <xf numFmtId="174" fontId="77" fillId="35" borderId="18" xfId="151" applyNumberFormat="1" applyFont="1" applyFill="1" applyBorder="1" applyAlignment="1">
      <alignment horizontal="center" vertical="center"/>
    </xf>
    <xf numFmtId="174" fontId="77" fillId="35" borderId="39" xfId="151" applyNumberFormat="1" applyFont="1" applyFill="1" applyBorder="1" applyAlignment="1">
      <alignment horizontal="center" vertical="center"/>
    </xf>
    <xf numFmtId="174" fontId="91" fillId="0" borderId="0" xfId="151" applyNumberFormat="1" applyFont="1" applyAlignment="1">
      <alignment vertical="center"/>
    </xf>
    <xf numFmtId="174" fontId="54" fillId="0" borderId="0" xfId="151" applyNumberFormat="1" applyFont="1" applyAlignment="1">
      <alignment horizontal="left"/>
    </xf>
    <xf numFmtId="174" fontId="98" fillId="0" borderId="0" xfId="151" applyNumberFormat="1" applyFont="1" applyAlignment="1">
      <alignment horizontal="center" vertical="center"/>
    </xf>
    <xf numFmtId="174" fontId="31" fillId="0" borderId="0" xfId="151" applyNumberFormat="1" applyFont="1" applyAlignment="1">
      <alignment horizontal="center"/>
    </xf>
    <xf numFmtId="174" fontId="99" fillId="0" borderId="0" xfId="243" applyNumberFormat="1" applyFont="1" applyAlignment="1" applyProtection="1">
      <alignment horizontal="center"/>
    </xf>
    <xf numFmtId="174" fontId="88" fillId="0" borderId="0" xfId="158" applyNumberFormat="1" applyFont="1" applyAlignment="1">
      <alignment horizontal="center" vertical="center"/>
    </xf>
    <xf numFmtId="174" fontId="100" fillId="0" borderId="0" xfId="158" applyNumberFormat="1" applyFont="1" applyAlignment="1">
      <alignment vertical="center"/>
    </xf>
    <xf numFmtId="174" fontId="39" fillId="0" borderId="0" xfId="158" applyNumberFormat="1" applyFont="1"/>
    <xf numFmtId="174" fontId="91" fillId="0" borderId="0" xfId="158" applyNumberFormat="1" applyFont="1" applyAlignment="1">
      <alignment vertical="center"/>
    </xf>
    <xf numFmtId="174" fontId="42" fillId="61" borderId="0" xfId="151" applyNumberFormat="1" applyFont="1" applyFill="1" applyAlignment="1">
      <alignment horizontal="center"/>
    </xf>
    <xf numFmtId="174" fontId="44" fillId="0" borderId="15" xfId="243" applyNumberFormat="1" applyFont="1" applyBorder="1" applyAlignment="1" applyProtection="1">
      <alignment horizontal="center"/>
    </xf>
    <xf numFmtId="174" fontId="21" fillId="61" borderId="0" xfId="244" applyNumberFormat="1" applyFill="1" applyAlignment="1" applyProtection="1">
      <alignment horizontal="center" vertical="center"/>
    </xf>
    <xf numFmtId="174" fontId="84" fillId="82" borderId="1" xfId="132" applyNumberFormat="1" applyFont="1" applyFill="1" applyBorder="1" applyAlignment="1" applyProtection="1">
      <alignment horizontal="center" vertical="center" shrinkToFit="1"/>
    </xf>
    <xf numFmtId="174" fontId="2" fillId="0" borderId="18" xfId="158" applyNumberFormat="1" applyBorder="1" applyAlignment="1">
      <alignment vertical="center"/>
    </xf>
    <xf numFmtId="174" fontId="56" fillId="35" borderId="18" xfId="158" applyNumberFormat="1" applyFont="1" applyFill="1" applyBorder="1" applyAlignment="1">
      <alignment vertical="center"/>
    </xf>
    <xf numFmtId="174" fontId="10" fillId="35" borderId="18" xfId="151" applyNumberFormat="1" applyFill="1" applyBorder="1" applyAlignment="1">
      <alignment vertical="center"/>
    </xf>
    <xf numFmtId="174" fontId="53" fillId="81" borderId="18" xfId="151" applyNumberFormat="1" applyFont="1" applyFill="1" applyBorder="1" applyAlignment="1">
      <alignment vertical="center"/>
    </xf>
    <xf numFmtId="174" fontId="53" fillId="81" borderId="49" xfId="151" applyNumberFormat="1" applyFont="1" applyFill="1" applyBorder="1" applyAlignment="1">
      <alignment vertical="center"/>
    </xf>
    <xf numFmtId="174" fontId="21" fillId="0" borderId="38" xfId="151" applyNumberFormat="1" applyFont="1" applyBorder="1" applyAlignment="1">
      <alignment vertical="center"/>
    </xf>
    <xf numFmtId="174" fontId="31" fillId="46" borderId="0" xfId="151" applyNumberFormat="1" applyFont="1" applyFill="1" applyAlignment="1">
      <alignment horizontal="left"/>
    </xf>
    <xf numFmtId="174" fontId="101" fillId="0" borderId="1" xfId="132" applyNumberFormat="1" applyFont="1" applyBorder="1" applyAlignment="1" applyProtection="1">
      <alignment horizontal="center" vertical="center" shrinkToFit="1"/>
    </xf>
    <xf numFmtId="174" fontId="102" fillId="0" borderId="1" xfId="132" applyNumberFormat="1" applyFont="1" applyBorder="1" applyAlignment="1" applyProtection="1">
      <alignment horizontal="center" vertical="center" shrinkToFit="1"/>
    </xf>
    <xf numFmtId="174" fontId="44" fillId="0" borderId="17" xfId="243" applyNumberFormat="1" applyFont="1" applyBorder="1" applyAlignment="1" applyProtection="1">
      <alignment horizontal="center"/>
    </xf>
    <xf numFmtId="174" fontId="46" fillId="74" borderId="1" xfId="132" applyNumberFormat="1" applyFont="1" applyFill="1" applyBorder="1" applyAlignment="1" applyProtection="1">
      <alignment horizontal="center" vertical="center" shrinkToFit="1"/>
    </xf>
    <xf numFmtId="174" fontId="54" fillId="0" borderId="23" xfId="151" applyNumberFormat="1" applyFont="1" applyBorder="1" applyAlignment="1">
      <alignment horizontal="center" vertical="center"/>
    </xf>
    <xf numFmtId="174" fontId="54" fillId="0" borderId="24" xfId="151" applyNumberFormat="1" applyFont="1" applyBorder="1" applyAlignment="1">
      <alignment horizontal="center" vertical="center"/>
    </xf>
    <xf numFmtId="174" fontId="31" fillId="0" borderId="0" xfId="244" applyNumberFormat="1" applyFont="1" applyAlignment="1" applyProtection="1">
      <alignment horizontal="center" vertical="center"/>
    </xf>
    <xf numFmtId="174" fontId="39" fillId="0" borderId="0" xfId="243" applyNumberFormat="1" applyFont="1" applyAlignment="1" applyProtection="1">
      <alignment horizontal="center"/>
    </xf>
    <xf numFmtId="174" fontId="73" fillId="46" borderId="0" xfId="244" applyNumberFormat="1" applyFont="1" applyFill="1" applyAlignment="1" applyProtection="1">
      <alignment vertical="center"/>
    </xf>
    <xf numFmtId="174" fontId="54" fillId="0" borderId="32" xfId="151" applyNumberFormat="1" applyFont="1" applyBorder="1" applyAlignment="1">
      <alignment horizontal="center" vertical="center"/>
    </xf>
    <xf numFmtId="174" fontId="64" fillId="85" borderId="1" xfId="132" applyNumberFormat="1" applyFont="1" applyFill="1" applyBorder="1" applyAlignment="1" applyProtection="1">
      <alignment horizontal="center" vertical="center" shrinkToFit="1"/>
    </xf>
    <xf numFmtId="174" fontId="103" fillId="86" borderId="1" xfId="132" applyNumberFormat="1" applyFont="1" applyFill="1" applyBorder="1" applyAlignment="1" applyProtection="1">
      <alignment horizontal="center" vertical="center" shrinkToFit="1"/>
    </xf>
    <xf numFmtId="174" fontId="66" fillId="0" borderId="0" xfId="158" applyNumberFormat="1" applyFont="1"/>
    <xf numFmtId="174" fontId="104" fillId="0" borderId="0" xfId="243" applyNumberFormat="1" applyFont="1" applyAlignment="1" applyProtection="1">
      <alignment horizontal="center"/>
    </xf>
    <xf numFmtId="174" fontId="63" fillId="46" borderId="0" xfId="151" applyNumberFormat="1" applyFont="1" applyFill="1" applyAlignment="1">
      <alignment horizontal="center" vertical="center"/>
    </xf>
    <xf numFmtId="174" fontId="105" fillId="35" borderId="23" xfId="132" applyNumberFormat="1" applyFont="1" applyFill="1" applyBorder="1" applyAlignment="1" applyProtection="1">
      <alignment horizontal="center" vertical="center" shrinkToFit="1"/>
    </xf>
    <xf numFmtId="174" fontId="105" fillId="35" borderId="24" xfId="132" applyNumberFormat="1" applyFont="1" applyFill="1" applyBorder="1" applyAlignment="1" applyProtection="1">
      <alignment horizontal="center" vertical="center" shrinkToFit="1"/>
    </xf>
    <xf numFmtId="174" fontId="105" fillId="35" borderId="25" xfId="132" applyNumberFormat="1" applyFont="1" applyFill="1" applyBorder="1" applyAlignment="1" applyProtection="1">
      <alignment horizontal="center" vertical="center" shrinkToFit="1"/>
    </xf>
    <xf numFmtId="174" fontId="36" fillId="35" borderId="0" xfId="151" applyNumberFormat="1" applyFont="1" applyFill="1"/>
    <xf numFmtId="174" fontId="54" fillId="0" borderId="0" xfId="151" applyNumberFormat="1" applyFont="1" applyAlignment="1">
      <alignment horizontal="center"/>
    </xf>
    <xf numFmtId="174" fontId="84" fillId="46" borderId="0" xfId="151" applyNumberFormat="1" applyFont="1" applyFill="1"/>
    <xf numFmtId="174" fontId="105" fillId="35" borderId="32" xfId="132" applyNumberFormat="1" applyFont="1" applyFill="1" applyBorder="1" applyAlignment="1" applyProtection="1">
      <alignment horizontal="center" vertical="center" shrinkToFit="1"/>
    </xf>
    <xf numFmtId="174" fontId="105" fillId="35" borderId="0" xfId="132" applyNumberFormat="1" applyFont="1" applyFill="1" applyAlignment="1" applyProtection="1">
      <alignment horizontal="center" vertical="center" shrinkToFit="1"/>
    </xf>
    <xf numFmtId="174" fontId="105" fillId="35" borderId="29" xfId="132" applyNumberFormat="1" applyFont="1" applyFill="1" applyBorder="1" applyAlignment="1" applyProtection="1">
      <alignment horizontal="center" vertical="center" shrinkToFit="1"/>
    </xf>
    <xf numFmtId="174" fontId="21" fillId="50" borderId="0" xfId="158" applyNumberFormat="1" applyFont="1" applyFill="1"/>
    <xf numFmtId="174" fontId="36" fillId="0" borderId="0" xfId="151" applyNumberFormat="1" applyFont="1" applyAlignment="1">
      <alignment horizontal="center"/>
    </xf>
    <xf numFmtId="174" fontId="84" fillId="35" borderId="0" xfId="151" applyNumberFormat="1" applyFont="1" applyFill="1" applyAlignment="1">
      <alignment horizontal="center" vertical="center"/>
    </xf>
    <xf numFmtId="174" fontId="50" fillId="81" borderId="0" xfId="151" applyNumberFormat="1" applyFont="1" applyFill="1"/>
    <xf numFmtId="174" fontId="61" fillId="56" borderId="0" xfId="158" applyNumberFormat="1" applyFont="1" applyFill="1" applyAlignment="1">
      <alignment horizontal="center" vertical="center"/>
    </xf>
    <xf numFmtId="174" fontId="62" fillId="35" borderId="0" xfId="151" applyNumberFormat="1" applyFont="1" applyFill="1" applyAlignment="1">
      <alignment horizontal="center" vertical="center"/>
    </xf>
    <xf numFmtId="174" fontId="106" fillId="0" borderId="0" xfId="243" applyNumberFormat="1" applyFont="1" applyAlignment="1" applyProtection="1">
      <alignment horizontal="center"/>
    </xf>
    <xf numFmtId="174" fontId="105" fillId="35" borderId="35" xfId="132" applyNumberFormat="1" applyFont="1" applyFill="1" applyBorder="1" applyAlignment="1" applyProtection="1">
      <alignment horizontal="center" vertical="center" shrinkToFit="1"/>
    </xf>
    <xf numFmtId="174" fontId="105" fillId="35" borderId="18" xfId="132" applyNumberFormat="1" applyFont="1" applyFill="1" applyBorder="1" applyAlignment="1" applyProtection="1">
      <alignment horizontal="center" vertical="center" shrinkToFit="1"/>
    </xf>
    <xf numFmtId="174" fontId="105" fillId="35" borderId="39" xfId="132" applyNumberFormat="1" applyFont="1" applyFill="1" applyBorder="1" applyAlignment="1" applyProtection="1">
      <alignment horizontal="center" vertical="center" shrinkToFit="1"/>
    </xf>
    <xf numFmtId="174" fontId="51" fillId="0" borderId="0" xfId="151" applyNumberFormat="1" applyFont="1" applyAlignment="1">
      <alignment horizontal="right" vertical="center"/>
    </xf>
    <xf numFmtId="174" fontId="51" fillId="0" borderId="36" xfId="243" applyNumberFormat="1" applyFont="1" applyBorder="1" applyAlignment="1" applyProtection="1">
      <alignment horizontal="center"/>
    </xf>
    <xf numFmtId="174" fontId="45" fillId="0" borderId="0" xfId="243" applyNumberFormat="1" applyFont="1" applyAlignment="1" applyProtection="1">
      <alignment horizontal="center"/>
    </xf>
    <xf numFmtId="174" fontId="54" fillId="0" borderId="0" xfId="243" applyNumberFormat="1" applyFont="1" applyAlignment="1" applyProtection="1">
      <alignment horizontal="center"/>
    </xf>
    <xf numFmtId="174" fontId="94" fillId="0" borderId="0" xfId="151" applyNumberFormat="1" applyFont="1" applyAlignment="1">
      <alignment horizontal="center" vertical="center"/>
    </xf>
    <xf numFmtId="174" fontId="54" fillId="0" borderId="34" xfId="151" applyNumberFormat="1" applyFont="1" applyBorder="1" applyAlignment="1">
      <alignment horizontal="center" vertical="center"/>
    </xf>
    <xf numFmtId="174" fontId="105" fillId="0" borderId="0" xfId="245" applyNumberFormat="1" applyFont="1" applyAlignment="1" applyProtection="1">
      <alignment horizontal="center" vertical="center" shrinkToFit="1"/>
    </xf>
    <xf numFmtId="174" fontId="76" fillId="0" borderId="0" xfId="151" applyNumberFormat="1" applyFont="1" applyAlignment="1">
      <alignment horizontal="center"/>
    </xf>
    <xf numFmtId="174" fontId="31" fillId="0" borderId="0" xfId="158" applyNumberFormat="1" applyFont="1" applyAlignment="1">
      <alignment horizontal="center"/>
    </xf>
    <xf numFmtId="174" fontId="94" fillId="0" borderId="0" xfId="158" applyNumberFormat="1" applyFont="1" applyAlignment="1">
      <alignment horizontal="center" vertical="center"/>
    </xf>
    <xf numFmtId="174" fontId="50" fillId="0" borderId="0" xfId="158" applyNumberFormat="1" applyFont="1"/>
    <xf numFmtId="174" fontId="36" fillId="0" borderId="0" xfId="244" applyNumberFormat="1" applyFont="1" applyAlignment="1" applyProtection="1">
      <alignment vertical="center"/>
    </xf>
    <xf numFmtId="174" fontId="88" fillId="81" borderId="0" xfId="151" applyNumberFormat="1" applyFont="1" applyFill="1" applyAlignment="1">
      <alignment horizontal="center" vertical="center"/>
    </xf>
    <xf numFmtId="174" fontId="1" fillId="81" borderId="0" xfId="151" applyNumberFormat="1" applyFont="1" applyFill="1"/>
    <xf numFmtId="174" fontId="10" fillId="77" borderId="0" xfId="151" applyNumberFormat="1" applyFill="1" applyAlignment="1">
      <alignment vertical="center"/>
    </xf>
    <xf numFmtId="174" fontId="32" fillId="0" borderId="0" xfId="151" applyNumberFormat="1" applyFont="1" applyAlignment="1">
      <alignment horizontal="center" vertical="center"/>
    </xf>
    <xf numFmtId="174" fontId="64" fillId="0" borderId="0" xfId="151" applyNumberFormat="1" applyFont="1" applyAlignment="1">
      <alignment horizontal="center"/>
    </xf>
    <xf numFmtId="174" fontId="75" fillId="35" borderId="23" xfId="151" applyNumberFormat="1" applyFont="1" applyFill="1" applyBorder="1" applyAlignment="1">
      <alignment horizontal="center" vertical="center"/>
    </xf>
    <xf numFmtId="174" fontId="75" fillId="35" borderId="24" xfId="151" applyNumberFormat="1" applyFont="1" applyFill="1" applyBorder="1" applyAlignment="1">
      <alignment horizontal="center" vertical="center"/>
    </xf>
    <xf numFmtId="174" fontId="75" fillId="35" borderId="25" xfId="151" applyNumberFormat="1" applyFont="1" applyFill="1" applyBorder="1" applyAlignment="1">
      <alignment horizontal="center" vertical="center"/>
    </xf>
    <xf numFmtId="174" fontId="98" fillId="0" borderId="50" xfId="151" applyNumberFormat="1" applyFont="1" applyBorder="1"/>
    <xf numFmtId="174" fontId="50" fillId="0" borderId="51" xfId="151" applyNumberFormat="1" applyFont="1" applyBorder="1" applyAlignment="1">
      <alignment horizontal="center"/>
    </xf>
    <xf numFmtId="174" fontId="50" fillId="0" borderId="0" xfId="151" applyNumberFormat="1" applyFont="1" applyAlignment="1">
      <alignment horizontal="center"/>
    </xf>
    <xf numFmtId="174" fontId="50" fillId="0" borderId="52" xfId="151" applyNumberFormat="1" applyFont="1" applyBorder="1" applyAlignment="1">
      <alignment horizontal="center"/>
    </xf>
    <xf numFmtId="174" fontId="50" fillId="0" borderId="53" xfId="151" applyNumberFormat="1" applyFont="1" applyBorder="1"/>
    <xf numFmtId="174" fontId="107" fillId="0" borderId="0" xfId="158" applyNumberFormat="1" applyFont="1" applyAlignment="1">
      <alignment vertical="center"/>
    </xf>
    <xf numFmtId="174" fontId="105" fillId="0" borderId="1" xfId="132" applyNumberFormat="1" applyFont="1" applyBorder="1" applyAlignment="1" applyProtection="1">
      <alignment horizontal="center" vertical="center" shrinkToFit="1"/>
    </xf>
    <xf numFmtId="174" fontId="54" fillId="0" borderId="38" xfId="158" applyNumberFormat="1" applyFont="1" applyBorder="1" applyAlignment="1">
      <alignment horizontal="center" vertical="center"/>
    </xf>
    <xf numFmtId="174" fontId="75" fillId="35" borderId="32" xfId="151" applyNumberFormat="1" applyFont="1" applyFill="1" applyBorder="1" applyAlignment="1">
      <alignment horizontal="center" vertical="center"/>
    </xf>
    <xf numFmtId="174" fontId="75" fillId="35" borderId="0" xfId="151" applyNumberFormat="1" applyFont="1" applyFill="1" applyAlignment="1">
      <alignment horizontal="center" vertical="center"/>
    </xf>
    <xf numFmtId="174" fontId="75" fillId="35" borderId="29" xfId="151" applyNumberFormat="1" applyFont="1" applyFill="1" applyBorder="1" applyAlignment="1">
      <alignment horizontal="center" vertical="center"/>
    </xf>
    <xf numFmtId="174" fontId="1" fillId="35" borderId="23" xfId="158" applyNumberFormat="1" applyFont="1" applyFill="1" applyBorder="1"/>
    <xf numFmtId="174" fontId="1" fillId="35" borderId="24" xfId="158" applyNumberFormat="1" applyFont="1" applyFill="1" applyBorder="1"/>
    <xf numFmtId="174" fontId="1" fillId="35" borderId="54" xfId="158" applyNumberFormat="1" applyFont="1" applyFill="1" applyBorder="1"/>
    <xf numFmtId="174" fontId="1" fillId="35" borderId="55" xfId="158" applyNumberFormat="1" applyFont="1" applyFill="1" applyBorder="1"/>
    <xf numFmtId="174" fontId="1" fillId="35" borderId="29" xfId="158" applyNumberFormat="1" applyFont="1" applyFill="1" applyBorder="1"/>
    <xf numFmtId="174" fontId="32" fillId="87" borderId="24" xfId="132" applyNumberFormat="1" applyFont="1" applyFill="1" applyBorder="1" applyAlignment="1" applyProtection="1">
      <alignment vertical="center" shrinkToFit="1"/>
    </xf>
    <xf numFmtId="174" fontId="34" fillId="35" borderId="24" xfId="151" applyNumberFormat="1" applyFont="1" applyFill="1" applyBorder="1" applyAlignment="1">
      <alignment horizontal="center"/>
    </xf>
    <xf numFmtId="174" fontId="50" fillId="0" borderId="24" xfId="151" applyNumberFormat="1" applyFont="1" applyBorder="1"/>
    <xf numFmtId="174" fontId="53" fillId="35" borderId="32" xfId="158" applyNumberFormat="1" applyFont="1" applyFill="1" applyBorder="1"/>
    <xf numFmtId="174" fontId="53" fillId="35" borderId="0" xfId="158" applyNumberFormat="1" applyFont="1" applyFill="1"/>
    <xf numFmtId="174" fontId="53" fillId="35" borderId="28" xfId="158" applyNumberFormat="1" applyFont="1" applyFill="1" applyBorder="1"/>
    <xf numFmtId="174" fontId="53" fillId="35" borderId="25" xfId="158" applyNumberFormat="1" applyFont="1" applyFill="1" applyBorder="1"/>
    <xf numFmtId="174" fontId="36" fillId="35" borderId="45" xfId="151" applyNumberFormat="1" applyFont="1" applyFill="1" applyBorder="1" applyAlignment="1">
      <alignment horizontal="center"/>
    </xf>
    <xf numFmtId="174" fontId="50" fillId="0" borderId="25" xfId="151" applyNumberFormat="1" applyFont="1" applyBorder="1"/>
    <xf numFmtId="174" fontId="37" fillId="35" borderId="23" xfId="151" applyNumberFormat="1" applyFont="1" applyFill="1" applyBorder="1" applyAlignment="1">
      <alignment horizontal="center" vertical="center"/>
    </xf>
    <xf numFmtId="174" fontId="37" fillId="35" borderId="24" xfId="151" applyNumberFormat="1" applyFont="1" applyFill="1" applyBorder="1" applyAlignment="1">
      <alignment horizontal="center" vertical="center"/>
    </xf>
    <xf numFmtId="174" fontId="37" fillId="35" borderId="54" xfId="151" applyNumberFormat="1" applyFont="1" applyFill="1" applyBorder="1" applyAlignment="1">
      <alignment horizontal="center" vertical="center"/>
    </xf>
    <xf numFmtId="174" fontId="108" fillId="35" borderId="24" xfId="151" applyNumberFormat="1" applyFont="1" applyFill="1" applyBorder="1" applyAlignment="1">
      <alignment horizontal="center" vertical="center"/>
    </xf>
    <xf numFmtId="174" fontId="37" fillId="35" borderId="25" xfId="151" applyNumberFormat="1" applyFont="1" applyFill="1" applyBorder="1" applyAlignment="1">
      <alignment horizontal="center" vertical="center"/>
    </xf>
    <xf numFmtId="174" fontId="50" fillId="0" borderId="24" xfId="151" applyNumberFormat="1" applyFont="1" applyBorder="1" applyAlignment="1">
      <alignment horizontal="center" vertical="center"/>
    </xf>
    <xf numFmtId="174" fontId="54" fillId="46" borderId="0" xfId="151" applyNumberFormat="1" applyFont="1" applyFill="1" applyAlignment="1">
      <alignment horizontal="center" vertical="center"/>
    </xf>
    <xf numFmtId="174" fontId="1" fillId="35" borderId="32" xfId="158" applyNumberFormat="1" applyFont="1" applyFill="1" applyBorder="1"/>
    <xf numFmtId="174" fontId="1" fillId="35" borderId="0" xfId="158" applyNumberFormat="1" applyFont="1" applyFill="1"/>
    <xf numFmtId="174" fontId="53" fillId="35" borderId="0" xfId="158" applyNumberFormat="1" applyFont="1" applyFill="1" applyAlignment="1">
      <alignment horizontal="center" vertical="center"/>
    </xf>
    <xf numFmtId="174" fontId="53" fillId="35" borderId="29" xfId="158" applyNumberFormat="1" applyFont="1" applyFill="1" applyBorder="1"/>
    <xf numFmtId="174" fontId="50" fillId="0" borderId="28" xfId="151" applyNumberFormat="1" applyFont="1" applyBorder="1"/>
    <xf numFmtId="174" fontId="50" fillId="0" borderId="29" xfId="151" applyNumberFormat="1" applyFont="1" applyBorder="1"/>
    <xf numFmtId="174" fontId="37" fillId="35" borderId="32" xfId="151" applyNumberFormat="1" applyFont="1" applyFill="1" applyBorder="1" applyAlignment="1">
      <alignment horizontal="center" vertical="center"/>
    </xf>
    <xf numFmtId="174" fontId="37" fillId="35" borderId="0" xfId="151" applyNumberFormat="1" applyFont="1" applyFill="1" applyAlignment="1">
      <alignment horizontal="center" vertical="center"/>
    </xf>
    <xf numFmtId="174" fontId="37" fillId="35" borderId="29" xfId="151" applyNumberFormat="1" applyFont="1" applyFill="1" applyBorder="1" applyAlignment="1">
      <alignment horizontal="center" vertical="center"/>
    </xf>
    <xf numFmtId="174" fontId="53" fillId="35" borderId="0" xfId="158" applyNumberFormat="1" applyFont="1" applyFill="1" applyAlignment="1">
      <alignment horizontal="center"/>
    </xf>
    <xf numFmtId="174" fontId="96" fillId="0" borderId="0" xfId="151" applyNumberFormat="1" applyFont="1" applyAlignment="1">
      <alignment horizontal="center" vertical="center"/>
    </xf>
    <xf numFmtId="174" fontId="108" fillId="35" borderId="32" xfId="151" applyNumberFormat="1" applyFont="1" applyFill="1" applyBorder="1" applyAlignment="1">
      <alignment horizontal="center" vertical="center"/>
    </xf>
    <xf numFmtId="174" fontId="108" fillId="35" borderId="0" xfId="151" applyNumberFormat="1" applyFont="1" applyFill="1" applyAlignment="1">
      <alignment horizontal="center" vertical="center"/>
    </xf>
    <xf numFmtId="174" fontId="1" fillId="0" borderId="18" xfId="151" applyNumberFormat="1" applyFont="1" applyBorder="1"/>
    <xf numFmtId="174" fontId="75" fillId="35" borderId="35" xfId="151" applyNumberFormat="1" applyFont="1" applyFill="1" applyBorder="1" applyAlignment="1">
      <alignment horizontal="center" vertical="center"/>
    </xf>
    <xf numFmtId="174" fontId="75" fillId="35" borderId="18" xfId="151" applyNumberFormat="1" applyFont="1" applyFill="1" applyBorder="1" applyAlignment="1">
      <alignment horizontal="center" vertical="center"/>
    </xf>
    <xf numFmtId="174" fontId="75" fillId="35" borderId="39" xfId="151" applyNumberFormat="1" applyFont="1" applyFill="1" applyBorder="1" applyAlignment="1">
      <alignment horizontal="center" vertical="center"/>
    </xf>
    <xf numFmtId="174" fontId="1" fillId="35" borderId="35" xfId="158" applyNumberFormat="1" applyFont="1" applyFill="1" applyBorder="1"/>
    <xf numFmtId="174" fontId="1" fillId="35" borderId="18" xfId="158" applyNumberFormat="1" applyFont="1" applyFill="1" applyBorder="1"/>
    <xf numFmtId="174" fontId="1" fillId="35" borderId="39" xfId="158" applyNumberFormat="1" applyFont="1" applyFill="1" applyBorder="1"/>
    <xf numFmtId="174" fontId="53" fillId="35" borderId="35" xfId="158" applyNumberFormat="1" applyFont="1" applyFill="1" applyBorder="1"/>
    <xf numFmtId="174" fontId="53" fillId="35" borderId="18" xfId="158" applyNumberFormat="1" applyFont="1" applyFill="1" applyBorder="1"/>
    <xf numFmtId="174" fontId="53" fillId="35" borderId="39" xfId="158" applyNumberFormat="1" applyFont="1" applyFill="1" applyBorder="1"/>
    <xf numFmtId="174" fontId="37" fillId="35" borderId="35" xfId="151" applyNumberFormat="1" applyFont="1" applyFill="1" applyBorder="1" applyAlignment="1">
      <alignment horizontal="center" vertical="center"/>
    </xf>
    <xf numFmtId="174" fontId="37" fillId="35" borderId="18" xfId="151" applyNumberFormat="1" applyFont="1" applyFill="1" applyBorder="1" applyAlignment="1">
      <alignment horizontal="center" vertical="center"/>
    </xf>
    <xf numFmtId="174" fontId="37" fillId="35" borderId="39" xfId="151" applyNumberFormat="1" applyFont="1" applyFill="1" applyBorder="1" applyAlignment="1">
      <alignment horizontal="center" vertical="center"/>
    </xf>
  </cellXfs>
  <cellStyles count="24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2 2 2 2" xfId="247" xr:uid="{17CCB3C3-9F34-43CE-80F0-604E6913E4E6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 2 2 2 2" xfId="242" xr:uid="{C66AD4FC-B3C4-4417-9917-40D86BCDA788}"/>
    <cellStyle name="Normal 2 100" xfId="114" xr:uid="{00000000-0005-0000-0000-000076000000}"/>
    <cellStyle name="Normal 2 100 2" xfId="115" xr:uid="{00000000-0005-0000-0000-000077000000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3" xfId="126" xr:uid="{00000000-0005-0000-0000-000082000000}"/>
    <cellStyle name="Normal 2 2 4 3 2" xfId="243" xr:uid="{1EB1AB75-0E8A-4611-9DC0-721B4F167FD5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3 2" xfId="245" xr:uid="{27BB19D9-1235-4E1E-8063-B6BE36FE4909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 3 2" xfId="244" xr:uid="{3C6B6586-3761-4115-A1F7-F71AAF3B6262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" xfId="246" xr:uid="{A40ABD82-0F7C-4F7A-A023-232507BD53EA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56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  <dxf>
      <font>
        <sz val="11"/>
        <color rgb="FFBFBFBF"/>
      </font>
      <fill>
        <patternFill>
          <fgColor rgb="FFFFFFFF"/>
          <bgColor rgb="FFDBEE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19" name="9 Imagen" descr="Icono  Descripción generada automáticamente">
          <a:extLst>
            <a:ext uri="{FF2B5EF4-FFF2-40B4-BE49-F238E27FC236}">
              <a16:creationId xmlns:a16="http://schemas.microsoft.com/office/drawing/2014/main" id="{EFCCD790-D016-4254-A386-51DAB9C5E8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0C0225C2-069B-4F06-8CA1-02BFA6DF63B8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1" name="9 Imagen" descr="Icono  Descripción generada automáticamente">
          <a:extLst>
            <a:ext uri="{FF2B5EF4-FFF2-40B4-BE49-F238E27FC236}">
              <a16:creationId xmlns:a16="http://schemas.microsoft.com/office/drawing/2014/main" id="{F0601B36-A8F0-462C-8163-1BC915BD70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22" name="Imagen 15" descr="Icono  Descripción generada automáticamente">
          <a:extLst>
            <a:ext uri="{FF2B5EF4-FFF2-40B4-BE49-F238E27FC236}">
              <a16:creationId xmlns:a16="http://schemas.microsoft.com/office/drawing/2014/main" id="{4CFFA18D-3F8F-45AE-B8A1-ED9B09880A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8AB1CF5A-F75D-47C1-8606-504AD6981D01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4" name="rect">
          <a:extLst>
            <a:ext uri="{FF2B5EF4-FFF2-40B4-BE49-F238E27FC236}">
              <a16:creationId xmlns:a16="http://schemas.microsoft.com/office/drawing/2014/main" id="{8EBEC5E8-6539-4D8D-9924-66C7B851A6F0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5" name="9 Imagen" descr="Icono  Descripción generada automáticamente">
          <a:extLst>
            <a:ext uri="{FF2B5EF4-FFF2-40B4-BE49-F238E27FC236}">
              <a16:creationId xmlns:a16="http://schemas.microsoft.com/office/drawing/2014/main" id="{1C459E28-FACA-4DF7-BDAD-FCB768D29C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DEB3402D-22FE-4639-ADC2-786FC00AC5B6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7" name="9 Imagen" descr="Icono  Descripción generada automáticamente">
          <a:extLst>
            <a:ext uri="{FF2B5EF4-FFF2-40B4-BE49-F238E27FC236}">
              <a16:creationId xmlns:a16="http://schemas.microsoft.com/office/drawing/2014/main" id="{127E8F64-179D-4379-A7A7-697C1CDD5C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28" name="Imagen 15" descr="Icono  Descripción generada automáticamente">
          <a:extLst>
            <a:ext uri="{FF2B5EF4-FFF2-40B4-BE49-F238E27FC236}">
              <a16:creationId xmlns:a16="http://schemas.microsoft.com/office/drawing/2014/main" id="{C83BFBA0-006A-4990-9681-1CFE3F2FEC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57F44AF8-D14B-40AA-A24C-2966C6623BCF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30" name="rect">
          <a:extLst>
            <a:ext uri="{FF2B5EF4-FFF2-40B4-BE49-F238E27FC236}">
              <a16:creationId xmlns:a16="http://schemas.microsoft.com/office/drawing/2014/main" id="{C0D2826F-7584-48E3-B538-0CF76FF90B0D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50</xdr:col>
      <xdr:colOff>0</xdr:colOff>
      <xdr:row>46</xdr:row>
      <xdr:rowOff>0</xdr:rowOff>
    </xdr:from>
    <xdr:to>
      <xdr:col>51</xdr:col>
      <xdr:colOff>256362</xdr:colOff>
      <xdr:row>48</xdr:row>
      <xdr:rowOff>139526</xdr:rowOff>
    </xdr:to>
    <xdr:sp macro="" textlink="">
      <xdr:nvSpPr>
        <xdr:cNvPr id="31" name=" ">
          <a:extLst>
            <a:ext uri="{FF2B5EF4-FFF2-40B4-BE49-F238E27FC236}">
              <a16:creationId xmlns:a16="http://schemas.microsoft.com/office/drawing/2014/main" id="{8A8DD090-C61A-4F27-A7B9-09F44C2CC838}"/>
            </a:ext>
          </a:extLst>
        </xdr:cNvPr>
        <xdr:cNvSpPr txBox="1"/>
      </xdr:nvSpPr>
      <xdr:spPr>
        <a:xfrm>
          <a:off x="53340000" y="16135350"/>
          <a:ext cx="1323162" cy="682451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</a:t>
          </a:r>
        </a:p>
      </xdr:txBody>
    </xdr:sp>
    <xdr:clientData/>
  </xdr:twoCellAnchor>
  <xdr:twoCellAnchor>
    <xdr:from>
      <xdr:col>77</xdr:col>
      <xdr:colOff>0</xdr:colOff>
      <xdr:row>26</xdr:row>
      <xdr:rowOff>0</xdr:rowOff>
    </xdr:from>
    <xdr:to>
      <xdr:col>79</xdr:col>
      <xdr:colOff>322520</xdr:colOff>
      <xdr:row>28</xdr:row>
      <xdr:rowOff>338931</xdr:rowOff>
    </xdr:to>
    <xdr:sp macro="" textlink="">
      <xdr:nvSpPr>
        <xdr:cNvPr id="32" name=" ">
          <a:extLst>
            <a:ext uri="{FF2B5EF4-FFF2-40B4-BE49-F238E27FC236}">
              <a16:creationId xmlns:a16="http://schemas.microsoft.com/office/drawing/2014/main" id="{DFC7D370-CBB5-46A4-9DA5-129D1A95FFDB}"/>
            </a:ext>
          </a:extLst>
        </xdr:cNvPr>
        <xdr:cNvSpPr txBox="1"/>
      </xdr:nvSpPr>
      <xdr:spPr>
        <a:xfrm>
          <a:off x="82143600" y="9410700"/>
          <a:ext cx="2456120" cy="1072356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20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 </a:t>
          </a:r>
        </a:p>
      </xdr:txBody>
    </xdr:sp>
    <xdr:clientData/>
  </xdr:twoCellAnchor>
  <xdr:twoCellAnchor>
    <xdr:from>
      <xdr:col>89</xdr:col>
      <xdr:colOff>71437</xdr:colOff>
      <xdr:row>23</xdr:row>
      <xdr:rowOff>166687</xdr:rowOff>
    </xdr:from>
    <xdr:to>
      <xdr:col>89</xdr:col>
      <xdr:colOff>95249</xdr:colOff>
      <xdr:row>26</xdr:row>
      <xdr:rowOff>71437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7A8D6570-E4B8-461A-B73B-F40FB0851BBF}"/>
            </a:ext>
          </a:extLst>
        </xdr:cNvPr>
        <xdr:cNvCxnSpPr/>
      </xdr:nvCxnSpPr>
      <xdr:spPr>
        <a:xfrm>
          <a:off x="95016637" y="8491537"/>
          <a:ext cx="23812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309562</xdr:colOff>
      <xdr:row>20</xdr:row>
      <xdr:rowOff>-1</xdr:rowOff>
    </xdr:from>
    <xdr:to>
      <xdr:col>90</xdr:col>
      <xdr:colOff>976312</xdr:colOff>
      <xdr:row>22</xdr:row>
      <xdr:rowOff>285749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17B7EE78-D0AD-40F8-A0F5-55EFE838093C}"/>
            </a:ext>
          </a:extLst>
        </xdr:cNvPr>
        <xdr:cNvSpPr txBox="1"/>
      </xdr:nvSpPr>
      <xdr:spPr>
        <a:xfrm>
          <a:off x="94187962" y="7210424"/>
          <a:ext cx="2800350" cy="10287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RECORER ISLA ALTIUS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" name="9 Imagen" descr="Icono  Descripción generada automáticamente">
          <a:extLst>
            <a:ext uri="{FF2B5EF4-FFF2-40B4-BE49-F238E27FC236}">
              <a16:creationId xmlns:a16="http://schemas.microsoft.com/office/drawing/2014/main" id="{4C6C21BD-564D-4C92-B7A3-81105F0BF9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FA816AA4-5E0E-4C9E-8C20-E2FCBD8B5EDD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4" name="9 Imagen" descr="Icono  Descripción generada automáticamente">
          <a:extLst>
            <a:ext uri="{FF2B5EF4-FFF2-40B4-BE49-F238E27FC236}">
              <a16:creationId xmlns:a16="http://schemas.microsoft.com/office/drawing/2014/main" id="{B2F93949-D28D-4347-9EBC-EE4F4130B9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5" name="Imagen 15" descr="Icono  Descripción generada automáticamente">
          <a:extLst>
            <a:ext uri="{FF2B5EF4-FFF2-40B4-BE49-F238E27FC236}">
              <a16:creationId xmlns:a16="http://schemas.microsoft.com/office/drawing/2014/main" id="{F9568676-1313-4BB2-A80F-35D7004775A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3C6BA8D2-9D6E-4827-BA48-76E462E65BB1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B0A05704-653E-4004-8455-4C6237E3B417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8" name="9 Imagen" descr="Icono  Descripción generada automáticamente">
          <a:extLst>
            <a:ext uri="{FF2B5EF4-FFF2-40B4-BE49-F238E27FC236}">
              <a16:creationId xmlns:a16="http://schemas.microsoft.com/office/drawing/2014/main" id="{C48672C1-126F-4487-9BE4-24517DB21E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44233805-BC01-4F4F-BF10-5B9358B4E787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10" name="9 Imagen" descr="Icono  Descripción generada automáticamente">
          <a:extLst>
            <a:ext uri="{FF2B5EF4-FFF2-40B4-BE49-F238E27FC236}">
              <a16:creationId xmlns:a16="http://schemas.microsoft.com/office/drawing/2014/main" id="{08542816-5DBA-4D54-932B-4206425A4F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11" name="Imagen 15" descr="Icono  Descripción generada automáticamente">
          <a:extLst>
            <a:ext uri="{FF2B5EF4-FFF2-40B4-BE49-F238E27FC236}">
              <a16:creationId xmlns:a16="http://schemas.microsoft.com/office/drawing/2014/main" id="{695B1E42-111C-4501-86BC-92DB43C48FE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12" name="rect">
          <a:extLst>
            <a:ext uri="{FF2B5EF4-FFF2-40B4-BE49-F238E27FC236}">
              <a16:creationId xmlns:a16="http://schemas.microsoft.com/office/drawing/2014/main" id="{6EB785B1-C6EA-4154-BC78-5B7A2A117F28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6066A5D5-990E-4DE7-B3CB-652D69CA5ADC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50</xdr:col>
      <xdr:colOff>0</xdr:colOff>
      <xdr:row>46</xdr:row>
      <xdr:rowOff>0</xdr:rowOff>
    </xdr:from>
    <xdr:to>
      <xdr:col>51</xdr:col>
      <xdr:colOff>256362</xdr:colOff>
      <xdr:row>48</xdr:row>
      <xdr:rowOff>139526</xdr:rowOff>
    </xdr:to>
    <xdr:sp macro="" textlink="">
      <xdr:nvSpPr>
        <xdr:cNvPr id="14" name=" ">
          <a:extLst>
            <a:ext uri="{FF2B5EF4-FFF2-40B4-BE49-F238E27FC236}">
              <a16:creationId xmlns:a16="http://schemas.microsoft.com/office/drawing/2014/main" id="{24656A0C-D591-49B7-B7B6-9CD1BA1737CC}"/>
            </a:ext>
          </a:extLst>
        </xdr:cNvPr>
        <xdr:cNvSpPr txBox="1"/>
      </xdr:nvSpPr>
      <xdr:spPr>
        <a:xfrm>
          <a:off x="53340000" y="16135350"/>
          <a:ext cx="1323162" cy="682451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</a:t>
          </a:r>
        </a:p>
      </xdr:txBody>
    </xdr:sp>
    <xdr:clientData/>
  </xdr:twoCellAnchor>
  <xdr:twoCellAnchor>
    <xdr:from>
      <xdr:col>77</xdr:col>
      <xdr:colOff>0</xdr:colOff>
      <xdr:row>26</xdr:row>
      <xdr:rowOff>0</xdr:rowOff>
    </xdr:from>
    <xdr:to>
      <xdr:col>79</xdr:col>
      <xdr:colOff>322520</xdr:colOff>
      <xdr:row>28</xdr:row>
      <xdr:rowOff>338931</xdr:rowOff>
    </xdr:to>
    <xdr:sp macro="" textlink="">
      <xdr:nvSpPr>
        <xdr:cNvPr id="15" name=" ">
          <a:extLst>
            <a:ext uri="{FF2B5EF4-FFF2-40B4-BE49-F238E27FC236}">
              <a16:creationId xmlns:a16="http://schemas.microsoft.com/office/drawing/2014/main" id="{EC34A725-1F45-488C-8D91-C359ED419256}"/>
            </a:ext>
          </a:extLst>
        </xdr:cNvPr>
        <xdr:cNvSpPr txBox="1"/>
      </xdr:nvSpPr>
      <xdr:spPr>
        <a:xfrm>
          <a:off x="82143600" y="9410700"/>
          <a:ext cx="2456120" cy="1072356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20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 </a:t>
          </a:r>
        </a:p>
      </xdr:txBody>
    </xdr:sp>
    <xdr:clientData/>
  </xdr:twoCellAnchor>
  <xdr:twoCellAnchor>
    <xdr:from>
      <xdr:col>89</xdr:col>
      <xdr:colOff>71437</xdr:colOff>
      <xdr:row>23</xdr:row>
      <xdr:rowOff>166687</xdr:rowOff>
    </xdr:from>
    <xdr:to>
      <xdr:col>89</xdr:col>
      <xdr:colOff>95249</xdr:colOff>
      <xdr:row>26</xdr:row>
      <xdr:rowOff>71437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F218F8CC-B666-44B6-94CC-B4E7D28C5B9A}"/>
            </a:ext>
          </a:extLst>
        </xdr:cNvPr>
        <xdr:cNvCxnSpPr/>
      </xdr:nvCxnSpPr>
      <xdr:spPr>
        <a:xfrm>
          <a:off x="95016637" y="8491537"/>
          <a:ext cx="23812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614362</xdr:colOff>
      <xdr:row>18</xdr:row>
      <xdr:rowOff>90486</xdr:rowOff>
    </xdr:from>
    <xdr:to>
      <xdr:col>85</xdr:col>
      <xdr:colOff>457199</xdr:colOff>
      <xdr:row>20</xdr:row>
      <xdr:rowOff>290511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113E158A-DE90-4837-B9FB-CEB3605760B9}"/>
            </a:ext>
          </a:extLst>
        </xdr:cNvPr>
        <xdr:cNvSpPr txBox="1"/>
      </xdr:nvSpPr>
      <xdr:spPr>
        <a:xfrm>
          <a:off x="90225562" y="6577011"/>
          <a:ext cx="909637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88</xdr:col>
      <xdr:colOff>309562</xdr:colOff>
      <xdr:row>20</xdr:row>
      <xdr:rowOff>-1</xdr:rowOff>
    </xdr:from>
    <xdr:to>
      <xdr:col>90</xdr:col>
      <xdr:colOff>976312</xdr:colOff>
      <xdr:row>22</xdr:row>
      <xdr:rowOff>285749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ABB50C73-7B88-4E76-B6D4-68F6BD60A736}"/>
            </a:ext>
          </a:extLst>
        </xdr:cNvPr>
        <xdr:cNvSpPr txBox="1"/>
      </xdr:nvSpPr>
      <xdr:spPr>
        <a:xfrm>
          <a:off x="94187962" y="7210424"/>
          <a:ext cx="2800350" cy="10287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RECORER ISLA ALTIUS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19" name="9 Imagen" descr="Icono  Descripción generada automáticamente">
          <a:extLst>
            <a:ext uri="{FF2B5EF4-FFF2-40B4-BE49-F238E27FC236}">
              <a16:creationId xmlns:a16="http://schemas.microsoft.com/office/drawing/2014/main" id="{C9EB7C89-76DB-4CA6-9CA9-736DB0C510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2AD6A6A7-3A39-405E-B235-D81451C251B2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1" name="9 Imagen" descr="Icono  Descripción generada automáticamente">
          <a:extLst>
            <a:ext uri="{FF2B5EF4-FFF2-40B4-BE49-F238E27FC236}">
              <a16:creationId xmlns:a16="http://schemas.microsoft.com/office/drawing/2014/main" id="{6C1E2B32-FBB1-42E0-92AB-3150E72B60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22" name="Imagen 15" descr="Icono  Descripción generada automáticamente">
          <a:extLst>
            <a:ext uri="{FF2B5EF4-FFF2-40B4-BE49-F238E27FC236}">
              <a16:creationId xmlns:a16="http://schemas.microsoft.com/office/drawing/2014/main" id="{5B2885E4-9562-421F-8BB5-115277E720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F58A9718-4A0C-4745-AE3D-4C310829427C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4" name="rect">
          <a:extLst>
            <a:ext uri="{FF2B5EF4-FFF2-40B4-BE49-F238E27FC236}">
              <a16:creationId xmlns:a16="http://schemas.microsoft.com/office/drawing/2014/main" id="{FBCD245A-4CF9-4C2E-8F5A-EB8ECE49EFE8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5" name="9 Imagen" descr="Icono  Descripción generada automáticamente">
          <a:extLst>
            <a:ext uri="{FF2B5EF4-FFF2-40B4-BE49-F238E27FC236}">
              <a16:creationId xmlns:a16="http://schemas.microsoft.com/office/drawing/2014/main" id="{8F9DA400-994D-484B-BFFC-AAA4604AB2B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675D15B1-F1D8-484D-A3D4-4FD3BA4D2F8B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7" name="9 Imagen" descr="Icono  Descripción generada automáticamente">
          <a:extLst>
            <a:ext uri="{FF2B5EF4-FFF2-40B4-BE49-F238E27FC236}">
              <a16:creationId xmlns:a16="http://schemas.microsoft.com/office/drawing/2014/main" id="{47B645C3-D040-4B0C-A811-D0E677341E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28" name="Imagen 15" descr="Icono  Descripción generada automáticamente">
          <a:extLst>
            <a:ext uri="{FF2B5EF4-FFF2-40B4-BE49-F238E27FC236}">
              <a16:creationId xmlns:a16="http://schemas.microsoft.com/office/drawing/2014/main" id="{DDBD5280-52E1-4F57-8D66-C508657F1F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D4F1009B-5F54-4DD9-82E2-10B339061FA9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30" name="rect">
          <a:extLst>
            <a:ext uri="{FF2B5EF4-FFF2-40B4-BE49-F238E27FC236}">
              <a16:creationId xmlns:a16="http://schemas.microsoft.com/office/drawing/2014/main" id="{6EF1E889-5DA8-4C58-949F-F7D7E8A9C3F2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50</xdr:col>
      <xdr:colOff>0</xdr:colOff>
      <xdr:row>46</xdr:row>
      <xdr:rowOff>0</xdr:rowOff>
    </xdr:from>
    <xdr:to>
      <xdr:col>51</xdr:col>
      <xdr:colOff>256362</xdr:colOff>
      <xdr:row>48</xdr:row>
      <xdr:rowOff>139526</xdr:rowOff>
    </xdr:to>
    <xdr:sp macro="" textlink="">
      <xdr:nvSpPr>
        <xdr:cNvPr id="31" name=" ">
          <a:extLst>
            <a:ext uri="{FF2B5EF4-FFF2-40B4-BE49-F238E27FC236}">
              <a16:creationId xmlns:a16="http://schemas.microsoft.com/office/drawing/2014/main" id="{E58CF522-4DC0-4123-98A3-527ED06724F1}"/>
            </a:ext>
          </a:extLst>
        </xdr:cNvPr>
        <xdr:cNvSpPr txBox="1"/>
      </xdr:nvSpPr>
      <xdr:spPr>
        <a:xfrm>
          <a:off x="53340000" y="16135350"/>
          <a:ext cx="1323162" cy="682451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</a:t>
          </a:r>
        </a:p>
      </xdr:txBody>
    </xdr:sp>
    <xdr:clientData/>
  </xdr:twoCellAnchor>
  <xdr:twoCellAnchor>
    <xdr:from>
      <xdr:col>77</xdr:col>
      <xdr:colOff>0</xdr:colOff>
      <xdr:row>26</xdr:row>
      <xdr:rowOff>0</xdr:rowOff>
    </xdr:from>
    <xdr:to>
      <xdr:col>79</xdr:col>
      <xdr:colOff>322520</xdr:colOff>
      <xdr:row>28</xdr:row>
      <xdr:rowOff>338931</xdr:rowOff>
    </xdr:to>
    <xdr:sp macro="" textlink="">
      <xdr:nvSpPr>
        <xdr:cNvPr id="32" name=" ">
          <a:extLst>
            <a:ext uri="{FF2B5EF4-FFF2-40B4-BE49-F238E27FC236}">
              <a16:creationId xmlns:a16="http://schemas.microsoft.com/office/drawing/2014/main" id="{7FF8A4E3-C369-4DC5-8A6B-4FD7EEEA00BE}"/>
            </a:ext>
          </a:extLst>
        </xdr:cNvPr>
        <xdr:cNvSpPr txBox="1"/>
      </xdr:nvSpPr>
      <xdr:spPr>
        <a:xfrm>
          <a:off x="82143600" y="9410700"/>
          <a:ext cx="2456120" cy="1072356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20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 </a:t>
          </a:r>
        </a:p>
      </xdr:txBody>
    </xdr:sp>
    <xdr:clientData/>
  </xdr:twoCellAnchor>
  <xdr:twoCellAnchor>
    <xdr:from>
      <xdr:col>89</xdr:col>
      <xdr:colOff>71437</xdr:colOff>
      <xdr:row>23</xdr:row>
      <xdr:rowOff>166687</xdr:rowOff>
    </xdr:from>
    <xdr:to>
      <xdr:col>89</xdr:col>
      <xdr:colOff>95249</xdr:colOff>
      <xdr:row>26</xdr:row>
      <xdr:rowOff>71437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C7B0651C-2780-40BA-95BD-3C1EEBD753E6}"/>
            </a:ext>
          </a:extLst>
        </xdr:cNvPr>
        <xdr:cNvCxnSpPr/>
      </xdr:nvCxnSpPr>
      <xdr:spPr>
        <a:xfrm>
          <a:off x="95016637" y="8491537"/>
          <a:ext cx="23812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309562</xdr:colOff>
      <xdr:row>20</xdr:row>
      <xdr:rowOff>-1</xdr:rowOff>
    </xdr:from>
    <xdr:to>
      <xdr:col>90</xdr:col>
      <xdr:colOff>976312</xdr:colOff>
      <xdr:row>22</xdr:row>
      <xdr:rowOff>285749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4FC51CDA-15D3-49A9-AD55-24983ECF4B1B}"/>
            </a:ext>
          </a:extLst>
        </xdr:cNvPr>
        <xdr:cNvSpPr txBox="1"/>
      </xdr:nvSpPr>
      <xdr:spPr>
        <a:xfrm>
          <a:off x="94187962" y="7210424"/>
          <a:ext cx="2800350" cy="10287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RECORER ISLA ALTIUS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19" name="9 Imagen" descr="Icono  Descripción generada automáticamente">
          <a:extLst>
            <a:ext uri="{FF2B5EF4-FFF2-40B4-BE49-F238E27FC236}">
              <a16:creationId xmlns:a16="http://schemas.microsoft.com/office/drawing/2014/main" id="{C3849AB7-0052-4BD6-AC65-D78B7479DF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9A20FA06-3530-474A-A0A1-9068DA595EE7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1" name="9 Imagen" descr="Icono  Descripción generada automáticamente">
          <a:extLst>
            <a:ext uri="{FF2B5EF4-FFF2-40B4-BE49-F238E27FC236}">
              <a16:creationId xmlns:a16="http://schemas.microsoft.com/office/drawing/2014/main" id="{D0A8A147-4C1D-4A73-8B4C-B324C3DDD3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22" name="Imagen 15" descr="Icono  Descripción generada automáticamente">
          <a:extLst>
            <a:ext uri="{FF2B5EF4-FFF2-40B4-BE49-F238E27FC236}">
              <a16:creationId xmlns:a16="http://schemas.microsoft.com/office/drawing/2014/main" id="{11AC9AF0-D01A-4DD2-BCB9-43A8C879E14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639D33E6-9DFD-4AEE-8576-E6AED83EAC19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4" name="rect">
          <a:extLst>
            <a:ext uri="{FF2B5EF4-FFF2-40B4-BE49-F238E27FC236}">
              <a16:creationId xmlns:a16="http://schemas.microsoft.com/office/drawing/2014/main" id="{C2963D67-5614-4A97-81CE-3C8C2658B0D3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5" name="9 Imagen" descr="Icono  Descripción generada automáticamente">
          <a:extLst>
            <a:ext uri="{FF2B5EF4-FFF2-40B4-BE49-F238E27FC236}">
              <a16:creationId xmlns:a16="http://schemas.microsoft.com/office/drawing/2014/main" id="{AAE737C6-99C2-4F4E-8175-4E553BAC2E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405BD0F1-2537-405F-B1EB-657A7485D72C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35</xdr:col>
      <xdr:colOff>35441</xdr:colOff>
      <xdr:row>24</xdr:row>
      <xdr:rowOff>101203</xdr:rowOff>
    </xdr:from>
    <xdr:to>
      <xdr:col>35</xdr:col>
      <xdr:colOff>830520</xdr:colOff>
      <xdr:row>26</xdr:row>
      <xdr:rowOff>181967</xdr:rowOff>
    </xdr:to>
    <xdr:pic>
      <xdr:nvPicPr>
        <xdr:cNvPr id="27" name="9 Imagen" descr="Icono  Descripción generada automáticamente">
          <a:extLst>
            <a:ext uri="{FF2B5EF4-FFF2-40B4-BE49-F238E27FC236}">
              <a16:creationId xmlns:a16="http://schemas.microsoft.com/office/drawing/2014/main" id="{25DFB75F-0B6C-4044-BD63-A921CAFAB5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373441" y="8788003"/>
          <a:ext cx="795079" cy="8046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34</xdr:col>
      <xdr:colOff>731283</xdr:colOff>
      <xdr:row>34</xdr:row>
      <xdr:rowOff>49926</xdr:rowOff>
    </xdr:from>
    <xdr:to>
      <xdr:col>35</xdr:col>
      <xdr:colOff>457200</xdr:colOff>
      <xdr:row>37</xdr:row>
      <xdr:rowOff>0</xdr:rowOff>
    </xdr:to>
    <xdr:pic>
      <xdr:nvPicPr>
        <xdr:cNvPr id="28" name="Imagen 15" descr="Icono  Descripción generada automáticamente">
          <a:extLst>
            <a:ext uri="{FF2B5EF4-FFF2-40B4-BE49-F238E27FC236}">
              <a16:creationId xmlns:a16="http://schemas.microsoft.com/office/drawing/2014/main" id="{4AFC6E88-8A3A-4BBA-A0D7-F88CCA306BC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002483" y="12403851"/>
          <a:ext cx="792717" cy="95019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32</xdr:col>
      <xdr:colOff>914400</xdr:colOff>
      <xdr:row>32</xdr:row>
      <xdr:rowOff>176768</xdr:rowOff>
    </xdr:from>
    <xdr:to>
      <xdr:col>37</xdr:col>
      <xdr:colOff>431209</xdr:colOff>
      <xdr:row>34</xdr:row>
      <xdr:rowOff>12144</xdr:rowOff>
    </xdr:to>
    <xdr:sp macro="" textlink="">
      <xdr:nvSpPr>
        <xdr:cNvPr id="29" name="rect">
          <a:extLst>
            <a:ext uri="{FF2B5EF4-FFF2-40B4-BE49-F238E27FC236}">
              <a16:creationId xmlns:a16="http://schemas.microsoft.com/office/drawing/2014/main" id="{8D8CEABC-C0AC-4649-B201-2BBF00CEA87C}"/>
            </a:ext>
          </a:extLst>
        </xdr:cNvPr>
        <xdr:cNvSpPr/>
      </xdr:nvSpPr>
      <xdr:spPr>
        <a:xfrm>
          <a:off x="35052000" y="11797268"/>
          <a:ext cx="4850809" cy="56880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33</xdr:col>
      <xdr:colOff>980558</xdr:colOff>
      <xdr:row>22</xdr:row>
      <xdr:rowOff>164008</xdr:rowOff>
    </xdr:from>
    <xdr:to>
      <xdr:col>37</xdr:col>
      <xdr:colOff>88604</xdr:colOff>
      <xdr:row>24</xdr:row>
      <xdr:rowOff>126841</xdr:rowOff>
    </xdr:to>
    <xdr:sp macro="" textlink="">
      <xdr:nvSpPr>
        <xdr:cNvPr id="30" name="rect">
          <a:extLst>
            <a:ext uri="{FF2B5EF4-FFF2-40B4-BE49-F238E27FC236}">
              <a16:creationId xmlns:a16="http://schemas.microsoft.com/office/drawing/2014/main" id="{CD180CD1-BDBF-4637-846B-D7E623B7ED1E}"/>
            </a:ext>
          </a:extLst>
        </xdr:cNvPr>
        <xdr:cNvSpPr/>
      </xdr:nvSpPr>
      <xdr:spPr>
        <a:xfrm>
          <a:off x="36184958" y="8117383"/>
          <a:ext cx="3375246" cy="6962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50</xdr:col>
      <xdr:colOff>0</xdr:colOff>
      <xdr:row>46</xdr:row>
      <xdr:rowOff>0</xdr:rowOff>
    </xdr:from>
    <xdr:to>
      <xdr:col>51</xdr:col>
      <xdr:colOff>256362</xdr:colOff>
      <xdr:row>48</xdr:row>
      <xdr:rowOff>139526</xdr:rowOff>
    </xdr:to>
    <xdr:sp macro="" textlink="">
      <xdr:nvSpPr>
        <xdr:cNvPr id="31" name=" ">
          <a:extLst>
            <a:ext uri="{FF2B5EF4-FFF2-40B4-BE49-F238E27FC236}">
              <a16:creationId xmlns:a16="http://schemas.microsoft.com/office/drawing/2014/main" id="{861C948A-F195-4470-A695-5ACB28651A56}"/>
            </a:ext>
          </a:extLst>
        </xdr:cNvPr>
        <xdr:cNvSpPr txBox="1"/>
      </xdr:nvSpPr>
      <xdr:spPr>
        <a:xfrm>
          <a:off x="53340000" y="16135350"/>
          <a:ext cx="1323162" cy="682451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</a:t>
          </a:r>
        </a:p>
      </xdr:txBody>
    </xdr:sp>
    <xdr:clientData/>
  </xdr:twoCellAnchor>
  <xdr:twoCellAnchor>
    <xdr:from>
      <xdr:col>77</xdr:col>
      <xdr:colOff>0</xdr:colOff>
      <xdr:row>26</xdr:row>
      <xdr:rowOff>0</xdr:rowOff>
    </xdr:from>
    <xdr:to>
      <xdr:col>79</xdr:col>
      <xdr:colOff>322520</xdr:colOff>
      <xdr:row>28</xdr:row>
      <xdr:rowOff>338931</xdr:rowOff>
    </xdr:to>
    <xdr:sp macro="" textlink="">
      <xdr:nvSpPr>
        <xdr:cNvPr id="32" name=" ">
          <a:extLst>
            <a:ext uri="{FF2B5EF4-FFF2-40B4-BE49-F238E27FC236}">
              <a16:creationId xmlns:a16="http://schemas.microsoft.com/office/drawing/2014/main" id="{F966E60A-3EDA-4567-8831-5563564AA5DF}"/>
            </a:ext>
          </a:extLst>
        </xdr:cNvPr>
        <xdr:cNvSpPr txBox="1"/>
      </xdr:nvSpPr>
      <xdr:spPr>
        <a:xfrm>
          <a:off x="82143600" y="9410700"/>
          <a:ext cx="2456120" cy="1072356"/>
        </a:xfrm>
        <a:prstGeom prst="rect">
          <a:avLst/>
        </a:prstGeom>
        <a:solidFill>
          <a:srgbClr val="1D477D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2000">
              <a:solidFill>
                <a:srgbClr val="FFFFFF"/>
              </a:solidFill>
              <a:latin typeface="Calibri" panose="00000000000000000000" charset="0"/>
              <a:ea typeface="Calibri" panose="00000000000000000000" charset="0"/>
            </a:rPr>
            <a:t>CAMBIO DE MIX </a:t>
          </a:r>
        </a:p>
      </xdr:txBody>
    </xdr:sp>
    <xdr:clientData/>
  </xdr:twoCellAnchor>
  <xdr:twoCellAnchor>
    <xdr:from>
      <xdr:col>89</xdr:col>
      <xdr:colOff>71437</xdr:colOff>
      <xdr:row>23</xdr:row>
      <xdr:rowOff>166687</xdr:rowOff>
    </xdr:from>
    <xdr:to>
      <xdr:col>89</xdr:col>
      <xdr:colOff>95249</xdr:colOff>
      <xdr:row>26</xdr:row>
      <xdr:rowOff>71437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EC01489-9560-4CE8-BD95-AEA2A55B9B98}"/>
            </a:ext>
          </a:extLst>
        </xdr:cNvPr>
        <xdr:cNvCxnSpPr/>
      </xdr:nvCxnSpPr>
      <xdr:spPr>
        <a:xfrm>
          <a:off x="95016637" y="8491537"/>
          <a:ext cx="23812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309562</xdr:colOff>
      <xdr:row>20</xdr:row>
      <xdr:rowOff>-1</xdr:rowOff>
    </xdr:from>
    <xdr:to>
      <xdr:col>90</xdr:col>
      <xdr:colOff>976312</xdr:colOff>
      <xdr:row>22</xdr:row>
      <xdr:rowOff>285749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A67940C4-154D-426E-8890-701D741823FA}"/>
            </a:ext>
          </a:extLst>
        </xdr:cNvPr>
        <xdr:cNvSpPr txBox="1"/>
      </xdr:nvSpPr>
      <xdr:spPr>
        <a:xfrm>
          <a:off x="94187962" y="7210424"/>
          <a:ext cx="2800350" cy="10287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>
              <a:solidFill>
                <a:schemeClr val="bg1"/>
              </a:solidFill>
            </a:rPr>
            <a:t>RECORER ISLA ALTIUS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36693%20-%20PLAY%20CITY%20ANTARA%20VS\36693%20-%20PLAY%20CITY%20ANTARA%20VS%20-%20MOVIMIENTO%20DE%20MAQUINAS%20SLOTS%20-%20PROPUESTA%20TECNICA.xlsx" TargetMode="External"/><Relationship Id="rId1" Type="http://schemas.openxmlformats.org/officeDocument/2006/relationships/externalLinkPath" Target="file:///Z:\36693%20-%20PLAY%20CITY%20ANTARA%20VS\36693%20-%20PLAY%20CITY%20ANTARA%20VS%20-%20MOVIMIENTO%20DE%20MAQUINAS%20SLOTS%20-%20PROPUESTA%20TECN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"/>
      <sheetName val="TAM"/>
      <sheetName val="VarDash"/>
      <sheetName val="Lic Backup"/>
      <sheetName val="LY ACTUAL"/>
      <sheetName val="Propuesta 06-12-23"/>
      <sheetName val="Licencias"/>
      <sheetName val="Propuesta"/>
      <sheetName val="RANGOS"/>
      <sheetName val="Posicion"/>
      <sheetName val="Hoja1"/>
      <sheetName val="Verif Layout"/>
      <sheetName val="Portal"/>
      <sheetName val="Licencias Anterior"/>
      <sheetName val="Datos_actualizados"/>
      <sheetName val="Denominacion"/>
      <sheetName val="Ap minima"/>
      <sheetName val="BD Rankings"/>
    </sheetNames>
    <sheetDataSet>
      <sheetData sheetId="0" refreshError="1"/>
      <sheetData sheetId="1">
        <row r="1">
          <cell r="AQ1" t="str">
            <v>evlutivo</v>
          </cell>
          <cell r="AR1" t="str">
            <v>X</v>
          </cell>
        </row>
        <row r="2">
          <cell r="AR2" t="str">
            <v>x</v>
          </cell>
        </row>
        <row r="3">
          <cell r="AR3" t="str">
            <v>x</v>
          </cell>
        </row>
        <row r="4">
          <cell r="AR4" t="str">
            <v>x</v>
          </cell>
        </row>
        <row r="5">
          <cell r="AR5" t="str">
            <v>x</v>
          </cell>
        </row>
        <row r="6">
          <cell r="AR6" t="str">
            <v>x</v>
          </cell>
        </row>
        <row r="7">
          <cell r="AR7" t="str">
            <v>x</v>
          </cell>
        </row>
        <row r="8">
          <cell r="AR8" t="str">
            <v>x</v>
          </cell>
        </row>
        <row r="9">
          <cell r="AR9" t="str">
            <v>x</v>
          </cell>
        </row>
        <row r="10">
          <cell r="AR10" t="str">
            <v>x</v>
          </cell>
        </row>
        <row r="11">
          <cell r="AR11" t="str">
            <v>x</v>
          </cell>
        </row>
        <row r="12">
          <cell r="AR12" t="str">
            <v>x</v>
          </cell>
        </row>
        <row r="13">
          <cell r="AR13" t="str">
            <v>x</v>
          </cell>
        </row>
        <row r="14">
          <cell r="AR14" t="str">
            <v>x</v>
          </cell>
        </row>
        <row r="15">
          <cell r="AR15" t="str">
            <v>x</v>
          </cell>
        </row>
        <row r="16">
          <cell r="AR16" t="str">
            <v>x</v>
          </cell>
        </row>
        <row r="17">
          <cell r="AR17" t="str">
            <v>x</v>
          </cell>
        </row>
        <row r="18">
          <cell r="AR18" t="str">
            <v>x</v>
          </cell>
        </row>
        <row r="19">
          <cell r="AR19" t="str">
            <v>x</v>
          </cell>
        </row>
        <row r="20">
          <cell r="AR20" t="str">
            <v>x</v>
          </cell>
        </row>
        <row r="21">
          <cell r="AR21" t="str">
            <v>x</v>
          </cell>
        </row>
        <row r="22">
          <cell r="AR22" t="str">
            <v>x</v>
          </cell>
        </row>
        <row r="23">
          <cell r="AR23" t="str">
            <v>x</v>
          </cell>
        </row>
        <row r="24">
          <cell r="AR24" t="str">
            <v>x</v>
          </cell>
        </row>
        <row r="25">
          <cell r="AR25" t="str">
            <v>x</v>
          </cell>
        </row>
        <row r="26">
          <cell r="AR26" t="str">
            <v>x</v>
          </cell>
        </row>
        <row r="27">
          <cell r="AR27" t="str">
            <v>x</v>
          </cell>
        </row>
        <row r="28">
          <cell r="AR28" t="str">
            <v>x</v>
          </cell>
        </row>
        <row r="29">
          <cell r="AR29" t="str">
            <v>x</v>
          </cell>
        </row>
        <row r="30">
          <cell r="AR30" t="str">
            <v>x</v>
          </cell>
        </row>
        <row r="31">
          <cell r="AR31" t="str">
            <v>x</v>
          </cell>
        </row>
        <row r="32">
          <cell r="AR32" t="str">
            <v>x</v>
          </cell>
        </row>
        <row r="33">
          <cell r="AR33" t="str">
            <v>x</v>
          </cell>
        </row>
        <row r="34">
          <cell r="AR34" t="str">
            <v>x</v>
          </cell>
        </row>
        <row r="35">
          <cell r="AR35" t="str">
            <v>x</v>
          </cell>
        </row>
        <row r="36">
          <cell r="AR36" t="str">
            <v>x</v>
          </cell>
        </row>
        <row r="37">
          <cell r="AR37" t="str">
            <v>x</v>
          </cell>
        </row>
        <row r="38">
          <cell r="AR38" t="str">
            <v>x</v>
          </cell>
        </row>
        <row r="39">
          <cell r="AR39" t="str">
            <v>x</v>
          </cell>
        </row>
        <row r="40">
          <cell r="AR40" t="str">
            <v>x</v>
          </cell>
        </row>
        <row r="41">
          <cell r="AR41" t="str">
            <v>x</v>
          </cell>
        </row>
        <row r="42">
          <cell r="AR42" t="str">
            <v>x</v>
          </cell>
        </row>
        <row r="43">
          <cell r="AR43" t="str">
            <v>x</v>
          </cell>
        </row>
        <row r="44">
          <cell r="AR44" t="str">
            <v>x</v>
          </cell>
        </row>
        <row r="45">
          <cell r="AR45" t="str">
            <v>x</v>
          </cell>
        </row>
        <row r="46">
          <cell r="AR46" t="str">
            <v>x</v>
          </cell>
        </row>
        <row r="47">
          <cell r="AR47" t="str">
            <v>x</v>
          </cell>
        </row>
        <row r="48">
          <cell r="AR48" t="str">
            <v>x</v>
          </cell>
        </row>
        <row r="49">
          <cell r="AR49" t="str">
            <v>x</v>
          </cell>
        </row>
        <row r="50">
          <cell r="AR50" t="str">
            <v>x</v>
          </cell>
        </row>
        <row r="51">
          <cell r="AR51" t="str">
            <v>x</v>
          </cell>
        </row>
        <row r="52">
          <cell r="AR52" t="str">
            <v>x</v>
          </cell>
        </row>
        <row r="53">
          <cell r="AR53" t="str">
            <v>x</v>
          </cell>
        </row>
        <row r="54">
          <cell r="AR54" t="str">
            <v>x</v>
          </cell>
        </row>
        <row r="55">
          <cell r="AR55" t="str">
            <v>x</v>
          </cell>
        </row>
        <row r="56">
          <cell r="AR56" t="str">
            <v>x</v>
          </cell>
        </row>
        <row r="57">
          <cell r="AR57" t="str">
            <v>x</v>
          </cell>
        </row>
        <row r="58">
          <cell r="AR58" t="str">
            <v>x</v>
          </cell>
        </row>
        <row r="59">
          <cell r="AR59" t="str">
            <v>x</v>
          </cell>
        </row>
        <row r="60">
          <cell r="AR60" t="str">
            <v>x</v>
          </cell>
        </row>
        <row r="61">
          <cell r="AR61" t="str">
            <v>x</v>
          </cell>
        </row>
        <row r="62">
          <cell r="AR62" t="str">
            <v>x</v>
          </cell>
        </row>
        <row r="63">
          <cell r="AR63" t="str">
            <v>x</v>
          </cell>
        </row>
        <row r="64">
          <cell r="AR64" t="str">
            <v>x</v>
          </cell>
        </row>
        <row r="65">
          <cell r="AR65" t="str">
            <v>x</v>
          </cell>
        </row>
        <row r="66">
          <cell r="AR66" t="str">
            <v>x</v>
          </cell>
        </row>
        <row r="67">
          <cell r="AR67" t="str">
            <v>x</v>
          </cell>
        </row>
        <row r="68">
          <cell r="AR68" t="str">
            <v>x</v>
          </cell>
        </row>
        <row r="69">
          <cell r="AR69" t="str">
            <v>x</v>
          </cell>
        </row>
        <row r="70">
          <cell r="AR70" t="str">
            <v>x</v>
          </cell>
        </row>
        <row r="71">
          <cell r="AR71" t="str">
            <v>x</v>
          </cell>
        </row>
        <row r="72">
          <cell r="AR72" t="str">
            <v>x</v>
          </cell>
        </row>
        <row r="73">
          <cell r="AR73" t="str">
            <v>x</v>
          </cell>
        </row>
        <row r="74">
          <cell r="AR74" t="str">
            <v>x</v>
          </cell>
        </row>
        <row r="75">
          <cell r="AR75" t="str">
            <v>x</v>
          </cell>
        </row>
        <row r="76">
          <cell r="AR76" t="str">
            <v>x</v>
          </cell>
        </row>
        <row r="77">
          <cell r="AR77" t="str">
            <v>x</v>
          </cell>
        </row>
        <row r="78">
          <cell r="AR78" t="str">
            <v>x</v>
          </cell>
        </row>
        <row r="79">
          <cell r="AR79" t="str">
            <v>x</v>
          </cell>
        </row>
        <row r="80">
          <cell r="AR80" t="str">
            <v>x</v>
          </cell>
        </row>
        <row r="81">
          <cell r="AR81" t="str">
            <v>x</v>
          </cell>
        </row>
        <row r="82">
          <cell r="AR82" t="str">
            <v>x</v>
          </cell>
        </row>
        <row r="83">
          <cell r="AR83" t="str">
            <v>x</v>
          </cell>
        </row>
        <row r="84">
          <cell r="AR84" t="str">
            <v>x</v>
          </cell>
        </row>
        <row r="85">
          <cell r="AR85" t="str">
            <v>x</v>
          </cell>
        </row>
        <row r="86">
          <cell r="AR86" t="str">
            <v>x</v>
          </cell>
        </row>
        <row r="87">
          <cell r="AR87" t="str">
            <v>x</v>
          </cell>
        </row>
        <row r="88">
          <cell r="AR88" t="str">
            <v>x</v>
          </cell>
        </row>
        <row r="89">
          <cell r="AR89" t="str">
            <v>x</v>
          </cell>
        </row>
        <row r="90">
          <cell r="AR90" t="str">
            <v>x</v>
          </cell>
        </row>
        <row r="91">
          <cell r="AR91" t="str">
            <v>x</v>
          </cell>
        </row>
        <row r="92">
          <cell r="AR92" t="str">
            <v>x</v>
          </cell>
        </row>
        <row r="93">
          <cell r="AR93" t="str">
            <v>x</v>
          </cell>
        </row>
        <row r="94">
          <cell r="AR94" t="str">
            <v>x</v>
          </cell>
        </row>
        <row r="95">
          <cell r="AR95" t="str">
            <v>x</v>
          </cell>
        </row>
        <row r="96">
          <cell r="AR96" t="str">
            <v>x</v>
          </cell>
        </row>
        <row r="97">
          <cell r="AR97" t="str">
            <v>x</v>
          </cell>
        </row>
        <row r="98">
          <cell r="AR98" t="str">
            <v>x</v>
          </cell>
        </row>
        <row r="99">
          <cell r="AR99" t="str">
            <v>x</v>
          </cell>
        </row>
        <row r="100">
          <cell r="AR100" t="str">
            <v>x</v>
          </cell>
        </row>
        <row r="101">
          <cell r="AR101" t="str">
            <v>x</v>
          </cell>
        </row>
        <row r="102">
          <cell r="AR102" t="str">
            <v>x</v>
          </cell>
        </row>
        <row r="103">
          <cell r="AR103" t="str">
            <v>x</v>
          </cell>
        </row>
        <row r="104">
          <cell r="AR104" t="str">
            <v>x</v>
          </cell>
        </row>
        <row r="105">
          <cell r="AR105" t="str">
            <v>x</v>
          </cell>
        </row>
        <row r="106">
          <cell r="AR106" t="str">
            <v>x</v>
          </cell>
        </row>
        <row r="107">
          <cell r="AR107" t="str">
            <v>x</v>
          </cell>
        </row>
        <row r="108">
          <cell r="AR108" t="str">
            <v>x</v>
          </cell>
        </row>
        <row r="109">
          <cell r="AR109" t="str">
            <v>x</v>
          </cell>
        </row>
        <row r="110">
          <cell r="AR110" t="str">
            <v>x</v>
          </cell>
        </row>
        <row r="111">
          <cell r="AR111" t="str">
            <v>x</v>
          </cell>
        </row>
        <row r="112">
          <cell r="AR112" t="str">
            <v>x</v>
          </cell>
        </row>
        <row r="113">
          <cell r="AR113" t="str">
            <v>x</v>
          </cell>
        </row>
        <row r="114">
          <cell r="AR114" t="str">
            <v>x</v>
          </cell>
        </row>
        <row r="115">
          <cell r="AR115" t="str">
            <v>x</v>
          </cell>
        </row>
        <row r="116">
          <cell r="AR116" t="str">
            <v>x</v>
          </cell>
        </row>
        <row r="117">
          <cell r="AR117" t="str">
            <v>x</v>
          </cell>
        </row>
        <row r="118">
          <cell r="AR118" t="str">
            <v>x</v>
          </cell>
        </row>
        <row r="119">
          <cell r="AR119" t="str">
            <v>x</v>
          </cell>
        </row>
        <row r="120">
          <cell r="AR120" t="str">
            <v>x</v>
          </cell>
        </row>
        <row r="121">
          <cell r="AR121" t="str">
            <v>x</v>
          </cell>
        </row>
        <row r="122">
          <cell r="AR122" t="str">
            <v>x</v>
          </cell>
        </row>
        <row r="123">
          <cell r="AR123" t="str">
            <v>x</v>
          </cell>
        </row>
        <row r="124">
          <cell r="AR124" t="str">
            <v>x</v>
          </cell>
        </row>
        <row r="125">
          <cell r="AR125" t="str">
            <v>x</v>
          </cell>
        </row>
        <row r="126">
          <cell r="AR126" t="str">
            <v>x</v>
          </cell>
        </row>
        <row r="127">
          <cell r="AR127" t="str">
            <v>x</v>
          </cell>
        </row>
        <row r="128">
          <cell r="AR128" t="str">
            <v>x</v>
          </cell>
        </row>
        <row r="129">
          <cell r="AR129" t="str">
            <v>x</v>
          </cell>
        </row>
        <row r="130">
          <cell r="AR130" t="str">
            <v>x</v>
          </cell>
        </row>
        <row r="131">
          <cell r="AR131" t="str">
            <v>x</v>
          </cell>
        </row>
        <row r="132">
          <cell r="AR132" t="str">
            <v>x</v>
          </cell>
        </row>
        <row r="133">
          <cell r="AR133" t="str">
            <v>x</v>
          </cell>
        </row>
        <row r="134">
          <cell r="AR134" t="str">
            <v>x</v>
          </cell>
        </row>
        <row r="135">
          <cell r="AR135" t="str">
            <v>x</v>
          </cell>
        </row>
        <row r="136">
          <cell r="AR136" t="str">
            <v>x</v>
          </cell>
        </row>
        <row r="137">
          <cell r="AR137" t="str">
            <v>x</v>
          </cell>
        </row>
        <row r="138">
          <cell r="AR138" t="str">
            <v>x</v>
          </cell>
        </row>
        <row r="139">
          <cell r="AR139" t="str">
            <v>x</v>
          </cell>
        </row>
        <row r="140">
          <cell r="AR140" t="str">
            <v>x</v>
          </cell>
        </row>
        <row r="141">
          <cell r="AR141" t="str">
            <v>x</v>
          </cell>
        </row>
        <row r="142">
          <cell r="AR142" t="str">
            <v>x</v>
          </cell>
        </row>
        <row r="143">
          <cell r="AR143" t="str">
            <v>x</v>
          </cell>
        </row>
        <row r="144">
          <cell r="AR144" t="str">
            <v>x</v>
          </cell>
        </row>
        <row r="145">
          <cell r="AR145" t="str">
            <v>x</v>
          </cell>
        </row>
        <row r="146">
          <cell r="AR146" t="str">
            <v>x</v>
          </cell>
        </row>
        <row r="147">
          <cell r="AR147" t="str">
            <v>x</v>
          </cell>
        </row>
        <row r="148">
          <cell r="AR148" t="str">
            <v>x</v>
          </cell>
        </row>
        <row r="149">
          <cell r="AR149" t="str">
            <v>x</v>
          </cell>
        </row>
        <row r="150">
          <cell r="AR150" t="str">
            <v>x</v>
          </cell>
        </row>
        <row r="151">
          <cell r="AR151" t="str">
            <v>x</v>
          </cell>
        </row>
        <row r="152">
          <cell r="AR152" t="str">
            <v>x</v>
          </cell>
        </row>
        <row r="153">
          <cell r="AR153" t="str">
            <v>x</v>
          </cell>
        </row>
        <row r="154">
          <cell r="AR154" t="str">
            <v>x</v>
          </cell>
        </row>
        <row r="155">
          <cell r="AR155" t="str">
            <v>x</v>
          </cell>
        </row>
        <row r="156">
          <cell r="AR156" t="str">
            <v>x</v>
          </cell>
        </row>
        <row r="157">
          <cell r="AR157" t="str">
            <v>x</v>
          </cell>
        </row>
        <row r="158">
          <cell r="AR158" t="str">
            <v>x</v>
          </cell>
        </row>
        <row r="159">
          <cell r="AR159" t="str">
            <v>x</v>
          </cell>
        </row>
        <row r="160">
          <cell r="AR160" t="str">
            <v>x</v>
          </cell>
        </row>
        <row r="161">
          <cell r="AR161" t="str">
            <v>x</v>
          </cell>
        </row>
        <row r="162">
          <cell r="AR162" t="str">
            <v>x</v>
          </cell>
        </row>
        <row r="163">
          <cell r="AR163" t="str">
            <v>x</v>
          </cell>
        </row>
        <row r="164">
          <cell r="AR164" t="str">
            <v>x</v>
          </cell>
        </row>
        <row r="165">
          <cell r="AR165" t="str">
            <v>x</v>
          </cell>
        </row>
        <row r="166">
          <cell r="AR166" t="str">
            <v>x</v>
          </cell>
        </row>
        <row r="167">
          <cell r="AR167" t="str">
            <v>x</v>
          </cell>
        </row>
        <row r="168">
          <cell r="AR168" t="str">
            <v>x</v>
          </cell>
        </row>
        <row r="169">
          <cell r="AR169" t="str">
            <v>x</v>
          </cell>
        </row>
        <row r="170">
          <cell r="AR170" t="str">
            <v>x</v>
          </cell>
        </row>
        <row r="171">
          <cell r="AR171" t="str">
            <v>x</v>
          </cell>
        </row>
        <row r="172">
          <cell r="AR172" t="str">
            <v>x</v>
          </cell>
        </row>
        <row r="173">
          <cell r="AR173" t="str">
            <v>x</v>
          </cell>
        </row>
        <row r="174">
          <cell r="AR174" t="str">
            <v>x</v>
          </cell>
        </row>
        <row r="175">
          <cell r="AR175" t="str">
            <v>x</v>
          </cell>
        </row>
        <row r="176">
          <cell r="AR176" t="str">
            <v>x</v>
          </cell>
        </row>
        <row r="177">
          <cell r="AR177" t="str">
            <v>x</v>
          </cell>
        </row>
        <row r="178">
          <cell r="AR178" t="str">
            <v>x</v>
          </cell>
        </row>
        <row r="179">
          <cell r="AR179" t="str">
            <v>x</v>
          </cell>
        </row>
        <row r="180">
          <cell r="AR180" t="str">
            <v>x</v>
          </cell>
        </row>
        <row r="181">
          <cell r="AR181" t="str">
            <v>x</v>
          </cell>
        </row>
        <row r="182">
          <cell r="AR182" t="str">
            <v>x</v>
          </cell>
        </row>
        <row r="183">
          <cell r="AR183" t="str">
            <v>x</v>
          </cell>
        </row>
        <row r="184">
          <cell r="AR184" t="str">
            <v>x</v>
          </cell>
        </row>
        <row r="185">
          <cell r="AR185" t="str">
            <v>x</v>
          </cell>
        </row>
        <row r="186">
          <cell r="AR186" t="str">
            <v>x</v>
          </cell>
        </row>
        <row r="187">
          <cell r="AR187" t="str">
            <v>x</v>
          </cell>
        </row>
        <row r="188">
          <cell r="AR188" t="str">
            <v>x</v>
          </cell>
        </row>
        <row r="189">
          <cell r="AR189" t="str">
            <v>x</v>
          </cell>
        </row>
        <row r="190">
          <cell r="AR190" t="str">
            <v>x</v>
          </cell>
        </row>
        <row r="191">
          <cell r="AR191" t="str">
            <v>x</v>
          </cell>
        </row>
        <row r="192">
          <cell r="AR192" t="str">
            <v>x</v>
          </cell>
        </row>
        <row r="193">
          <cell r="AR193" t="str">
            <v>x</v>
          </cell>
        </row>
        <row r="194">
          <cell r="AR194" t="str">
            <v>x</v>
          </cell>
        </row>
        <row r="195">
          <cell r="AR195" t="str">
            <v>x</v>
          </cell>
        </row>
        <row r="196">
          <cell r="AR196" t="str">
            <v>x</v>
          </cell>
        </row>
        <row r="197">
          <cell r="AR197" t="str">
            <v>x</v>
          </cell>
        </row>
        <row r="198">
          <cell r="AR198" t="str">
            <v>x</v>
          </cell>
        </row>
        <row r="199">
          <cell r="AR199" t="str">
            <v>x</v>
          </cell>
        </row>
        <row r="200">
          <cell r="AR200" t="str">
            <v>x</v>
          </cell>
        </row>
        <row r="201">
          <cell r="AR201" t="str">
            <v>x</v>
          </cell>
        </row>
        <row r="202">
          <cell r="AR202" t="str">
            <v>x</v>
          </cell>
        </row>
        <row r="203">
          <cell r="AR203" t="str">
            <v>x</v>
          </cell>
        </row>
        <row r="204">
          <cell r="AR204" t="str">
            <v>x</v>
          </cell>
        </row>
        <row r="205">
          <cell r="AR205" t="str">
            <v>x</v>
          </cell>
        </row>
        <row r="206">
          <cell r="AR206" t="str">
            <v>x</v>
          </cell>
        </row>
        <row r="207">
          <cell r="AR207" t="str">
            <v>x</v>
          </cell>
        </row>
        <row r="208">
          <cell r="AR208" t="str">
            <v>x</v>
          </cell>
        </row>
        <row r="209">
          <cell r="AR209" t="str">
            <v>x</v>
          </cell>
        </row>
        <row r="210">
          <cell r="AR210" t="str">
            <v>x</v>
          </cell>
        </row>
        <row r="211">
          <cell r="AR211" t="str">
            <v>x</v>
          </cell>
        </row>
        <row r="212">
          <cell r="AR212" t="str">
            <v>x</v>
          </cell>
        </row>
        <row r="213">
          <cell r="AR213" t="str">
            <v>x</v>
          </cell>
        </row>
        <row r="214">
          <cell r="AR214" t="str">
            <v>x</v>
          </cell>
        </row>
        <row r="215">
          <cell r="AR215" t="str">
            <v>x</v>
          </cell>
        </row>
        <row r="216">
          <cell r="AR216" t="str">
            <v>x</v>
          </cell>
        </row>
        <row r="217">
          <cell r="AR217" t="str">
            <v>x</v>
          </cell>
        </row>
        <row r="218">
          <cell r="AR218" t="str">
            <v>x</v>
          </cell>
        </row>
        <row r="219">
          <cell r="AR219" t="str">
            <v>x</v>
          </cell>
        </row>
        <row r="220">
          <cell r="AR220" t="str">
            <v>x</v>
          </cell>
        </row>
        <row r="221">
          <cell r="AR221" t="str">
            <v>x</v>
          </cell>
        </row>
        <row r="222">
          <cell r="AR222" t="str">
            <v>x</v>
          </cell>
        </row>
        <row r="223">
          <cell r="AR223" t="str">
            <v>x</v>
          </cell>
        </row>
        <row r="224">
          <cell r="AR224" t="str">
            <v>x</v>
          </cell>
        </row>
        <row r="225">
          <cell r="AR225" t="str">
            <v>x</v>
          </cell>
        </row>
        <row r="226">
          <cell r="AR226" t="str">
            <v>x</v>
          </cell>
        </row>
        <row r="227">
          <cell r="AR227" t="str">
            <v>x</v>
          </cell>
        </row>
        <row r="228">
          <cell r="AR228" t="str">
            <v>x</v>
          </cell>
        </row>
        <row r="229">
          <cell r="AR229" t="str">
            <v>x</v>
          </cell>
        </row>
        <row r="230">
          <cell r="AR230" t="str">
            <v>x</v>
          </cell>
        </row>
        <row r="231">
          <cell r="AR231" t="str">
            <v>x</v>
          </cell>
        </row>
        <row r="232">
          <cell r="AR232" t="str">
            <v>x</v>
          </cell>
        </row>
        <row r="233">
          <cell r="AR233" t="str">
            <v>x</v>
          </cell>
        </row>
        <row r="234">
          <cell r="AR234" t="str">
            <v>x</v>
          </cell>
        </row>
        <row r="235">
          <cell r="AR235" t="str">
            <v>x</v>
          </cell>
        </row>
        <row r="236">
          <cell r="AR236" t="str">
            <v>x</v>
          </cell>
        </row>
        <row r="237">
          <cell r="AR237" t="str">
            <v>x</v>
          </cell>
        </row>
        <row r="238">
          <cell r="AR238" t="str">
            <v>x</v>
          </cell>
        </row>
        <row r="239">
          <cell r="AR239" t="str">
            <v>x</v>
          </cell>
        </row>
        <row r="240">
          <cell r="AR240" t="str">
            <v>x</v>
          </cell>
        </row>
        <row r="241">
          <cell r="AR241" t="str">
            <v>x</v>
          </cell>
        </row>
        <row r="242">
          <cell r="AR242" t="str">
            <v>x</v>
          </cell>
        </row>
        <row r="243">
          <cell r="AR243" t="str">
            <v>x</v>
          </cell>
        </row>
        <row r="244">
          <cell r="AR244" t="str">
            <v>x</v>
          </cell>
        </row>
        <row r="245">
          <cell r="AR245" t="str">
            <v>x</v>
          </cell>
        </row>
        <row r="246">
          <cell r="AR246" t="str">
            <v>x</v>
          </cell>
        </row>
        <row r="247">
          <cell r="AR247" t="str">
            <v>x</v>
          </cell>
        </row>
        <row r="248">
          <cell r="AR248" t="str">
            <v>x</v>
          </cell>
        </row>
        <row r="249">
          <cell r="AR249" t="str">
            <v>x</v>
          </cell>
        </row>
        <row r="250">
          <cell r="AR250" t="str">
            <v>x</v>
          </cell>
        </row>
        <row r="251">
          <cell r="AR251" t="str">
            <v>x</v>
          </cell>
        </row>
        <row r="252">
          <cell r="AR252" t="str">
            <v>x</v>
          </cell>
        </row>
        <row r="253">
          <cell r="AR253" t="str">
            <v>x</v>
          </cell>
        </row>
        <row r="254">
          <cell r="AR254" t="str">
            <v>x</v>
          </cell>
        </row>
        <row r="255">
          <cell r="AR255" t="str">
            <v>x</v>
          </cell>
        </row>
        <row r="256">
          <cell r="AR256" t="str">
            <v>x</v>
          </cell>
        </row>
        <row r="257">
          <cell r="AR257" t="str">
            <v>x</v>
          </cell>
        </row>
        <row r="258">
          <cell r="AR258" t="str">
            <v>x</v>
          </cell>
        </row>
        <row r="259">
          <cell r="AR259" t="str">
            <v>x</v>
          </cell>
        </row>
        <row r="260">
          <cell r="AR260" t="str">
            <v>x</v>
          </cell>
        </row>
        <row r="261">
          <cell r="AR261" t="str">
            <v>x</v>
          </cell>
        </row>
        <row r="262">
          <cell r="AR262" t="str">
            <v>x</v>
          </cell>
        </row>
        <row r="263">
          <cell r="AR263" t="str">
            <v>x</v>
          </cell>
        </row>
        <row r="264">
          <cell r="AR264" t="str">
            <v>x</v>
          </cell>
        </row>
        <row r="265">
          <cell r="AR265" t="str">
            <v>x</v>
          </cell>
        </row>
        <row r="266">
          <cell r="AR266" t="str">
            <v>x</v>
          </cell>
        </row>
        <row r="267">
          <cell r="AR267" t="str">
            <v>x</v>
          </cell>
        </row>
        <row r="268">
          <cell r="AR268" t="str">
            <v>x</v>
          </cell>
        </row>
        <row r="269">
          <cell r="AR269" t="str">
            <v>x</v>
          </cell>
        </row>
        <row r="270">
          <cell r="AR270" t="str">
            <v>x</v>
          </cell>
        </row>
        <row r="271">
          <cell r="AR271" t="str">
            <v>x</v>
          </cell>
        </row>
        <row r="272">
          <cell r="AR272" t="str">
            <v>x</v>
          </cell>
        </row>
        <row r="273">
          <cell r="AR273" t="str">
            <v>x</v>
          </cell>
        </row>
        <row r="274">
          <cell r="AR274" t="str">
            <v>x</v>
          </cell>
        </row>
        <row r="275">
          <cell r="AR275" t="str">
            <v>x</v>
          </cell>
        </row>
        <row r="276">
          <cell r="AR276" t="str">
            <v>x</v>
          </cell>
        </row>
        <row r="277">
          <cell r="AR277" t="str">
            <v>x</v>
          </cell>
        </row>
        <row r="278">
          <cell r="AR278" t="str">
            <v>x</v>
          </cell>
        </row>
        <row r="279">
          <cell r="AR279" t="str">
            <v>x</v>
          </cell>
        </row>
        <row r="280">
          <cell r="AR280" t="str">
            <v>x</v>
          </cell>
        </row>
        <row r="281">
          <cell r="AR281" t="str">
            <v>x</v>
          </cell>
        </row>
        <row r="282">
          <cell r="AR282" t="str">
            <v>x</v>
          </cell>
        </row>
        <row r="283">
          <cell r="AR283" t="str">
            <v>x</v>
          </cell>
        </row>
        <row r="284">
          <cell r="AR284" t="str">
            <v>x</v>
          </cell>
        </row>
        <row r="285">
          <cell r="AR285" t="str">
            <v>x</v>
          </cell>
        </row>
        <row r="286">
          <cell r="AR286" t="str">
            <v>x</v>
          </cell>
        </row>
        <row r="287">
          <cell r="AR287" t="str">
            <v>x</v>
          </cell>
        </row>
        <row r="288">
          <cell r="AR288" t="str">
            <v>x</v>
          </cell>
        </row>
        <row r="289">
          <cell r="AR289" t="str">
            <v>x</v>
          </cell>
        </row>
        <row r="290">
          <cell r="AR290" t="str">
            <v>x</v>
          </cell>
        </row>
        <row r="291">
          <cell r="AR291" t="str">
            <v>x</v>
          </cell>
        </row>
        <row r="292">
          <cell r="AR292" t="str">
            <v>x</v>
          </cell>
        </row>
        <row r="293">
          <cell r="AR293" t="str">
            <v>x</v>
          </cell>
        </row>
        <row r="294">
          <cell r="AR294" t="str">
            <v>x</v>
          </cell>
        </row>
        <row r="295">
          <cell r="AR295" t="str">
            <v>x</v>
          </cell>
        </row>
        <row r="296">
          <cell r="AR296" t="str">
            <v>x</v>
          </cell>
        </row>
        <row r="297">
          <cell r="AR297" t="str">
            <v>x</v>
          </cell>
        </row>
        <row r="298">
          <cell r="AR298" t="str">
            <v>x</v>
          </cell>
        </row>
        <row r="299">
          <cell r="AR299" t="str">
            <v>x</v>
          </cell>
        </row>
        <row r="300">
          <cell r="AR300" t="str">
            <v>x</v>
          </cell>
        </row>
        <row r="301">
          <cell r="AR301" t="str">
            <v>x</v>
          </cell>
        </row>
        <row r="302">
          <cell r="AR302" t="str">
            <v>x</v>
          </cell>
        </row>
        <row r="303">
          <cell r="AR303" t="str">
            <v>x</v>
          </cell>
        </row>
        <row r="304">
          <cell r="AR304" t="str">
            <v>x</v>
          </cell>
        </row>
        <row r="305">
          <cell r="AR305" t="str">
            <v>x</v>
          </cell>
        </row>
        <row r="306">
          <cell r="AR306" t="str">
            <v>x</v>
          </cell>
        </row>
        <row r="307">
          <cell r="AR307" t="str">
            <v>x</v>
          </cell>
        </row>
        <row r="308">
          <cell r="AR308" t="str">
            <v>x</v>
          </cell>
        </row>
        <row r="309">
          <cell r="AR309" t="str">
            <v>x</v>
          </cell>
        </row>
        <row r="310">
          <cell r="AR310" t="str">
            <v>x</v>
          </cell>
        </row>
        <row r="311">
          <cell r="AR311" t="str">
            <v>x</v>
          </cell>
        </row>
        <row r="312">
          <cell r="AR312" t="str">
            <v>x</v>
          </cell>
        </row>
        <row r="313">
          <cell r="AR313" t="str">
            <v>x</v>
          </cell>
        </row>
        <row r="314">
          <cell r="AR314" t="str">
            <v>x</v>
          </cell>
        </row>
        <row r="315">
          <cell r="AR315" t="str">
            <v>x</v>
          </cell>
        </row>
        <row r="316">
          <cell r="AR316" t="str">
            <v>x</v>
          </cell>
        </row>
        <row r="317">
          <cell r="AR317" t="str">
            <v>x</v>
          </cell>
        </row>
        <row r="318">
          <cell r="AR318" t="str">
            <v>x</v>
          </cell>
        </row>
        <row r="319">
          <cell r="AR319" t="str">
            <v>x</v>
          </cell>
        </row>
        <row r="320">
          <cell r="AR320" t="str">
            <v>x</v>
          </cell>
        </row>
        <row r="321">
          <cell r="AR321" t="str">
            <v>x</v>
          </cell>
        </row>
        <row r="322">
          <cell r="AR322" t="str">
            <v>x</v>
          </cell>
        </row>
        <row r="323">
          <cell r="AR323" t="str">
            <v>x</v>
          </cell>
        </row>
        <row r="324">
          <cell r="AR324" t="str">
            <v>x</v>
          </cell>
        </row>
        <row r="325">
          <cell r="AR325" t="str">
            <v>x</v>
          </cell>
        </row>
        <row r="326">
          <cell r="AR326" t="str">
            <v>x</v>
          </cell>
        </row>
        <row r="327">
          <cell r="AR327" t="str">
            <v>x</v>
          </cell>
        </row>
        <row r="328">
          <cell r="AR328" t="str">
            <v>x</v>
          </cell>
        </row>
        <row r="329">
          <cell r="AR329" t="str">
            <v>x</v>
          </cell>
        </row>
        <row r="330">
          <cell r="AR330" t="str">
            <v>x</v>
          </cell>
        </row>
        <row r="331">
          <cell r="AR331" t="str">
            <v>x</v>
          </cell>
        </row>
        <row r="332">
          <cell r="AR332" t="str">
            <v>x</v>
          </cell>
        </row>
        <row r="333">
          <cell r="AR333" t="str">
            <v>x</v>
          </cell>
        </row>
        <row r="334">
          <cell r="AR334" t="str">
            <v>x</v>
          </cell>
        </row>
        <row r="335">
          <cell r="AR335" t="str">
            <v>x</v>
          </cell>
        </row>
        <row r="336">
          <cell r="AR336" t="str">
            <v>x</v>
          </cell>
        </row>
        <row r="337">
          <cell r="AR337" t="str">
            <v>x</v>
          </cell>
        </row>
        <row r="338">
          <cell r="AR338" t="str">
            <v>x</v>
          </cell>
        </row>
        <row r="339">
          <cell r="AR339" t="str">
            <v>x</v>
          </cell>
        </row>
        <row r="340">
          <cell r="AR340" t="str">
            <v>x</v>
          </cell>
        </row>
        <row r="341">
          <cell r="AR341" t="str">
            <v>x</v>
          </cell>
        </row>
        <row r="342">
          <cell r="AR342" t="str">
            <v>x</v>
          </cell>
        </row>
        <row r="343">
          <cell r="AR343" t="str">
            <v>x</v>
          </cell>
        </row>
        <row r="344">
          <cell r="AR344" t="str">
            <v>x</v>
          </cell>
        </row>
        <row r="345">
          <cell r="AR345" t="str">
            <v>x</v>
          </cell>
        </row>
        <row r="346">
          <cell r="AR346" t="str">
            <v>x</v>
          </cell>
        </row>
        <row r="347">
          <cell r="AR347" t="str">
            <v>x</v>
          </cell>
        </row>
        <row r="348">
          <cell r="AR348" t="str">
            <v>x</v>
          </cell>
        </row>
        <row r="349">
          <cell r="AR349" t="str">
            <v>x</v>
          </cell>
        </row>
        <row r="350">
          <cell r="AR350" t="str">
            <v>x</v>
          </cell>
        </row>
        <row r="351">
          <cell r="AR351" t="str">
            <v>x</v>
          </cell>
        </row>
        <row r="352">
          <cell r="AR352" t="str">
            <v>x</v>
          </cell>
        </row>
        <row r="353">
          <cell r="AR353" t="str">
            <v>x</v>
          </cell>
        </row>
        <row r="354">
          <cell r="AR354" t="str">
            <v>x</v>
          </cell>
        </row>
        <row r="355">
          <cell r="AR355" t="str">
            <v>x</v>
          </cell>
        </row>
        <row r="356">
          <cell r="AR356" t="str">
            <v>x</v>
          </cell>
        </row>
        <row r="357">
          <cell r="AR357" t="str">
            <v>x</v>
          </cell>
        </row>
        <row r="358">
          <cell r="AR358" t="str">
            <v>x</v>
          </cell>
        </row>
        <row r="359">
          <cell r="AR359" t="str">
            <v>x</v>
          </cell>
        </row>
        <row r="360">
          <cell r="AR360" t="str">
            <v>x</v>
          </cell>
        </row>
        <row r="361">
          <cell r="AR361" t="str">
            <v>x</v>
          </cell>
        </row>
        <row r="362">
          <cell r="AR362" t="str">
            <v>x</v>
          </cell>
        </row>
        <row r="363">
          <cell r="AR363" t="str">
            <v>x</v>
          </cell>
        </row>
        <row r="364">
          <cell r="AR364" t="str">
            <v>x</v>
          </cell>
        </row>
        <row r="365">
          <cell r="AR365" t="str">
            <v>x</v>
          </cell>
        </row>
        <row r="366">
          <cell r="AR366" t="str">
            <v>x</v>
          </cell>
        </row>
        <row r="367">
          <cell r="AR367" t="str">
            <v>x</v>
          </cell>
        </row>
        <row r="368">
          <cell r="AR368" t="str">
            <v>x</v>
          </cell>
        </row>
        <row r="369">
          <cell r="AR369" t="str">
            <v>x</v>
          </cell>
        </row>
        <row r="370">
          <cell r="AR370" t="str">
            <v>x</v>
          </cell>
        </row>
        <row r="371">
          <cell r="AR371" t="str">
            <v>x</v>
          </cell>
        </row>
        <row r="372">
          <cell r="AR372" t="str">
            <v>x</v>
          </cell>
        </row>
        <row r="373">
          <cell r="AR373" t="str">
            <v>x</v>
          </cell>
        </row>
        <row r="374">
          <cell r="AR374" t="str">
            <v>x</v>
          </cell>
        </row>
        <row r="375">
          <cell r="AR375" t="str">
            <v>x</v>
          </cell>
        </row>
        <row r="376">
          <cell r="AR376" t="str">
            <v>x</v>
          </cell>
        </row>
        <row r="377">
          <cell r="AR377" t="str">
            <v>x</v>
          </cell>
        </row>
        <row r="378">
          <cell r="AR378" t="str">
            <v>x</v>
          </cell>
        </row>
        <row r="379">
          <cell r="AR379" t="str">
            <v>x</v>
          </cell>
        </row>
        <row r="380">
          <cell r="AR380" t="str">
            <v>x</v>
          </cell>
        </row>
        <row r="381">
          <cell r="AR381" t="str">
            <v>x</v>
          </cell>
        </row>
        <row r="382">
          <cell r="AR382" t="str">
            <v>x</v>
          </cell>
        </row>
        <row r="383">
          <cell r="AR383" t="str">
            <v>x</v>
          </cell>
        </row>
        <row r="384">
          <cell r="AR384" t="str">
            <v>x</v>
          </cell>
        </row>
        <row r="385">
          <cell r="AR385" t="str">
            <v>x</v>
          </cell>
        </row>
        <row r="386">
          <cell r="AR386" t="str">
            <v>x</v>
          </cell>
        </row>
        <row r="387">
          <cell r="AR387" t="str">
            <v>x</v>
          </cell>
        </row>
        <row r="388">
          <cell r="AR388" t="str">
            <v>x</v>
          </cell>
        </row>
        <row r="389">
          <cell r="AR389" t="str">
            <v>x</v>
          </cell>
        </row>
        <row r="390">
          <cell r="AR390" t="str">
            <v>x</v>
          </cell>
        </row>
        <row r="391">
          <cell r="AR391" t="str">
            <v>x</v>
          </cell>
        </row>
        <row r="392">
          <cell r="AR392" t="str">
            <v>x</v>
          </cell>
        </row>
        <row r="393">
          <cell r="AR393" t="str">
            <v>x</v>
          </cell>
        </row>
        <row r="394">
          <cell r="AR394" t="str">
            <v>x</v>
          </cell>
        </row>
        <row r="395">
          <cell r="AR395" t="str">
            <v>x</v>
          </cell>
        </row>
        <row r="396">
          <cell r="AR396" t="str">
            <v>x</v>
          </cell>
        </row>
        <row r="397">
          <cell r="AR397" t="str">
            <v>x</v>
          </cell>
        </row>
        <row r="398">
          <cell r="AR398" t="str">
            <v>x</v>
          </cell>
        </row>
        <row r="399">
          <cell r="AR399" t="str">
            <v>x</v>
          </cell>
        </row>
        <row r="400">
          <cell r="AR400" t="str">
            <v>x</v>
          </cell>
        </row>
        <row r="401">
          <cell r="AR401" t="str">
            <v>x</v>
          </cell>
        </row>
        <row r="402">
          <cell r="AR402" t="str">
            <v>x</v>
          </cell>
        </row>
        <row r="403">
          <cell r="AR403" t="str">
            <v>x</v>
          </cell>
        </row>
        <row r="404">
          <cell r="AR404" t="str">
            <v>x</v>
          </cell>
        </row>
        <row r="405">
          <cell r="AR405" t="str">
            <v>x</v>
          </cell>
        </row>
        <row r="406">
          <cell r="AR406" t="str">
            <v>x</v>
          </cell>
        </row>
        <row r="407">
          <cell r="AR407" t="str">
            <v>x</v>
          </cell>
        </row>
        <row r="408">
          <cell r="AR408" t="str">
            <v>x</v>
          </cell>
        </row>
        <row r="409">
          <cell r="AR409" t="str">
            <v>x</v>
          </cell>
        </row>
        <row r="410">
          <cell r="AR410" t="str">
            <v>x</v>
          </cell>
        </row>
        <row r="411">
          <cell r="AR411" t="str">
            <v>x</v>
          </cell>
        </row>
        <row r="412">
          <cell r="AR412" t="str">
            <v>x</v>
          </cell>
        </row>
        <row r="413">
          <cell r="AR413" t="str">
            <v>x</v>
          </cell>
        </row>
        <row r="414">
          <cell r="AR414" t="str">
            <v>x</v>
          </cell>
        </row>
        <row r="415">
          <cell r="AR415" t="str">
            <v>x</v>
          </cell>
        </row>
        <row r="416">
          <cell r="AR416" t="str">
            <v>x</v>
          </cell>
        </row>
        <row r="417">
          <cell r="AR417" t="str">
            <v>x</v>
          </cell>
        </row>
        <row r="418">
          <cell r="AR418" t="str">
            <v>x</v>
          </cell>
        </row>
        <row r="419">
          <cell r="AR419" t="str">
            <v>x</v>
          </cell>
        </row>
        <row r="420">
          <cell r="AR420" t="str">
            <v>x</v>
          </cell>
        </row>
        <row r="421">
          <cell r="AR421" t="str">
            <v>x</v>
          </cell>
        </row>
        <row r="422">
          <cell r="AR422" t="str">
            <v>x</v>
          </cell>
        </row>
        <row r="423">
          <cell r="AR423" t="str">
            <v>x</v>
          </cell>
        </row>
        <row r="424">
          <cell r="AR424" t="str">
            <v>x</v>
          </cell>
        </row>
        <row r="425">
          <cell r="AR425" t="str">
            <v>x</v>
          </cell>
        </row>
        <row r="426">
          <cell r="AR426" t="str">
            <v>x</v>
          </cell>
        </row>
        <row r="427">
          <cell r="AR427" t="str">
            <v>x</v>
          </cell>
        </row>
        <row r="428">
          <cell r="AR428" t="str">
            <v>x</v>
          </cell>
        </row>
        <row r="429">
          <cell r="AR429" t="str">
            <v>x</v>
          </cell>
        </row>
        <row r="430">
          <cell r="AR430" t="str">
            <v>x</v>
          </cell>
        </row>
        <row r="431">
          <cell r="AR431" t="str">
            <v>x</v>
          </cell>
        </row>
        <row r="432">
          <cell r="AR432" t="str">
            <v>x</v>
          </cell>
        </row>
        <row r="433">
          <cell r="AR433" t="str">
            <v>x</v>
          </cell>
        </row>
        <row r="434">
          <cell r="AR434" t="str">
            <v>x</v>
          </cell>
        </row>
        <row r="435">
          <cell r="AR435" t="str">
            <v>x</v>
          </cell>
        </row>
        <row r="436">
          <cell r="AR436" t="str">
            <v>x</v>
          </cell>
        </row>
        <row r="437">
          <cell r="AR437" t="str">
            <v>x</v>
          </cell>
        </row>
        <row r="438">
          <cell r="AR438" t="str">
            <v>x</v>
          </cell>
        </row>
        <row r="439">
          <cell r="AR439" t="str">
            <v>x</v>
          </cell>
        </row>
        <row r="440">
          <cell r="AR440" t="str">
            <v>x</v>
          </cell>
        </row>
        <row r="441">
          <cell r="AR441" t="str">
            <v>x</v>
          </cell>
        </row>
        <row r="442">
          <cell r="AR442" t="str">
            <v>x</v>
          </cell>
        </row>
        <row r="443">
          <cell r="AR443" t="str">
            <v>x</v>
          </cell>
        </row>
        <row r="444">
          <cell r="AR444" t="str">
            <v>x</v>
          </cell>
        </row>
        <row r="445">
          <cell r="AR445" t="str">
            <v>x</v>
          </cell>
        </row>
        <row r="446">
          <cell r="AR446" t="str">
            <v>x</v>
          </cell>
        </row>
        <row r="447">
          <cell r="AR447" t="str">
            <v>x</v>
          </cell>
        </row>
        <row r="448">
          <cell r="AR448" t="str">
            <v>x</v>
          </cell>
        </row>
        <row r="449">
          <cell r="AR449" t="str">
            <v>x</v>
          </cell>
        </row>
        <row r="450">
          <cell r="AR450" t="str">
            <v>x</v>
          </cell>
        </row>
        <row r="451">
          <cell r="AR451" t="str">
            <v>x</v>
          </cell>
        </row>
        <row r="452">
          <cell r="AR452" t="str">
            <v>x</v>
          </cell>
        </row>
        <row r="453">
          <cell r="AR453" t="str">
            <v>x</v>
          </cell>
        </row>
        <row r="454">
          <cell r="AR454" t="str">
            <v>x</v>
          </cell>
        </row>
        <row r="455">
          <cell r="AR455" t="str">
            <v>x</v>
          </cell>
        </row>
        <row r="456">
          <cell r="AR456" t="str">
            <v>x</v>
          </cell>
        </row>
        <row r="457">
          <cell r="AR457" t="str">
            <v>x</v>
          </cell>
        </row>
        <row r="458">
          <cell r="AR458" t="str">
            <v>x</v>
          </cell>
        </row>
        <row r="459">
          <cell r="AR459" t="str">
            <v>x</v>
          </cell>
        </row>
        <row r="460">
          <cell r="AR460" t="str">
            <v>x</v>
          </cell>
        </row>
        <row r="461">
          <cell r="AR461" t="str">
            <v>x</v>
          </cell>
        </row>
        <row r="462">
          <cell r="AR462" t="str">
            <v>x</v>
          </cell>
        </row>
        <row r="463">
          <cell r="AR463" t="str">
            <v>x</v>
          </cell>
        </row>
        <row r="464">
          <cell r="AR464" t="str">
            <v>x</v>
          </cell>
        </row>
        <row r="465">
          <cell r="AR465" t="str">
            <v>x</v>
          </cell>
        </row>
        <row r="466">
          <cell r="AR466" t="str">
            <v>x</v>
          </cell>
        </row>
        <row r="467">
          <cell r="AR467" t="str">
            <v>x</v>
          </cell>
        </row>
        <row r="468">
          <cell r="AR468" t="str">
            <v>x</v>
          </cell>
        </row>
        <row r="469">
          <cell r="AR469" t="str">
            <v>x</v>
          </cell>
        </row>
        <row r="470">
          <cell r="AR470" t="str">
            <v>x</v>
          </cell>
        </row>
        <row r="471">
          <cell r="AR471" t="str">
            <v>x</v>
          </cell>
        </row>
        <row r="472">
          <cell r="AR472" t="str">
            <v>x</v>
          </cell>
        </row>
        <row r="473">
          <cell r="AR473" t="str">
            <v>x</v>
          </cell>
        </row>
        <row r="474">
          <cell r="AR474" t="str">
            <v>x</v>
          </cell>
        </row>
        <row r="475">
          <cell r="AR475" t="str">
            <v>x</v>
          </cell>
        </row>
        <row r="476">
          <cell r="AR476" t="str">
            <v>x</v>
          </cell>
        </row>
        <row r="477">
          <cell r="AR477" t="str">
            <v>x</v>
          </cell>
        </row>
        <row r="478">
          <cell r="AR478" t="str">
            <v>x</v>
          </cell>
        </row>
        <row r="479">
          <cell r="AR479" t="str">
            <v>x</v>
          </cell>
        </row>
        <row r="480">
          <cell r="AR480" t="str">
            <v>x</v>
          </cell>
        </row>
        <row r="481">
          <cell r="AR481" t="str">
            <v>x</v>
          </cell>
        </row>
        <row r="482">
          <cell r="AR482" t="str">
            <v>x</v>
          </cell>
        </row>
        <row r="483">
          <cell r="AR483" t="str">
            <v>x</v>
          </cell>
        </row>
        <row r="484">
          <cell r="AR484" t="str">
            <v>x</v>
          </cell>
        </row>
        <row r="485">
          <cell r="AR485" t="str">
            <v>x</v>
          </cell>
        </row>
        <row r="486">
          <cell r="AR486" t="str">
            <v>x</v>
          </cell>
        </row>
        <row r="487">
          <cell r="AR487" t="str">
            <v>x</v>
          </cell>
        </row>
        <row r="488">
          <cell r="AR488" t="str">
            <v>x</v>
          </cell>
        </row>
        <row r="489">
          <cell r="AR489" t="str">
            <v>x</v>
          </cell>
        </row>
        <row r="490">
          <cell r="AR490" t="str">
            <v>x</v>
          </cell>
        </row>
        <row r="491">
          <cell r="AR491" t="str">
            <v>x</v>
          </cell>
        </row>
        <row r="492">
          <cell r="AR492" t="str">
            <v>x</v>
          </cell>
        </row>
        <row r="493">
          <cell r="AR493" t="str">
            <v>x</v>
          </cell>
        </row>
        <row r="494">
          <cell r="AR494" t="str">
            <v>x</v>
          </cell>
        </row>
        <row r="495">
          <cell r="AR495" t="str">
            <v>x</v>
          </cell>
        </row>
        <row r="496">
          <cell r="AR496" t="str">
            <v>x</v>
          </cell>
        </row>
        <row r="497">
          <cell r="AR497" t="str">
            <v>x</v>
          </cell>
        </row>
        <row r="498">
          <cell r="AR498" t="str">
            <v>x</v>
          </cell>
        </row>
        <row r="499">
          <cell r="AR499" t="str">
            <v>x</v>
          </cell>
        </row>
        <row r="500">
          <cell r="AR500" t="str">
            <v>x</v>
          </cell>
        </row>
        <row r="501">
          <cell r="AR501" t="str">
            <v>x</v>
          </cell>
        </row>
        <row r="502">
          <cell r="AR502" t="str">
            <v>x</v>
          </cell>
        </row>
        <row r="503">
          <cell r="AR503" t="str">
            <v>x</v>
          </cell>
        </row>
        <row r="504">
          <cell r="AR504" t="str">
            <v>x</v>
          </cell>
        </row>
        <row r="505">
          <cell r="AR505" t="str">
            <v>x</v>
          </cell>
        </row>
        <row r="506">
          <cell r="AR506" t="str">
            <v>x</v>
          </cell>
        </row>
        <row r="507">
          <cell r="AR507" t="str">
            <v>x</v>
          </cell>
        </row>
        <row r="508">
          <cell r="AR508" t="str">
            <v>x</v>
          </cell>
        </row>
        <row r="509">
          <cell r="AR509" t="str">
            <v>x</v>
          </cell>
        </row>
        <row r="510">
          <cell r="AR510" t="str">
            <v>x</v>
          </cell>
        </row>
        <row r="511">
          <cell r="AR511" t="str">
            <v>x</v>
          </cell>
        </row>
        <row r="512">
          <cell r="AR512" t="str">
            <v>x</v>
          </cell>
        </row>
        <row r="513">
          <cell r="AR513" t="str">
            <v>x</v>
          </cell>
        </row>
        <row r="514">
          <cell r="AR514" t="str">
            <v>x</v>
          </cell>
        </row>
        <row r="515">
          <cell r="AR515" t="str">
            <v>x</v>
          </cell>
        </row>
        <row r="516">
          <cell r="AR516" t="str">
            <v>x</v>
          </cell>
        </row>
        <row r="517">
          <cell r="AR517" t="str">
            <v>x</v>
          </cell>
        </row>
        <row r="518">
          <cell r="AR518" t="str">
            <v>x</v>
          </cell>
        </row>
        <row r="519">
          <cell r="AR519" t="str">
            <v>x</v>
          </cell>
        </row>
        <row r="520">
          <cell r="AR520" t="str">
            <v>x</v>
          </cell>
        </row>
        <row r="521">
          <cell r="AR521" t="str">
            <v>x</v>
          </cell>
        </row>
        <row r="522">
          <cell r="AR522" t="str">
            <v>x</v>
          </cell>
        </row>
        <row r="523">
          <cell r="AR523" t="str">
            <v>x</v>
          </cell>
        </row>
        <row r="524">
          <cell r="AR524" t="str">
            <v>x</v>
          </cell>
        </row>
        <row r="525">
          <cell r="AR525" t="str">
            <v>x</v>
          </cell>
        </row>
        <row r="526">
          <cell r="AR526" t="str">
            <v>x</v>
          </cell>
        </row>
        <row r="527">
          <cell r="AR527" t="str">
            <v>x</v>
          </cell>
        </row>
        <row r="528">
          <cell r="AR528" t="str">
            <v>x</v>
          </cell>
        </row>
        <row r="529">
          <cell r="AR529" t="str">
            <v>x</v>
          </cell>
        </row>
        <row r="530">
          <cell r="AR530" t="str">
            <v>x</v>
          </cell>
        </row>
        <row r="531">
          <cell r="AR531" t="str">
            <v>x</v>
          </cell>
        </row>
        <row r="532">
          <cell r="AR532" t="str">
            <v>x</v>
          </cell>
        </row>
        <row r="533">
          <cell r="AR533" t="str">
            <v>x</v>
          </cell>
        </row>
        <row r="534">
          <cell r="AR534" t="str">
            <v>x</v>
          </cell>
        </row>
        <row r="535">
          <cell r="AR535" t="str">
            <v>x</v>
          </cell>
        </row>
        <row r="536">
          <cell r="AR536" t="str">
            <v>x</v>
          </cell>
        </row>
        <row r="537">
          <cell r="AR537" t="str">
            <v>x</v>
          </cell>
        </row>
        <row r="538">
          <cell r="AR538" t="str">
            <v>x</v>
          </cell>
        </row>
        <row r="539">
          <cell r="AR539" t="str">
            <v>x</v>
          </cell>
        </row>
        <row r="540">
          <cell r="AR540" t="str">
            <v>x</v>
          </cell>
        </row>
        <row r="541">
          <cell r="AR541" t="str">
            <v>x</v>
          </cell>
        </row>
        <row r="542">
          <cell r="AR542" t="str">
            <v>x</v>
          </cell>
        </row>
        <row r="543">
          <cell r="AR543" t="str">
            <v>x</v>
          </cell>
        </row>
        <row r="544">
          <cell r="AR544" t="str">
            <v>x</v>
          </cell>
        </row>
        <row r="545">
          <cell r="AR545" t="str">
            <v>x</v>
          </cell>
        </row>
        <row r="546">
          <cell r="AR546" t="str">
            <v>x</v>
          </cell>
        </row>
        <row r="547">
          <cell r="AR547" t="str">
            <v>x</v>
          </cell>
        </row>
        <row r="548">
          <cell r="AR548" t="str">
            <v>x</v>
          </cell>
        </row>
        <row r="549">
          <cell r="AR549" t="str">
            <v>x</v>
          </cell>
        </row>
        <row r="550">
          <cell r="AR550" t="str">
            <v>x</v>
          </cell>
        </row>
        <row r="551">
          <cell r="AR551" t="str">
            <v>x</v>
          </cell>
        </row>
        <row r="552">
          <cell r="AR552" t="str">
            <v>x</v>
          </cell>
        </row>
        <row r="553">
          <cell r="AR553" t="str">
            <v>x</v>
          </cell>
        </row>
        <row r="554">
          <cell r="AR554" t="str">
            <v>x</v>
          </cell>
        </row>
        <row r="555">
          <cell r="AR555" t="str">
            <v>x</v>
          </cell>
        </row>
        <row r="556">
          <cell r="AR556" t="str">
            <v>x</v>
          </cell>
        </row>
        <row r="557">
          <cell r="AR557" t="str">
            <v>x</v>
          </cell>
        </row>
        <row r="558">
          <cell r="AR558" t="str">
            <v>x</v>
          </cell>
        </row>
        <row r="559">
          <cell r="AR559" t="str">
            <v>x</v>
          </cell>
        </row>
        <row r="560">
          <cell r="AR560" t="str">
            <v>x</v>
          </cell>
        </row>
        <row r="561">
          <cell r="AR561" t="str">
            <v>x</v>
          </cell>
        </row>
        <row r="562">
          <cell r="AR562" t="str">
            <v>x</v>
          </cell>
        </row>
        <row r="563">
          <cell r="AR563" t="str">
            <v>x</v>
          </cell>
        </row>
        <row r="564">
          <cell r="AR564" t="str">
            <v>x</v>
          </cell>
        </row>
        <row r="565">
          <cell r="AR565" t="str">
            <v>x</v>
          </cell>
        </row>
        <row r="566">
          <cell r="AR566" t="str">
            <v>x</v>
          </cell>
        </row>
        <row r="567">
          <cell r="AR567" t="str">
            <v>x</v>
          </cell>
        </row>
        <row r="568">
          <cell r="AR568" t="str">
            <v>x</v>
          </cell>
        </row>
        <row r="569">
          <cell r="AR569" t="str">
            <v>x</v>
          </cell>
        </row>
        <row r="570">
          <cell r="AR570" t="str">
            <v>x</v>
          </cell>
        </row>
        <row r="571">
          <cell r="AR571" t="str">
            <v>x</v>
          </cell>
        </row>
        <row r="572">
          <cell r="AR572" t="str">
            <v>x</v>
          </cell>
        </row>
        <row r="573">
          <cell r="AR573" t="str">
            <v>x</v>
          </cell>
        </row>
        <row r="574">
          <cell r="AR574" t="str">
            <v>x</v>
          </cell>
        </row>
        <row r="575">
          <cell r="AR575" t="str">
            <v>x</v>
          </cell>
        </row>
        <row r="576">
          <cell r="AR576" t="str">
            <v>x</v>
          </cell>
        </row>
        <row r="577">
          <cell r="AR577" t="str">
            <v>x</v>
          </cell>
        </row>
        <row r="578">
          <cell r="AR578" t="str">
            <v>x</v>
          </cell>
        </row>
        <row r="579">
          <cell r="AR579" t="str">
            <v>x</v>
          </cell>
        </row>
        <row r="580">
          <cell r="AR580" t="str">
            <v>x</v>
          </cell>
        </row>
        <row r="581">
          <cell r="AR581" t="str">
            <v>x</v>
          </cell>
        </row>
        <row r="582">
          <cell r="AR582" t="str">
            <v>x</v>
          </cell>
        </row>
        <row r="583">
          <cell r="AR583" t="str">
            <v>x</v>
          </cell>
        </row>
        <row r="584">
          <cell r="AR584" t="str">
            <v>x</v>
          </cell>
        </row>
        <row r="585">
          <cell r="AR585" t="str">
            <v>x</v>
          </cell>
        </row>
        <row r="586">
          <cell r="AR586" t="str">
            <v>x</v>
          </cell>
        </row>
        <row r="587">
          <cell r="AR587" t="str">
            <v>x</v>
          </cell>
        </row>
        <row r="588">
          <cell r="AR588" t="str">
            <v>x</v>
          </cell>
        </row>
        <row r="589">
          <cell r="AR589" t="str">
            <v>x</v>
          </cell>
        </row>
        <row r="590">
          <cell r="AR590" t="str">
            <v>x</v>
          </cell>
        </row>
        <row r="591">
          <cell r="AR591" t="str">
            <v>x</v>
          </cell>
        </row>
        <row r="592">
          <cell r="AR592" t="str">
            <v>x</v>
          </cell>
        </row>
        <row r="593">
          <cell r="AR593" t="str">
            <v>x</v>
          </cell>
        </row>
        <row r="594">
          <cell r="AR594" t="str">
            <v>x</v>
          </cell>
        </row>
        <row r="595">
          <cell r="AR595" t="str">
            <v>x</v>
          </cell>
        </row>
        <row r="596">
          <cell r="AR596" t="str">
            <v>x</v>
          </cell>
        </row>
        <row r="597">
          <cell r="AR597" t="str">
            <v>x</v>
          </cell>
        </row>
        <row r="598">
          <cell r="AR598" t="str">
            <v>x</v>
          </cell>
        </row>
        <row r="599">
          <cell r="AR599" t="str">
            <v>x</v>
          </cell>
        </row>
        <row r="600">
          <cell r="AR600" t="str">
            <v>x</v>
          </cell>
        </row>
        <row r="601">
          <cell r="AR601" t="str">
            <v>x</v>
          </cell>
        </row>
        <row r="602">
          <cell r="AR602" t="str">
            <v>x</v>
          </cell>
        </row>
        <row r="603">
          <cell r="AR603" t="str">
            <v>x</v>
          </cell>
        </row>
        <row r="604">
          <cell r="AR604" t="str">
            <v>x</v>
          </cell>
        </row>
        <row r="605">
          <cell r="AR605" t="str">
            <v>x</v>
          </cell>
        </row>
        <row r="606">
          <cell r="AR606" t="str">
            <v>x</v>
          </cell>
        </row>
        <row r="607">
          <cell r="AR607" t="str">
            <v>x</v>
          </cell>
        </row>
        <row r="608">
          <cell r="AR608" t="str">
            <v>x</v>
          </cell>
        </row>
        <row r="609">
          <cell r="AR609" t="str">
            <v>x</v>
          </cell>
        </row>
        <row r="610">
          <cell r="AR610" t="str">
            <v>x</v>
          </cell>
        </row>
        <row r="611">
          <cell r="AR611" t="str">
            <v>x</v>
          </cell>
        </row>
        <row r="612">
          <cell r="AR612" t="str">
            <v>x</v>
          </cell>
        </row>
        <row r="613">
          <cell r="AR613" t="str">
            <v>x</v>
          </cell>
        </row>
        <row r="614">
          <cell r="AR614" t="str">
            <v>x</v>
          </cell>
        </row>
        <row r="615">
          <cell r="AR615" t="str">
            <v>x</v>
          </cell>
        </row>
        <row r="616">
          <cell r="AR616" t="str">
            <v>x</v>
          </cell>
        </row>
        <row r="617">
          <cell r="AR617" t="str">
            <v>x</v>
          </cell>
        </row>
        <row r="618">
          <cell r="AR618" t="str">
            <v>x</v>
          </cell>
        </row>
        <row r="619">
          <cell r="AR619" t="str">
            <v>x</v>
          </cell>
        </row>
        <row r="620">
          <cell r="AR620" t="str">
            <v>x</v>
          </cell>
        </row>
        <row r="621">
          <cell r="AR621" t="str">
            <v>x</v>
          </cell>
        </row>
        <row r="622">
          <cell r="AR622" t="str">
            <v>x</v>
          </cell>
        </row>
        <row r="623">
          <cell r="AR623" t="str">
            <v>x</v>
          </cell>
        </row>
        <row r="624">
          <cell r="AR624" t="str">
            <v>x</v>
          </cell>
        </row>
        <row r="625">
          <cell r="AR625" t="str">
            <v>x</v>
          </cell>
        </row>
        <row r="626">
          <cell r="AR626" t="str">
            <v>x</v>
          </cell>
        </row>
        <row r="627">
          <cell r="AR627" t="str">
            <v>x</v>
          </cell>
        </row>
        <row r="628">
          <cell r="AR628" t="str">
            <v>x</v>
          </cell>
        </row>
        <row r="629">
          <cell r="AR629" t="str">
            <v>x</v>
          </cell>
        </row>
        <row r="630">
          <cell r="AR630" t="str">
            <v>x</v>
          </cell>
        </row>
        <row r="631">
          <cell r="AR631" t="str">
            <v>x</v>
          </cell>
        </row>
        <row r="632">
          <cell r="AR632" t="str">
            <v>x</v>
          </cell>
        </row>
        <row r="633">
          <cell r="AR633" t="str">
            <v>x</v>
          </cell>
        </row>
        <row r="634">
          <cell r="AR634" t="str">
            <v>x</v>
          </cell>
        </row>
        <row r="635">
          <cell r="AR635" t="str">
            <v>x</v>
          </cell>
        </row>
        <row r="636">
          <cell r="AR636" t="str">
            <v>x</v>
          </cell>
        </row>
        <row r="637">
          <cell r="AR637" t="str">
            <v>x</v>
          </cell>
        </row>
        <row r="638">
          <cell r="AR638" t="str">
            <v>x</v>
          </cell>
        </row>
        <row r="639">
          <cell r="AR639" t="str">
            <v>x</v>
          </cell>
        </row>
        <row r="640">
          <cell r="AR640" t="str">
            <v>x</v>
          </cell>
        </row>
        <row r="641">
          <cell r="AR641" t="str">
            <v>x</v>
          </cell>
        </row>
        <row r="642">
          <cell r="AR642" t="str">
            <v>x</v>
          </cell>
        </row>
        <row r="643">
          <cell r="AR643" t="str">
            <v>x</v>
          </cell>
        </row>
        <row r="644">
          <cell r="AR644" t="str">
            <v>x</v>
          </cell>
        </row>
        <row r="645">
          <cell r="AR645" t="str">
            <v>x</v>
          </cell>
        </row>
        <row r="646">
          <cell r="AR646" t="str">
            <v>x</v>
          </cell>
        </row>
        <row r="647">
          <cell r="AR647" t="str">
            <v>x</v>
          </cell>
        </row>
        <row r="648">
          <cell r="AR648" t="str">
            <v>x</v>
          </cell>
        </row>
        <row r="649">
          <cell r="AR649" t="str">
            <v>x</v>
          </cell>
        </row>
        <row r="650">
          <cell r="AR650" t="str">
            <v>x</v>
          </cell>
        </row>
        <row r="651">
          <cell r="AR651" t="str">
            <v>x</v>
          </cell>
        </row>
        <row r="652">
          <cell r="AR652" t="str">
            <v>x</v>
          </cell>
        </row>
        <row r="653">
          <cell r="AR653" t="str">
            <v>x</v>
          </cell>
        </row>
        <row r="654">
          <cell r="AR654" t="str">
            <v>x</v>
          </cell>
        </row>
        <row r="655">
          <cell r="AR655" t="str">
            <v>x</v>
          </cell>
        </row>
        <row r="656">
          <cell r="AR656" t="str">
            <v>x</v>
          </cell>
        </row>
        <row r="657">
          <cell r="AR657" t="str">
            <v>x</v>
          </cell>
        </row>
        <row r="658">
          <cell r="AR658" t="str">
            <v>x</v>
          </cell>
        </row>
        <row r="659">
          <cell r="AR659" t="str">
            <v>x</v>
          </cell>
        </row>
        <row r="660">
          <cell r="AR660" t="str">
            <v>x</v>
          </cell>
        </row>
        <row r="661">
          <cell r="AR661" t="str">
            <v>x</v>
          </cell>
        </row>
        <row r="662">
          <cell r="AR662" t="str">
            <v>x</v>
          </cell>
        </row>
        <row r="663">
          <cell r="AR663" t="str">
            <v>x</v>
          </cell>
        </row>
        <row r="664">
          <cell r="AR664" t="str">
            <v>x</v>
          </cell>
        </row>
        <row r="665">
          <cell r="AR665" t="str">
            <v>x</v>
          </cell>
        </row>
        <row r="666">
          <cell r="AR666" t="str">
            <v>x</v>
          </cell>
        </row>
        <row r="667">
          <cell r="AR667" t="str">
            <v>x</v>
          </cell>
        </row>
        <row r="668">
          <cell r="AR668" t="str">
            <v>x</v>
          </cell>
        </row>
        <row r="669">
          <cell r="AR669" t="str">
            <v>x</v>
          </cell>
        </row>
        <row r="670">
          <cell r="AR670" t="str">
            <v>x</v>
          </cell>
        </row>
        <row r="671">
          <cell r="AR671" t="str">
            <v>x</v>
          </cell>
        </row>
        <row r="672">
          <cell r="AR672" t="str">
            <v>x</v>
          </cell>
        </row>
        <row r="673">
          <cell r="AR673" t="str">
            <v>x</v>
          </cell>
        </row>
        <row r="674">
          <cell r="AR674" t="str">
            <v>x</v>
          </cell>
        </row>
        <row r="675">
          <cell r="AR675" t="str">
            <v>x</v>
          </cell>
        </row>
        <row r="676">
          <cell r="AR676" t="str">
            <v>x</v>
          </cell>
        </row>
        <row r="677">
          <cell r="AR677" t="str">
            <v>x</v>
          </cell>
        </row>
        <row r="678">
          <cell r="AR678" t="str">
            <v>x</v>
          </cell>
        </row>
        <row r="679">
          <cell r="AR679" t="str">
            <v>x</v>
          </cell>
        </row>
        <row r="680">
          <cell r="AR680" t="str">
            <v>x</v>
          </cell>
        </row>
        <row r="681">
          <cell r="AR681" t="str">
            <v>x</v>
          </cell>
        </row>
        <row r="682">
          <cell r="AR682" t="str">
            <v>x</v>
          </cell>
        </row>
        <row r="683">
          <cell r="AR683" t="str">
            <v>x</v>
          </cell>
        </row>
        <row r="684">
          <cell r="AR684" t="str">
            <v>x</v>
          </cell>
        </row>
        <row r="685">
          <cell r="AR685" t="str">
            <v>x</v>
          </cell>
        </row>
        <row r="686">
          <cell r="AR686" t="str">
            <v>x</v>
          </cell>
        </row>
        <row r="687">
          <cell r="AR687" t="str">
            <v>x</v>
          </cell>
        </row>
        <row r="688">
          <cell r="AR688" t="str">
            <v>x</v>
          </cell>
        </row>
        <row r="689">
          <cell r="AR689" t="str">
            <v>x</v>
          </cell>
        </row>
        <row r="690">
          <cell r="AR690" t="str">
            <v>x</v>
          </cell>
        </row>
        <row r="691">
          <cell r="AR691" t="str">
            <v>x</v>
          </cell>
        </row>
        <row r="692">
          <cell r="AR692" t="str">
            <v>x</v>
          </cell>
        </row>
        <row r="693">
          <cell r="AR693" t="str">
            <v>x</v>
          </cell>
        </row>
        <row r="694">
          <cell r="AR694" t="str">
            <v>x</v>
          </cell>
        </row>
        <row r="695">
          <cell r="AR695" t="str">
            <v>x</v>
          </cell>
        </row>
        <row r="696">
          <cell r="AR696" t="str">
            <v>x</v>
          </cell>
        </row>
        <row r="697">
          <cell r="AR697" t="str">
            <v>x</v>
          </cell>
        </row>
        <row r="698">
          <cell r="AR698" t="str">
            <v>x</v>
          </cell>
        </row>
        <row r="699">
          <cell r="AR699" t="str">
            <v>x</v>
          </cell>
        </row>
        <row r="700">
          <cell r="AR700" t="str">
            <v>x</v>
          </cell>
        </row>
        <row r="701">
          <cell r="AR701" t="str">
            <v>x</v>
          </cell>
        </row>
        <row r="702">
          <cell r="AR702" t="str">
            <v>x</v>
          </cell>
        </row>
        <row r="703">
          <cell r="AR703" t="str">
            <v>x</v>
          </cell>
        </row>
        <row r="704">
          <cell r="AR704" t="str">
            <v>x</v>
          </cell>
        </row>
        <row r="705">
          <cell r="AR705" t="str">
            <v>x</v>
          </cell>
        </row>
        <row r="706">
          <cell r="AR706" t="str">
            <v>x</v>
          </cell>
        </row>
        <row r="707">
          <cell r="AR707" t="str">
            <v>x</v>
          </cell>
        </row>
        <row r="708">
          <cell r="AR708" t="str">
            <v>x</v>
          </cell>
        </row>
        <row r="709">
          <cell r="AR709" t="str">
            <v>x</v>
          </cell>
        </row>
        <row r="710">
          <cell r="AR710" t="str">
            <v>x</v>
          </cell>
        </row>
        <row r="711">
          <cell r="AR711" t="str">
            <v>x</v>
          </cell>
        </row>
        <row r="712">
          <cell r="AR712" t="str">
            <v>x</v>
          </cell>
        </row>
        <row r="713">
          <cell r="AR713" t="str">
            <v>x</v>
          </cell>
        </row>
        <row r="714">
          <cell r="AR714" t="str">
            <v>x</v>
          </cell>
        </row>
        <row r="715">
          <cell r="AR715" t="str">
            <v>x</v>
          </cell>
        </row>
        <row r="716">
          <cell r="AR716" t="str">
            <v>x</v>
          </cell>
        </row>
        <row r="717">
          <cell r="AR717" t="str">
            <v>x</v>
          </cell>
        </row>
        <row r="718">
          <cell r="AR718" t="str">
            <v>x</v>
          </cell>
        </row>
        <row r="719">
          <cell r="AR719" t="str">
            <v>x</v>
          </cell>
        </row>
        <row r="720">
          <cell r="AR720" t="str">
            <v>x</v>
          </cell>
        </row>
        <row r="721">
          <cell r="AR721" t="str">
            <v>x</v>
          </cell>
        </row>
        <row r="722">
          <cell r="AR722" t="str">
            <v>x</v>
          </cell>
        </row>
        <row r="723">
          <cell r="AR723" t="str">
            <v>x</v>
          </cell>
        </row>
        <row r="724">
          <cell r="AR724" t="str">
            <v>x</v>
          </cell>
        </row>
        <row r="725">
          <cell r="AR725" t="str">
            <v>x</v>
          </cell>
        </row>
        <row r="726">
          <cell r="AR726" t="str">
            <v>x</v>
          </cell>
        </row>
        <row r="727">
          <cell r="AR727" t="str">
            <v>x</v>
          </cell>
        </row>
        <row r="728">
          <cell r="AR728" t="str">
            <v>x</v>
          </cell>
        </row>
        <row r="729">
          <cell r="AR729" t="str">
            <v>x</v>
          </cell>
        </row>
        <row r="730">
          <cell r="AR730" t="str">
            <v>x</v>
          </cell>
        </row>
        <row r="731">
          <cell r="AR731" t="str">
            <v>x</v>
          </cell>
        </row>
        <row r="732">
          <cell r="AR732" t="str">
            <v>x</v>
          </cell>
        </row>
        <row r="733">
          <cell r="AR733" t="str">
            <v>x</v>
          </cell>
        </row>
        <row r="734">
          <cell r="AR734" t="str">
            <v>x</v>
          </cell>
        </row>
        <row r="735">
          <cell r="AR735" t="str">
            <v>x</v>
          </cell>
        </row>
        <row r="736">
          <cell r="AR736" t="str">
            <v>x</v>
          </cell>
        </row>
        <row r="737">
          <cell r="AR737" t="str">
            <v>x</v>
          </cell>
        </row>
        <row r="738">
          <cell r="AR738" t="str">
            <v>x</v>
          </cell>
        </row>
        <row r="739">
          <cell r="AR739" t="str">
            <v>x</v>
          </cell>
        </row>
        <row r="740">
          <cell r="AR740" t="str">
            <v>x</v>
          </cell>
        </row>
        <row r="741">
          <cell r="AR741" t="str">
            <v>x</v>
          </cell>
        </row>
        <row r="742">
          <cell r="AR742" t="str">
            <v>x</v>
          </cell>
        </row>
        <row r="743">
          <cell r="AR743" t="str">
            <v>x</v>
          </cell>
        </row>
        <row r="744">
          <cell r="AR744" t="str">
            <v>x</v>
          </cell>
        </row>
        <row r="745">
          <cell r="AR745" t="str">
            <v>x</v>
          </cell>
        </row>
        <row r="746">
          <cell r="AR746" t="str">
            <v>x</v>
          </cell>
        </row>
        <row r="747">
          <cell r="AR747" t="str">
            <v>x</v>
          </cell>
        </row>
        <row r="748">
          <cell r="AR748" t="str">
            <v>x</v>
          </cell>
        </row>
        <row r="749">
          <cell r="AR749" t="str">
            <v>x</v>
          </cell>
        </row>
        <row r="750">
          <cell r="AR750" t="str">
            <v>x</v>
          </cell>
        </row>
        <row r="751">
          <cell r="AR751" t="str">
            <v>x</v>
          </cell>
        </row>
        <row r="752">
          <cell r="AR752" t="str">
            <v>x</v>
          </cell>
        </row>
        <row r="753">
          <cell r="AR753" t="str">
            <v>x</v>
          </cell>
        </row>
        <row r="754">
          <cell r="AR754" t="str">
            <v>x</v>
          </cell>
        </row>
        <row r="755">
          <cell r="AR755" t="str">
            <v>x</v>
          </cell>
        </row>
        <row r="756">
          <cell r="AR756" t="str">
            <v>x</v>
          </cell>
        </row>
        <row r="757">
          <cell r="AR757" t="str">
            <v>x</v>
          </cell>
        </row>
        <row r="758">
          <cell r="AR758" t="str">
            <v>x</v>
          </cell>
        </row>
        <row r="759">
          <cell r="AR759" t="str">
            <v>x</v>
          </cell>
        </row>
        <row r="760">
          <cell r="AR760" t="str">
            <v>x</v>
          </cell>
        </row>
        <row r="761">
          <cell r="AR761" t="str">
            <v>x</v>
          </cell>
        </row>
        <row r="762">
          <cell r="AR762" t="str">
            <v>x</v>
          </cell>
        </row>
        <row r="763">
          <cell r="AR763" t="str">
            <v>x</v>
          </cell>
        </row>
        <row r="764">
          <cell r="AR764" t="str">
            <v>x</v>
          </cell>
        </row>
        <row r="765">
          <cell r="AR765" t="str">
            <v>x</v>
          </cell>
        </row>
        <row r="766">
          <cell r="AR766" t="str">
            <v>x</v>
          </cell>
        </row>
        <row r="767">
          <cell r="AR767" t="str">
            <v>x</v>
          </cell>
        </row>
        <row r="768">
          <cell r="AR768" t="str">
            <v>x</v>
          </cell>
        </row>
        <row r="769">
          <cell r="AR769" t="str">
            <v>x</v>
          </cell>
        </row>
        <row r="770">
          <cell r="AR770" t="str">
            <v>x</v>
          </cell>
        </row>
        <row r="771">
          <cell r="AR771" t="str">
            <v>x</v>
          </cell>
        </row>
        <row r="772">
          <cell r="AR772" t="str">
            <v>x</v>
          </cell>
        </row>
        <row r="773">
          <cell r="AR773" t="str">
            <v>x</v>
          </cell>
        </row>
        <row r="774">
          <cell r="AR774" t="str">
            <v>x</v>
          </cell>
        </row>
        <row r="775">
          <cell r="AR775" t="str">
            <v>x</v>
          </cell>
        </row>
        <row r="776">
          <cell r="AR776" t="str">
            <v>x</v>
          </cell>
        </row>
        <row r="777">
          <cell r="AR777" t="str">
            <v>x</v>
          </cell>
        </row>
        <row r="778">
          <cell r="AR778" t="str">
            <v>x</v>
          </cell>
        </row>
        <row r="779">
          <cell r="AR779" t="str">
            <v>x</v>
          </cell>
        </row>
        <row r="780">
          <cell r="AR780" t="str">
            <v>x</v>
          </cell>
        </row>
        <row r="781">
          <cell r="AR781" t="str">
            <v>x</v>
          </cell>
        </row>
        <row r="782">
          <cell r="AR782" t="str">
            <v>x</v>
          </cell>
        </row>
        <row r="783">
          <cell r="AR783" t="str">
            <v>x</v>
          </cell>
        </row>
        <row r="784">
          <cell r="AR784" t="str">
            <v>x</v>
          </cell>
        </row>
        <row r="785">
          <cell r="AR785" t="str">
            <v>x</v>
          </cell>
        </row>
        <row r="786">
          <cell r="AR786" t="str">
            <v>x</v>
          </cell>
        </row>
        <row r="787">
          <cell r="AR787" t="str">
            <v>x</v>
          </cell>
        </row>
        <row r="788">
          <cell r="AR788" t="str">
            <v>x</v>
          </cell>
        </row>
        <row r="789">
          <cell r="AR789" t="str">
            <v>x</v>
          </cell>
        </row>
        <row r="790">
          <cell r="AR790" t="str">
            <v>x</v>
          </cell>
        </row>
        <row r="791">
          <cell r="AR791" t="str">
            <v>x</v>
          </cell>
        </row>
        <row r="792">
          <cell r="AR792" t="str">
            <v>x</v>
          </cell>
        </row>
        <row r="793">
          <cell r="AR793" t="str">
            <v>x</v>
          </cell>
        </row>
        <row r="794">
          <cell r="AR794" t="str">
            <v>x</v>
          </cell>
        </row>
        <row r="795">
          <cell r="AR795" t="str">
            <v>x</v>
          </cell>
        </row>
        <row r="796">
          <cell r="AR796" t="str">
            <v>x</v>
          </cell>
        </row>
        <row r="797">
          <cell r="AR797" t="str">
            <v>x</v>
          </cell>
        </row>
        <row r="798">
          <cell r="AR798" t="str">
            <v>x</v>
          </cell>
        </row>
        <row r="799">
          <cell r="AR799" t="str">
            <v>x</v>
          </cell>
        </row>
        <row r="800">
          <cell r="AR800" t="str">
            <v>x</v>
          </cell>
        </row>
        <row r="801">
          <cell r="AR801" t="str">
            <v>x</v>
          </cell>
        </row>
        <row r="802">
          <cell r="AR802" t="str">
            <v>x</v>
          </cell>
        </row>
        <row r="803">
          <cell r="AR803" t="str">
            <v>x</v>
          </cell>
        </row>
        <row r="804">
          <cell r="AR804" t="str">
            <v>x</v>
          </cell>
        </row>
        <row r="805">
          <cell r="AR805" t="str">
            <v>x</v>
          </cell>
        </row>
        <row r="806">
          <cell r="AR806" t="str">
            <v>x</v>
          </cell>
        </row>
        <row r="807">
          <cell r="AR807" t="str">
            <v>x</v>
          </cell>
        </row>
        <row r="808">
          <cell r="AR808" t="str">
            <v>x</v>
          </cell>
        </row>
        <row r="809">
          <cell r="AR809" t="str">
            <v>x</v>
          </cell>
        </row>
        <row r="810">
          <cell r="AR810" t="str">
            <v>x</v>
          </cell>
        </row>
        <row r="811">
          <cell r="AR811" t="str">
            <v>x</v>
          </cell>
        </row>
        <row r="812">
          <cell r="AR812" t="str">
            <v>x</v>
          </cell>
        </row>
        <row r="813">
          <cell r="AR813" t="str">
            <v>x</v>
          </cell>
        </row>
        <row r="814">
          <cell r="AR814" t="str">
            <v>x</v>
          </cell>
        </row>
        <row r="815">
          <cell r="AR815" t="str">
            <v>x</v>
          </cell>
        </row>
        <row r="816">
          <cell r="AR816" t="str">
            <v>x</v>
          </cell>
        </row>
        <row r="817">
          <cell r="AR817" t="str">
            <v>x</v>
          </cell>
        </row>
        <row r="818">
          <cell r="AR818" t="str">
            <v>x</v>
          </cell>
        </row>
        <row r="819">
          <cell r="AR819" t="str">
            <v>x</v>
          </cell>
        </row>
        <row r="820">
          <cell r="AR820" t="str">
            <v>x</v>
          </cell>
        </row>
        <row r="821">
          <cell r="AR821" t="str">
            <v>x</v>
          </cell>
        </row>
        <row r="822">
          <cell r="AR822" t="str">
            <v>x</v>
          </cell>
        </row>
        <row r="823">
          <cell r="AR823" t="str">
            <v>x</v>
          </cell>
        </row>
        <row r="824">
          <cell r="AR824" t="str">
            <v>x</v>
          </cell>
        </row>
        <row r="825">
          <cell r="AR825" t="str">
            <v>x</v>
          </cell>
        </row>
        <row r="826">
          <cell r="AR826" t="str">
            <v>x</v>
          </cell>
        </row>
        <row r="827">
          <cell r="AR827" t="str">
            <v>x</v>
          </cell>
        </row>
        <row r="828">
          <cell r="AR828" t="str">
            <v>x</v>
          </cell>
        </row>
        <row r="829">
          <cell r="AR829" t="str">
            <v>x</v>
          </cell>
        </row>
        <row r="830">
          <cell r="AR830" t="str">
            <v>x</v>
          </cell>
        </row>
        <row r="831">
          <cell r="AR831" t="str">
            <v>x</v>
          </cell>
        </row>
        <row r="832">
          <cell r="AR832" t="str">
            <v>x</v>
          </cell>
        </row>
        <row r="833">
          <cell r="AR833" t="str">
            <v>x</v>
          </cell>
        </row>
        <row r="834">
          <cell r="AR834" t="str">
            <v>x</v>
          </cell>
        </row>
        <row r="835">
          <cell r="AR835" t="str">
            <v>x</v>
          </cell>
        </row>
        <row r="836">
          <cell r="AR836" t="str">
            <v>x</v>
          </cell>
        </row>
        <row r="837">
          <cell r="AR837" t="str">
            <v>x</v>
          </cell>
        </row>
        <row r="838">
          <cell r="AR838" t="str">
            <v>x</v>
          </cell>
        </row>
        <row r="839">
          <cell r="AR839" t="str">
            <v>x</v>
          </cell>
        </row>
        <row r="840">
          <cell r="AR840" t="str">
            <v>x</v>
          </cell>
        </row>
        <row r="841">
          <cell r="AR841" t="str">
            <v>x</v>
          </cell>
        </row>
        <row r="842">
          <cell r="AR842" t="str">
            <v>x</v>
          </cell>
        </row>
        <row r="843">
          <cell r="AR843" t="str">
            <v>x</v>
          </cell>
        </row>
        <row r="844">
          <cell r="AR844" t="str">
            <v>x</v>
          </cell>
        </row>
        <row r="845">
          <cell r="AR845" t="str">
            <v>x</v>
          </cell>
        </row>
        <row r="846">
          <cell r="AR846" t="str">
            <v>x</v>
          </cell>
        </row>
        <row r="847">
          <cell r="AR847" t="str">
            <v>x</v>
          </cell>
        </row>
        <row r="848">
          <cell r="AR848" t="str">
            <v>x</v>
          </cell>
        </row>
        <row r="849">
          <cell r="AR849" t="str">
            <v>x</v>
          </cell>
        </row>
        <row r="850">
          <cell r="AR850" t="str">
            <v>x</v>
          </cell>
        </row>
        <row r="851">
          <cell r="AR851" t="str">
            <v>x</v>
          </cell>
        </row>
        <row r="852">
          <cell r="AR852" t="str">
            <v>x</v>
          </cell>
        </row>
        <row r="853">
          <cell r="AR853" t="str">
            <v>x</v>
          </cell>
        </row>
        <row r="854">
          <cell r="AR854" t="str">
            <v>x</v>
          </cell>
        </row>
        <row r="855">
          <cell r="AR855" t="str">
            <v>x</v>
          </cell>
        </row>
        <row r="856">
          <cell r="AR856" t="str">
            <v>x</v>
          </cell>
        </row>
        <row r="857">
          <cell r="AR857" t="str">
            <v>x</v>
          </cell>
        </row>
        <row r="858">
          <cell r="AR858" t="str">
            <v>x</v>
          </cell>
        </row>
        <row r="859">
          <cell r="AR859" t="str">
            <v>x</v>
          </cell>
        </row>
        <row r="860">
          <cell r="AR860" t="str">
            <v>x</v>
          </cell>
        </row>
        <row r="861">
          <cell r="AR861" t="str">
            <v>x</v>
          </cell>
        </row>
        <row r="862">
          <cell r="AR862" t="str">
            <v>x</v>
          </cell>
        </row>
        <row r="863">
          <cell r="AR863" t="str">
            <v>x</v>
          </cell>
        </row>
        <row r="864">
          <cell r="AR864" t="str">
            <v>x</v>
          </cell>
        </row>
        <row r="865">
          <cell r="AR865" t="str">
            <v>x</v>
          </cell>
        </row>
        <row r="866">
          <cell r="AR866" t="str">
            <v>x</v>
          </cell>
        </row>
        <row r="867">
          <cell r="AR867" t="str">
            <v>x</v>
          </cell>
        </row>
        <row r="868">
          <cell r="AR868" t="str">
            <v>x</v>
          </cell>
        </row>
        <row r="869">
          <cell r="AR869" t="str">
            <v>x</v>
          </cell>
        </row>
        <row r="870">
          <cell r="AR870" t="str">
            <v>x</v>
          </cell>
        </row>
        <row r="871">
          <cell r="AR871" t="str">
            <v>x</v>
          </cell>
        </row>
        <row r="872">
          <cell r="AR872" t="str">
            <v>x</v>
          </cell>
        </row>
        <row r="873">
          <cell r="AR873" t="str">
            <v>x</v>
          </cell>
        </row>
        <row r="874">
          <cell r="AR874" t="str">
            <v>x</v>
          </cell>
        </row>
        <row r="875">
          <cell r="AR875" t="str">
            <v>x</v>
          </cell>
        </row>
        <row r="876">
          <cell r="AR876" t="str">
            <v>x</v>
          </cell>
        </row>
        <row r="877">
          <cell r="AR877" t="str">
            <v>x</v>
          </cell>
        </row>
        <row r="878">
          <cell r="AR878" t="str">
            <v>x</v>
          </cell>
        </row>
        <row r="879">
          <cell r="AR879" t="str">
            <v>x</v>
          </cell>
        </row>
        <row r="880">
          <cell r="AR880" t="str">
            <v>x</v>
          </cell>
        </row>
        <row r="881">
          <cell r="AR881" t="str">
            <v>x</v>
          </cell>
        </row>
        <row r="882">
          <cell r="AR882" t="str">
            <v>x</v>
          </cell>
        </row>
        <row r="883">
          <cell r="AR883" t="str">
            <v>x</v>
          </cell>
        </row>
        <row r="884">
          <cell r="AR884" t="str">
            <v>x</v>
          </cell>
        </row>
        <row r="885">
          <cell r="AR885" t="str">
            <v>x</v>
          </cell>
        </row>
        <row r="886">
          <cell r="AR886" t="str">
            <v>x</v>
          </cell>
        </row>
        <row r="887">
          <cell r="AR887" t="str">
            <v>x</v>
          </cell>
        </row>
        <row r="888">
          <cell r="AR888" t="str">
            <v>x</v>
          </cell>
        </row>
        <row r="889">
          <cell r="AR889" t="str">
            <v>x</v>
          </cell>
        </row>
        <row r="890">
          <cell r="AR890" t="str">
            <v>x</v>
          </cell>
        </row>
        <row r="891">
          <cell r="AR891" t="str">
            <v>x</v>
          </cell>
        </row>
        <row r="892">
          <cell r="AR892" t="str">
            <v>x</v>
          </cell>
        </row>
        <row r="893">
          <cell r="AR893" t="str">
            <v>x</v>
          </cell>
        </row>
        <row r="894">
          <cell r="AR894" t="str">
            <v>x</v>
          </cell>
        </row>
        <row r="895">
          <cell r="AR895" t="str">
            <v>x</v>
          </cell>
        </row>
        <row r="896">
          <cell r="AR896" t="str">
            <v>x</v>
          </cell>
        </row>
        <row r="897">
          <cell r="AR897" t="str">
            <v>x</v>
          </cell>
        </row>
        <row r="898">
          <cell r="AR898" t="str">
            <v>x</v>
          </cell>
        </row>
        <row r="899">
          <cell r="AR899" t="str">
            <v>x</v>
          </cell>
        </row>
        <row r="900">
          <cell r="AR900" t="str">
            <v>x</v>
          </cell>
        </row>
        <row r="901">
          <cell r="AR901" t="str">
            <v>x</v>
          </cell>
        </row>
        <row r="902">
          <cell r="AR902" t="str">
            <v>x</v>
          </cell>
        </row>
        <row r="903">
          <cell r="AR903" t="str">
            <v>x</v>
          </cell>
        </row>
        <row r="904">
          <cell r="AR904" t="str">
            <v>x</v>
          </cell>
        </row>
        <row r="905">
          <cell r="AR905" t="str">
            <v>x</v>
          </cell>
        </row>
        <row r="906">
          <cell r="AR906" t="str">
            <v>x</v>
          </cell>
        </row>
        <row r="907">
          <cell r="AR907" t="str">
            <v>x</v>
          </cell>
        </row>
        <row r="908">
          <cell r="AR908" t="str">
            <v>x</v>
          </cell>
        </row>
        <row r="909">
          <cell r="AR909" t="str">
            <v>x</v>
          </cell>
        </row>
        <row r="910">
          <cell r="AR910" t="str">
            <v>x</v>
          </cell>
        </row>
        <row r="911">
          <cell r="AR911" t="str">
            <v>x</v>
          </cell>
        </row>
        <row r="912">
          <cell r="AR912" t="str">
            <v>x</v>
          </cell>
        </row>
        <row r="913">
          <cell r="AR913" t="str">
            <v>x</v>
          </cell>
        </row>
        <row r="914">
          <cell r="AR914" t="str">
            <v>x</v>
          </cell>
        </row>
        <row r="915">
          <cell r="AR915" t="str">
            <v>x</v>
          </cell>
        </row>
        <row r="916">
          <cell r="AR916" t="str">
            <v>x</v>
          </cell>
        </row>
        <row r="917">
          <cell r="AR917" t="str">
            <v>x</v>
          </cell>
        </row>
        <row r="918">
          <cell r="AR918" t="str">
            <v>x</v>
          </cell>
        </row>
        <row r="919">
          <cell r="AR919" t="str">
            <v>x</v>
          </cell>
        </row>
        <row r="920">
          <cell r="AR920" t="str">
            <v>x</v>
          </cell>
        </row>
        <row r="921">
          <cell r="AR921" t="str">
            <v>x</v>
          </cell>
        </row>
        <row r="922">
          <cell r="AR922" t="str">
            <v>x</v>
          </cell>
        </row>
        <row r="923">
          <cell r="AR923" t="str">
            <v>x</v>
          </cell>
        </row>
        <row r="924">
          <cell r="AR924" t="str">
            <v>x</v>
          </cell>
        </row>
        <row r="925">
          <cell r="AR925" t="str">
            <v>x</v>
          </cell>
        </row>
        <row r="926">
          <cell r="AR926" t="str">
            <v>x</v>
          </cell>
        </row>
        <row r="927">
          <cell r="AR927" t="str">
            <v>x</v>
          </cell>
        </row>
        <row r="928">
          <cell r="AR928" t="str">
            <v>x</v>
          </cell>
        </row>
        <row r="929">
          <cell r="AR929" t="str">
            <v>x</v>
          </cell>
        </row>
        <row r="930">
          <cell r="AR930" t="str">
            <v>x</v>
          </cell>
        </row>
        <row r="931">
          <cell r="AR931" t="str">
            <v>x</v>
          </cell>
        </row>
        <row r="932">
          <cell r="AR932" t="str">
            <v>x</v>
          </cell>
        </row>
        <row r="933">
          <cell r="AR933" t="str">
            <v>x</v>
          </cell>
        </row>
        <row r="934">
          <cell r="AR934" t="str">
            <v>x</v>
          </cell>
        </row>
        <row r="935">
          <cell r="AR935" t="str">
            <v>x</v>
          </cell>
        </row>
        <row r="936">
          <cell r="AR936" t="str">
            <v>x</v>
          </cell>
        </row>
        <row r="937">
          <cell r="AR937" t="str">
            <v>x</v>
          </cell>
        </row>
        <row r="938">
          <cell r="AR938" t="str">
            <v>x</v>
          </cell>
        </row>
        <row r="939">
          <cell r="AR939" t="str">
            <v>x</v>
          </cell>
        </row>
        <row r="940">
          <cell r="AR940" t="str">
            <v>x</v>
          </cell>
        </row>
        <row r="941">
          <cell r="AR941" t="str">
            <v>x</v>
          </cell>
        </row>
        <row r="942">
          <cell r="AR942" t="str">
            <v>x</v>
          </cell>
        </row>
        <row r="943">
          <cell r="AR943" t="str">
            <v>x</v>
          </cell>
        </row>
        <row r="944">
          <cell r="AR944" t="str">
            <v>x</v>
          </cell>
        </row>
        <row r="945">
          <cell r="AR945" t="str">
            <v>x</v>
          </cell>
        </row>
        <row r="946">
          <cell r="AR946" t="str">
            <v>x</v>
          </cell>
        </row>
        <row r="947">
          <cell r="AR947" t="str">
            <v>x</v>
          </cell>
        </row>
        <row r="948">
          <cell r="AR948" t="str">
            <v>x</v>
          </cell>
        </row>
        <row r="949">
          <cell r="AR949" t="str">
            <v>x</v>
          </cell>
        </row>
        <row r="950">
          <cell r="AR950" t="str">
            <v>x</v>
          </cell>
        </row>
        <row r="951">
          <cell r="AR951" t="str">
            <v>x</v>
          </cell>
        </row>
        <row r="952">
          <cell r="AR952" t="str">
            <v>x</v>
          </cell>
        </row>
        <row r="953">
          <cell r="AR953" t="str">
            <v>x</v>
          </cell>
        </row>
        <row r="954">
          <cell r="AR954" t="str">
            <v>x</v>
          </cell>
        </row>
        <row r="955">
          <cell r="AR955" t="str">
            <v>x</v>
          </cell>
        </row>
        <row r="956">
          <cell r="AR956" t="str">
            <v>x</v>
          </cell>
        </row>
        <row r="957">
          <cell r="AR957" t="str">
            <v>x</v>
          </cell>
        </row>
        <row r="958">
          <cell r="AR958" t="str">
            <v>x</v>
          </cell>
        </row>
        <row r="959">
          <cell r="AR959" t="str">
            <v>x</v>
          </cell>
        </row>
        <row r="960">
          <cell r="AR960" t="str">
            <v>x</v>
          </cell>
        </row>
        <row r="961">
          <cell r="AR961" t="str">
            <v>x</v>
          </cell>
        </row>
        <row r="962">
          <cell r="AR962" t="str">
            <v>x</v>
          </cell>
        </row>
        <row r="963">
          <cell r="AR963" t="str">
            <v>x</v>
          </cell>
        </row>
        <row r="964">
          <cell r="AR964" t="str">
            <v>x</v>
          </cell>
        </row>
        <row r="965">
          <cell r="AR965" t="str">
            <v>x</v>
          </cell>
        </row>
        <row r="966">
          <cell r="AR966" t="str">
            <v>x</v>
          </cell>
        </row>
        <row r="967">
          <cell r="AR967" t="str">
            <v>x</v>
          </cell>
        </row>
        <row r="968">
          <cell r="AR968" t="str">
            <v>x</v>
          </cell>
        </row>
        <row r="969">
          <cell r="AR969" t="str">
            <v>x</v>
          </cell>
        </row>
        <row r="970">
          <cell r="AR970" t="str">
            <v>x</v>
          </cell>
        </row>
        <row r="971">
          <cell r="AR971" t="str">
            <v>x</v>
          </cell>
        </row>
        <row r="972">
          <cell r="AR972" t="str">
            <v>x</v>
          </cell>
        </row>
        <row r="973">
          <cell r="AR973" t="str">
            <v>x</v>
          </cell>
        </row>
        <row r="974">
          <cell r="AR974" t="str">
            <v>x</v>
          </cell>
        </row>
        <row r="975">
          <cell r="AR975" t="str">
            <v>x</v>
          </cell>
        </row>
        <row r="976">
          <cell r="AR976" t="str">
            <v>x</v>
          </cell>
        </row>
        <row r="977">
          <cell r="AR977" t="str">
            <v>x</v>
          </cell>
        </row>
        <row r="978">
          <cell r="AR978" t="str">
            <v>x</v>
          </cell>
        </row>
        <row r="979">
          <cell r="AR979" t="str">
            <v>x</v>
          </cell>
        </row>
        <row r="980">
          <cell r="AR980" t="str">
            <v>x</v>
          </cell>
        </row>
        <row r="981">
          <cell r="AR981" t="str">
            <v>x</v>
          </cell>
        </row>
        <row r="982">
          <cell r="AR982" t="str">
            <v>x</v>
          </cell>
        </row>
        <row r="983">
          <cell r="AR983" t="str">
            <v>x</v>
          </cell>
        </row>
        <row r="984">
          <cell r="AR984" t="str">
            <v>x</v>
          </cell>
        </row>
        <row r="985">
          <cell r="AR985" t="str">
            <v>x</v>
          </cell>
        </row>
        <row r="986">
          <cell r="AR986" t="str">
            <v>x</v>
          </cell>
        </row>
        <row r="987">
          <cell r="AR987" t="str">
            <v>x</v>
          </cell>
        </row>
        <row r="988">
          <cell r="AR988" t="str">
            <v>x</v>
          </cell>
        </row>
        <row r="989">
          <cell r="AR989" t="str">
            <v>x</v>
          </cell>
        </row>
        <row r="990">
          <cell r="AR990" t="str">
            <v>x</v>
          </cell>
        </row>
        <row r="991">
          <cell r="AR991" t="str">
            <v>x</v>
          </cell>
        </row>
        <row r="992">
          <cell r="AR992" t="str">
            <v>x</v>
          </cell>
        </row>
        <row r="993">
          <cell r="AR993" t="str">
            <v>x</v>
          </cell>
        </row>
        <row r="994">
          <cell r="AR994" t="str">
            <v>x</v>
          </cell>
        </row>
        <row r="995">
          <cell r="AR995" t="str">
            <v>x</v>
          </cell>
        </row>
        <row r="996">
          <cell r="AR996" t="str">
            <v>x</v>
          </cell>
        </row>
        <row r="997">
          <cell r="AR997" t="str">
            <v>x</v>
          </cell>
        </row>
        <row r="998">
          <cell r="AR998" t="str">
            <v>x</v>
          </cell>
        </row>
        <row r="999">
          <cell r="AR999" t="str">
            <v>x</v>
          </cell>
        </row>
        <row r="1000">
          <cell r="AR1000" t="str">
            <v>x</v>
          </cell>
        </row>
        <row r="1001">
          <cell r="AR1001" t="str">
            <v>x</v>
          </cell>
        </row>
        <row r="1002">
          <cell r="AR1002" t="str">
            <v>x</v>
          </cell>
        </row>
        <row r="1003">
          <cell r="AR1003" t="str">
            <v>x</v>
          </cell>
        </row>
        <row r="1004">
          <cell r="AR1004" t="str">
            <v>x</v>
          </cell>
        </row>
        <row r="1005">
          <cell r="AR1005" t="str">
            <v>x</v>
          </cell>
        </row>
        <row r="1006">
          <cell r="AR1006" t="str">
            <v>x</v>
          </cell>
        </row>
        <row r="1007">
          <cell r="AR1007" t="str">
            <v>x</v>
          </cell>
        </row>
        <row r="1008">
          <cell r="AR1008" t="str">
            <v>x</v>
          </cell>
        </row>
        <row r="1009">
          <cell r="AR1009" t="str">
            <v>x</v>
          </cell>
        </row>
        <row r="1010">
          <cell r="AR1010" t="str">
            <v>x</v>
          </cell>
        </row>
        <row r="1011">
          <cell r="AR1011" t="str">
            <v>x</v>
          </cell>
        </row>
        <row r="1012">
          <cell r="AR1012" t="str">
            <v>x</v>
          </cell>
        </row>
        <row r="1013">
          <cell r="AR1013" t="str">
            <v>x</v>
          </cell>
        </row>
        <row r="1014">
          <cell r="AR1014" t="str">
            <v>x</v>
          </cell>
        </row>
        <row r="1015">
          <cell r="AR1015" t="str">
            <v>x</v>
          </cell>
        </row>
        <row r="1016">
          <cell r="AR1016" t="str">
            <v>x</v>
          </cell>
        </row>
        <row r="1017">
          <cell r="AR1017" t="str">
            <v>x</v>
          </cell>
        </row>
        <row r="1018">
          <cell r="AR1018" t="str">
            <v>x</v>
          </cell>
        </row>
        <row r="1019">
          <cell r="AR1019" t="str">
            <v>x</v>
          </cell>
        </row>
        <row r="1020">
          <cell r="AR1020" t="str">
            <v>x</v>
          </cell>
        </row>
        <row r="1021">
          <cell r="AR1021" t="str">
            <v>x</v>
          </cell>
        </row>
        <row r="1022">
          <cell r="AR1022" t="str">
            <v>x</v>
          </cell>
        </row>
        <row r="1023">
          <cell r="AR1023" t="str">
            <v>x</v>
          </cell>
        </row>
        <row r="1024">
          <cell r="AR1024" t="str">
            <v>x</v>
          </cell>
        </row>
        <row r="1025">
          <cell r="AR1025" t="str">
            <v>x</v>
          </cell>
        </row>
        <row r="1026">
          <cell r="AR1026" t="str">
            <v>x</v>
          </cell>
        </row>
        <row r="1027">
          <cell r="AR1027" t="str">
            <v>x</v>
          </cell>
        </row>
        <row r="1028">
          <cell r="AR1028" t="str">
            <v>x</v>
          </cell>
        </row>
        <row r="1029">
          <cell r="AR1029" t="str">
            <v>x</v>
          </cell>
        </row>
        <row r="1030">
          <cell r="AR1030" t="str">
            <v>x</v>
          </cell>
        </row>
        <row r="1031">
          <cell r="AR1031" t="str">
            <v>x</v>
          </cell>
        </row>
        <row r="1032">
          <cell r="AR1032" t="str">
            <v>x</v>
          </cell>
        </row>
        <row r="1033">
          <cell r="AR1033" t="str">
            <v>x</v>
          </cell>
        </row>
        <row r="1034">
          <cell r="AR1034" t="str">
            <v>x</v>
          </cell>
        </row>
        <row r="1035">
          <cell r="AR1035" t="str">
            <v>x</v>
          </cell>
        </row>
        <row r="1036">
          <cell r="AR1036" t="str">
            <v>x</v>
          </cell>
        </row>
        <row r="1037">
          <cell r="AR1037" t="str">
            <v>x</v>
          </cell>
        </row>
        <row r="1038">
          <cell r="AR1038" t="str">
            <v>x</v>
          </cell>
        </row>
        <row r="1039">
          <cell r="AR1039" t="str">
            <v>x</v>
          </cell>
        </row>
        <row r="1040">
          <cell r="AR1040" t="str">
            <v>x</v>
          </cell>
        </row>
        <row r="1041">
          <cell r="AR1041" t="str">
            <v>x</v>
          </cell>
        </row>
        <row r="1042">
          <cell r="AR1042" t="str">
            <v>x</v>
          </cell>
        </row>
        <row r="1043">
          <cell r="AR1043" t="str">
            <v>x</v>
          </cell>
        </row>
        <row r="1044">
          <cell r="AR1044" t="str">
            <v>x</v>
          </cell>
        </row>
        <row r="1045">
          <cell r="AR1045" t="str">
            <v>x</v>
          </cell>
        </row>
        <row r="1046">
          <cell r="AR1046" t="str">
            <v>x</v>
          </cell>
        </row>
        <row r="1047">
          <cell r="AR1047" t="str">
            <v>x</v>
          </cell>
        </row>
        <row r="1048">
          <cell r="AR1048" t="str">
            <v>x</v>
          </cell>
        </row>
        <row r="1049">
          <cell r="AR1049" t="str">
            <v>x</v>
          </cell>
        </row>
        <row r="1050">
          <cell r="AR1050" t="str">
            <v>x</v>
          </cell>
        </row>
        <row r="1051">
          <cell r="AR1051" t="str">
            <v>x</v>
          </cell>
        </row>
        <row r="1052">
          <cell r="AR1052" t="str">
            <v>x</v>
          </cell>
        </row>
        <row r="1053">
          <cell r="AR1053" t="str">
            <v>x</v>
          </cell>
        </row>
        <row r="1054">
          <cell r="AR1054" t="str">
            <v>x</v>
          </cell>
        </row>
        <row r="1055">
          <cell r="AR1055" t="str">
            <v>x</v>
          </cell>
        </row>
        <row r="1056">
          <cell r="AR1056" t="str">
            <v>x</v>
          </cell>
        </row>
        <row r="1057">
          <cell r="AR1057" t="str">
            <v>x</v>
          </cell>
        </row>
        <row r="1058">
          <cell r="AR1058" t="str">
            <v>x</v>
          </cell>
        </row>
        <row r="1059">
          <cell r="AR1059" t="str">
            <v>x</v>
          </cell>
        </row>
        <row r="1060">
          <cell r="AR1060" t="str">
            <v>x</v>
          </cell>
        </row>
        <row r="1061">
          <cell r="AR1061" t="str">
            <v>x</v>
          </cell>
        </row>
        <row r="1062">
          <cell r="AR1062" t="str">
            <v>x</v>
          </cell>
        </row>
        <row r="1063">
          <cell r="AR1063" t="str">
            <v>x</v>
          </cell>
        </row>
        <row r="1064">
          <cell r="AR1064" t="str">
            <v>x</v>
          </cell>
        </row>
        <row r="1065">
          <cell r="AR1065" t="str">
            <v>x</v>
          </cell>
        </row>
        <row r="1066">
          <cell r="AR1066" t="str">
            <v>x</v>
          </cell>
        </row>
        <row r="1067">
          <cell r="AR1067" t="str">
            <v>x</v>
          </cell>
        </row>
        <row r="1068">
          <cell r="AR1068" t="str">
            <v>x</v>
          </cell>
        </row>
        <row r="1069">
          <cell r="AR1069" t="str">
            <v>x</v>
          </cell>
        </row>
        <row r="1070">
          <cell r="AR1070" t="str">
            <v>x</v>
          </cell>
        </row>
        <row r="1071">
          <cell r="AR1071" t="str">
            <v>x</v>
          </cell>
        </row>
        <row r="1072">
          <cell r="AR1072" t="str">
            <v>x</v>
          </cell>
        </row>
        <row r="1073">
          <cell r="AR1073" t="str">
            <v>x</v>
          </cell>
        </row>
        <row r="1074">
          <cell r="AR1074" t="str">
            <v>x</v>
          </cell>
        </row>
        <row r="1075">
          <cell r="AR1075" t="str">
            <v>x</v>
          </cell>
        </row>
        <row r="1076">
          <cell r="AR1076" t="str">
            <v>x</v>
          </cell>
        </row>
        <row r="1077">
          <cell r="AR1077" t="str">
            <v>x</v>
          </cell>
        </row>
        <row r="1078">
          <cell r="AR1078" t="str">
            <v>x</v>
          </cell>
        </row>
        <row r="1079">
          <cell r="AR1079" t="str">
            <v>x</v>
          </cell>
        </row>
        <row r="1080">
          <cell r="AR1080" t="str">
            <v>x</v>
          </cell>
        </row>
        <row r="1081">
          <cell r="AR1081" t="str">
            <v>x</v>
          </cell>
        </row>
        <row r="1082">
          <cell r="AR1082" t="str">
            <v>x</v>
          </cell>
        </row>
        <row r="1083">
          <cell r="AR1083" t="str">
            <v>x</v>
          </cell>
        </row>
        <row r="1084">
          <cell r="AR1084" t="str">
            <v>x</v>
          </cell>
        </row>
        <row r="1085">
          <cell r="AR1085" t="str">
            <v>x</v>
          </cell>
        </row>
        <row r="1086">
          <cell r="AR1086" t="str">
            <v>x</v>
          </cell>
        </row>
        <row r="1087">
          <cell r="AR1087" t="str">
            <v>x</v>
          </cell>
        </row>
        <row r="1088">
          <cell r="AR1088" t="str">
            <v>x</v>
          </cell>
        </row>
        <row r="1089">
          <cell r="AR1089" t="str">
            <v>x</v>
          </cell>
        </row>
        <row r="1090">
          <cell r="AR1090" t="str">
            <v>x</v>
          </cell>
        </row>
        <row r="1091">
          <cell r="AR1091" t="str">
            <v>x</v>
          </cell>
        </row>
        <row r="1092">
          <cell r="AR1092" t="str">
            <v>x</v>
          </cell>
        </row>
        <row r="1093">
          <cell r="AR1093" t="str">
            <v>x</v>
          </cell>
        </row>
        <row r="1094">
          <cell r="AR1094" t="str">
            <v>x</v>
          </cell>
        </row>
        <row r="1095">
          <cell r="AR1095" t="str">
            <v>x</v>
          </cell>
        </row>
        <row r="1096">
          <cell r="AR1096" t="str">
            <v>x</v>
          </cell>
        </row>
        <row r="1097">
          <cell r="AR1097" t="str">
            <v>x</v>
          </cell>
        </row>
        <row r="1098">
          <cell r="AR1098" t="str">
            <v>x</v>
          </cell>
        </row>
        <row r="1099">
          <cell r="AR1099" t="str">
            <v>x</v>
          </cell>
        </row>
        <row r="1100">
          <cell r="AR1100" t="str">
            <v>x</v>
          </cell>
        </row>
        <row r="1101">
          <cell r="AR1101" t="str">
            <v>x</v>
          </cell>
        </row>
        <row r="1102">
          <cell r="AR1102" t="str">
            <v>x</v>
          </cell>
        </row>
        <row r="1103">
          <cell r="AR1103" t="str">
            <v>x</v>
          </cell>
        </row>
        <row r="1104">
          <cell r="AR1104" t="str">
            <v>x</v>
          </cell>
        </row>
        <row r="1105">
          <cell r="AR1105" t="str">
            <v>x</v>
          </cell>
        </row>
        <row r="1106">
          <cell r="AR1106" t="str">
            <v>x</v>
          </cell>
        </row>
        <row r="1107">
          <cell r="AR1107" t="str">
            <v>x</v>
          </cell>
        </row>
        <row r="1108">
          <cell r="AR1108" t="str">
            <v>x</v>
          </cell>
        </row>
        <row r="1109">
          <cell r="AR1109" t="str">
            <v>x</v>
          </cell>
        </row>
        <row r="1110">
          <cell r="AR1110" t="str">
            <v>x</v>
          </cell>
        </row>
        <row r="1111">
          <cell r="AR1111" t="str">
            <v>x</v>
          </cell>
        </row>
        <row r="1112">
          <cell r="AR1112" t="str">
            <v>x</v>
          </cell>
        </row>
        <row r="1113">
          <cell r="AR1113" t="str">
            <v>x</v>
          </cell>
        </row>
        <row r="1114">
          <cell r="AR1114" t="str">
            <v>x</v>
          </cell>
        </row>
        <row r="1115">
          <cell r="AR1115" t="str">
            <v>x</v>
          </cell>
        </row>
        <row r="1116">
          <cell r="AR1116" t="str">
            <v>x</v>
          </cell>
        </row>
        <row r="1117">
          <cell r="AR1117" t="str">
            <v>x</v>
          </cell>
        </row>
        <row r="1118">
          <cell r="AR1118" t="str">
            <v>x</v>
          </cell>
        </row>
        <row r="1119">
          <cell r="AR1119" t="str">
            <v>x</v>
          </cell>
        </row>
        <row r="1120">
          <cell r="AR1120" t="str">
            <v>x</v>
          </cell>
        </row>
        <row r="1121">
          <cell r="AR1121" t="str">
            <v>x</v>
          </cell>
        </row>
        <row r="1122">
          <cell r="AR1122" t="str">
            <v>x</v>
          </cell>
        </row>
        <row r="1123">
          <cell r="AR1123" t="str">
            <v>x</v>
          </cell>
        </row>
        <row r="1124">
          <cell r="AR1124" t="str">
            <v>x</v>
          </cell>
        </row>
        <row r="1125">
          <cell r="AR1125" t="str">
            <v>x</v>
          </cell>
        </row>
        <row r="1126">
          <cell r="AR1126" t="str">
            <v>x</v>
          </cell>
        </row>
        <row r="1127">
          <cell r="AR1127" t="str">
            <v>x</v>
          </cell>
        </row>
        <row r="1128">
          <cell r="AR1128" t="str">
            <v>x</v>
          </cell>
        </row>
        <row r="1129">
          <cell r="AR1129" t="str">
            <v>x</v>
          </cell>
        </row>
        <row r="1130">
          <cell r="AR1130" t="str">
            <v>x</v>
          </cell>
        </row>
        <row r="1131">
          <cell r="AR1131" t="str">
            <v>x</v>
          </cell>
        </row>
        <row r="1132">
          <cell r="AR1132" t="str">
            <v>x</v>
          </cell>
        </row>
        <row r="1133">
          <cell r="AR1133" t="str">
            <v>x</v>
          </cell>
        </row>
        <row r="1134">
          <cell r="AR1134" t="str">
            <v>x</v>
          </cell>
        </row>
        <row r="1135">
          <cell r="AR1135" t="str">
            <v>x</v>
          </cell>
        </row>
        <row r="1136">
          <cell r="AR1136" t="str">
            <v>x</v>
          </cell>
        </row>
        <row r="1137">
          <cell r="AR1137" t="str">
            <v>x</v>
          </cell>
        </row>
        <row r="1138">
          <cell r="AR1138" t="str">
            <v>x</v>
          </cell>
        </row>
        <row r="1139">
          <cell r="AR1139" t="str">
            <v>x</v>
          </cell>
        </row>
        <row r="1140">
          <cell r="AR1140" t="str">
            <v>x</v>
          </cell>
        </row>
        <row r="1141">
          <cell r="AR1141" t="str">
            <v>x</v>
          </cell>
        </row>
        <row r="1142">
          <cell r="AR1142" t="str">
            <v>x</v>
          </cell>
        </row>
        <row r="1143">
          <cell r="AR1143" t="str">
            <v>x</v>
          </cell>
        </row>
        <row r="1144">
          <cell r="AR1144" t="str">
            <v>x</v>
          </cell>
        </row>
        <row r="1145">
          <cell r="AR1145" t="str">
            <v>x</v>
          </cell>
        </row>
        <row r="1146">
          <cell r="AR1146" t="str">
            <v>x</v>
          </cell>
        </row>
        <row r="1147">
          <cell r="AR1147" t="str">
            <v>x</v>
          </cell>
        </row>
        <row r="1148">
          <cell r="AR1148" t="str">
            <v>x</v>
          </cell>
        </row>
        <row r="1149">
          <cell r="AR1149" t="str">
            <v>x</v>
          </cell>
        </row>
        <row r="1150">
          <cell r="AR1150" t="str">
            <v>x</v>
          </cell>
        </row>
        <row r="1151">
          <cell r="AR1151" t="str">
            <v>x</v>
          </cell>
        </row>
        <row r="1152">
          <cell r="AR1152" t="str">
            <v>x</v>
          </cell>
        </row>
        <row r="1153">
          <cell r="AR1153" t="str">
            <v>x</v>
          </cell>
        </row>
        <row r="1154">
          <cell r="AR1154" t="str">
            <v>x</v>
          </cell>
        </row>
        <row r="1155">
          <cell r="AR1155" t="str">
            <v>x</v>
          </cell>
        </row>
        <row r="1156">
          <cell r="AR1156" t="str">
            <v>x</v>
          </cell>
        </row>
        <row r="1157">
          <cell r="AR1157" t="str">
            <v>x</v>
          </cell>
        </row>
        <row r="1158">
          <cell r="AR1158" t="str">
            <v>x</v>
          </cell>
        </row>
        <row r="1159">
          <cell r="AR1159" t="str">
            <v>x</v>
          </cell>
        </row>
        <row r="1160">
          <cell r="AR1160" t="str">
            <v>x</v>
          </cell>
        </row>
        <row r="1161">
          <cell r="AR1161" t="str">
            <v>x</v>
          </cell>
        </row>
        <row r="1162">
          <cell r="AR1162" t="str">
            <v>x</v>
          </cell>
        </row>
        <row r="1163">
          <cell r="AR1163" t="str">
            <v>x</v>
          </cell>
        </row>
        <row r="1164">
          <cell r="AR1164" t="str">
            <v>x</v>
          </cell>
        </row>
        <row r="1165">
          <cell r="AR1165" t="str">
            <v>x</v>
          </cell>
        </row>
        <row r="1166">
          <cell r="AR1166" t="str">
            <v>x</v>
          </cell>
        </row>
        <row r="1167">
          <cell r="AR1167" t="str">
            <v>x</v>
          </cell>
        </row>
        <row r="1168">
          <cell r="AR1168" t="str">
            <v>x</v>
          </cell>
        </row>
        <row r="1169">
          <cell r="AR1169" t="str">
            <v>x</v>
          </cell>
        </row>
        <row r="1170">
          <cell r="AR1170" t="str">
            <v>x</v>
          </cell>
        </row>
        <row r="1171">
          <cell r="AR1171" t="str">
            <v>x</v>
          </cell>
        </row>
        <row r="1172">
          <cell r="AR1172" t="str">
            <v>x</v>
          </cell>
        </row>
        <row r="1173">
          <cell r="AR1173" t="str">
            <v>x</v>
          </cell>
        </row>
        <row r="1174">
          <cell r="AR1174" t="str">
            <v>x</v>
          </cell>
        </row>
        <row r="1175">
          <cell r="AR1175" t="str">
            <v>x</v>
          </cell>
        </row>
        <row r="1176">
          <cell r="AR1176" t="str">
            <v>x</v>
          </cell>
        </row>
        <row r="1177">
          <cell r="AR1177" t="str">
            <v>x</v>
          </cell>
        </row>
        <row r="1178">
          <cell r="AR1178" t="str">
            <v>x</v>
          </cell>
        </row>
        <row r="1179">
          <cell r="AR1179" t="str">
            <v>x</v>
          </cell>
        </row>
        <row r="1180">
          <cell r="AR1180" t="str">
            <v>x</v>
          </cell>
        </row>
        <row r="1181">
          <cell r="AR1181" t="str">
            <v>x</v>
          </cell>
        </row>
        <row r="1182">
          <cell r="AR1182" t="str">
            <v>x</v>
          </cell>
        </row>
        <row r="1183">
          <cell r="AR1183" t="str">
            <v>x</v>
          </cell>
        </row>
        <row r="1184">
          <cell r="AR1184" t="str">
            <v>x</v>
          </cell>
        </row>
        <row r="1185">
          <cell r="AR1185" t="str">
            <v>x</v>
          </cell>
        </row>
        <row r="1186">
          <cell r="AR1186" t="str">
            <v>x</v>
          </cell>
        </row>
        <row r="1187">
          <cell r="AR1187" t="str">
            <v>x</v>
          </cell>
        </row>
        <row r="1188">
          <cell r="AR1188" t="str">
            <v>x</v>
          </cell>
        </row>
        <row r="1189">
          <cell r="AR1189" t="str">
            <v>x</v>
          </cell>
        </row>
        <row r="1190">
          <cell r="AR1190" t="str">
            <v>x</v>
          </cell>
        </row>
        <row r="1191">
          <cell r="AR1191" t="str">
            <v>x</v>
          </cell>
        </row>
        <row r="1192">
          <cell r="AR1192" t="str">
            <v>x</v>
          </cell>
        </row>
        <row r="1193">
          <cell r="AR1193" t="str">
            <v>x</v>
          </cell>
        </row>
        <row r="1194">
          <cell r="AR1194" t="str">
            <v>x</v>
          </cell>
        </row>
        <row r="1195">
          <cell r="AR1195" t="str">
            <v>x</v>
          </cell>
        </row>
        <row r="1196">
          <cell r="AR1196" t="str">
            <v>x</v>
          </cell>
        </row>
        <row r="1197">
          <cell r="AR1197" t="str">
            <v>x</v>
          </cell>
        </row>
        <row r="1198">
          <cell r="AR1198" t="str">
            <v>x</v>
          </cell>
        </row>
        <row r="1199">
          <cell r="AR1199" t="str">
            <v>x</v>
          </cell>
        </row>
        <row r="1200">
          <cell r="AR1200" t="str">
            <v>x</v>
          </cell>
        </row>
        <row r="1201">
          <cell r="AR1201" t="str">
            <v>x</v>
          </cell>
        </row>
        <row r="1202">
          <cell r="AR1202" t="str">
            <v>x</v>
          </cell>
        </row>
        <row r="1203">
          <cell r="AR1203" t="str">
            <v>x</v>
          </cell>
        </row>
        <row r="1204">
          <cell r="AR1204" t="str">
            <v>x</v>
          </cell>
        </row>
        <row r="1205">
          <cell r="AR1205" t="str">
            <v>x</v>
          </cell>
        </row>
        <row r="1206">
          <cell r="AR1206" t="str">
            <v>x</v>
          </cell>
        </row>
        <row r="1207">
          <cell r="AR1207" t="str">
            <v>x</v>
          </cell>
        </row>
        <row r="1208">
          <cell r="AR1208" t="str">
            <v>x</v>
          </cell>
        </row>
        <row r="1209">
          <cell r="AR1209" t="str">
            <v>x</v>
          </cell>
        </row>
        <row r="1210">
          <cell r="AR1210" t="str">
            <v>x</v>
          </cell>
        </row>
        <row r="1211">
          <cell r="AR1211" t="str">
            <v>x</v>
          </cell>
        </row>
        <row r="1212">
          <cell r="AR1212" t="str">
            <v>x</v>
          </cell>
        </row>
        <row r="1213">
          <cell r="AR1213" t="str">
            <v>x</v>
          </cell>
        </row>
        <row r="1214">
          <cell r="AR1214" t="str">
            <v>x</v>
          </cell>
        </row>
        <row r="1215">
          <cell r="AR1215" t="str">
            <v>x</v>
          </cell>
        </row>
        <row r="1216">
          <cell r="AR1216" t="str">
            <v>x</v>
          </cell>
        </row>
        <row r="1217">
          <cell r="AR1217" t="str">
            <v>x</v>
          </cell>
        </row>
        <row r="1218">
          <cell r="AR1218" t="str">
            <v>x</v>
          </cell>
        </row>
        <row r="1219">
          <cell r="AR1219" t="str">
            <v>x</v>
          </cell>
        </row>
        <row r="1220">
          <cell r="AR1220" t="str">
            <v>x</v>
          </cell>
        </row>
        <row r="1221">
          <cell r="AR1221" t="str">
            <v>x</v>
          </cell>
        </row>
        <row r="1222">
          <cell r="AR1222" t="str">
            <v>x</v>
          </cell>
        </row>
        <row r="1223">
          <cell r="AR1223" t="str">
            <v>x</v>
          </cell>
        </row>
        <row r="1224">
          <cell r="AR1224" t="str">
            <v>x</v>
          </cell>
        </row>
        <row r="1225">
          <cell r="AR1225" t="str">
            <v>x</v>
          </cell>
        </row>
        <row r="1226">
          <cell r="AR1226" t="str">
            <v>x</v>
          </cell>
        </row>
        <row r="1227">
          <cell r="AR1227" t="str">
            <v>x</v>
          </cell>
        </row>
        <row r="1228">
          <cell r="AR1228" t="str">
            <v>x</v>
          </cell>
        </row>
        <row r="1229">
          <cell r="AR1229" t="str">
            <v>x</v>
          </cell>
        </row>
        <row r="1230">
          <cell r="AR1230" t="str">
            <v>x</v>
          </cell>
        </row>
        <row r="1231">
          <cell r="AR1231" t="str">
            <v>x</v>
          </cell>
        </row>
        <row r="1232">
          <cell r="AR1232" t="str">
            <v>x</v>
          </cell>
        </row>
        <row r="1233">
          <cell r="AR1233" t="str">
            <v>x</v>
          </cell>
        </row>
        <row r="1234">
          <cell r="AR1234" t="str">
            <v>x</v>
          </cell>
        </row>
        <row r="1235">
          <cell r="AR1235" t="str">
            <v>x</v>
          </cell>
        </row>
        <row r="1236">
          <cell r="AR1236" t="str">
            <v>x</v>
          </cell>
        </row>
        <row r="1237">
          <cell r="AR1237" t="str">
            <v>x</v>
          </cell>
        </row>
        <row r="1238">
          <cell r="AR1238" t="str">
            <v>x</v>
          </cell>
        </row>
        <row r="1239">
          <cell r="AR1239" t="str">
            <v>x</v>
          </cell>
        </row>
        <row r="1240">
          <cell r="AR1240" t="str">
            <v>x</v>
          </cell>
        </row>
        <row r="1241">
          <cell r="AR1241" t="str">
            <v>x</v>
          </cell>
        </row>
        <row r="1242">
          <cell r="AR1242" t="str">
            <v>x</v>
          </cell>
        </row>
        <row r="1243">
          <cell r="AR1243" t="str">
            <v>x</v>
          </cell>
        </row>
        <row r="1244">
          <cell r="AR1244" t="str">
            <v>x</v>
          </cell>
        </row>
        <row r="1245">
          <cell r="AR1245" t="str">
            <v>x</v>
          </cell>
        </row>
        <row r="1246">
          <cell r="AR1246" t="str">
            <v>x</v>
          </cell>
        </row>
        <row r="1247">
          <cell r="AR1247" t="str">
            <v>x</v>
          </cell>
        </row>
        <row r="1248">
          <cell r="AR1248" t="str">
            <v>x</v>
          </cell>
        </row>
        <row r="1249">
          <cell r="AR1249" t="str">
            <v>x</v>
          </cell>
        </row>
        <row r="1250">
          <cell r="AR1250" t="str">
            <v>x</v>
          </cell>
        </row>
        <row r="1251">
          <cell r="AR1251" t="str">
            <v>x</v>
          </cell>
        </row>
        <row r="1252">
          <cell r="AR1252" t="str">
            <v>x</v>
          </cell>
        </row>
        <row r="1253">
          <cell r="AR1253" t="str">
            <v>x</v>
          </cell>
        </row>
        <row r="1254">
          <cell r="AR1254" t="str">
            <v>x</v>
          </cell>
        </row>
        <row r="1255">
          <cell r="AR1255" t="str">
            <v>x</v>
          </cell>
        </row>
        <row r="1256">
          <cell r="AR1256" t="str">
            <v>x</v>
          </cell>
        </row>
        <row r="1257">
          <cell r="AR1257" t="str">
            <v>x</v>
          </cell>
        </row>
        <row r="1258">
          <cell r="AR1258" t="str">
            <v>x</v>
          </cell>
        </row>
        <row r="1259">
          <cell r="AR1259" t="str">
            <v>x</v>
          </cell>
        </row>
        <row r="1260">
          <cell r="AR1260" t="str">
            <v>x</v>
          </cell>
        </row>
        <row r="1261">
          <cell r="AR1261" t="str">
            <v>x</v>
          </cell>
        </row>
        <row r="1262">
          <cell r="AR1262" t="str">
            <v>x</v>
          </cell>
        </row>
        <row r="1263">
          <cell r="AR1263" t="str">
            <v>x</v>
          </cell>
        </row>
        <row r="1264">
          <cell r="AR1264" t="str">
            <v>x</v>
          </cell>
        </row>
        <row r="1265">
          <cell r="AR1265" t="str">
            <v>x</v>
          </cell>
        </row>
        <row r="1266">
          <cell r="AR1266" t="str">
            <v>x</v>
          </cell>
        </row>
        <row r="1267">
          <cell r="AR1267" t="str">
            <v>x</v>
          </cell>
        </row>
        <row r="1268">
          <cell r="AR1268" t="str">
            <v>x</v>
          </cell>
        </row>
        <row r="1269">
          <cell r="AR1269" t="str">
            <v>x</v>
          </cell>
        </row>
        <row r="1270">
          <cell r="AR1270" t="str">
            <v>x</v>
          </cell>
        </row>
        <row r="1271">
          <cell r="AR1271" t="str">
            <v>x</v>
          </cell>
        </row>
        <row r="1272">
          <cell r="AR1272" t="str">
            <v>x</v>
          </cell>
        </row>
        <row r="1273">
          <cell r="AR1273" t="str">
            <v>x</v>
          </cell>
        </row>
        <row r="1274">
          <cell r="AR1274" t="str">
            <v>x</v>
          </cell>
        </row>
        <row r="1275">
          <cell r="AR1275" t="str">
            <v>x</v>
          </cell>
        </row>
        <row r="1276">
          <cell r="AR1276" t="str">
            <v>x</v>
          </cell>
        </row>
        <row r="1277">
          <cell r="AR1277" t="str">
            <v>x</v>
          </cell>
        </row>
        <row r="1278">
          <cell r="AR1278" t="str">
            <v>x</v>
          </cell>
        </row>
        <row r="1279">
          <cell r="AR1279" t="str">
            <v>x</v>
          </cell>
        </row>
        <row r="1280">
          <cell r="AR1280" t="str">
            <v>x</v>
          </cell>
        </row>
        <row r="1281">
          <cell r="AR1281" t="str">
            <v>x</v>
          </cell>
        </row>
        <row r="1282">
          <cell r="AR1282" t="str">
            <v>x</v>
          </cell>
        </row>
        <row r="1283">
          <cell r="AR1283" t="str">
            <v>x</v>
          </cell>
        </row>
        <row r="1284">
          <cell r="AR1284" t="str">
            <v>x</v>
          </cell>
        </row>
        <row r="1285">
          <cell r="AR1285" t="str">
            <v>x</v>
          </cell>
        </row>
        <row r="1286">
          <cell r="AR1286" t="str">
            <v>x</v>
          </cell>
        </row>
        <row r="1287">
          <cell r="AR1287" t="str">
            <v>x</v>
          </cell>
        </row>
        <row r="1288">
          <cell r="AR1288" t="str">
            <v>x</v>
          </cell>
        </row>
        <row r="1289">
          <cell r="AR1289" t="str">
            <v>x</v>
          </cell>
        </row>
        <row r="1290">
          <cell r="AR1290" t="str">
            <v>x</v>
          </cell>
        </row>
        <row r="1291">
          <cell r="AR1291" t="str">
            <v>x</v>
          </cell>
        </row>
        <row r="1292">
          <cell r="AR1292" t="str">
            <v>x</v>
          </cell>
        </row>
        <row r="1293">
          <cell r="AR1293" t="str">
            <v>x</v>
          </cell>
        </row>
        <row r="1294">
          <cell r="AR1294" t="str">
            <v>x</v>
          </cell>
        </row>
        <row r="1295">
          <cell r="AR1295" t="str">
            <v>x</v>
          </cell>
        </row>
        <row r="1296">
          <cell r="AR1296" t="str">
            <v>x</v>
          </cell>
        </row>
        <row r="1297">
          <cell r="AR1297" t="str">
            <v>x</v>
          </cell>
        </row>
        <row r="1298">
          <cell r="AR1298" t="str">
            <v>x</v>
          </cell>
        </row>
        <row r="1299">
          <cell r="AR1299" t="str">
            <v>x</v>
          </cell>
        </row>
        <row r="1300">
          <cell r="AR1300" t="str">
            <v>x</v>
          </cell>
        </row>
        <row r="1301">
          <cell r="AR1301" t="str">
            <v>x</v>
          </cell>
        </row>
        <row r="1302">
          <cell r="AR1302" t="str">
            <v>x</v>
          </cell>
        </row>
        <row r="1303">
          <cell r="AR1303" t="str">
            <v>x</v>
          </cell>
        </row>
        <row r="1304">
          <cell r="AR1304" t="str">
            <v>x</v>
          </cell>
        </row>
        <row r="1305">
          <cell r="AR1305" t="str">
            <v>x</v>
          </cell>
        </row>
        <row r="1306">
          <cell r="AR1306" t="str">
            <v>x</v>
          </cell>
        </row>
        <row r="1307">
          <cell r="AR1307" t="str">
            <v>x</v>
          </cell>
        </row>
        <row r="1308">
          <cell r="AR1308" t="str">
            <v>x</v>
          </cell>
        </row>
        <row r="1309">
          <cell r="AR1309" t="str">
            <v>x</v>
          </cell>
        </row>
        <row r="1310">
          <cell r="AR1310" t="str">
            <v>x</v>
          </cell>
        </row>
        <row r="1311">
          <cell r="AR1311" t="str">
            <v>x</v>
          </cell>
        </row>
        <row r="1312">
          <cell r="AR1312" t="str">
            <v>x</v>
          </cell>
        </row>
        <row r="1313">
          <cell r="AR1313" t="str">
            <v>x</v>
          </cell>
        </row>
        <row r="1314">
          <cell r="AR1314" t="str">
            <v>x</v>
          </cell>
        </row>
        <row r="1315">
          <cell r="AR1315" t="str">
            <v>x</v>
          </cell>
        </row>
        <row r="1316">
          <cell r="AR1316" t="str">
            <v>x</v>
          </cell>
        </row>
        <row r="1317">
          <cell r="AR1317" t="str">
            <v>x</v>
          </cell>
        </row>
        <row r="1318">
          <cell r="AR1318" t="str">
            <v>x</v>
          </cell>
        </row>
        <row r="1319">
          <cell r="AR1319" t="str">
            <v>x</v>
          </cell>
        </row>
        <row r="1320">
          <cell r="AR1320" t="str">
            <v>x</v>
          </cell>
        </row>
        <row r="1321">
          <cell r="AR1321" t="str">
            <v>x</v>
          </cell>
        </row>
        <row r="1322">
          <cell r="AR1322" t="str">
            <v>x</v>
          </cell>
        </row>
        <row r="1323">
          <cell r="AR1323" t="str">
            <v>x</v>
          </cell>
        </row>
        <row r="1324">
          <cell r="AR1324" t="str">
            <v>x</v>
          </cell>
        </row>
        <row r="1325">
          <cell r="AR1325" t="str">
            <v>x</v>
          </cell>
        </row>
        <row r="1326">
          <cell r="AR1326" t="str">
            <v>x</v>
          </cell>
        </row>
        <row r="1327">
          <cell r="AR1327" t="str">
            <v>x</v>
          </cell>
        </row>
        <row r="1328">
          <cell r="AR1328" t="str">
            <v>x</v>
          </cell>
        </row>
        <row r="1329">
          <cell r="AR1329" t="str">
            <v>x</v>
          </cell>
        </row>
        <row r="1330">
          <cell r="AR1330" t="str">
            <v>x</v>
          </cell>
        </row>
        <row r="1331">
          <cell r="AR1331" t="str">
            <v>x</v>
          </cell>
        </row>
        <row r="1332">
          <cell r="AR1332" t="str">
            <v>x</v>
          </cell>
        </row>
        <row r="1333">
          <cell r="AR1333" t="str">
            <v>x</v>
          </cell>
        </row>
        <row r="1334">
          <cell r="AR1334" t="str">
            <v>x</v>
          </cell>
        </row>
        <row r="1335">
          <cell r="AR1335" t="str">
            <v>x</v>
          </cell>
        </row>
        <row r="1336">
          <cell r="AR1336" t="str">
            <v>x</v>
          </cell>
        </row>
        <row r="1337">
          <cell r="AR1337" t="str">
            <v>x</v>
          </cell>
        </row>
        <row r="1338">
          <cell r="AR1338" t="str">
            <v>x</v>
          </cell>
        </row>
        <row r="1339">
          <cell r="AR1339" t="str">
            <v>x</v>
          </cell>
        </row>
        <row r="1340">
          <cell r="AR1340" t="str">
            <v>x</v>
          </cell>
        </row>
        <row r="1341">
          <cell r="AR1341" t="str">
            <v>x</v>
          </cell>
        </row>
        <row r="1342">
          <cell r="AR1342" t="str">
            <v>x</v>
          </cell>
        </row>
        <row r="1343">
          <cell r="AR1343" t="str">
            <v>x</v>
          </cell>
        </row>
        <row r="1344">
          <cell r="AR1344" t="str">
            <v>x</v>
          </cell>
        </row>
        <row r="1345">
          <cell r="AR1345" t="str">
            <v>x</v>
          </cell>
        </row>
        <row r="1346">
          <cell r="AR1346" t="str">
            <v>x</v>
          </cell>
        </row>
        <row r="1347">
          <cell r="AR1347" t="str">
            <v>x</v>
          </cell>
        </row>
        <row r="1348">
          <cell r="AR1348" t="str">
            <v>x</v>
          </cell>
        </row>
        <row r="1349">
          <cell r="AR1349" t="str">
            <v>x</v>
          </cell>
        </row>
        <row r="1350">
          <cell r="AR1350" t="str">
            <v>x</v>
          </cell>
        </row>
        <row r="1351">
          <cell r="AR1351" t="str">
            <v>x</v>
          </cell>
        </row>
        <row r="1352">
          <cell r="AR1352" t="str">
            <v>x</v>
          </cell>
        </row>
        <row r="1353">
          <cell r="AR1353" t="str">
            <v>x</v>
          </cell>
        </row>
        <row r="1354">
          <cell r="AR1354" t="str">
            <v>x</v>
          </cell>
        </row>
        <row r="1355">
          <cell r="AR1355" t="str">
            <v>x</v>
          </cell>
        </row>
        <row r="1356">
          <cell r="AR1356" t="str">
            <v>x</v>
          </cell>
        </row>
        <row r="1357">
          <cell r="AR1357" t="str">
            <v>x</v>
          </cell>
        </row>
        <row r="1358">
          <cell r="AR1358" t="str">
            <v>x</v>
          </cell>
        </row>
        <row r="1359">
          <cell r="AR1359" t="str">
            <v>x</v>
          </cell>
        </row>
        <row r="1360">
          <cell r="AR1360" t="str">
            <v>x</v>
          </cell>
        </row>
        <row r="1361">
          <cell r="AR1361" t="str">
            <v>x</v>
          </cell>
        </row>
        <row r="1362">
          <cell r="AR1362" t="str">
            <v>x</v>
          </cell>
        </row>
        <row r="1363">
          <cell r="AR1363" t="str">
            <v>x</v>
          </cell>
        </row>
        <row r="1364">
          <cell r="AR1364" t="str">
            <v>x</v>
          </cell>
        </row>
        <row r="1365">
          <cell r="AR1365" t="str">
            <v>x</v>
          </cell>
        </row>
        <row r="1366">
          <cell r="AR1366" t="str">
            <v>x</v>
          </cell>
        </row>
        <row r="1367">
          <cell r="AR1367" t="str">
            <v>x</v>
          </cell>
        </row>
        <row r="1368">
          <cell r="AR1368" t="str">
            <v>x</v>
          </cell>
        </row>
        <row r="1369">
          <cell r="AR1369" t="str">
            <v>x</v>
          </cell>
        </row>
        <row r="1370">
          <cell r="AR1370" t="str">
            <v>x</v>
          </cell>
        </row>
        <row r="1371">
          <cell r="AR1371" t="str">
            <v>x</v>
          </cell>
        </row>
        <row r="1372">
          <cell r="AR1372" t="str">
            <v>x</v>
          </cell>
        </row>
        <row r="1373">
          <cell r="AR1373" t="str">
            <v>x</v>
          </cell>
        </row>
        <row r="1374">
          <cell r="AR1374" t="str">
            <v>x</v>
          </cell>
        </row>
        <row r="1375">
          <cell r="AR1375" t="str">
            <v>x</v>
          </cell>
        </row>
        <row r="1376">
          <cell r="AR1376" t="str">
            <v>x</v>
          </cell>
        </row>
        <row r="1377">
          <cell r="AR1377" t="str">
            <v>x</v>
          </cell>
        </row>
        <row r="1378">
          <cell r="AR1378" t="str">
            <v>x</v>
          </cell>
        </row>
        <row r="1379">
          <cell r="AR1379" t="str">
            <v>x</v>
          </cell>
        </row>
        <row r="1380">
          <cell r="AR1380" t="str">
            <v>x</v>
          </cell>
        </row>
        <row r="1381">
          <cell r="AR1381" t="str">
            <v>x</v>
          </cell>
        </row>
        <row r="1382">
          <cell r="AR1382" t="str">
            <v>x</v>
          </cell>
        </row>
        <row r="1383">
          <cell r="AR1383" t="str">
            <v>x</v>
          </cell>
        </row>
        <row r="1384">
          <cell r="AR1384" t="str">
            <v>x</v>
          </cell>
        </row>
        <row r="1385">
          <cell r="AR1385" t="str">
            <v>x</v>
          </cell>
        </row>
        <row r="1386">
          <cell r="AR1386" t="str">
            <v>x</v>
          </cell>
        </row>
        <row r="1387">
          <cell r="AR1387" t="str">
            <v>x</v>
          </cell>
        </row>
        <row r="1388">
          <cell r="AR1388" t="str">
            <v>x</v>
          </cell>
        </row>
        <row r="1389">
          <cell r="AR1389" t="str">
            <v>x</v>
          </cell>
        </row>
        <row r="1390">
          <cell r="AR1390" t="str">
            <v>x</v>
          </cell>
        </row>
        <row r="1391">
          <cell r="AR1391" t="str">
            <v>x</v>
          </cell>
        </row>
        <row r="1392">
          <cell r="AR1392" t="str">
            <v>x</v>
          </cell>
        </row>
        <row r="1393">
          <cell r="AR1393" t="str">
            <v>x</v>
          </cell>
        </row>
        <row r="1394">
          <cell r="AR1394" t="str">
            <v>x</v>
          </cell>
        </row>
        <row r="1395">
          <cell r="AR1395" t="str">
            <v>x</v>
          </cell>
        </row>
        <row r="1396">
          <cell r="AR1396" t="str">
            <v>x</v>
          </cell>
        </row>
        <row r="1397">
          <cell r="AR1397" t="str">
            <v>x</v>
          </cell>
        </row>
        <row r="1398">
          <cell r="AR1398" t="str">
            <v>x</v>
          </cell>
        </row>
        <row r="1399">
          <cell r="AR1399" t="str">
            <v>x</v>
          </cell>
        </row>
        <row r="1400">
          <cell r="AR1400" t="str">
            <v>x</v>
          </cell>
        </row>
        <row r="1401">
          <cell r="AR1401" t="str">
            <v>x</v>
          </cell>
        </row>
        <row r="1402">
          <cell r="AR1402" t="str">
            <v>x</v>
          </cell>
        </row>
        <row r="1403">
          <cell r="AR1403" t="str">
            <v>x</v>
          </cell>
        </row>
        <row r="1404">
          <cell r="AR1404" t="str">
            <v>x</v>
          </cell>
        </row>
        <row r="1405">
          <cell r="AR1405" t="str">
            <v>x</v>
          </cell>
        </row>
        <row r="1406">
          <cell r="AR1406" t="str">
            <v>x</v>
          </cell>
        </row>
        <row r="1407">
          <cell r="AR1407" t="str">
            <v>x</v>
          </cell>
        </row>
        <row r="1408">
          <cell r="AR1408" t="str">
            <v>x</v>
          </cell>
        </row>
        <row r="1409">
          <cell r="AR1409" t="str">
            <v>x</v>
          </cell>
        </row>
        <row r="1410">
          <cell r="AR1410" t="str">
            <v>x</v>
          </cell>
        </row>
        <row r="1411">
          <cell r="AR1411" t="str">
            <v>x</v>
          </cell>
        </row>
        <row r="1412">
          <cell r="AR1412" t="str">
            <v>x</v>
          </cell>
        </row>
        <row r="1413">
          <cell r="AR1413" t="str">
            <v>x</v>
          </cell>
        </row>
        <row r="1414">
          <cell r="AR1414" t="str">
            <v>x</v>
          </cell>
        </row>
        <row r="1415">
          <cell r="AR1415" t="str">
            <v>x</v>
          </cell>
        </row>
        <row r="1416">
          <cell r="AR1416" t="str">
            <v>x</v>
          </cell>
        </row>
        <row r="1417">
          <cell r="AR1417" t="str">
            <v>x</v>
          </cell>
        </row>
        <row r="1418">
          <cell r="AR1418" t="str">
            <v>x</v>
          </cell>
        </row>
        <row r="1419">
          <cell r="AR1419" t="str">
            <v>x</v>
          </cell>
        </row>
        <row r="1420">
          <cell r="AR1420" t="str">
            <v>x</v>
          </cell>
        </row>
        <row r="1421">
          <cell r="AR1421" t="str">
            <v>x</v>
          </cell>
        </row>
        <row r="1422">
          <cell r="AR1422" t="str">
            <v>x</v>
          </cell>
        </row>
        <row r="1423">
          <cell r="AR1423" t="str">
            <v>x</v>
          </cell>
        </row>
        <row r="1424">
          <cell r="AR1424" t="str">
            <v>x</v>
          </cell>
        </row>
        <row r="1425">
          <cell r="AR1425" t="str">
            <v>x</v>
          </cell>
        </row>
        <row r="1426">
          <cell r="AR1426" t="str">
            <v>x</v>
          </cell>
        </row>
        <row r="1427">
          <cell r="AR1427" t="str">
            <v>x</v>
          </cell>
        </row>
        <row r="1428">
          <cell r="AR1428" t="str">
            <v>x</v>
          </cell>
        </row>
        <row r="1429">
          <cell r="AR1429" t="str">
            <v>x</v>
          </cell>
        </row>
        <row r="1430">
          <cell r="AR1430" t="str">
            <v>x</v>
          </cell>
        </row>
        <row r="1431">
          <cell r="AR1431" t="str">
            <v>x</v>
          </cell>
        </row>
        <row r="1432">
          <cell r="AR1432" t="str">
            <v>x</v>
          </cell>
        </row>
        <row r="1433">
          <cell r="AR1433" t="str">
            <v>x</v>
          </cell>
        </row>
        <row r="1434">
          <cell r="AR1434" t="str">
            <v>x</v>
          </cell>
        </row>
        <row r="1435">
          <cell r="AR1435" t="str">
            <v>x</v>
          </cell>
        </row>
        <row r="1436">
          <cell r="AR1436" t="str">
            <v>x</v>
          </cell>
        </row>
        <row r="1437">
          <cell r="AR1437" t="str">
            <v>x</v>
          </cell>
        </row>
        <row r="1438">
          <cell r="AR1438" t="str">
            <v>x</v>
          </cell>
        </row>
        <row r="1439">
          <cell r="AR1439" t="str">
            <v>x</v>
          </cell>
        </row>
        <row r="1440">
          <cell r="AR1440" t="str">
            <v>x</v>
          </cell>
        </row>
        <row r="1441">
          <cell r="AR1441" t="str">
            <v>x</v>
          </cell>
        </row>
        <row r="1442">
          <cell r="AR1442" t="str">
            <v>x</v>
          </cell>
        </row>
        <row r="1443">
          <cell r="AR1443" t="str">
            <v>x</v>
          </cell>
        </row>
        <row r="1444">
          <cell r="AR1444" t="str">
            <v>x</v>
          </cell>
        </row>
        <row r="1445">
          <cell r="AR1445" t="str">
            <v>x</v>
          </cell>
        </row>
        <row r="1446">
          <cell r="AR1446" t="str">
            <v>x</v>
          </cell>
        </row>
        <row r="1447">
          <cell r="AR1447" t="str">
            <v>x</v>
          </cell>
        </row>
        <row r="1448">
          <cell r="AR1448" t="str">
            <v>x</v>
          </cell>
        </row>
        <row r="1449">
          <cell r="AR1449" t="str">
            <v>x</v>
          </cell>
        </row>
        <row r="1450">
          <cell r="AR1450" t="str">
            <v>x</v>
          </cell>
        </row>
        <row r="1451">
          <cell r="AR1451" t="str">
            <v>x</v>
          </cell>
        </row>
        <row r="1452">
          <cell r="AR1452" t="str">
            <v>x</v>
          </cell>
        </row>
        <row r="1453">
          <cell r="AR1453" t="str">
            <v>x</v>
          </cell>
        </row>
        <row r="1454">
          <cell r="AR1454" t="str">
            <v>x</v>
          </cell>
        </row>
        <row r="1455">
          <cell r="AR1455" t="str">
            <v>x</v>
          </cell>
        </row>
        <row r="1456">
          <cell r="AR1456" t="str">
            <v>x</v>
          </cell>
        </row>
        <row r="1457">
          <cell r="AR1457" t="str">
            <v>x</v>
          </cell>
        </row>
        <row r="1458">
          <cell r="AR1458" t="str">
            <v>x</v>
          </cell>
        </row>
        <row r="1459">
          <cell r="AR1459" t="str">
            <v>x</v>
          </cell>
        </row>
        <row r="1460">
          <cell r="AR1460" t="str">
            <v>x</v>
          </cell>
        </row>
        <row r="1461">
          <cell r="AR1461" t="str">
            <v>x</v>
          </cell>
        </row>
        <row r="1462">
          <cell r="AR1462" t="str">
            <v>x</v>
          </cell>
        </row>
        <row r="1463">
          <cell r="AR1463" t="str">
            <v>x</v>
          </cell>
        </row>
        <row r="1464">
          <cell r="AR1464" t="str">
            <v>x</v>
          </cell>
        </row>
        <row r="1465">
          <cell r="AR1465" t="str">
            <v>x</v>
          </cell>
        </row>
        <row r="1466">
          <cell r="AR1466" t="str">
            <v>x</v>
          </cell>
        </row>
        <row r="1467">
          <cell r="AR1467" t="str">
            <v>x</v>
          </cell>
        </row>
        <row r="1468">
          <cell r="AR1468" t="str">
            <v>x</v>
          </cell>
        </row>
        <row r="1469">
          <cell r="AR1469" t="str">
            <v>x</v>
          </cell>
        </row>
        <row r="1470">
          <cell r="AR1470" t="str">
            <v>x</v>
          </cell>
        </row>
        <row r="1471">
          <cell r="AR1471" t="str">
            <v>x</v>
          </cell>
        </row>
        <row r="1472">
          <cell r="AR1472" t="str">
            <v>x</v>
          </cell>
        </row>
        <row r="1473">
          <cell r="AR1473" t="str">
            <v>x</v>
          </cell>
        </row>
        <row r="1474">
          <cell r="AR1474" t="str">
            <v>x</v>
          </cell>
        </row>
        <row r="1475">
          <cell r="AR1475" t="str">
            <v>x</v>
          </cell>
        </row>
        <row r="1476">
          <cell r="AR1476" t="str">
            <v>x</v>
          </cell>
        </row>
        <row r="1477">
          <cell r="AR1477" t="str">
            <v>x</v>
          </cell>
        </row>
        <row r="1478">
          <cell r="AR1478" t="str">
            <v>x</v>
          </cell>
        </row>
        <row r="1479">
          <cell r="AR1479" t="str">
            <v>x</v>
          </cell>
        </row>
        <row r="1480">
          <cell r="AR1480" t="str">
            <v>x</v>
          </cell>
        </row>
        <row r="1481">
          <cell r="AR1481" t="str">
            <v>x</v>
          </cell>
        </row>
        <row r="1482">
          <cell r="AR1482" t="str">
            <v>x</v>
          </cell>
        </row>
        <row r="1483">
          <cell r="AR1483" t="str">
            <v>x</v>
          </cell>
        </row>
        <row r="1484">
          <cell r="AR1484" t="str">
            <v>x</v>
          </cell>
        </row>
        <row r="1485">
          <cell r="AR1485" t="str">
            <v>x</v>
          </cell>
        </row>
        <row r="1486">
          <cell r="AR1486" t="str">
            <v>x</v>
          </cell>
        </row>
        <row r="1487">
          <cell r="AR1487" t="str">
            <v>x</v>
          </cell>
        </row>
        <row r="1488">
          <cell r="AR1488" t="str">
            <v>x</v>
          </cell>
        </row>
        <row r="1489">
          <cell r="AR1489" t="str">
            <v>x</v>
          </cell>
        </row>
        <row r="1490">
          <cell r="AR1490" t="str">
            <v>x</v>
          </cell>
        </row>
        <row r="1491">
          <cell r="AR1491" t="str">
            <v>x</v>
          </cell>
        </row>
        <row r="1492">
          <cell r="AR1492" t="str">
            <v>x</v>
          </cell>
        </row>
        <row r="1493">
          <cell r="AR1493" t="str">
            <v>x</v>
          </cell>
        </row>
        <row r="1494">
          <cell r="AR1494" t="str">
            <v>x</v>
          </cell>
        </row>
        <row r="1495">
          <cell r="AR1495" t="str">
            <v>x</v>
          </cell>
        </row>
        <row r="1496">
          <cell r="AR1496" t="str">
            <v>x</v>
          </cell>
        </row>
        <row r="1497">
          <cell r="AR1497" t="str">
            <v>x</v>
          </cell>
        </row>
        <row r="1498">
          <cell r="AR1498" t="str">
            <v>x</v>
          </cell>
        </row>
        <row r="1499">
          <cell r="AR1499" t="str">
            <v>x</v>
          </cell>
        </row>
        <row r="1500">
          <cell r="AR1500" t="str">
            <v>x</v>
          </cell>
        </row>
        <row r="1501">
          <cell r="AR1501" t="str">
            <v>x</v>
          </cell>
        </row>
        <row r="1502">
          <cell r="AR1502" t="str">
            <v>x</v>
          </cell>
        </row>
        <row r="1503">
          <cell r="AR1503" t="str">
            <v>x</v>
          </cell>
        </row>
        <row r="1504">
          <cell r="AR1504" t="str">
            <v>x</v>
          </cell>
        </row>
        <row r="1505">
          <cell r="AR1505" t="str">
            <v>x</v>
          </cell>
        </row>
        <row r="1506">
          <cell r="AR1506" t="str">
            <v>x</v>
          </cell>
        </row>
        <row r="1507">
          <cell r="AR1507" t="str">
            <v>x</v>
          </cell>
        </row>
        <row r="1508">
          <cell r="AR1508" t="str">
            <v>x</v>
          </cell>
        </row>
        <row r="1509">
          <cell r="AR1509" t="str">
            <v>x</v>
          </cell>
        </row>
        <row r="1510">
          <cell r="AR1510" t="str">
            <v>x</v>
          </cell>
        </row>
        <row r="1511">
          <cell r="AR1511" t="str">
            <v>x</v>
          </cell>
        </row>
        <row r="1512">
          <cell r="AR1512" t="str">
            <v>x</v>
          </cell>
        </row>
        <row r="1513">
          <cell r="AR1513" t="str">
            <v>x</v>
          </cell>
        </row>
        <row r="1514">
          <cell r="AR1514" t="str">
            <v>x</v>
          </cell>
        </row>
        <row r="1515">
          <cell r="AR1515" t="str">
            <v>x</v>
          </cell>
        </row>
        <row r="1516">
          <cell r="AR1516" t="str">
            <v>x</v>
          </cell>
        </row>
        <row r="1517">
          <cell r="AR1517" t="str">
            <v>x</v>
          </cell>
        </row>
        <row r="1518">
          <cell r="AR1518" t="str">
            <v>x</v>
          </cell>
        </row>
        <row r="1519">
          <cell r="AR1519" t="str">
            <v>x</v>
          </cell>
        </row>
        <row r="1520">
          <cell r="AR1520" t="str">
            <v>x</v>
          </cell>
        </row>
        <row r="1521">
          <cell r="AR1521" t="str">
            <v>x</v>
          </cell>
        </row>
        <row r="1522">
          <cell r="AR1522" t="str">
            <v>x</v>
          </cell>
        </row>
        <row r="1523">
          <cell r="AR1523" t="str">
            <v>x</v>
          </cell>
        </row>
        <row r="1524">
          <cell r="AR1524" t="str">
            <v>x</v>
          </cell>
        </row>
        <row r="1525">
          <cell r="AR1525" t="str">
            <v>x</v>
          </cell>
        </row>
        <row r="1526">
          <cell r="AR1526" t="str">
            <v>x</v>
          </cell>
        </row>
        <row r="1527">
          <cell r="AR1527" t="str">
            <v>x</v>
          </cell>
        </row>
        <row r="1528">
          <cell r="AR1528" t="str">
            <v>x</v>
          </cell>
        </row>
        <row r="1529">
          <cell r="AR1529" t="str">
            <v>x</v>
          </cell>
        </row>
        <row r="1530">
          <cell r="AR1530" t="str">
            <v>x</v>
          </cell>
        </row>
        <row r="1531">
          <cell r="AR1531" t="str">
            <v>x</v>
          </cell>
        </row>
        <row r="1532">
          <cell r="AR1532" t="str">
            <v>x</v>
          </cell>
        </row>
        <row r="1533">
          <cell r="AR1533" t="str">
            <v>x</v>
          </cell>
        </row>
        <row r="1534">
          <cell r="AR1534" t="str">
            <v>x</v>
          </cell>
        </row>
        <row r="1535">
          <cell r="AR1535" t="str">
            <v>x</v>
          </cell>
        </row>
        <row r="1536">
          <cell r="AR1536" t="str">
            <v>x</v>
          </cell>
        </row>
        <row r="1537">
          <cell r="AR1537" t="str">
            <v>x</v>
          </cell>
        </row>
        <row r="1538">
          <cell r="AR1538" t="str">
            <v>x</v>
          </cell>
        </row>
        <row r="1539">
          <cell r="AR1539" t="str">
            <v>x</v>
          </cell>
        </row>
        <row r="1540">
          <cell r="AR1540" t="str">
            <v>x</v>
          </cell>
        </row>
        <row r="1541">
          <cell r="AR1541" t="str">
            <v>x</v>
          </cell>
        </row>
        <row r="1542">
          <cell r="AR1542" t="str">
            <v>x</v>
          </cell>
        </row>
        <row r="1543">
          <cell r="AR1543" t="str">
            <v>x</v>
          </cell>
        </row>
        <row r="1544">
          <cell r="AR1544" t="str">
            <v>x</v>
          </cell>
        </row>
        <row r="1545">
          <cell r="AR1545" t="str">
            <v>x</v>
          </cell>
        </row>
        <row r="1546">
          <cell r="AR1546" t="str">
            <v>x</v>
          </cell>
        </row>
        <row r="1547">
          <cell r="AR1547" t="str">
            <v>x</v>
          </cell>
        </row>
        <row r="1548">
          <cell r="AR1548" t="str">
            <v>x</v>
          </cell>
        </row>
        <row r="1549">
          <cell r="AR1549" t="str">
            <v>x</v>
          </cell>
        </row>
        <row r="1550">
          <cell r="AR1550" t="str">
            <v>x</v>
          </cell>
        </row>
        <row r="1551">
          <cell r="AR1551" t="str">
            <v>x</v>
          </cell>
        </row>
        <row r="1552">
          <cell r="AR1552" t="str">
            <v>x</v>
          </cell>
        </row>
        <row r="1553">
          <cell r="AR1553" t="str">
            <v>x</v>
          </cell>
        </row>
        <row r="1554">
          <cell r="AR1554" t="str">
            <v>x</v>
          </cell>
        </row>
        <row r="1555">
          <cell r="AR1555" t="str">
            <v>x</v>
          </cell>
        </row>
        <row r="1556">
          <cell r="AR1556" t="str">
            <v>x</v>
          </cell>
        </row>
        <row r="1557">
          <cell r="AR1557" t="str">
            <v>x</v>
          </cell>
        </row>
        <row r="1558">
          <cell r="AR1558" t="str">
            <v>x</v>
          </cell>
        </row>
        <row r="1559">
          <cell r="AR1559" t="str">
            <v>x</v>
          </cell>
        </row>
        <row r="1560">
          <cell r="AR1560" t="str">
            <v>x</v>
          </cell>
        </row>
        <row r="1561">
          <cell r="AR1561" t="str">
            <v>x</v>
          </cell>
        </row>
        <row r="1562">
          <cell r="AR1562" t="str">
            <v>x</v>
          </cell>
        </row>
        <row r="1563">
          <cell r="AR1563" t="str">
            <v>x</v>
          </cell>
        </row>
        <row r="1564">
          <cell r="AR1564" t="str">
            <v>x</v>
          </cell>
        </row>
        <row r="1565">
          <cell r="AR1565" t="str">
            <v>x</v>
          </cell>
        </row>
        <row r="1566">
          <cell r="AR1566" t="str">
            <v>x</v>
          </cell>
        </row>
        <row r="1567">
          <cell r="AR1567" t="str">
            <v>x</v>
          </cell>
        </row>
        <row r="1568">
          <cell r="AR1568" t="str">
            <v>x</v>
          </cell>
        </row>
        <row r="1569">
          <cell r="AR1569" t="str">
            <v>x</v>
          </cell>
        </row>
        <row r="1570">
          <cell r="AR1570" t="str">
            <v>x</v>
          </cell>
        </row>
        <row r="1571">
          <cell r="AR1571" t="str">
            <v>x</v>
          </cell>
        </row>
        <row r="1572">
          <cell r="AR1572" t="str">
            <v>x</v>
          </cell>
        </row>
        <row r="1573">
          <cell r="AR1573" t="str">
            <v>x</v>
          </cell>
        </row>
        <row r="1574">
          <cell r="AR1574" t="str">
            <v>x</v>
          </cell>
        </row>
        <row r="1575">
          <cell r="AR1575" t="str">
            <v>x</v>
          </cell>
        </row>
        <row r="1576">
          <cell r="AR1576" t="str">
            <v>x</v>
          </cell>
        </row>
        <row r="1577">
          <cell r="AR1577" t="str">
            <v>x</v>
          </cell>
        </row>
        <row r="1578">
          <cell r="AR1578" t="str">
            <v>x</v>
          </cell>
        </row>
        <row r="1579">
          <cell r="AR1579" t="str">
            <v>x</v>
          </cell>
        </row>
        <row r="1580">
          <cell r="AR1580" t="str">
            <v>x</v>
          </cell>
        </row>
        <row r="1581">
          <cell r="AR1581" t="str">
            <v>x</v>
          </cell>
        </row>
        <row r="1582">
          <cell r="AR1582" t="str">
            <v>x</v>
          </cell>
        </row>
        <row r="1583">
          <cell r="AR1583" t="str">
            <v>x</v>
          </cell>
        </row>
        <row r="1584">
          <cell r="AR1584" t="str">
            <v>x</v>
          </cell>
        </row>
        <row r="1585">
          <cell r="AR1585" t="str">
            <v>x</v>
          </cell>
        </row>
        <row r="1586">
          <cell r="AR1586" t="str">
            <v>x</v>
          </cell>
        </row>
        <row r="1587">
          <cell r="AR1587" t="str">
            <v>x</v>
          </cell>
        </row>
        <row r="1588">
          <cell r="AR1588" t="str">
            <v>x</v>
          </cell>
        </row>
        <row r="1589">
          <cell r="AR1589" t="str">
            <v>x</v>
          </cell>
        </row>
        <row r="1590">
          <cell r="AR1590" t="str">
            <v>x</v>
          </cell>
        </row>
        <row r="1591">
          <cell r="AR1591" t="str">
            <v>x</v>
          </cell>
        </row>
        <row r="1592">
          <cell r="AR1592" t="str">
            <v>x</v>
          </cell>
        </row>
        <row r="1593">
          <cell r="AR1593" t="str">
            <v>x</v>
          </cell>
        </row>
        <row r="1594">
          <cell r="AR1594" t="str">
            <v>x</v>
          </cell>
        </row>
        <row r="1595">
          <cell r="AR1595" t="str">
            <v>x</v>
          </cell>
        </row>
        <row r="1596">
          <cell r="AR1596" t="str">
            <v>x</v>
          </cell>
        </row>
        <row r="1597">
          <cell r="AR1597" t="str">
            <v>x</v>
          </cell>
        </row>
        <row r="1598">
          <cell r="AR1598" t="str">
            <v>x</v>
          </cell>
        </row>
        <row r="1599">
          <cell r="AR1599" t="str">
            <v>x</v>
          </cell>
        </row>
        <row r="1600">
          <cell r="AR1600" t="str">
            <v>x</v>
          </cell>
        </row>
        <row r="1601">
          <cell r="AR1601" t="str">
            <v>x</v>
          </cell>
        </row>
        <row r="1602">
          <cell r="AR1602" t="str">
            <v>x</v>
          </cell>
        </row>
        <row r="1603">
          <cell r="AR1603" t="str">
            <v>x</v>
          </cell>
        </row>
        <row r="1604">
          <cell r="AR1604" t="str">
            <v>x</v>
          </cell>
        </row>
        <row r="1605">
          <cell r="AR1605" t="str">
            <v>x</v>
          </cell>
        </row>
        <row r="1606">
          <cell r="AR1606" t="str">
            <v>x</v>
          </cell>
        </row>
        <row r="1607">
          <cell r="AR1607" t="str">
            <v>x</v>
          </cell>
        </row>
        <row r="1608">
          <cell r="AR1608" t="str">
            <v>x</v>
          </cell>
        </row>
        <row r="1609">
          <cell r="AR1609" t="str">
            <v>x</v>
          </cell>
        </row>
        <row r="1610">
          <cell r="AR1610" t="str">
            <v>x</v>
          </cell>
        </row>
        <row r="1611">
          <cell r="AR1611" t="str">
            <v>x</v>
          </cell>
        </row>
        <row r="1612">
          <cell r="AR1612" t="str">
            <v>x</v>
          </cell>
        </row>
        <row r="1613">
          <cell r="AR1613" t="str">
            <v>x</v>
          </cell>
        </row>
        <row r="1614">
          <cell r="AR1614" t="str">
            <v>x</v>
          </cell>
        </row>
        <row r="1615">
          <cell r="AR1615" t="str">
            <v>x</v>
          </cell>
        </row>
        <row r="1616">
          <cell r="AR1616" t="str">
            <v>x</v>
          </cell>
        </row>
        <row r="1617">
          <cell r="AR1617" t="str">
            <v>x</v>
          </cell>
        </row>
        <row r="1618">
          <cell r="AR1618" t="str">
            <v>x</v>
          </cell>
        </row>
        <row r="1619">
          <cell r="AR1619" t="str">
            <v>x</v>
          </cell>
        </row>
        <row r="1620">
          <cell r="AR1620" t="str">
            <v>x</v>
          </cell>
        </row>
        <row r="1621">
          <cell r="AR1621" t="str">
            <v>x</v>
          </cell>
        </row>
        <row r="1622">
          <cell r="AR1622" t="str">
            <v>x</v>
          </cell>
        </row>
        <row r="1623">
          <cell r="AR1623" t="str">
            <v>x</v>
          </cell>
        </row>
        <row r="1624">
          <cell r="AR1624" t="str">
            <v>x</v>
          </cell>
        </row>
        <row r="1625">
          <cell r="AR1625" t="str">
            <v>x</v>
          </cell>
        </row>
        <row r="1626">
          <cell r="AR1626" t="str">
            <v>x</v>
          </cell>
        </row>
        <row r="1627">
          <cell r="AR1627" t="str">
            <v>x</v>
          </cell>
        </row>
        <row r="1628">
          <cell r="AR1628" t="str">
            <v>x</v>
          </cell>
        </row>
        <row r="1629">
          <cell r="AR1629" t="str">
            <v>x</v>
          </cell>
        </row>
        <row r="1630">
          <cell r="AR1630" t="str">
            <v>x</v>
          </cell>
        </row>
        <row r="1631">
          <cell r="AR1631" t="str">
            <v>x</v>
          </cell>
        </row>
        <row r="1632">
          <cell r="AR1632" t="str">
            <v>x</v>
          </cell>
        </row>
        <row r="1633">
          <cell r="AR1633" t="str">
            <v>x</v>
          </cell>
        </row>
        <row r="1634">
          <cell r="AR1634" t="str">
            <v>x</v>
          </cell>
        </row>
        <row r="1635">
          <cell r="AR1635" t="str">
            <v>x</v>
          </cell>
        </row>
        <row r="1636">
          <cell r="AR1636" t="str">
            <v>x</v>
          </cell>
        </row>
        <row r="1637">
          <cell r="AR1637" t="str">
            <v>x</v>
          </cell>
        </row>
        <row r="1638">
          <cell r="AR1638" t="str">
            <v>x</v>
          </cell>
        </row>
        <row r="1639">
          <cell r="AR1639" t="str">
            <v>x</v>
          </cell>
        </row>
        <row r="1640">
          <cell r="AR1640" t="str">
            <v>x</v>
          </cell>
        </row>
        <row r="1641">
          <cell r="AR1641" t="str">
            <v>x</v>
          </cell>
        </row>
        <row r="1642">
          <cell r="AR1642" t="str">
            <v>x</v>
          </cell>
        </row>
        <row r="1643">
          <cell r="AR1643" t="str">
            <v>x</v>
          </cell>
        </row>
        <row r="1644">
          <cell r="AR1644" t="str">
            <v>x</v>
          </cell>
        </row>
        <row r="1645">
          <cell r="AR1645" t="str">
            <v>x</v>
          </cell>
        </row>
        <row r="1646">
          <cell r="AR1646" t="str">
            <v>x</v>
          </cell>
        </row>
        <row r="1647">
          <cell r="AR1647" t="str">
            <v>x</v>
          </cell>
        </row>
        <row r="1648">
          <cell r="AR1648" t="str">
            <v>x</v>
          </cell>
        </row>
        <row r="1649">
          <cell r="AR1649" t="str">
            <v>x</v>
          </cell>
        </row>
        <row r="1650">
          <cell r="AR1650" t="str">
            <v>x</v>
          </cell>
        </row>
        <row r="1651">
          <cell r="AR1651" t="str">
            <v>x</v>
          </cell>
        </row>
        <row r="1652">
          <cell r="AR1652" t="str">
            <v>x</v>
          </cell>
        </row>
        <row r="1653">
          <cell r="AR1653" t="str">
            <v>x</v>
          </cell>
        </row>
        <row r="1654">
          <cell r="AR1654" t="str">
            <v>x</v>
          </cell>
        </row>
        <row r="1655">
          <cell r="AR1655" t="str">
            <v>x</v>
          </cell>
        </row>
        <row r="1656">
          <cell r="AR1656" t="str">
            <v>x</v>
          </cell>
        </row>
        <row r="1657">
          <cell r="AR1657" t="str">
            <v>x</v>
          </cell>
        </row>
        <row r="1658">
          <cell r="AR1658" t="str">
            <v>x</v>
          </cell>
        </row>
        <row r="1659">
          <cell r="AR1659" t="str">
            <v>x</v>
          </cell>
        </row>
        <row r="1660">
          <cell r="AR1660" t="str">
            <v>x</v>
          </cell>
        </row>
        <row r="1661">
          <cell r="AR1661" t="str">
            <v>x</v>
          </cell>
        </row>
        <row r="1662">
          <cell r="AR1662" t="str">
            <v>x</v>
          </cell>
        </row>
        <row r="1663">
          <cell r="AR1663" t="str">
            <v>x</v>
          </cell>
        </row>
        <row r="1664">
          <cell r="AR1664" t="str">
            <v>x</v>
          </cell>
        </row>
        <row r="1665">
          <cell r="AR1665" t="str">
            <v>x</v>
          </cell>
        </row>
        <row r="1666">
          <cell r="AR1666" t="str">
            <v>x</v>
          </cell>
        </row>
        <row r="1667">
          <cell r="AR1667" t="str">
            <v>x</v>
          </cell>
        </row>
        <row r="1668">
          <cell r="AR1668" t="str">
            <v>x</v>
          </cell>
        </row>
        <row r="1669">
          <cell r="AR1669" t="str">
            <v>x</v>
          </cell>
        </row>
        <row r="1670">
          <cell r="AR1670" t="str">
            <v>x</v>
          </cell>
        </row>
        <row r="1671">
          <cell r="AR1671" t="str">
            <v>x</v>
          </cell>
        </row>
        <row r="1672">
          <cell r="AR1672" t="str">
            <v>x</v>
          </cell>
        </row>
        <row r="1673">
          <cell r="AR1673" t="str">
            <v>x</v>
          </cell>
        </row>
        <row r="1674">
          <cell r="AR1674" t="str">
            <v>x</v>
          </cell>
        </row>
        <row r="1675">
          <cell r="AR1675" t="str">
            <v>x</v>
          </cell>
        </row>
        <row r="1676">
          <cell r="AR1676" t="str">
            <v>x</v>
          </cell>
        </row>
        <row r="1677">
          <cell r="AR1677" t="str">
            <v>x</v>
          </cell>
        </row>
        <row r="1678">
          <cell r="AR1678" t="str">
            <v>x</v>
          </cell>
        </row>
        <row r="1679">
          <cell r="AR1679" t="str">
            <v>x</v>
          </cell>
        </row>
        <row r="1680">
          <cell r="AR1680" t="str">
            <v>x</v>
          </cell>
        </row>
        <row r="1681">
          <cell r="AR1681" t="str">
            <v>x</v>
          </cell>
        </row>
        <row r="1682">
          <cell r="AR1682" t="str">
            <v>x</v>
          </cell>
        </row>
        <row r="1683">
          <cell r="AR1683" t="str">
            <v>x</v>
          </cell>
        </row>
        <row r="1684">
          <cell r="AR1684" t="str">
            <v>x</v>
          </cell>
        </row>
        <row r="1685">
          <cell r="AR1685" t="str">
            <v>x</v>
          </cell>
        </row>
        <row r="1686">
          <cell r="AR1686" t="str">
            <v>x</v>
          </cell>
        </row>
        <row r="1687">
          <cell r="AR1687" t="str">
            <v>x</v>
          </cell>
        </row>
        <row r="1688">
          <cell r="AR1688" t="str">
            <v>x</v>
          </cell>
        </row>
        <row r="1689">
          <cell r="AR1689" t="str">
            <v>x</v>
          </cell>
        </row>
        <row r="1690">
          <cell r="AR1690" t="str">
            <v>x</v>
          </cell>
        </row>
        <row r="1691">
          <cell r="AR1691" t="str">
            <v>x</v>
          </cell>
        </row>
        <row r="1692">
          <cell r="AR1692" t="str">
            <v>x</v>
          </cell>
        </row>
        <row r="1693">
          <cell r="AR1693" t="str">
            <v>x</v>
          </cell>
        </row>
        <row r="1694">
          <cell r="AR1694" t="str">
            <v>x</v>
          </cell>
        </row>
        <row r="1695">
          <cell r="AR1695" t="str">
            <v>x</v>
          </cell>
        </row>
        <row r="1696">
          <cell r="AR1696" t="str">
            <v>x</v>
          </cell>
        </row>
        <row r="1697">
          <cell r="AR1697" t="str">
            <v>x</v>
          </cell>
        </row>
        <row r="1698">
          <cell r="AR1698" t="str">
            <v>x</v>
          </cell>
        </row>
        <row r="1699">
          <cell r="AR1699" t="str">
            <v>x</v>
          </cell>
        </row>
        <row r="1700">
          <cell r="AR1700" t="str">
            <v>x</v>
          </cell>
        </row>
        <row r="1701">
          <cell r="AR1701" t="str">
            <v>x</v>
          </cell>
        </row>
        <row r="1702">
          <cell r="AR1702" t="str">
            <v>x</v>
          </cell>
        </row>
        <row r="1703">
          <cell r="AR1703" t="str">
            <v>x</v>
          </cell>
        </row>
        <row r="1704">
          <cell r="AR1704" t="str">
            <v>x</v>
          </cell>
        </row>
        <row r="1705">
          <cell r="AR1705" t="str">
            <v>x</v>
          </cell>
        </row>
        <row r="1706">
          <cell r="AR1706" t="str">
            <v>x</v>
          </cell>
        </row>
        <row r="1707">
          <cell r="AR1707" t="str">
            <v>x</v>
          </cell>
        </row>
        <row r="1708">
          <cell r="AR1708" t="str">
            <v>x</v>
          </cell>
        </row>
        <row r="1709">
          <cell r="AR1709" t="str">
            <v>x</v>
          </cell>
        </row>
        <row r="1710">
          <cell r="AR1710" t="str">
            <v>x</v>
          </cell>
        </row>
        <row r="1711">
          <cell r="AR1711" t="str">
            <v>x</v>
          </cell>
        </row>
        <row r="1712">
          <cell r="AR1712" t="str">
            <v>x</v>
          </cell>
        </row>
        <row r="1713">
          <cell r="AR1713" t="str">
            <v>x</v>
          </cell>
        </row>
        <row r="1714">
          <cell r="AR1714" t="str">
            <v>x</v>
          </cell>
        </row>
        <row r="1715">
          <cell r="AR1715" t="str">
            <v>x</v>
          </cell>
        </row>
        <row r="1716">
          <cell r="AR1716" t="str">
            <v>x</v>
          </cell>
        </row>
        <row r="1717">
          <cell r="AR1717" t="str">
            <v>x</v>
          </cell>
        </row>
        <row r="1718">
          <cell r="AR1718" t="str">
            <v>x</v>
          </cell>
        </row>
        <row r="1719">
          <cell r="AR1719" t="str">
            <v>x</v>
          </cell>
        </row>
        <row r="1720">
          <cell r="AR1720" t="str">
            <v>x</v>
          </cell>
        </row>
        <row r="1721">
          <cell r="AR1721" t="str">
            <v>x</v>
          </cell>
        </row>
        <row r="1722">
          <cell r="AR1722" t="str">
            <v>x</v>
          </cell>
        </row>
        <row r="1723">
          <cell r="AR1723" t="str">
            <v>x</v>
          </cell>
        </row>
        <row r="1724">
          <cell r="AR1724" t="str">
            <v>x</v>
          </cell>
        </row>
        <row r="1725">
          <cell r="AR1725" t="str">
            <v>x</v>
          </cell>
        </row>
        <row r="1726">
          <cell r="AR1726" t="str">
            <v>x</v>
          </cell>
        </row>
        <row r="1727">
          <cell r="AR1727" t="str">
            <v>x</v>
          </cell>
        </row>
        <row r="1728">
          <cell r="AR1728" t="str">
            <v>x</v>
          </cell>
        </row>
        <row r="1729">
          <cell r="AR1729" t="str">
            <v>x</v>
          </cell>
        </row>
        <row r="1730">
          <cell r="AR1730" t="str">
            <v>x</v>
          </cell>
        </row>
        <row r="1731">
          <cell r="AR1731" t="str">
            <v>x</v>
          </cell>
        </row>
        <row r="1732">
          <cell r="AR1732" t="str">
            <v>x</v>
          </cell>
        </row>
        <row r="1733">
          <cell r="AR1733" t="str">
            <v>x</v>
          </cell>
        </row>
        <row r="1734">
          <cell r="AR1734" t="str">
            <v>x</v>
          </cell>
        </row>
        <row r="1735">
          <cell r="AR1735" t="str">
            <v>x</v>
          </cell>
        </row>
        <row r="1736">
          <cell r="AR1736" t="str">
            <v>x</v>
          </cell>
        </row>
        <row r="1737">
          <cell r="AR1737" t="str">
            <v>x</v>
          </cell>
        </row>
        <row r="1738">
          <cell r="AR1738" t="str">
            <v>x</v>
          </cell>
        </row>
        <row r="1739">
          <cell r="AR1739" t="str">
            <v>x</v>
          </cell>
        </row>
        <row r="1740">
          <cell r="AR1740" t="str">
            <v>x</v>
          </cell>
        </row>
        <row r="1741">
          <cell r="AR1741" t="str">
            <v>x</v>
          </cell>
        </row>
        <row r="1742">
          <cell r="AR1742" t="str">
            <v>x</v>
          </cell>
        </row>
        <row r="1743">
          <cell r="AR1743" t="str">
            <v>x</v>
          </cell>
        </row>
        <row r="1744">
          <cell r="AR1744" t="str">
            <v>x</v>
          </cell>
        </row>
        <row r="1745">
          <cell r="AR1745" t="str">
            <v>x</v>
          </cell>
        </row>
        <row r="1746">
          <cell r="AR1746" t="str">
            <v>x</v>
          </cell>
        </row>
        <row r="1747">
          <cell r="AR1747" t="str">
            <v>x</v>
          </cell>
        </row>
        <row r="1748">
          <cell r="AR1748" t="str">
            <v>x</v>
          </cell>
        </row>
        <row r="1749">
          <cell r="AR1749" t="str">
            <v>x</v>
          </cell>
        </row>
        <row r="1750">
          <cell r="AR1750" t="str">
            <v>x</v>
          </cell>
        </row>
        <row r="1751">
          <cell r="AR1751" t="str">
            <v>x</v>
          </cell>
        </row>
        <row r="1752">
          <cell r="AR1752" t="str">
            <v>x</v>
          </cell>
        </row>
        <row r="1753">
          <cell r="AR1753" t="str">
            <v>x</v>
          </cell>
        </row>
        <row r="1754">
          <cell r="AR1754" t="str">
            <v>x</v>
          </cell>
        </row>
        <row r="1755">
          <cell r="AR1755" t="str">
            <v>x</v>
          </cell>
        </row>
        <row r="1756">
          <cell r="AR1756" t="str">
            <v>x</v>
          </cell>
        </row>
        <row r="1757">
          <cell r="AR1757" t="str">
            <v>x</v>
          </cell>
        </row>
        <row r="1758">
          <cell r="AR1758" t="str">
            <v>x</v>
          </cell>
        </row>
        <row r="1759">
          <cell r="AR1759" t="str">
            <v>x</v>
          </cell>
        </row>
        <row r="1760">
          <cell r="AR1760" t="str">
            <v>x</v>
          </cell>
        </row>
        <row r="1761">
          <cell r="AR1761" t="str">
            <v>x</v>
          </cell>
        </row>
        <row r="1762">
          <cell r="AR1762" t="str">
            <v>x</v>
          </cell>
        </row>
        <row r="1763">
          <cell r="AR1763" t="str">
            <v>x</v>
          </cell>
        </row>
        <row r="1764">
          <cell r="AR1764" t="str">
            <v>x</v>
          </cell>
        </row>
        <row r="1765">
          <cell r="AR1765" t="str">
            <v>x</v>
          </cell>
        </row>
        <row r="1766">
          <cell r="AR1766" t="str">
            <v>x</v>
          </cell>
        </row>
        <row r="1767">
          <cell r="AR1767" t="str">
            <v>x</v>
          </cell>
        </row>
        <row r="1768">
          <cell r="AR1768" t="str">
            <v>x</v>
          </cell>
        </row>
        <row r="1769">
          <cell r="AR1769" t="str">
            <v>x</v>
          </cell>
        </row>
        <row r="1770">
          <cell r="AR1770" t="str">
            <v>x</v>
          </cell>
        </row>
        <row r="1771">
          <cell r="AR1771" t="str">
            <v>x</v>
          </cell>
        </row>
        <row r="1772">
          <cell r="AR1772" t="str">
            <v>x</v>
          </cell>
        </row>
        <row r="1773">
          <cell r="AR1773" t="str">
            <v>x</v>
          </cell>
        </row>
        <row r="1774">
          <cell r="AR1774" t="str">
            <v>x</v>
          </cell>
        </row>
        <row r="1775">
          <cell r="AR1775" t="str">
            <v>x</v>
          </cell>
        </row>
        <row r="1776">
          <cell r="AR1776" t="str">
            <v>x</v>
          </cell>
        </row>
        <row r="1777">
          <cell r="AR1777" t="str">
            <v>x</v>
          </cell>
        </row>
        <row r="1778">
          <cell r="AR1778" t="str">
            <v>x</v>
          </cell>
        </row>
        <row r="1779">
          <cell r="AR1779" t="str">
            <v>x</v>
          </cell>
        </row>
        <row r="1780">
          <cell r="AR1780" t="str">
            <v>x</v>
          </cell>
        </row>
        <row r="1781">
          <cell r="AR1781" t="str">
            <v>x</v>
          </cell>
        </row>
        <row r="1782">
          <cell r="AR1782" t="str">
            <v>x</v>
          </cell>
        </row>
        <row r="1783">
          <cell r="AR1783" t="str">
            <v>x</v>
          </cell>
        </row>
        <row r="1784">
          <cell r="AR1784" t="str">
            <v>x</v>
          </cell>
        </row>
        <row r="1785">
          <cell r="AR1785" t="str">
            <v>x</v>
          </cell>
        </row>
        <row r="1786">
          <cell r="AR1786" t="str">
            <v>x</v>
          </cell>
        </row>
        <row r="1787">
          <cell r="AR1787" t="str">
            <v>x</v>
          </cell>
        </row>
        <row r="1788">
          <cell r="AR1788" t="str">
            <v>x</v>
          </cell>
        </row>
        <row r="1789">
          <cell r="AR1789" t="str">
            <v>x</v>
          </cell>
        </row>
        <row r="1790">
          <cell r="AR1790" t="str">
            <v>x</v>
          </cell>
        </row>
        <row r="1791">
          <cell r="AR1791" t="str">
            <v>x</v>
          </cell>
        </row>
        <row r="1792">
          <cell r="AR1792" t="str">
            <v>x</v>
          </cell>
        </row>
        <row r="1793">
          <cell r="AR1793" t="str">
            <v>x</v>
          </cell>
        </row>
        <row r="1794">
          <cell r="AR1794" t="str">
            <v>x</v>
          </cell>
        </row>
        <row r="1795">
          <cell r="AR1795" t="str">
            <v>x</v>
          </cell>
        </row>
        <row r="1796">
          <cell r="AR1796" t="str">
            <v>x</v>
          </cell>
        </row>
        <row r="1797">
          <cell r="AR1797" t="str">
            <v>x</v>
          </cell>
        </row>
        <row r="1798">
          <cell r="AR1798" t="str">
            <v>x</v>
          </cell>
        </row>
        <row r="1799">
          <cell r="AR1799" t="str">
            <v>x</v>
          </cell>
        </row>
        <row r="1800">
          <cell r="AR1800" t="str">
            <v>x</v>
          </cell>
        </row>
        <row r="1801">
          <cell r="AR1801" t="str">
            <v>x</v>
          </cell>
        </row>
        <row r="1802">
          <cell r="AR1802" t="str">
            <v>x</v>
          </cell>
        </row>
        <row r="1803">
          <cell r="AR1803" t="str">
            <v>x</v>
          </cell>
        </row>
        <row r="1804">
          <cell r="AR1804" t="str">
            <v>x</v>
          </cell>
        </row>
        <row r="1805">
          <cell r="AR1805" t="str">
            <v>x</v>
          </cell>
        </row>
        <row r="1806">
          <cell r="AR1806" t="str">
            <v>x</v>
          </cell>
        </row>
        <row r="1807">
          <cell r="AR1807" t="str">
            <v>x</v>
          </cell>
        </row>
        <row r="1808">
          <cell r="AR1808" t="str">
            <v>x</v>
          </cell>
        </row>
        <row r="1809">
          <cell r="AR1809" t="str">
            <v>x</v>
          </cell>
        </row>
        <row r="1810">
          <cell r="AR1810" t="str">
            <v>x</v>
          </cell>
        </row>
        <row r="1811">
          <cell r="AR1811" t="str">
            <v>x</v>
          </cell>
        </row>
        <row r="1812">
          <cell r="AR1812" t="str">
            <v>x</v>
          </cell>
        </row>
        <row r="1813">
          <cell r="AR1813" t="str">
            <v>x</v>
          </cell>
        </row>
        <row r="1814">
          <cell r="AR1814" t="str">
            <v>x</v>
          </cell>
        </row>
        <row r="1815">
          <cell r="AR1815" t="str">
            <v>x</v>
          </cell>
        </row>
        <row r="1816">
          <cell r="AR1816" t="str">
            <v>x</v>
          </cell>
        </row>
        <row r="1817">
          <cell r="AR1817" t="str">
            <v>x</v>
          </cell>
        </row>
        <row r="1818">
          <cell r="AR1818" t="str">
            <v>x</v>
          </cell>
        </row>
        <row r="1819">
          <cell r="AR1819" t="str">
            <v>x</v>
          </cell>
        </row>
        <row r="1820">
          <cell r="AR1820" t="str">
            <v>x</v>
          </cell>
        </row>
        <row r="1821">
          <cell r="AR1821" t="str">
            <v>x</v>
          </cell>
        </row>
        <row r="1822">
          <cell r="AR1822" t="str">
            <v>x</v>
          </cell>
        </row>
        <row r="1823">
          <cell r="AR1823" t="str">
            <v>x</v>
          </cell>
        </row>
        <row r="1824">
          <cell r="AR1824" t="str">
            <v>x</v>
          </cell>
        </row>
        <row r="1825">
          <cell r="AR1825" t="str">
            <v>x</v>
          </cell>
        </row>
        <row r="1826">
          <cell r="AR1826" t="str">
            <v>x</v>
          </cell>
        </row>
        <row r="1827">
          <cell r="AR1827" t="str">
            <v>x</v>
          </cell>
        </row>
        <row r="1828">
          <cell r="AR1828" t="str">
            <v>x</v>
          </cell>
        </row>
        <row r="1829">
          <cell r="AR1829" t="str">
            <v>x</v>
          </cell>
        </row>
        <row r="1830">
          <cell r="AR1830" t="str">
            <v>x</v>
          </cell>
        </row>
        <row r="1831">
          <cell r="AR1831" t="str">
            <v>x</v>
          </cell>
        </row>
        <row r="1832">
          <cell r="AR1832" t="str">
            <v>x</v>
          </cell>
        </row>
        <row r="1833">
          <cell r="AR1833" t="str">
            <v>x</v>
          </cell>
        </row>
        <row r="1834">
          <cell r="AR1834" t="str">
            <v>x</v>
          </cell>
        </row>
        <row r="1835">
          <cell r="AR1835" t="str">
            <v>x</v>
          </cell>
        </row>
        <row r="1836">
          <cell r="AR1836" t="str">
            <v>x</v>
          </cell>
        </row>
        <row r="1837">
          <cell r="AR1837" t="str">
            <v>x</v>
          </cell>
        </row>
        <row r="1838">
          <cell r="AR1838" t="str">
            <v>x</v>
          </cell>
        </row>
        <row r="1839">
          <cell r="AR1839" t="str">
            <v>x</v>
          </cell>
        </row>
        <row r="1840">
          <cell r="AR1840" t="str">
            <v>x</v>
          </cell>
        </row>
        <row r="1841">
          <cell r="AR1841" t="str">
            <v>x</v>
          </cell>
        </row>
        <row r="1842">
          <cell r="AR1842" t="str">
            <v>x</v>
          </cell>
        </row>
        <row r="1843">
          <cell r="AR1843" t="str">
            <v>x</v>
          </cell>
        </row>
        <row r="1844">
          <cell r="AR1844" t="str">
            <v>x</v>
          </cell>
        </row>
        <row r="1845">
          <cell r="AR1845" t="str">
            <v>x</v>
          </cell>
        </row>
        <row r="1846">
          <cell r="AR1846" t="str">
            <v>x</v>
          </cell>
        </row>
        <row r="1847">
          <cell r="AR1847" t="str">
            <v>x</v>
          </cell>
        </row>
        <row r="1848">
          <cell r="AR1848" t="str">
            <v>x</v>
          </cell>
        </row>
        <row r="1849">
          <cell r="AR1849" t="str">
            <v>x</v>
          </cell>
        </row>
        <row r="1850">
          <cell r="AR1850" t="str">
            <v>x</v>
          </cell>
        </row>
        <row r="1851">
          <cell r="AR1851" t="str">
            <v>x</v>
          </cell>
        </row>
        <row r="1852">
          <cell r="AR1852" t="str">
            <v>x</v>
          </cell>
        </row>
        <row r="1853">
          <cell r="AR1853" t="str">
            <v>x</v>
          </cell>
        </row>
        <row r="1854">
          <cell r="AR1854" t="str">
            <v>x</v>
          </cell>
        </row>
        <row r="1855">
          <cell r="AR1855" t="str">
            <v>x</v>
          </cell>
        </row>
        <row r="1856">
          <cell r="AR1856" t="str">
            <v>x</v>
          </cell>
        </row>
        <row r="1857">
          <cell r="AR1857" t="str">
            <v>x</v>
          </cell>
        </row>
        <row r="1858">
          <cell r="AR1858" t="str">
            <v>x</v>
          </cell>
        </row>
        <row r="1859">
          <cell r="AR1859" t="str">
            <v>x</v>
          </cell>
        </row>
        <row r="1860">
          <cell r="AR1860" t="str">
            <v>x</v>
          </cell>
        </row>
        <row r="1861">
          <cell r="AR1861" t="str">
            <v>x</v>
          </cell>
        </row>
        <row r="1862">
          <cell r="AR1862" t="str">
            <v>x</v>
          </cell>
        </row>
        <row r="1863">
          <cell r="AR1863" t="str">
            <v>x</v>
          </cell>
        </row>
        <row r="1864">
          <cell r="AR1864" t="str">
            <v>x</v>
          </cell>
        </row>
        <row r="1865">
          <cell r="AR1865" t="str">
            <v>x</v>
          </cell>
        </row>
        <row r="1866">
          <cell r="AR1866" t="str">
            <v>x</v>
          </cell>
        </row>
        <row r="1867">
          <cell r="AR1867" t="str">
            <v>x</v>
          </cell>
        </row>
        <row r="1868">
          <cell r="AR1868" t="str">
            <v>x</v>
          </cell>
        </row>
        <row r="1869">
          <cell r="AR1869" t="str">
            <v>x</v>
          </cell>
        </row>
        <row r="1870">
          <cell r="AR1870" t="str">
            <v>x</v>
          </cell>
        </row>
        <row r="1871">
          <cell r="AR1871" t="str">
            <v>x</v>
          </cell>
        </row>
        <row r="1872">
          <cell r="AR1872" t="str">
            <v>x</v>
          </cell>
        </row>
        <row r="1873">
          <cell r="AR1873" t="str">
            <v>x</v>
          </cell>
        </row>
        <row r="1874">
          <cell r="AR1874" t="str">
            <v>x</v>
          </cell>
        </row>
        <row r="1875">
          <cell r="AR1875" t="str">
            <v>x</v>
          </cell>
        </row>
        <row r="1876">
          <cell r="AR1876" t="str">
            <v>x</v>
          </cell>
        </row>
        <row r="1877">
          <cell r="AR1877" t="str">
            <v>x</v>
          </cell>
        </row>
        <row r="1878">
          <cell r="AR1878" t="str">
            <v>x</v>
          </cell>
        </row>
        <row r="1879">
          <cell r="AR1879" t="str">
            <v>x</v>
          </cell>
        </row>
        <row r="1880">
          <cell r="AR1880" t="str">
            <v>x</v>
          </cell>
        </row>
        <row r="1881">
          <cell r="AR1881" t="str">
            <v>x</v>
          </cell>
        </row>
        <row r="1882">
          <cell r="AR1882" t="str">
            <v>x</v>
          </cell>
        </row>
        <row r="1883">
          <cell r="AR1883" t="str">
            <v>x</v>
          </cell>
        </row>
        <row r="1884">
          <cell r="AR1884" t="str">
            <v>x</v>
          </cell>
        </row>
        <row r="1885">
          <cell r="AR1885" t="str">
            <v>x</v>
          </cell>
        </row>
        <row r="1886">
          <cell r="AR1886" t="str">
            <v>x</v>
          </cell>
        </row>
        <row r="1887">
          <cell r="AR1887" t="str">
            <v>x</v>
          </cell>
        </row>
        <row r="1888">
          <cell r="AR1888" t="str">
            <v>x</v>
          </cell>
        </row>
        <row r="1889">
          <cell r="AR1889" t="str">
            <v>x</v>
          </cell>
        </row>
        <row r="1890">
          <cell r="AR1890" t="str">
            <v>x</v>
          </cell>
        </row>
        <row r="1891">
          <cell r="AR1891" t="str">
            <v>x</v>
          </cell>
        </row>
        <row r="1892">
          <cell r="AR1892" t="str">
            <v>x</v>
          </cell>
        </row>
        <row r="1893">
          <cell r="AR1893" t="str">
            <v>x</v>
          </cell>
        </row>
        <row r="1894">
          <cell r="AR1894" t="str">
            <v>x</v>
          </cell>
        </row>
        <row r="1895">
          <cell r="AR1895" t="str">
            <v>x</v>
          </cell>
        </row>
        <row r="1896">
          <cell r="AR1896" t="str">
            <v>x</v>
          </cell>
        </row>
        <row r="1897">
          <cell r="AR1897" t="str">
            <v>x</v>
          </cell>
        </row>
        <row r="1898">
          <cell r="AR1898" t="str">
            <v>x</v>
          </cell>
        </row>
        <row r="1899">
          <cell r="AR1899" t="str">
            <v>x</v>
          </cell>
        </row>
        <row r="1900">
          <cell r="AR1900" t="str">
            <v>x</v>
          </cell>
        </row>
        <row r="1901">
          <cell r="AR1901" t="str">
            <v>x</v>
          </cell>
        </row>
        <row r="1902">
          <cell r="AR1902" t="str">
            <v>x</v>
          </cell>
        </row>
        <row r="1903">
          <cell r="AR1903" t="str">
            <v>x</v>
          </cell>
        </row>
        <row r="1904">
          <cell r="AR1904" t="str">
            <v>x</v>
          </cell>
        </row>
        <row r="1905">
          <cell r="AR1905" t="str">
            <v>x</v>
          </cell>
        </row>
        <row r="1906">
          <cell r="AR1906" t="str">
            <v>x</v>
          </cell>
        </row>
        <row r="1907">
          <cell r="AR1907" t="str">
            <v>x</v>
          </cell>
        </row>
        <row r="1908">
          <cell r="AR1908" t="str">
            <v>x</v>
          </cell>
        </row>
        <row r="1909">
          <cell r="AR1909" t="str">
            <v>x</v>
          </cell>
        </row>
        <row r="1910">
          <cell r="AR1910" t="str">
            <v>x</v>
          </cell>
        </row>
        <row r="1911">
          <cell r="AR1911" t="str">
            <v>x</v>
          </cell>
        </row>
        <row r="1912">
          <cell r="AR1912" t="str">
            <v>x</v>
          </cell>
        </row>
        <row r="1913">
          <cell r="AR1913" t="str">
            <v>x</v>
          </cell>
        </row>
        <row r="1914">
          <cell r="AR1914" t="str">
            <v>x</v>
          </cell>
        </row>
        <row r="1915">
          <cell r="AR1915" t="str">
            <v>x</v>
          </cell>
        </row>
        <row r="1916">
          <cell r="AR1916" t="str">
            <v>x</v>
          </cell>
        </row>
        <row r="1917">
          <cell r="AR1917" t="str">
            <v>x</v>
          </cell>
        </row>
        <row r="1918">
          <cell r="AR1918" t="str">
            <v>x</v>
          </cell>
        </row>
        <row r="1919">
          <cell r="AR1919" t="str">
            <v>x</v>
          </cell>
        </row>
        <row r="1920">
          <cell r="AR1920" t="str">
            <v>x</v>
          </cell>
        </row>
        <row r="1921">
          <cell r="AR1921" t="str">
            <v>x</v>
          </cell>
        </row>
        <row r="1922">
          <cell r="AR1922" t="str">
            <v>x</v>
          </cell>
        </row>
        <row r="1923">
          <cell r="AR1923" t="str">
            <v>x</v>
          </cell>
        </row>
        <row r="1924">
          <cell r="AR1924" t="str">
            <v>x</v>
          </cell>
        </row>
        <row r="1925">
          <cell r="AR1925" t="str">
            <v>x</v>
          </cell>
        </row>
        <row r="1926">
          <cell r="AR1926" t="str">
            <v>x</v>
          </cell>
        </row>
        <row r="1927">
          <cell r="AR1927" t="str">
            <v>x</v>
          </cell>
        </row>
        <row r="1928">
          <cell r="AR1928" t="str">
            <v>x</v>
          </cell>
        </row>
        <row r="1929">
          <cell r="AR1929" t="str">
            <v>x</v>
          </cell>
        </row>
        <row r="1930">
          <cell r="AR1930" t="str">
            <v>x</v>
          </cell>
        </row>
        <row r="1931">
          <cell r="AR1931" t="str">
            <v>x</v>
          </cell>
        </row>
        <row r="1932">
          <cell r="AR1932" t="str">
            <v>x</v>
          </cell>
        </row>
        <row r="1933">
          <cell r="AR1933" t="str">
            <v>x</v>
          </cell>
        </row>
        <row r="1934">
          <cell r="AR1934" t="str">
            <v>x</v>
          </cell>
        </row>
        <row r="1935">
          <cell r="AR1935" t="str">
            <v>x</v>
          </cell>
        </row>
        <row r="1936">
          <cell r="AR1936" t="str">
            <v>x</v>
          </cell>
        </row>
        <row r="1937">
          <cell r="AR1937" t="str">
            <v>x</v>
          </cell>
        </row>
        <row r="1938">
          <cell r="AR1938" t="str">
            <v>x</v>
          </cell>
        </row>
        <row r="1939">
          <cell r="AR1939" t="str">
            <v>x</v>
          </cell>
        </row>
        <row r="1940">
          <cell r="AR1940" t="str">
            <v>x</v>
          </cell>
        </row>
        <row r="1941">
          <cell r="AR1941" t="str">
            <v>x</v>
          </cell>
        </row>
        <row r="1942">
          <cell r="AR1942" t="str">
            <v>x</v>
          </cell>
        </row>
        <row r="1943">
          <cell r="AR1943" t="str">
            <v>x</v>
          </cell>
        </row>
        <row r="1944">
          <cell r="AR1944" t="str">
            <v>x</v>
          </cell>
        </row>
        <row r="1945">
          <cell r="AR1945" t="str">
            <v>x</v>
          </cell>
        </row>
        <row r="1946">
          <cell r="AR1946" t="str">
            <v>x</v>
          </cell>
        </row>
        <row r="1947">
          <cell r="AR1947" t="str">
            <v>x</v>
          </cell>
        </row>
        <row r="1948">
          <cell r="AR1948" t="str">
            <v>x</v>
          </cell>
        </row>
        <row r="1949">
          <cell r="AR1949" t="str">
            <v>x</v>
          </cell>
        </row>
        <row r="1950">
          <cell r="AR1950" t="str">
            <v>x</v>
          </cell>
        </row>
        <row r="1951">
          <cell r="AR1951" t="str">
            <v>x</v>
          </cell>
        </row>
        <row r="1952">
          <cell r="AR1952" t="str">
            <v>x</v>
          </cell>
        </row>
        <row r="1953">
          <cell r="AR1953" t="str">
            <v>x</v>
          </cell>
        </row>
        <row r="1954">
          <cell r="AR1954" t="str">
            <v>x</v>
          </cell>
        </row>
        <row r="1955">
          <cell r="AR1955" t="str">
            <v>x</v>
          </cell>
        </row>
        <row r="1956">
          <cell r="AR1956" t="str">
            <v>x</v>
          </cell>
        </row>
        <row r="1957">
          <cell r="AR1957" t="str">
            <v>x</v>
          </cell>
        </row>
        <row r="1958">
          <cell r="AR1958" t="str">
            <v>x</v>
          </cell>
        </row>
        <row r="1959">
          <cell r="AR1959" t="str">
            <v>x</v>
          </cell>
        </row>
        <row r="1960">
          <cell r="AR1960" t="str">
            <v>x</v>
          </cell>
        </row>
        <row r="1961">
          <cell r="AR1961" t="str">
            <v>x</v>
          </cell>
        </row>
        <row r="1962">
          <cell r="AR1962" t="str">
            <v>x</v>
          </cell>
        </row>
        <row r="1963">
          <cell r="AR1963" t="str">
            <v>x</v>
          </cell>
        </row>
        <row r="1964">
          <cell r="AR1964" t="str">
            <v>x</v>
          </cell>
        </row>
        <row r="1965">
          <cell r="AR1965" t="str">
            <v>x</v>
          </cell>
        </row>
        <row r="1966">
          <cell r="AR1966" t="str">
            <v>x</v>
          </cell>
        </row>
        <row r="1967">
          <cell r="AR1967" t="str">
            <v>x</v>
          </cell>
        </row>
        <row r="1968">
          <cell r="AR1968" t="str">
            <v>x</v>
          </cell>
        </row>
        <row r="1969">
          <cell r="AR1969" t="str">
            <v>x</v>
          </cell>
        </row>
        <row r="1970">
          <cell r="AR1970" t="str">
            <v>x</v>
          </cell>
        </row>
        <row r="1971">
          <cell r="AR1971" t="str">
            <v>x</v>
          </cell>
        </row>
        <row r="1972">
          <cell r="AR1972" t="str">
            <v>x</v>
          </cell>
        </row>
        <row r="1973">
          <cell r="AR1973" t="str">
            <v>x</v>
          </cell>
        </row>
        <row r="1974">
          <cell r="AR1974" t="str">
            <v>x</v>
          </cell>
        </row>
        <row r="1975">
          <cell r="AR1975" t="str">
            <v>x</v>
          </cell>
        </row>
        <row r="1976">
          <cell r="AR1976" t="str">
            <v>x</v>
          </cell>
        </row>
        <row r="1977">
          <cell r="AR1977" t="str">
            <v>x</v>
          </cell>
        </row>
        <row r="1978">
          <cell r="AR1978" t="str">
            <v>x</v>
          </cell>
        </row>
        <row r="1979">
          <cell r="AR1979" t="str">
            <v>x</v>
          </cell>
        </row>
        <row r="1980">
          <cell r="AR1980" t="str">
            <v>x</v>
          </cell>
        </row>
        <row r="1981">
          <cell r="AR1981" t="str">
            <v>x</v>
          </cell>
        </row>
        <row r="1982">
          <cell r="AR1982" t="str">
            <v>x</v>
          </cell>
        </row>
        <row r="1983">
          <cell r="AR1983" t="str">
            <v>x</v>
          </cell>
        </row>
        <row r="1984">
          <cell r="AR1984" t="str">
            <v>x</v>
          </cell>
        </row>
        <row r="1985">
          <cell r="AR1985" t="str">
            <v>x</v>
          </cell>
        </row>
        <row r="1986">
          <cell r="AR1986" t="str">
            <v>x</v>
          </cell>
        </row>
        <row r="1987">
          <cell r="AR1987" t="str">
            <v>x</v>
          </cell>
        </row>
        <row r="1988">
          <cell r="AR1988" t="str">
            <v>x</v>
          </cell>
        </row>
        <row r="1989">
          <cell r="AR1989" t="str">
            <v>x</v>
          </cell>
        </row>
        <row r="1990">
          <cell r="AR1990" t="str">
            <v>x</v>
          </cell>
        </row>
        <row r="1991">
          <cell r="AR1991" t="str">
            <v>x</v>
          </cell>
        </row>
        <row r="1992">
          <cell r="AR1992" t="str">
            <v>x</v>
          </cell>
        </row>
        <row r="1993">
          <cell r="AR1993" t="str">
            <v>x</v>
          </cell>
        </row>
        <row r="1994">
          <cell r="AR1994" t="str">
            <v>x</v>
          </cell>
        </row>
        <row r="1995">
          <cell r="AR1995" t="str">
            <v>x</v>
          </cell>
        </row>
        <row r="1996">
          <cell r="AR1996" t="str">
            <v>x</v>
          </cell>
        </row>
        <row r="1997">
          <cell r="AR1997" t="str">
            <v>x</v>
          </cell>
        </row>
        <row r="1998">
          <cell r="AR1998" t="str">
            <v>x</v>
          </cell>
        </row>
        <row r="1999">
          <cell r="AR1999" t="str">
            <v>x</v>
          </cell>
        </row>
        <row r="2000">
          <cell r="AR2000" t="str">
            <v>x</v>
          </cell>
        </row>
        <row r="2001">
          <cell r="AR2001" t="str">
            <v>x</v>
          </cell>
        </row>
        <row r="2002">
          <cell r="AR2002" t="str">
            <v>x</v>
          </cell>
        </row>
        <row r="2003">
          <cell r="AR2003" t="str">
            <v>x</v>
          </cell>
        </row>
        <row r="2004">
          <cell r="AR2004" t="str">
            <v>x</v>
          </cell>
        </row>
        <row r="2005">
          <cell r="AR2005" t="str">
            <v>x</v>
          </cell>
        </row>
        <row r="2006">
          <cell r="AR2006" t="str">
            <v>x</v>
          </cell>
        </row>
        <row r="2007">
          <cell r="AR2007" t="str">
            <v>x</v>
          </cell>
        </row>
        <row r="2008">
          <cell r="AR2008" t="str">
            <v>x</v>
          </cell>
        </row>
        <row r="2009">
          <cell r="AR2009" t="str">
            <v>x</v>
          </cell>
        </row>
        <row r="2010">
          <cell r="AR2010" t="str">
            <v>x</v>
          </cell>
        </row>
        <row r="2011">
          <cell r="AR2011" t="str">
            <v>x</v>
          </cell>
        </row>
        <row r="2012">
          <cell r="AR2012" t="str">
            <v>x</v>
          </cell>
        </row>
        <row r="2013">
          <cell r="AR2013" t="str">
            <v>x</v>
          </cell>
        </row>
        <row r="2014">
          <cell r="AR2014" t="str">
            <v>x</v>
          </cell>
        </row>
        <row r="2015">
          <cell r="AR2015" t="str">
            <v>x</v>
          </cell>
        </row>
        <row r="2016">
          <cell r="AR2016" t="str">
            <v>x</v>
          </cell>
        </row>
        <row r="2017">
          <cell r="AR2017" t="str">
            <v>x</v>
          </cell>
        </row>
        <row r="2018">
          <cell r="AR2018" t="str">
            <v>x</v>
          </cell>
        </row>
        <row r="2019">
          <cell r="AR2019" t="str">
            <v>x</v>
          </cell>
        </row>
        <row r="2020">
          <cell r="AR2020" t="str">
            <v>x</v>
          </cell>
        </row>
        <row r="2021">
          <cell r="AR2021" t="str">
            <v>x</v>
          </cell>
        </row>
        <row r="2022">
          <cell r="AR2022" t="str">
            <v>x</v>
          </cell>
        </row>
        <row r="2023">
          <cell r="AR2023" t="str">
            <v>x</v>
          </cell>
        </row>
        <row r="2024">
          <cell r="AR2024" t="str">
            <v>x</v>
          </cell>
        </row>
        <row r="2025">
          <cell r="AR2025" t="str">
            <v>x</v>
          </cell>
        </row>
        <row r="2026">
          <cell r="AR2026" t="str">
            <v>x</v>
          </cell>
        </row>
        <row r="2027">
          <cell r="AR2027" t="str">
            <v>x</v>
          </cell>
        </row>
        <row r="2028">
          <cell r="AR2028" t="str">
            <v>x</v>
          </cell>
        </row>
        <row r="2029">
          <cell r="AR2029" t="str">
            <v>x</v>
          </cell>
        </row>
        <row r="2030">
          <cell r="AR2030" t="str">
            <v>x</v>
          </cell>
        </row>
        <row r="2031">
          <cell r="AR2031" t="str">
            <v>x</v>
          </cell>
        </row>
        <row r="2032">
          <cell r="AR2032" t="str">
            <v>x</v>
          </cell>
        </row>
        <row r="2033">
          <cell r="AR2033" t="str">
            <v>x</v>
          </cell>
        </row>
        <row r="2034">
          <cell r="AR2034" t="str">
            <v>x</v>
          </cell>
        </row>
        <row r="2035">
          <cell r="AR2035" t="str">
            <v>x</v>
          </cell>
        </row>
        <row r="2036">
          <cell r="AR2036" t="str">
            <v>x</v>
          </cell>
        </row>
        <row r="2037">
          <cell r="AR2037" t="str">
            <v>x</v>
          </cell>
        </row>
        <row r="2038">
          <cell r="AR2038" t="str">
            <v>x</v>
          </cell>
        </row>
        <row r="2039">
          <cell r="AR2039" t="str">
            <v>x</v>
          </cell>
        </row>
        <row r="2040">
          <cell r="AR2040" t="str">
            <v>x</v>
          </cell>
        </row>
        <row r="2041">
          <cell r="AR2041" t="str">
            <v>x</v>
          </cell>
        </row>
        <row r="2042">
          <cell r="AR2042" t="str">
            <v>x</v>
          </cell>
        </row>
        <row r="2043">
          <cell r="AR2043" t="str">
            <v>x</v>
          </cell>
        </row>
        <row r="2044">
          <cell r="AR2044" t="str">
            <v>x</v>
          </cell>
        </row>
        <row r="2045">
          <cell r="AR2045" t="str">
            <v>x</v>
          </cell>
        </row>
        <row r="2046">
          <cell r="AR2046" t="str">
            <v>x</v>
          </cell>
        </row>
        <row r="2047">
          <cell r="AR2047" t="str">
            <v>x</v>
          </cell>
        </row>
        <row r="2048">
          <cell r="AR2048" t="str">
            <v>x</v>
          </cell>
        </row>
        <row r="2049">
          <cell r="AR2049" t="str">
            <v>x</v>
          </cell>
        </row>
        <row r="2050">
          <cell r="AR2050" t="str">
            <v>x</v>
          </cell>
        </row>
        <row r="2051">
          <cell r="AR2051" t="str">
            <v>x</v>
          </cell>
        </row>
        <row r="2052">
          <cell r="AR2052" t="str">
            <v>x</v>
          </cell>
        </row>
        <row r="2053">
          <cell r="AR2053" t="str">
            <v>x</v>
          </cell>
        </row>
        <row r="2054">
          <cell r="AR2054" t="str">
            <v>x</v>
          </cell>
        </row>
        <row r="2055">
          <cell r="AR2055" t="str">
            <v>x</v>
          </cell>
        </row>
        <row r="2056">
          <cell r="AR2056" t="str">
            <v>x</v>
          </cell>
        </row>
        <row r="2057">
          <cell r="AR2057" t="str">
            <v>x</v>
          </cell>
        </row>
        <row r="2058">
          <cell r="AR2058" t="str">
            <v>x</v>
          </cell>
        </row>
        <row r="2059">
          <cell r="AR2059" t="str">
            <v>x</v>
          </cell>
        </row>
        <row r="2060">
          <cell r="AR2060" t="str">
            <v>x</v>
          </cell>
        </row>
        <row r="2061">
          <cell r="AR2061" t="str">
            <v>x</v>
          </cell>
        </row>
        <row r="2062">
          <cell r="AR2062" t="str">
            <v>x</v>
          </cell>
        </row>
        <row r="2063">
          <cell r="AR2063" t="str">
            <v>x</v>
          </cell>
        </row>
        <row r="2064">
          <cell r="AR2064" t="str">
            <v>x</v>
          </cell>
        </row>
        <row r="2065">
          <cell r="AR2065" t="str">
            <v>x</v>
          </cell>
        </row>
        <row r="2066">
          <cell r="AR2066" t="str">
            <v>x</v>
          </cell>
        </row>
        <row r="2067">
          <cell r="AR2067" t="str">
            <v>x</v>
          </cell>
        </row>
        <row r="2068">
          <cell r="AR2068" t="str">
            <v>x</v>
          </cell>
        </row>
        <row r="2069">
          <cell r="AR2069" t="str">
            <v>x</v>
          </cell>
        </row>
        <row r="2070">
          <cell r="AR2070" t="str">
            <v>x</v>
          </cell>
        </row>
        <row r="2071">
          <cell r="AR2071" t="str">
            <v>x</v>
          </cell>
        </row>
        <row r="2072">
          <cell r="AR2072" t="str">
            <v>x</v>
          </cell>
        </row>
        <row r="2073">
          <cell r="AR2073" t="str">
            <v>x</v>
          </cell>
        </row>
        <row r="2074">
          <cell r="AR2074" t="str">
            <v>x</v>
          </cell>
        </row>
        <row r="2075">
          <cell r="AR2075" t="str">
            <v>x</v>
          </cell>
        </row>
        <row r="2076">
          <cell r="AR2076" t="str">
            <v>x</v>
          </cell>
        </row>
        <row r="2077">
          <cell r="AR2077" t="str">
            <v>x</v>
          </cell>
        </row>
        <row r="2078">
          <cell r="AR2078" t="str">
            <v>x</v>
          </cell>
        </row>
        <row r="2079">
          <cell r="AR2079" t="str">
            <v>x</v>
          </cell>
        </row>
        <row r="2080">
          <cell r="AR2080" t="str">
            <v>x</v>
          </cell>
        </row>
        <row r="2081">
          <cell r="AR2081" t="str">
            <v>x</v>
          </cell>
        </row>
        <row r="2082">
          <cell r="AR2082" t="str">
            <v>x</v>
          </cell>
        </row>
        <row r="2083">
          <cell r="AR2083" t="str">
            <v>x</v>
          </cell>
        </row>
        <row r="2084">
          <cell r="AR2084" t="str">
            <v>x</v>
          </cell>
        </row>
        <row r="2085">
          <cell r="AR2085" t="str">
            <v>x</v>
          </cell>
        </row>
        <row r="2086">
          <cell r="AR2086" t="str">
            <v>x</v>
          </cell>
        </row>
        <row r="2087">
          <cell r="AR2087" t="str">
            <v>x</v>
          </cell>
        </row>
        <row r="2088">
          <cell r="AR2088" t="str">
            <v>x</v>
          </cell>
        </row>
        <row r="2089">
          <cell r="AR2089" t="str">
            <v>x</v>
          </cell>
        </row>
        <row r="2090">
          <cell r="AR2090" t="str">
            <v>x</v>
          </cell>
        </row>
        <row r="2091">
          <cell r="AR2091" t="str">
            <v>x</v>
          </cell>
        </row>
        <row r="2092">
          <cell r="AR2092" t="str">
            <v>x</v>
          </cell>
        </row>
        <row r="2093">
          <cell r="AR2093" t="str">
            <v>x</v>
          </cell>
        </row>
        <row r="2094">
          <cell r="AR2094" t="str">
            <v>x</v>
          </cell>
        </row>
        <row r="2095">
          <cell r="AR2095" t="str">
            <v>x</v>
          </cell>
        </row>
        <row r="2096">
          <cell r="AR2096" t="str">
            <v>x</v>
          </cell>
        </row>
        <row r="2097">
          <cell r="AR2097" t="str">
            <v>x</v>
          </cell>
        </row>
        <row r="2098">
          <cell r="AR2098" t="str">
            <v>x</v>
          </cell>
        </row>
        <row r="2099">
          <cell r="AR2099" t="str">
            <v>x</v>
          </cell>
        </row>
        <row r="2100">
          <cell r="AR2100" t="str">
            <v>x</v>
          </cell>
        </row>
        <row r="2101">
          <cell r="AR2101" t="str">
            <v>x</v>
          </cell>
        </row>
        <row r="2102">
          <cell r="AR2102" t="str">
            <v>x</v>
          </cell>
        </row>
        <row r="2103">
          <cell r="AR2103" t="str">
            <v>x</v>
          </cell>
        </row>
        <row r="2104">
          <cell r="AR2104" t="str">
            <v>x</v>
          </cell>
        </row>
        <row r="2105">
          <cell r="AR2105" t="str">
            <v>x</v>
          </cell>
        </row>
        <row r="2106">
          <cell r="AR2106" t="str">
            <v>x</v>
          </cell>
        </row>
        <row r="2107">
          <cell r="AR2107" t="str">
            <v>x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idgame_type</v>
          </cell>
          <cell r="B1" t="str">
            <v>Sala</v>
          </cell>
          <cell r="C1" t="str">
            <v>Monday</v>
          </cell>
          <cell r="D1" t="str">
            <v>game_name</v>
          </cell>
          <cell r="E1" t="str">
            <v>days</v>
          </cell>
          <cell r="F1" t="str">
            <v>cash_in</v>
          </cell>
          <cell r="G1" t="str">
            <v>cash_out</v>
          </cell>
          <cell r="H1" t="str">
            <v>coinin</v>
          </cell>
          <cell r="I1" t="str">
            <v>seconds</v>
          </cell>
        </row>
        <row r="2">
          <cell r="A2">
            <v>2</v>
          </cell>
        </row>
        <row r="3">
          <cell r="A3">
            <v>2</v>
          </cell>
        </row>
        <row r="4">
          <cell r="A4">
            <v>2</v>
          </cell>
        </row>
        <row r="5">
          <cell r="A5">
            <v>2</v>
          </cell>
        </row>
        <row r="6">
          <cell r="A6">
            <v>2</v>
          </cell>
        </row>
        <row r="7">
          <cell r="A7">
            <v>2</v>
          </cell>
        </row>
        <row r="8">
          <cell r="A8">
            <v>2</v>
          </cell>
        </row>
        <row r="9">
          <cell r="A9">
            <v>2</v>
          </cell>
        </row>
        <row r="10">
          <cell r="A10">
            <v>2</v>
          </cell>
        </row>
        <row r="11">
          <cell r="A11">
            <v>2</v>
          </cell>
        </row>
        <row r="12">
          <cell r="A12">
            <v>2</v>
          </cell>
        </row>
        <row r="13">
          <cell r="A13">
            <v>2</v>
          </cell>
        </row>
        <row r="14">
          <cell r="A14">
            <v>2</v>
          </cell>
        </row>
        <row r="15">
          <cell r="A15">
            <v>2</v>
          </cell>
        </row>
        <row r="16">
          <cell r="A16">
            <v>2</v>
          </cell>
        </row>
        <row r="17">
          <cell r="A17">
            <v>2</v>
          </cell>
        </row>
        <row r="18">
          <cell r="A18">
            <v>2</v>
          </cell>
        </row>
        <row r="19">
          <cell r="A19">
            <v>2</v>
          </cell>
        </row>
        <row r="20">
          <cell r="A20">
            <v>2</v>
          </cell>
        </row>
        <row r="21">
          <cell r="A21">
            <v>2</v>
          </cell>
        </row>
        <row r="22">
          <cell r="A22">
            <v>2</v>
          </cell>
        </row>
        <row r="23">
          <cell r="A23">
            <v>2</v>
          </cell>
        </row>
        <row r="24">
          <cell r="A24">
            <v>2</v>
          </cell>
        </row>
        <row r="25">
          <cell r="A25">
            <v>2</v>
          </cell>
        </row>
        <row r="26">
          <cell r="A26">
            <v>2</v>
          </cell>
        </row>
        <row r="27">
          <cell r="A27">
            <v>2</v>
          </cell>
        </row>
        <row r="28">
          <cell r="A28">
            <v>2</v>
          </cell>
        </row>
        <row r="29">
          <cell r="A29">
            <v>2</v>
          </cell>
        </row>
        <row r="30">
          <cell r="A30">
            <v>2</v>
          </cell>
        </row>
        <row r="31">
          <cell r="A31">
            <v>2</v>
          </cell>
        </row>
        <row r="32">
          <cell r="A32">
            <v>2</v>
          </cell>
        </row>
        <row r="33">
          <cell r="A33">
            <v>2</v>
          </cell>
        </row>
        <row r="34">
          <cell r="A34">
            <v>2</v>
          </cell>
        </row>
        <row r="35">
          <cell r="A35">
            <v>2</v>
          </cell>
        </row>
        <row r="36">
          <cell r="A36">
            <v>2</v>
          </cell>
        </row>
        <row r="37">
          <cell r="A37">
            <v>2</v>
          </cell>
        </row>
        <row r="38">
          <cell r="A38">
            <v>2</v>
          </cell>
        </row>
        <row r="39">
          <cell r="A39">
            <v>2</v>
          </cell>
        </row>
        <row r="40">
          <cell r="A40">
            <v>2</v>
          </cell>
        </row>
        <row r="41">
          <cell r="A41">
            <v>2</v>
          </cell>
        </row>
        <row r="42">
          <cell r="A42">
            <v>2</v>
          </cell>
        </row>
        <row r="43">
          <cell r="A43">
            <v>2</v>
          </cell>
        </row>
        <row r="44">
          <cell r="A44">
            <v>2</v>
          </cell>
        </row>
        <row r="45">
          <cell r="A45">
            <v>2</v>
          </cell>
        </row>
        <row r="46">
          <cell r="A46">
            <v>2</v>
          </cell>
        </row>
        <row r="47">
          <cell r="A47">
            <v>2</v>
          </cell>
        </row>
        <row r="48">
          <cell r="A48">
            <v>2</v>
          </cell>
        </row>
        <row r="49">
          <cell r="A49">
            <v>2</v>
          </cell>
        </row>
        <row r="50">
          <cell r="A50">
            <v>2</v>
          </cell>
        </row>
        <row r="51">
          <cell r="A51">
            <v>2</v>
          </cell>
        </row>
        <row r="52">
          <cell r="A52">
            <v>2</v>
          </cell>
        </row>
        <row r="53">
          <cell r="A53">
            <v>2</v>
          </cell>
        </row>
        <row r="54">
          <cell r="A54">
            <v>2</v>
          </cell>
        </row>
        <row r="55">
          <cell r="A55">
            <v>2</v>
          </cell>
        </row>
        <row r="56">
          <cell r="A56">
            <v>2</v>
          </cell>
        </row>
        <row r="57">
          <cell r="A57">
            <v>2</v>
          </cell>
        </row>
        <row r="58">
          <cell r="A58">
            <v>2</v>
          </cell>
        </row>
        <row r="59">
          <cell r="A59">
            <v>2</v>
          </cell>
        </row>
        <row r="60">
          <cell r="A60">
            <v>2</v>
          </cell>
        </row>
        <row r="61">
          <cell r="A61">
            <v>2</v>
          </cell>
        </row>
        <row r="62">
          <cell r="A62">
            <v>2</v>
          </cell>
        </row>
        <row r="63">
          <cell r="A63">
            <v>2</v>
          </cell>
        </row>
        <row r="64">
          <cell r="A64">
            <v>2</v>
          </cell>
        </row>
        <row r="65">
          <cell r="A65">
            <v>2</v>
          </cell>
        </row>
        <row r="66">
          <cell r="A66">
            <v>2</v>
          </cell>
        </row>
        <row r="67">
          <cell r="A67">
            <v>2</v>
          </cell>
        </row>
        <row r="68">
          <cell r="A68">
            <v>2</v>
          </cell>
        </row>
        <row r="69">
          <cell r="A69">
            <v>2</v>
          </cell>
        </row>
        <row r="70">
          <cell r="A70">
            <v>2</v>
          </cell>
        </row>
        <row r="71">
          <cell r="A71">
            <v>2</v>
          </cell>
        </row>
        <row r="72">
          <cell r="A72">
            <v>2</v>
          </cell>
        </row>
        <row r="73">
          <cell r="A73">
            <v>2</v>
          </cell>
        </row>
        <row r="74">
          <cell r="A74">
            <v>2</v>
          </cell>
        </row>
        <row r="75">
          <cell r="A75">
            <v>2</v>
          </cell>
        </row>
        <row r="76">
          <cell r="A76">
            <v>2</v>
          </cell>
        </row>
        <row r="77">
          <cell r="A77">
            <v>2</v>
          </cell>
        </row>
        <row r="78">
          <cell r="A78">
            <v>2</v>
          </cell>
        </row>
        <row r="79">
          <cell r="A79">
            <v>2</v>
          </cell>
        </row>
        <row r="80">
          <cell r="A80">
            <v>2</v>
          </cell>
        </row>
        <row r="81">
          <cell r="A81">
            <v>2</v>
          </cell>
        </row>
        <row r="82">
          <cell r="A82">
            <v>2</v>
          </cell>
        </row>
        <row r="83">
          <cell r="A83">
            <v>2</v>
          </cell>
        </row>
        <row r="84">
          <cell r="A84">
            <v>2</v>
          </cell>
        </row>
        <row r="85">
          <cell r="A85">
            <v>2</v>
          </cell>
        </row>
        <row r="86">
          <cell r="A86">
            <v>2</v>
          </cell>
        </row>
        <row r="87">
          <cell r="A87">
            <v>2</v>
          </cell>
        </row>
        <row r="88">
          <cell r="A88">
            <v>2</v>
          </cell>
        </row>
        <row r="89">
          <cell r="A89">
            <v>2</v>
          </cell>
        </row>
        <row r="90">
          <cell r="A90">
            <v>2</v>
          </cell>
        </row>
        <row r="91">
          <cell r="A91">
            <v>2</v>
          </cell>
        </row>
        <row r="92">
          <cell r="A92">
            <v>2</v>
          </cell>
        </row>
        <row r="93">
          <cell r="A93">
            <v>2</v>
          </cell>
        </row>
        <row r="94">
          <cell r="A94">
            <v>2</v>
          </cell>
        </row>
        <row r="95">
          <cell r="A95">
            <v>2</v>
          </cell>
        </row>
        <row r="96">
          <cell r="A96">
            <v>2</v>
          </cell>
        </row>
        <row r="97">
          <cell r="A97">
            <v>2</v>
          </cell>
        </row>
        <row r="98">
          <cell r="A98">
            <v>2</v>
          </cell>
        </row>
        <row r="99">
          <cell r="A99">
            <v>2</v>
          </cell>
        </row>
        <row r="100">
          <cell r="A100">
            <v>2</v>
          </cell>
        </row>
        <row r="101">
          <cell r="A101">
            <v>2</v>
          </cell>
        </row>
        <row r="102">
          <cell r="A102">
            <v>2</v>
          </cell>
        </row>
        <row r="103">
          <cell r="A103">
            <v>2</v>
          </cell>
        </row>
        <row r="104">
          <cell r="A104">
            <v>2</v>
          </cell>
        </row>
        <row r="105">
          <cell r="A105">
            <v>2</v>
          </cell>
        </row>
        <row r="106">
          <cell r="A106">
            <v>2</v>
          </cell>
        </row>
        <row r="107">
          <cell r="A107">
            <v>2</v>
          </cell>
        </row>
        <row r="108">
          <cell r="A108">
            <v>2</v>
          </cell>
        </row>
        <row r="109">
          <cell r="A109">
            <v>2</v>
          </cell>
        </row>
        <row r="110">
          <cell r="A110">
            <v>2</v>
          </cell>
        </row>
        <row r="111">
          <cell r="A111">
            <v>2</v>
          </cell>
        </row>
        <row r="112">
          <cell r="A112">
            <v>2</v>
          </cell>
        </row>
        <row r="113">
          <cell r="A113">
            <v>2</v>
          </cell>
        </row>
        <row r="114">
          <cell r="A114">
            <v>2</v>
          </cell>
        </row>
        <row r="115">
          <cell r="A115">
            <v>2</v>
          </cell>
        </row>
        <row r="116">
          <cell r="A116">
            <v>2</v>
          </cell>
        </row>
        <row r="117">
          <cell r="A117">
            <v>2</v>
          </cell>
        </row>
        <row r="118">
          <cell r="A118">
            <v>2</v>
          </cell>
        </row>
        <row r="119">
          <cell r="A119">
            <v>2</v>
          </cell>
        </row>
        <row r="120">
          <cell r="A120">
            <v>2</v>
          </cell>
        </row>
        <row r="121">
          <cell r="A121">
            <v>2</v>
          </cell>
        </row>
        <row r="122">
          <cell r="A122">
            <v>2</v>
          </cell>
        </row>
        <row r="123">
          <cell r="A123">
            <v>2</v>
          </cell>
        </row>
        <row r="124">
          <cell r="A124">
            <v>2</v>
          </cell>
        </row>
        <row r="125">
          <cell r="A125">
            <v>2</v>
          </cell>
        </row>
        <row r="126">
          <cell r="A126">
            <v>2</v>
          </cell>
        </row>
        <row r="127">
          <cell r="A127">
            <v>2</v>
          </cell>
        </row>
        <row r="128">
          <cell r="A128">
            <v>2</v>
          </cell>
        </row>
        <row r="129">
          <cell r="A129">
            <v>2</v>
          </cell>
        </row>
        <row r="130">
          <cell r="A130">
            <v>2</v>
          </cell>
        </row>
        <row r="131">
          <cell r="A131">
            <v>2</v>
          </cell>
        </row>
        <row r="132">
          <cell r="A132">
            <v>2</v>
          </cell>
        </row>
        <row r="133">
          <cell r="A133">
            <v>2</v>
          </cell>
        </row>
        <row r="134">
          <cell r="A134">
            <v>2</v>
          </cell>
        </row>
        <row r="135">
          <cell r="A135">
            <v>2</v>
          </cell>
        </row>
        <row r="136">
          <cell r="A136">
            <v>2</v>
          </cell>
        </row>
        <row r="137">
          <cell r="A137">
            <v>2</v>
          </cell>
        </row>
        <row r="138">
          <cell r="A138">
            <v>2</v>
          </cell>
        </row>
        <row r="139">
          <cell r="A139">
            <v>2</v>
          </cell>
        </row>
        <row r="140">
          <cell r="A140">
            <v>2</v>
          </cell>
        </row>
        <row r="141">
          <cell r="A141">
            <v>2</v>
          </cell>
        </row>
        <row r="142">
          <cell r="A142">
            <v>2</v>
          </cell>
        </row>
        <row r="143">
          <cell r="A143">
            <v>2</v>
          </cell>
        </row>
        <row r="144">
          <cell r="A144">
            <v>2</v>
          </cell>
        </row>
        <row r="145">
          <cell r="A145">
            <v>2</v>
          </cell>
        </row>
        <row r="146">
          <cell r="A146">
            <v>2</v>
          </cell>
        </row>
        <row r="147">
          <cell r="A147">
            <v>2</v>
          </cell>
        </row>
        <row r="148">
          <cell r="A148">
            <v>2</v>
          </cell>
        </row>
        <row r="149">
          <cell r="A149">
            <v>2</v>
          </cell>
        </row>
        <row r="150">
          <cell r="A150">
            <v>2</v>
          </cell>
        </row>
        <row r="151">
          <cell r="A151">
            <v>2</v>
          </cell>
        </row>
        <row r="152">
          <cell r="A152">
            <v>2</v>
          </cell>
        </row>
        <row r="153">
          <cell r="A153">
            <v>2</v>
          </cell>
        </row>
        <row r="154">
          <cell r="A154">
            <v>2</v>
          </cell>
        </row>
        <row r="155">
          <cell r="A155">
            <v>2</v>
          </cell>
        </row>
        <row r="156">
          <cell r="A156">
            <v>2</v>
          </cell>
        </row>
        <row r="157">
          <cell r="A157">
            <v>2</v>
          </cell>
        </row>
        <row r="158">
          <cell r="A158">
            <v>2</v>
          </cell>
        </row>
        <row r="159">
          <cell r="A159">
            <v>2</v>
          </cell>
        </row>
        <row r="160">
          <cell r="A160">
            <v>2</v>
          </cell>
        </row>
        <row r="161">
          <cell r="A161">
            <v>2</v>
          </cell>
        </row>
        <row r="162">
          <cell r="A162">
            <v>2</v>
          </cell>
        </row>
        <row r="163">
          <cell r="A163">
            <v>2</v>
          </cell>
        </row>
        <row r="164">
          <cell r="A164">
            <v>2</v>
          </cell>
        </row>
        <row r="165">
          <cell r="A165">
            <v>2</v>
          </cell>
        </row>
        <row r="166">
          <cell r="A166">
            <v>2</v>
          </cell>
        </row>
        <row r="167">
          <cell r="A167">
            <v>2</v>
          </cell>
        </row>
        <row r="168">
          <cell r="A168">
            <v>2</v>
          </cell>
        </row>
        <row r="169">
          <cell r="A169">
            <v>2</v>
          </cell>
        </row>
        <row r="170">
          <cell r="A170">
            <v>2</v>
          </cell>
        </row>
        <row r="171">
          <cell r="A171">
            <v>2</v>
          </cell>
        </row>
        <row r="172">
          <cell r="A172">
            <v>2</v>
          </cell>
        </row>
        <row r="173">
          <cell r="A173">
            <v>2</v>
          </cell>
        </row>
        <row r="174">
          <cell r="A174">
            <v>2</v>
          </cell>
        </row>
        <row r="175">
          <cell r="A175">
            <v>2</v>
          </cell>
        </row>
        <row r="176">
          <cell r="A176">
            <v>2</v>
          </cell>
        </row>
        <row r="177">
          <cell r="A177">
            <v>2</v>
          </cell>
        </row>
        <row r="178">
          <cell r="A178">
            <v>2</v>
          </cell>
        </row>
        <row r="179">
          <cell r="A179">
            <v>2</v>
          </cell>
        </row>
        <row r="180">
          <cell r="A180">
            <v>2</v>
          </cell>
        </row>
        <row r="181">
          <cell r="A181">
            <v>2</v>
          </cell>
        </row>
        <row r="182">
          <cell r="A182">
            <v>2</v>
          </cell>
        </row>
        <row r="183">
          <cell r="A183">
            <v>2</v>
          </cell>
        </row>
        <row r="184">
          <cell r="A184">
            <v>2</v>
          </cell>
        </row>
        <row r="185">
          <cell r="A185">
            <v>2</v>
          </cell>
        </row>
        <row r="186">
          <cell r="A186">
            <v>2</v>
          </cell>
        </row>
        <row r="187">
          <cell r="A187">
            <v>2</v>
          </cell>
        </row>
        <row r="188">
          <cell r="A188">
            <v>2</v>
          </cell>
        </row>
        <row r="189">
          <cell r="A189">
            <v>2</v>
          </cell>
        </row>
        <row r="190">
          <cell r="A190">
            <v>2</v>
          </cell>
        </row>
        <row r="191">
          <cell r="A191">
            <v>2</v>
          </cell>
        </row>
        <row r="192">
          <cell r="A192">
            <v>2</v>
          </cell>
        </row>
        <row r="193">
          <cell r="A193">
            <v>2</v>
          </cell>
        </row>
        <row r="194">
          <cell r="A194">
            <v>2</v>
          </cell>
        </row>
        <row r="195">
          <cell r="A195">
            <v>2</v>
          </cell>
        </row>
        <row r="196">
          <cell r="A196">
            <v>2</v>
          </cell>
        </row>
        <row r="197">
          <cell r="A197">
            <v>2</v>
          </cell>
        </row>
        <row r="198">
          <cell r="A198">
            <v>2</v>
          </cell>
        </row>
        <row r="199">
          <cell r="A199">
            <v>2</v>
          </cell>
        </row>
        <row r="200">
          <cell r="A200">
            <v>2</v>
          </cell>
        </row>
        <row r="201">
          <cell r="A201">
            <v>2</v>
          </cell>
        </row>
        <row r="202">
          <cell r="A202">
            <v>2</v>
          </cell>
        </row>
        <row r="203">
          <cell r="A203">
            <v>2</v>
          </cell>
        </row>
        <row r="204">
          <cell r="A204">
            <v>2</v>
          </cell>
        </row>
        <row r="205">
          <cell r="A205">
            <v>2</v>
          </cell>
        </row>
        <row r="206">
          <cell r="A206">
            <v>2</v>
          </cell>
        </row>
        <row r="207">
          <cell r="A207">
            <v>2</v>
          </cell>
        </row>
        <row r="208">
          <cell r="A208">
            <v>2</v>
          </cell>
        </row>
        <row r="209">
          <cell r="A209">
            <v>2</v>
          </cell>
        </row>
        <row r="210">
          <cell r="A210">
            <v>2</v>
          </cell>
        </row>
        <row r="211">
          <cell r="A211">
            <v>2</v>
          </cell>
        </row>
        <row r="212">
          <cell r="A212">
            <v>2</v>
          </cell>
        </row>
        <row r="213">
          <cell r="A213">
            <v>2</v>
          </cell>
        </row>
        <row r="214">
          <cell r="A214">
            <v>2</v>
          </cell>
        </row>
        <row r="215">
          <cell r="A215">
            <v>2</v>
          </cell>
        </row>
        <row r="216">
          <cell r="A216">
            <v>2</v>
          </cell>
        </row>
        <row r="217">
          <cell r="A217">
            <v>2</v>
          </cell>
        </row>
        <row r="218">
          <cell r="A218">
            <v>2</v>
          </cell>
        </row>
        <row r="219">
          <cell r="A219">
            <v>2</v>
          </cell>
        </row>
        <row r="220">
          <cell r="A220">
            <v>2</v>
          </cell>
        </row>
        <row r="221">
          <cell r="A221">
            <v>2</v>
          </cell>
        </row>
        <row r="222">
          <cell r="A222">
            <v>2</v>
          </cell>
        </row>
        <row r="223">
          <cell r="A223">
            <v>2</v>
          </cell>
        </row>
        <row r="224">
          <cell r="A224">
            <v>2</v>
          </cell>
        </row>
        <row r="225">
          <cell r="A225">
            <v>2</v>
          </cell>
        </row>
        <row r="226">
          <cell r="A226">
            <v>2</v>
          </cell>
        </row>
        <row r="227">
          <cell r="A227">
            <v>2</v>
          </cell>
        </row>
        <row r="228">
          <cell r="A228">
            <v>2</v>
          </cell>
        </row>
        <row r="229">
          <cell r="A229">
            <v>2</v>
          </cell>
        </row>
        <row r="230">
          <cell r="A230">
            <v>2</v>
          </cell>
        </row>
        <row r="231">
          <cell r="A231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GO62"/>
  <sheetViews>
    <sheetView zoomScale="40" zoomScaleNormal="40" workbookViewId="0">
      <selection activeCell="L38" sqref="L38"/>
    </sheetView>
  </sheetViews>
  <sheetFormatPr baseColWidth="10" defaultColWidth="16" defaultRowHeight="12.75" x14ac:dyDescent="0.25"/>
  <cols>
    <col min="1" max="16384" width="16" style="4"/>
  </cols>
  <sheetData>
    <row r="1" spans="1:197" ht="34.5" thickBot="1" x14ac:dyDescent="0.3">
      <c r="A1" s="684" t="s">
        <v>162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5"/>
      <c r="AG1" s="685"/>
      <c r="AH1" s="685"/>
      <c r="AI1" s="685"/>
      <c r="AJ1" s="685"/>
      <c r="AK1" s="685"/>
      <c r="AL1" s="685"/>
      <c r="AM1" s="685"/>
      <c r="AN1" s="685"/>
      <c r="AO1" s="685"/>
      <c r="AP1" s="685"/>
      <c r="AQ1" s="685"/>
      <c r="AR1" s="685"/>
      <c r="AS1" s="685"/>
      <c r="AT1" s="685"/>
      <c r="AU1" s="685"/>
      <c r="AV1" s="685"/>
      <c r="AW1" s="685"/>
      <c r="AX1" s="685"/>
      <c r="AY1" s="685"/>
      <c r="AZ1" s="685"/>
      <c r="BA1" s="685"/>
      <c r="BB1" s="685"/>
      <c r="BC1" s="685"/>
      <c r="BD1" s="685"/>
      <c r="BE1" s="685"/>
      <c r="BF1" s="685"/>
      <c r="BG1" s="685"/>
      <c r="BH1" s="685"/>
      <c r="BI1" s="685"/>
      <c r="BJ1" s="685"/>
      <c r="BK1" s="685"/>
      <c r="BL1" s="685"/>
      <c r="BM1" s="685"/>
      <c r="BN1" s="685"/>
      <c r="BO1" s="685"/>
      <c r="BP1" s="685"/>
      <c r="BQ1" s="685"/>
      <c r="BR1" s="685"/>
      <c r="BS1" s="685"/>
      <c r="BT1" s="685"/>
      <c r="BU1" s="685"/>
      <c r="BV1" s="685"/>
      <c r="BW1" s="685"/>
      <c r="BX1" s="685"/>
      <c r="BY1" s="685"/>
      <c r="BZ1" s="685"/>
      <c r="CA1" s="685"/>
      <c r="CB1" s="685"/>
      <c r="CC1" s="685"/>
      <c r="CD1" s="685"/>
      <c r="CE1" s="685"/>
      <c r="CF1" s="685"/>
      <c r="CG1" s="685"/>
      <c r="CH1" s="685"/>
      <c r="CI1" s="685"/>
      <c r="CJ1" s="685"/>
      <c r="CK1" s="685"/>
      <c r="CL1" s="685"/>
      <c r="CM1" s="685"/>
      <c r="CN1" s="685"/>
      <c r="CO1" s="685"/>
      <c r="CP1" s="685"/>
      <c r="CQ1" s="685"/>
      <c r="CR1" s="685"/>
      <c r="CS1" s="685"/>
      <c r="CT1" s="685"/>
      <c r="CU1" s="685"/>
      <c r="CV1" s="686"/>
      <c r="CW1" s="1"/>
      <c r="CX1" s="1"/>
      <c r="CY1" s="1"/>
      <c r="CZ1" s="2"/>
      <c r="DA1" s="2"/>
      <c r="DB1" s="2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 ht="29.25" thickBot="1" x14ac:dyDescent="0.4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87" t="s">
        <v>163</v>
      </c>
      <c r="P2" s="688"/>
      <c r="Q2" s="7"/>
      <c r="R2" s="8"/>
      <c r="S2" s="1"/>
      <c r="T2" s="1"/>
      <c r="U2" s="9"/>
      <c r="V2" s="10"/>
      <c r="W2" s="10"/>
      <c r="X2" s="689" t="s">
        <v>164</v>
      </c>
      <c r="Y2" s="689"/>
      <c r="Z2" s="689"/>
      <c r="AA2" s="689"/>
      <c r="AB2" s="689"/>
      <c r="AC2" s="689"/>
      <c r="AD2" s="69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1"/>
      <c r="AP2" s="11"/>
      <c r="AQ2" s="644" t="s">
        <v>164</v>
      </c>
      <c r="AR2" s="644"/>
      <c r="AS2" s="644"/>
      <c r="AT2" s="644"/>
      <c r="AU2" s="691" t="s">
        <v>165</v>
      </c>
      <c r="AV2" s="691"/>
      <c r="AW2" s="691"/>
      <c r="AX2" s="691"/>
      <c r="AY2" s="692"/>
      <c r="AZ2" s="692"/>
      <c r="BA2" s="692"/>
      <c r="BB2" s="692"/>
      <c r="BC2" s="13"/>
      <c r="BD2" s="13"/>
      <c r="BE2" s="8"/>
      <c r="BF2" s="6"/>
      <c r="BG2" s="6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6"/>
      <c r="CU2" s="17"/>
      <c r="CV2" s="17"/>
      <c r="CW2" s="17"/>
      <c r="CX2" s="16"/>
      <c r="CY2" s="1"/>
      <c r="CZ2" s="1"/>
      <c r="DA2" s="18"/>
      <c r="DB2" s="2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</row>
    <row r="3" spans="1:197" ht="15" customHeight="1" x14ac:dyDescent="0.35">
      <c r="A3" s="19"/>
      <c r="B3" s="20"/>
      <c r="C3" s="20"/>
      <c r="D3" s="20"/>
      <c r="E3" s="21"/>
      <c r="F3" s="139"/>
      <c r="G3" s="138"/>
      <c r="H3" s="5"/>
      <c r="I3" s="5"/>
      <c r="J3" s="3"/>
      <c r="K3" s="207"/>
      <c r="L3" s="584"/>
      <c r="M3" s="584"/>
      <c r="N3" s="72"/>
      <c r="O3" s="5"/>
      <c r="P3" s="1"/>
      <c r="Q3" s="3"/>
      <c r="R3" s="27"/>
      <c r="S3" s="20"/>
      <c r="T3" s="28"/>
      <c r="U3" s="29"/>
      <c r="V3" s="30"/>
      <c r="W3" s="31"/>
      <c r="X3" s="32" t="s">
        <v>820</v>
      </c>
      <c r="Y3" s="32" t="s">
        <v>819</v>
      </c>
      <c r="Z3" s="32" t="s">
        <v>818</v>
      </c>
      <c r="AA3" s="32" t="s">
        <v>817</v>
      </c>
      <c r="AB3" s="32" t="s">
        <v>816</v>
      </c>
      <c r="AC3" s="32" t="s">
        <v>815</v>
      </c>
      <c r="AD3" s="32" t="s">
        <v>814</v>
      </c>
      <c r="AE3" s="1"/>
      <c r="AF3" s="1"/>
      <c r="AG3" s="33"/>
      <c r="AH3" s="33"/>
      <c r="AI3" s="33"/>
      <c r="AJ3" s="33"/>
      <c r="AK3" s="33"/>
      <c r="AL3" s="33"/>
      <c r="AM3" s="33"/>
      <c r="AN3" s="33"/>
      <c r="AO3" s="3"/>
      <c r="AP3" s="34"/>
      <c r="AQ3" s="35" t="s">
        <v>881</v>
      </c>
      <c r="AR3" s="35" t="s">
        <v>880</v>
      </c>
      <c r="AS3" s="35" t="s">
        <v>879</v>
      </c>
      <c r="AT3" s="35" t="s">
        <v>878</v>
      </c>
      <c r="AU3" s="36" t="s">
        <v>877</v>
      </c>
      <c r="AV3" s="36" t="s">
        <v>876</v>
      </c>
      <c r="AW3" s="36" t="s">
        <v>875</v>
      </c>
      <c r="AX3" s="36" t="s">
        <v>874</v>
      </c>
      <c r="AY3" s="34"/>
      <c r="AZ3" s="3"/>
      <c r="BA3" s="3"/>
      <c r="BB3" s="3"/>
      <c r="BC3" s="3"/>
      <c r="BD3" s="3"/>
      <c r="BE3" s="3"/>
      <c r="BF3" s="3"/>
      <c r="BG3" s="3"/>
      <c r="BH3" s="37"/>
      <c r="BI3" s="38"/>
      <c r="BJ3" s="39"/>
      <c r="BK3" s="580"/>
      <c r="BL3" s="580"/>
      <c r="BM3" s="40"/>
      <c r="BN3" s="607"/>
      <c r="BO3" s="607"/>
      <c r="BP3" s="607"/>
      <c r="BQ3" s="126"/>
      <c r="BR3" s="139"/>
      <c r="BS3" s="43"/>
      <c r="BT3" s="44"/>
      <c r="BU3" s="45"/>
      <c r="BV3" s="693" t="s">
        <v>169</v>
      </c>
      <c r="BW3" s="694"/>
      <c r="BX3" s="46"/>
      <c r="BY3" s="46"/>
      <c r="BZ3" s="46"/>
      <c r="CA3" s="46"/>
      <c r="CB3" s="46"/>
      <c r="CC3" s="46"/>
      <c r="CD3" s="47"/>
      <c r="CE3" s="45"/>
      <c r="CF3" s="699" t="s">
        <v>170</v>
      </c>
      <c r="CG3" s="700"/>
      <c r="CH3" s="700"/>
      <c r="CI3" s="700"/>
      <c r="CJ3" s="700"/>
      <c r="CK3" s="700"/>
      <c r="CL3" s="700"/>
      <c r="CM3" s="700"/>
      <c r="CN3" s="700"/>
      <c r="CO3" s="700"/>
      <c r="CP3" s="700"/>
      <c r="CQ3" s="700"/>
      <c r="CR3" s="700"/>
      <c r="CS3" s="700"/>
      <c r="CT3" s="48"/>
      <c r="CU3" s="17"/>
      <c r="CV3" s="17"/>
      <c r="CW3" s="17"/>
      <c r="CX3" s="16"/>
      <c r="CY3" s="1"/>
      <c r="CZ3" s="1"/>
      <c r="DA3" s="1"/>
      <c r="DB3" s="2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</row>
    <row r="4" spans="1:197" ht="28.5" x14ac:dyDescent="0.35">
      <c r="A4" s="49"/>
      <c r="B4" s="1"/>
      <c r="C4" s="1"/>
      <c r="D4" s="1"/>
      <c r="E4" s="50"/>
      <c r="F4" s="584"/>
      <c r="G4" s="207"/>
      <c r="H4" s="199"/>
      <c r="I4" s="5"/>
      <c r="J4" s="3"/>
      <c r="K4" s="189"/>
      <c r="L4" s="594"/>
      <c r="M4" s="594"/>
      <c r="N4" s="56"/>
      <c r="O4" s="56"/>
      <c r="P4" s="1"/>
      <c r="Q4" s="3"/>
      <c r="R4" s="57"/>
      <c r="S4" s="1"/>
      <c r="T4" s="58"/>
      <c r="U4" s="59"/>
      <c r="V4" s="30"/>
      <c r="W4" s="60" t="s">
        <v>174</v>
      </c>
      <c r="X4" s="31" t="s">
        <v>175</v>
      </c>
      <c r="Y4" s="31" t="s">
        <v>175</v>
      </c>
      <c r="Z4" s="31" t="s">
        <v>175</v>
      </c>
      <c r="AA4" s="31" t="s">
        <v>175</v>
      </c>
      <c r="AB4" s="31" t="s">
        <v>175</v>
      </c>
      <c r="AC4" s="31" t="s">
        <v>175</v>
      </c>
      <c r="AD4" s="31" t="s">
        <v>175</v>
      </c>
      <c r="AE4" s="30"/>
      <c r="AF4" s="1"/>
      <c r="AG4" s="61"/>
      <c r="AH4" s="61"/>
      <c r="AI4" s="61"/>
      <c r="AJ4" s="33"/>
      <c r="AK4" s="649" t="s">
        <v>176</v>
      </c>
      <c r="AL4" s="649"/>
      <c r="AM4" s="649"/>
      <c r="AN4" s="1"/>
      <c r="AO4" s="63"/>
      <c r="AP4" s="3"/>
      <c r="AQ4" s="34" t="s">
        <v>175</v>
      </c>
      <c r="AR4" s="34" t="s">
        <v>175</v>
      </c>
      <c r="AS4" s="34" t="s">
        <v>175</v>
      </c>
      <c r="AT4" s="34" t="s">
        <v>175</v>
      </c>
      <c r="AU4" s="34" t="s">
        <v>175</v>
      </c>
      <c r="AV4" s="34" t="s">
        <v>175</v>
      </c>
      <c r="AW4" s="34" t="s">
        <v>175</v>
      </c>
      <c r="AX4" s="34" t="s">
        <v>175</v>
      </c>
      <c r="AY4" s="64" t="s">
        <v>177</v>
      </c>
      <c r="AZ4" s="38"/>
      <c r="BA4" s="3"/>
      <c r="BB4" s="669" t="s">
        <v>164</v>
      </c>
      <c r="BC4" s="669"/>
      <c r="BD4" s="669"/>
      <c r="BE4" s="38"/>
      <c r="BF4" s="38"/>
      <c r="BG4" s="38"/>
      <c r="BH4" s="38"/>
      <c r="BI4" s="38"/>
      <c r="BJ4" s="47"/>
      <c r="BK4" s="47"/>
      <c r="BL4" s="47"/>
      <c r="BM4" s="66"/>
      <c r="BN4" s="67"/>
      <c r="BO4" s="126"/>
      <c r="BP4" s="67"/>
      <c r="BQ4" s="3"/>
      <c r="BR4" s="2"/>
      <c r="BS4" s="2"/>
      <c r="BT4" s="2"/>
      <c r="BU4" s="68"/>
      <c r="BV4" s="695"/>
      <c r="BW4" s="696"/>
      <c r="BX4" s="69"/>
      <c r="BY4" s="69"/>
      <c r="BZ4" s="69"/>
      <c r="CA4" s="69"/>
      <c r="CB4" s="69"/>
      <c r="CC4" s="69"/>
      <c r="CD4" s="47"/>
      <c r="CE4" s="47"/>
      <c r="CF4" s="701"/>
      <c r="CG4" s="647"/>
      <c r="CH4" s="647"/>
      <c r="CI4" s="647"/>
      <c r="CJ4" s="647"/>
      <c r="CK4" s="647"/>
      <c r="CL4" s="647"/>
      <c r="CM4" s="647"/>
      <c r="CN4" s="647"/>
      <c r="CO4" s="647"/>
      <c r="CP4" s="647"/>
      <c r="CQ4" s="647"/>
      <c r="CR4" s="647"/>
      <c r="CS4" s="647"/>
      <c r="CT4" s="48"/>
      <c r="CU4" s="17"/>
      <c r="CV4" s="17"/>
      <c r="CW4" s="17"/>
      <c r="CX4" s="16"/>
      <c r="CY4" s="1"/>
      <c r="CZ4" s="1"/>
      <c r="DA4" s="1"/>
      <c r="DB4" s="2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</row>
    <row r="5" spans="1:197" ht="29.25" thickBot="1" x14ac:dyDescent="0.35">
      <c r="A5" s="49"/>
      <c r="B5" s="1"/>
      <c r="C5" s="1"/>
      <c r="D5" s="1"/>
      <c r="E5" s="50"/>
      <c r="F5" s="3"/>
      <c r="G5" s="3"/>
      <c r="H5" s="199"/>
      <c r="I5" s="5"/>
      <c r="J5" s="30"/>
      <c r="K5" s="595"/>
      <c r="L5" s="199"/>
      <c r="M5" s="199"/>
      <c r="N5" s="72"/>
      <c r="O5" s="5"/>
      <c r="P5" s="5"/>
      <c r="Q5" s="3"/>
      <c r="R5" s="57"/>
      <c r="S5" s="1"/>
      <c r="T5" s="73"/>
      <c r="U5" s="59"/>
      <c r="V5" s="1"/>
      <c r="W5" s="74"/>
      <c r="X5" s="75"/>
      <c r="Y5" s="75"/>
      <c r="Z5" s="75"/>
      <c r="AA5" s="75"/>
      <c r="AB5" s="75"/>
      <c r="AC5" s="75"/>
      <c r="AD5" s="75"/>
      <c r="AE5" s="30"/>
      <c r="AF5" s="1"/>
      <c r="AG5" s="61"/>
      <c r="AH5" s="3"/>
      <c r="AI5" s="3"/>
      <c r="AJ5" s="33"/>
      <c r="AK5" s="75"/>
      <c r="AL5" s="75"/>
      <c r="AM5" s="75"/>
      <c r="AN5" s="1"/>
      <c r="AO5" s="63"/>
      <c r="AP5" s="3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  <c r="BF5" s="5"/>
      <c r="BG5" s="38"/>
      <c r="BH5" s="38"/>
      <c r="BI5" s="47"/>
      <c r="BJ5" s="47"/>
      <c r="BK5" s="2"/>
      <c r="BL5" s="47"/>
      <c r="BM5" s="3"/>
      <c r="BN5" s="3"/>
      <c r="BO5" s="3"/>
      <c r="BP5" s="3"/>
      <c r="BQ5" s="207"/>
      <c r="BR5" s="2"/>
      <c r="BS5" s="2"/>
      <c r="BT5" s="2"/>
      <c r="BU5" s="68"/>
      <c r="BV5" s="695"/>
      <c r="BW5" s="696"/>
      <c r="BX5" s="79"/>
      <c r="BY5" s="79"/>
      <c r="BZ5" s="79"/>
      <c r="CA5" s="79"/>
      <c r="CB5" s="79"/>
      <c r="CC5" s="79"/>
      <c r="CD5" s="47"/>
      <c r="CE5" s="47"/>
      <c r="CF5" s="702"/>
      <c r="CG5" s="703"/>
      <c r="CH5" s="703"/>
      <c r="CI5" s="703"/>
      <c r="CJ5" s="703"/>
      <c r="CK5" s="703"/>
      <c r="CL5" s="703"/>
      <c r="CM5" s="703"/>
      <c r="CN5" s="703"/>
      <c r="CO5" s="703"/>
      <c r="CP5" s="703"/>
      <c r="CQ5" s="703"/>
      <c r="CR5" s="703"/>
      <c r="CS5" s="703"/>
      <c r="CT5" s="48"/>
      <c r="CU5" s="17"/>
      <c r="CV5" s="17"/>
      <c r="CW5" s="17"/>
      <c r="CX5" s="16"/>
      <c r="CY5" s="1"/>
      <c r="CZ5" s="1"/>
      <c r="DA5" s="1"/>
      <c r="DB5" s="2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ht="28.5" x14ac:dyDescent="0.35">
      <c r="A6" s="80"/>
      <c r="B6" s="2"/>
      <c r="C6" s="1"/>
      <c r="D6" s="1"/>
      <c r="E6" s="50"/>
      <c r="F6" s="584"/>
      <c r="G6" s="207"/>
      <c r="H6" s="199"/>
      <c r="I6" s="5"/>
      <c r="J6" s="3"/>
      <c r="K6" s="189"/>
      <c r="L6" s="594"/>
      <c r="M6" s="594"/>
      <c r="N6" s="56"/>
      <c r="O6" s="5"/>
      <c r="P6" s="5"/>
      <c r="Q6" s="3"/>
      <c r="R6" s="82"/>
      <c r="S6" s="1"/>
      <c r="T6" s="73"/>
      <c r="U6" s="59"/>
      <c r="V6" s="1"/>
      <c r="W6" s="3"/>
      <c r="X6" s="30"/>
      <c r="Y6" s="3"/>
      <c r="Z6" s="60" t="s">
        <v>181</v>
      </c>
      <c r="AA6" s="83" t="s">
        <v>182</v>
      </c>
      <c r="AB6" s="83" t="s">
        <v>182</v>
      </c>
      <c r="AC6" s="83" t="s">
        <v>182</v>
      </c>
      <c r="AD6" s="84" t="s">
        <v>183</v>
      </c>
      <c r="AE6" s="30"/>
      <c r="AF6" s="1"/>
      <c r="AG6" s="61"/>
      <c r="AH6" s="3"/>
      <c r="AI6" s="3"/>
      <c r="AJ6" s="5"/>
      <c r="AK6" s="85" t="s">
        <v>175</v>
      </c>
      <c r="AL6" s="85" t="s">
        <v>175</v>
      </c>
      <c r="AM6" s="85" t="s">
        <v>175</v>
      </c>
      <c r="AN6" s="60" t="s">
        <v>184</v>
      </c>
      <c r="AO6" s="63"/>
      <c r="AP6" s="3"/>
      <c r="AQ6" s="3"/>
      <c r="AR6" s="86"/>
      <c r="AS6" s="3"/>
      <c r="AT6" s="87"/>
      <c r="AU6" s="3"/>
      <c r="AV6" s="60" t="s">
        <v>186</v>
      </c>
      <c r="AW6" s="31" t="s">
        <v>175</v>
      </c>
      <c r="AX6" s="31" t="s">
        <v>175</v>
      </c>
      <c r="AY6" s="31" t="s">
        <v>175</v>
      </c>
      <c r="AZ6" s="88"/>
      <c r="BA6" s="3"/>
      <c r="BB6" s="89" t="s">
        <v>175</v>
      </c>
      <c r="BC6" s="89" t="s">
        <v>175</v>
      </c>
      <c r="BD6" s="89" t="s">
        <v>175</v>
      </c>
      <c r="BE6" s="90" t="s">
        <v>187</v>
      </c>
      <c r="BF6" s="91"/>
      <c r="BG6" s="91"/>
      <c r="BH6" s="47"/>
      <c r="BI6" s="276"/>
      <c r="BJ6" s="276"/>
      <c r="BK6" s="47"/>
      <c r="BL6" s="47"/>
      <c r="BM6" s="3"/>
      <c r="BN6" s="3"/>
      <c r="BO6" s="3"/>
      <c r="BP6" s="3"/>
      <c r="BQ6" s="3"/>
      <c r="BR6" s="608"/>
      <c r="BS6" s="43"/>
      <c r="BT6" s="44"/>
      <c r="BU6" s="45"/>
      <c r="BV6" s="695"/>
      <c r="BW6" s="696"/>
      <c r="BX6" s="79"/>
      <c r="BY6" s="79"/>
      <c r="BZ6" s="79"/>
      <c r="CA6" s="79"/>
      <c r="CB6" s="79"/>
      <c r="CC6" s="79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2"/>
      <c r="CR6" s="2"/>
      <c r="CS6" s="2"/>
      <c r="CT6" s="48"/>
      <c r="CU6" s="17"/>
      <c r="CV6" s="17"/>
      <c r="CW6" s="17"/>
      <c r="CX6" s="16"/>
      <c r="CY6" s="1"/>
      <c r="CZ6" s="1"/>
      <c r="DA6" s="1"/>
      <c r="DB6" s="2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</row>
    <row r="7" spans="1:197" ht="29.25" thickBot="1" x14ac:dyDescent="0.4">
      <c r="A7" s="95"/>
      <c r="B7" s="2"/>
      <c r="C7" s="1"/>
      <c r="D7" s="1"/>
      <c r="E7" s="96"/>
      <c r="F7" s="207"/>
      <c r="G7" s="56"/>
      <c r="H7" s="3"/>
      <c r="I7" s="5"/>
      <c r="J7" s="596"/>
      <c r="K7" s="72"/>
      <c r="L7" s="584"/>
      <c r="M7" s="584"/>
      <c r="N7" s="72"/>
      <c r="O7" s="5"/>
      <c r="P7" s="2"/>
      <c r="Q7" s="3"/>
      <c r="R7" s="49"/>
      <c r="S7" s="5"/>
      <c r="T7" s="5"/>
      <c r="U7" s="59"/>
      <c r="V7" s="98"/>
      <c r="W7" s="603"/>
      <c r="X7" s="603"/>
      <c r="Y7" s="3"/>
      <c r="Z7" s="83"/>
      <c r="AA7" s="100" t="s">
        <v>826</v>
      </c>
      <c r="AB7" s="100" t="s">
        <v>825</v>
      </c>
      <c r="AC7" s="100" t="s">
        <v>824</v>
      </c>
      <c r="AD7" s="83"/>
      <c r="AE7" s="1"/>
      <c r="AF7" s="3"/>
      <c r="AG7" s="604"/>
      <c r="AH7" s="604"/>
      <c r="AI7" s="604"/>
      <c r="AJ7" s="85"/>
      <c r="AK7" s="102" t="s">
        <v>845</v>
      </c>
      <c r="AL7" s="102" t="s">
        <v>844</v>
      </c>
      <c r="AM7" s="102" t="s">
        <v>843</v>
      </c>
      <c r="AN7" s="85"/>
      <c r="AO7" s="63"/>
      <c r="AP7" s="606"/>
      <c r="AQ7" s="606"/>
      <c r="AR7" s="606"/>
      <c r="AS7" s="606"/>
      <c r="AT7" s="3"/>
      <c r="AU7" s="3"/>
      <c r="AV7" s="31"/>
      <c r="AW7" s="32" t="s">
        <v>887</v>
      </c>
      <c r="AX7" s="32" t="s">
        <v>886</v>
      </c>
      <c r="AY7" s="32" t="s">
        <v>885</v>
      </c>
      <c r="AZ7" s="31"/>
      <c r="BA7" s="89"/>
      <c r="BB7" s="104" t="s">
        <v>893</v>
      </c>
      <c r="BC7" s="104" t="s">
        <v>892</v>
      </c>
      <c r="BD7" s="104" t="s">
        <v>891</v>
      </c>
      <c r="BE7" s="89"/>
      <c r="BF7" s="91"/>
      <c r="BG7" s="612"/>
      <c r="BH7" s="276"/>
      <c r="BI7" s="584"/>
      <c r="BJ7" s="584"/>
      <c r="BK7" s="276"/>
      <c r="BL7" s="5"/>
      <c r="BM7" s="3"/>
      <c r="BN7" s="67"/>
      <c r="BO7" s="609"/>
      <c r="BP7" s="609"/>
      <c r="BQ7" s="107"/>
      <c r="BR7" s="608"/>
      <c r="BS7" s="43"/>
      <c r="BT7" s="44"/>
      <c r="BU7" s="108"/>
      <c r="BV7" s="697"/>
      <c r="BW7" s="698"/>
      <c r="BX7" s="79"/>
      <c r="BY7" s="79"/>
      <c r="BZ7" s="79"/>
      <c r="CA7" s="79"/>
      <c r="CB7" s="79"/>
      <c r="CC7" s="79"/>
      <c r="CD7" s="2"/>
      <c r="CE7" s="109"/>
      <c r="CF7" s="1"/>
      <c r="CG7" s="1"/>
      <c r="CH7" s="2"/>
      <c r="CI7" s="109"/>
      <c r="CJ7" s="2"/>
      <c r="CK7" s="2"/>
      <c r="CL7" s="47"/>
      <c r="CM7" s="47"/>
      <c r="CN7" s="47"/>
      <c r="CO7" s="47"/>
      <c r="CP7" s="1"/>
      <c r="CQ7" s="2"/>
      <c r="CR7" s="2"/>
      <c r="CS7" s="2"/>
      <c r="CT7" s="48"/>
      <c r="CU7" s="17"/>
      <c r="CV7" s="17"/>
      <c r="CW7" s="17"/>
      <c r="CX7" s="16"/>
      <c r="CY7" s="1"/>
      <c r="CZ7" s="1"/>
      <c r="DA7" s="1"/>
      <c r="DB7" s="2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</row>
    <row r="8" spans="1:197" ht="29.25" thickBot="1" x14ac:dyDescent="0.45">
      <c r="A8" s="95"/>
      <c r="B8" s="2"/>
      <c r="C8" s="1"/>
      <c r="D8" s="1"/>
      <c r="E8" s="50"/>
      <c r="F8" s="651"/>
      <c r="G8" s="651"/>
      <c r="H8" s="1"/>
      <c r="I8" s="5"/>
      <c r="J8" s="596"/>
      <c r="K8" s="72"/>
      <c r="L8" s="584"/>
      <c r="M8" s="584"/>
      <c r="N8" s="72"/>
      <c r="O8" s="5"/>
      <c r="P8" s="110"/>
      <c r="Q8" s="3"/>
      <c r="R8" s="111"/>
      <c r="S8" s="112"/>
      <c r="T8" s="113"/>
      <c r="U8" s="114"/>
      <c r="V8" s="5"/>
      <c r="W8" s="603"/>
      <c r="X8" s="603"/>
      <c r="Y8" s="3"/>
      <c r="Z8" s="115"/>
      <c r="AA8" s="100" t="s">
        <v>823</v>
      </c>
      <c r="AB8" s="100" t="s">
        <v>822</v>
      </c>
      <c r="AC8" s="100" t="s">
        <v>821</v>
      </c>
      <c r="AD8" s="83"/>
      <c r="AE8" s="1"/>
      <c r="AF8" s="3"/>
      <c r="AG8" s="604"/>
      <c r="AH8" s="604"/>
      <c r="AI8" s="604"/>
      <c r="AJ8" s="85"/>
      <c r="AK8" s="116" t="s">
        <v>842</v>
      </c>
      <c r="AL8" s="116" t="s">
        <v>841</v>
      </c>
      <c r="AM8" s="116" t="s">
        <v>840</v>
      </c>
      <c r="AN8" s="85"/>
      <c r="AO8" s="109"/>
      <c r="AP8" s="606"/>
      <c r="AQ8" s="606"/>
      <c r="AR8" s="606"/>
      <c r="AS8" s="606"/>
      <c r="AT8" s="3"/>
      <c r="AU8" s="3"/>
      <c r="AV8" s="31"/>
      <c r="AW8" s="32" t="s">
        <v>884</v>
      </c>
      <c r="AX8" s="32" t="s">
        <v>883</v>
      </c>
      <c r="AY8" s="32" t="s">
        <v>882</v>
      </c>
      <c r="AZ8" s="31"/>
      <c r="BA8" s="89"/>
      <c r="BB8" s="104" t="s">
        <v>890</v>
      </c>
      <c r="BC8" s="104" t="s">
        <v>889</v>
      </c>
      <c r="BD8" s="104" t="s">
        <v>888</v>
      </c>
      <c r="BE8" s="89"/>
      <c r="BF8" s="91"/>
      <c r="BG8" s="612"/>
      <c r="BH8" s="276"/>
      <c r="BI8" s="584"/>
      <c r="BJ8" s="584"/>
      <c r="BK8" s="276"/>
      <c r="BL8" s="5"/>
      <c r="BM8" s="3"/>
      <c r="BN8" s="67"/>
      <c r="BO8" s="609"/>
      <c r="BP8" s="609"/>
      <c r="BQ8" s="117"/>
      <c r="BR8" s="608"/>
      <c r="BS8" s="43"/>
      <c r="BT8" s="44"/>
      <c r="BU8" s="68"/>
      <c r="BV8" s="118"/>
      <c r="BW8" s="69"/>
      <c r="BX8" s="119"/>
      <c r="BY8" s="1"/>
      <c r="BZ8" s="69"/>
      <c r="CA8" s="3"/>
      <c r="CB8" s="3"/>
      <c r="CC8" s="3"/>
      <c r="CD8" s="120"/>
      <c r="CE8" s="1"/>
      <c r="CF8" s="1"/>
      <c r="CG8" s="1"/>
      <c r="CH8" s="1"/>
      <c r="CI8" s="1"/>
      <c r="CJ8" s="1"/>
      <c r="CK8" s="2"/>
      <c r="CL8" s="47"/>
      <c r="CM8" s="47"/>
      <c r="CN8" s="47"/>
      <c r="CO8" s="47"/>
      <c r="CP8" s="5"/>
      <c r="CQ8" s="2"/>
      <c r="CR8" s="2"/>
      <c r="CS8" s="2"/>
      <c r="CT8" s="48"/>
      <c r="CU8" s="17"/>
      <c r="CV8" s="17"/>
      <c r="CW8" s="17"/>
      <c r="CX8" s="16"/>
      <c r="CY8" s="17"/>
      <c r="CZ8" s="1"/>
      <c r="DA8" s="1"/>
      <c r="DB8" s="2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</row>
    <row r="9" spans="1:197" ht="28.5" x14ac:dyDescent="0.4">
      <c r="A9" s="49"/>
      <c r="B9" s="2"/>
      <c r="C9" s="1"/>
      <c r="D9" s="1"/>
      <c r="E9" s="50"/>
      <c r="F9" s="651"/>
      <c r="G9" s="651"/>
      <c r="H9" s="1"/>
      <c r="I9" s="5"/>
      <c r="J9" s="597"/>
      <c r="K9" s="199"/>
      <c r="L9" s="584"/>
      <c r="M9" s="584"/>
      <c r="N9" s="199"/>
      <c r="O9" s="3"/>
      <c r="P9" s="3"/>
      <c r="Q9" s="122"/>
      <c r="R9" s="123"/>
      <c r="S9" s="123"/>
      <c r="T9" s="644" t="s">
        <v>164</v>
      </c>
      <c r="U9" s="644"/>
      <c r="V9" s="5"/>
      <c r="W9" s="5"/>
      <c r="X9" s="5"/>
      <c r="Y9" s="1"/>
      <c r="Z9" s="98"/>
      <c r="AA9" s="83" t="s">
        <v>182</v>
      </c>
      <c r="AB9" s="83" t="s">
        <v>182</v>
      </c>
      <c r="AC9" s="83" t="s">
        <v>182</v>
      </c>
      <c r="AD9" s="98"/>
      <c r="AE9" s="1"/>
      <c r="AF9" s="98"/>
      <c r="AG9" s="3"/>
      <c r="AH9" s="3"/>
      <c r="AI9" s="3"/>
      <c r="AJ9" s="5"/>
      <c r="AK9" s="85" t="s">
        <v>175</v>
      </c>
      <c r="AL9" s="85" t="s">
        <v>175</v>
      </c>
      <c r="AM9" s="85" t="s">
        <v>175</v>
      </c>
      <c r="AN9" s="3"/>
      <c r="AO9" s="63"/>
      <c r="AP9" s="58"/>
      <c r="AQ9" s="58"/>
      <c r="AR9" s="2"/>
      <c r="AS9" s="2"/>
      <c r="AT9" s="47"/>
      <c r="AU9" s="3"/>
      <c r="AV9" s="75"/>
      <c r="AW9" s="31" t="s">
        <v>175</v>
      </c>
      <c r="AX9" s="31" t="s">
        <v>175</v>
      </c>
      <c r="AY9" s="31" t="s">
        <v>175</v>
      </c>
      <c r="AZ9" s="124"/>
      <c r="BA9" s="3"/>
      <c r="BB9" s="89" t="s">
        <v>175</v>
      </c>
      <c r="BC9" s="89" t="s">
        <v>175</v>
      </c>
      <c r="BD9" s="89" t="s">
        <v>175</v>
      </c>
      <c r="BE9" s="3"/>
      <c r="BF9" s="125"/>
      <c r="BG9" s="612"/>
      <c r="BH9" s="47"/>
      <c r="BI9" s="276"/>
      <c r="BJ9" s="276"/>
      <c r="BK9" s="47"/>
      <c r="BL9" s="5"/>
      <c r="BM9" s="3"/>
      <c r="BN9" s="67"/>
      <c r="BO9" s="609"/>
      <c r="BP9" s="609"/>
      <c r="BQ9" s="117"/>
      <c r="BR9" s="126"/>
      <c r="BS9" s="43"/>
      <c r="BT9" s="44"/>
      <c r="BU9" s="45"/>
      <c r="BV9" s="127"/>
      <c r="BW9" s="127"/>
      <c r="BX9" s="127"/>
      <c r="CB9" s="3"/>
      <c r="CC9" s="3"/>
      <c r="CD9" s="3"/>
      <c r="CE9" s="56"/>
      <c r="CF9" s="128"/>
      <c r="CG9" s="128"/>
      <c r="CH9" s="128"/>
      <c r="CI9" s="128"/>
      <c r="CJ9" s="2"/>
      <c r="CK9" s="128"/>
      <c r="CL9" s="128"/>
      <c r="CM9" s="128"/>
      <c r="CN9" s="128"/>
      <c r="CO9" s="47"/>
      <c r="CP9" s="5"/>
      <c r="CQ9" s="2"/>
      <c r="CR9" s="2"/>
      <c r="CS9" s="2"/>
      <c r="CT9" s="48"/>
      <c r="CU9" s="17"/>
      <c r="CV9" s="17"/>
      <c r="CW9" s="17"/>
      <c r="CX9" s="16"/>
      <c r="CY9" s="17"/>
      <c r="CZ9" s="1"/>
      <c r="DA9" s="1"/>
      <c r="DB9" s="2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</row>
    <row r="10" spans="1:197" ht="29.25" thickBot="1" x14ac:dyDescent="0.45">
      <c r="A10" s="49"/>
      <c r="B10" s="2"/>
      <c r="C10" s="1"/>
      <c r="D10" s="5"/>
      <c r="E10" s="50"/>
      <c r="F10" s="651"/>
      <c r="G10" s="651"/>
      <c r="H10" s="5"/>
      <c r="I10" s="5"/>
      <c r="J10" s="597"/>
      <c r="K10" s="189"/>
      <c r="L10" s="210"/>
      <c r="M10" s="210"/>
      <c r="N10" s="56"/>
      <c r="O10" s="5"/>
      <c r="P10" s="130"/>
      <c r="Q10" s="130"/>
      <c r="R10" s="130"/>
      <c r="S10" s="131"/>
      <c r="T10" s="132"/>
      <c r="U10" s="60" t="s">
        <v>197</v>
      </c>
      <c r="V10" s="649" t="s">
        <v>198</v>
      </c>
      <c r="W10" s="649"/>
      <c r="X10" s="649"/>
      <c r="Y10" s="649"/>
      <c r="Z10" s="3"/>
      <c r="AA10" s="75"/>
      <c r="AB10" s="75"/>
      <c r="AC10" s="75"/>
      <c r="AD10" s="98"/>
      <c r="AE10" s="3"/>
      <c r="AF10" s="3"/>
      <c r="AG10" s="3"/>
      <c r="AH10" s="3"/>
      <c r="AI10" s="3"/>
      <c r="AJ10" s="98"/>
      <c r="AK10" s="75"/>
      <c r="AL10" s="75"/>
      <c r="AM10" s="75"/>
      <c r="AN10" s="333"/>
      <c r="AO10" s="63"/>
      <c r="AP10" s="134"/>
      <c r="AQ10" s="134"/>
      <c r="AR10" s="134"/>
      <c r="AS10" s="134"/>
      <c r="AT10" s="3"/>
      <c r="AU10" s="3"/>
      <c r="AV10" s="75"/>
      <c r="AW10" s="75"/>
      <c r="AX10" s="75"/>
      <c r="AY10" s="75"/>
      <c r="AZ10" s="124"/>
      <c r="BA10" s="61"/>
      <c r="BB10" s="644" t="s">
        <v>199</v>
      </c>
      <c r="BC10" s="644"/>
      <c r="BD10" s="644"/>
      <c r="BE10" s="644"/>
      <c r="BF10" s="5"/>
      <c r="BG10" s="5"/>
      <c r="BH10" s="5"/>
      <c r="BI10" s="47"/>
      <c r="BJ10" s="47"/>
      <c r="BK10" s="135"/>
      <c r="BL10" s="136"/>
      <c r="BM10" s="3"/>
      <c r="BN10" s="126"/>
      <c r="BO10" s="126"/>
      <c r="BP10" s="207"/>
      <c r="BQ10" s="3"/>
      <c r="BR10" s="610"/>
      <c r="BS10" s="47"/>
      <c r="BT10" s="47"/>
      <c r="BU10" s="45"/>
      <c r="BV10" s="127"/>
      <c r="BW10" s="127"/>
      <c r="BX10" s="127"/>
      <c r="CB10" s="3"/>
      <c r="CC10" s="3"/>
      <c r="CD10" s="3"/>
      <c r="CE10" s="138"/>
      <c r="CF10" s="5"/>
      <c r="CG10" s="5"/>
      <c r="CH10" s="5"/>
      <c r="CI10" s="5"/>
      <c r="CJ10" s="138"/>
      <c r="CK10" s="139"/>
      <c r="CL10" s="5"/>
      <c r="CM10" s="139"/>
      <c r="CN10" s="139"/>
      <c r="CO10" s="56"/>
      <c r="CP10" s="5"/>
      <c r="CQ10" s="2"/>
      <c r="CR10" s="2"/>
      <c r="CS10" s="2"/>
      <c r="CT10" s="48"/>
      <c r="CU10" s="17"/>
      <c r="CV10" s="17"/>
      <c r="CW10" s="17"/>
      <c r="CX10" s="16"/>
      <c r="CY10" s="17"/>
      <c r="CZ10" s="1"/>
      <c r="DA10" s="1"/>
      <c r="DB10" s="2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</row>
    <row r="11" spans="1:197" ht="29.25" thickBot="1" x14ac:dyDescent="0.35">
      <c r="A11" s="5"/>
      <c r="B11" s="5"/>
      <c r="C11" s="5"/>
      <c r="D11" s="5"/>
      <c r="E11" s="50"/>
      <c r="F11" s="651"/>
      <c r="G11" s="651"/>
      <c r="H11" s="5"/>
      <c r="I11" s="5"/>
      <c r="J11" s="596"/>
      <c r="K11" s="72"/>
      <c r="L11" s="584"/>
      <c r="M11" s="584"/>
      <c r="N11" s="72"/>
      <c r="O11" s="3"/>
      <c r="P11" s="110"/>
      <c r="Q11" s="110"/>
      <c r="R11" s="110"/>
      <c r="S11" s="140"/>
      <c r="T11" s="35" t="s">
        <v>830</v>
      </c>
      <c r="U11" s="141" t="s">
        <v>175</v>
      </c>
      <c r="V11" s="3"/>
      <c r="W11" s="142"/>
      <c r="X11" s="143"/>
      <c r="Y11" s="142"/>
      <c r="Z11" s="5"/>
      <c r="AA11" s="683" t="s">
        <v>200</v>
      </c>
      <c r="AB11" s="683"/>
      <c r="AC11" s="683"/>
      <c r="AD11" s="142"/>
      <c r="AE11" s="3"/>
      <c r="AF11" s="98"/>
      <c r="AG11" s="3"/>
      <c r="AH11" s="3"/>
      <c r="AI11" s="3"/>
      <c r="AJ11" s="98"/>
      <c r="AK11" s="98"/>
      <c r="AL11" s="86"/>
      <c r="AM11" s="86"/>
      <c r="AN11" s="86"/>
      <c r="AO11" s="56"/>
      <c r="AP11" s="86"/>
      <c r="AQ11" s="86"/>
      <c r="AR11" s="86"/>
      <c r="AS11" s="86"/>
      <c r="AT11" s="88"/>
      <c r="AU11" s="88"/>
      <c r="AV11" s="88"/>
      <c r="AW11" s="669" t="s">
        <v>164</v>
      </c>
      <c r="AX11" s="669"/>
      <c r="AY11" s="669"/>
      <c r="AZ11" s="88"/>
      <c r="BA11" s="88"/>
      <c r="BB11" s="88"/>
      <c r="BC11" s="75"/>
      <c r="BD11" s="75"/>
      <c r="BE11" s="3"/>
      <c r="BF11" s="56"/>
      <c r="BG11" s="5"/>
      <c r="BH11" s="86"/>
      <c r="BI11" s="86"/>
      <c r="BJ11" s="86"/>
      <c r="BK11" s="145"/>
      <c r="BL11" s="3"/>
      <c r="BM11" s="3"/>
      <c r="BN11" s="3"/>
      <c r="BO11" s="3"/>
      <c r="BP11" s="3"/>
      <c r="BQ11" s="3"/>
      <c r="BR11" s="611"/>
      <c r="BS11" s="47"/>
      <c r="BT11" s="43"/>
      <c r="BU11" s="666" t="s">
        <v>201</v>
      </c>
      <c r="BV11" s="127"/>
      <c r="BW11" s="127"/>
      <c r="BX11" s="127"/>
      <c r="CB11" s="3"/>
      <c r="CC11" s="127"/>
      <c r="CD11" s="127"/>
      <c r="CE11" s="139"/>
      <c r="CF11" s="5"/>
      <c r="CG11" s="5"/>
      <c r="CH11" s="5"/>
      <c r="CI11" s="5"/>
      <c r="CJ11" s="147"/>
      <c r="CK11" s="5"/>
      <c r="CL11" s="5"/>
      <c r="CM11" s="5"/>
      <c r="CN11" s="5"/>
      <c r="CO11" s="139"/>
      <c r="CP11" s="5"/>
      <c r="CQ11" s="2"/>
      <c r="CR11" s="2"/>
      <c r="CS11" s="2"/>
      <c r="CT11" s="48"/>
      <c r="CU11" s="17"/>
      <c r="CV11" s="17"/>
      <c r="CW11" s="17"/>
      <c r="CX11" s="16"/>
      <c r="CY11" s="17"/>
      <c r="CZ11" s="1"/>
      <c r="DA11" s="1"/>
      <c r="DB11" s="2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</row>
    <row r="12" spans="1:197" ht="28.5" x14ac:dyDescent="0.3">
      <c r="A12" s="5"/>
      <c r="B12" s="5"/>
      <c r="C12" s="5"/>
      <c r="D12" s="5"/>
      <c r="E12" s="50"/>
      <c r="F12" s="5"/>
      <c r="G12" s="5"/>
      <c r="H12" s="5"/>
      <c r="I12" s="5"/>
      <c r="J12" s="596"/>
      <c r="K12" s="72"/>
      <c r="L12" s="584"/>
      <c r="M12" s="584"/>
      <c r="N12" s="72"/>
      <c r="O12" s="3"/>
      <c r="P12" s="110"/>
      <c r="Q12" s="110"/>
      <c r="R12" s="110"/>
      <c r="S12" s="140"/>
      <c r="T12" s="35" t="s">
        <v>829</v>
      </c>
      <c r="U12" s="148" t="s">
        <v>175</v>
      </c>
      <c r="V12" s="3"/>
      <c r="W12" s="149" t="s">
        <v>202</v>
      </c>
      <c r="X12" s="149" t="s">
        <v>202</v>
      </c>
      <c r="Y12" s="149" t="s">
        <v>202</v>
      </c>
      <c r="Z12" s="62" t="s">
        <v>203</v>
      </c>
      <c r="AA12" s="3"/>
      <c r="AB12" s="3"/>
      <c r="AC12" s="3"/>
      <c r="AD12" s="3"/>
      <c r="AE12" s="3"/>
      <c r="AF12" s="98"/>
      <c r="AG12" s="587"/>
      <c r="AH12" s="5"/>
      <c r="AI12" s="1"/>
      <c r="AJ12" s="1"/>
      <c r="AK12" s="86"/>
      <c r="AL12" s="86"/>
      <c r="AM12" s="86"/>
      <c r="AN12" s="86"/>
      <c r="AO12" s="86"/>
      <c r="AP12" s="3"/>
      <c r="AQ12" s="3"/>
      <c r="AR12" s="3"/>
      <c r="AS12" s="3"/>
      <c r="AT12" s="88"/>
      <c r="AU12" s="88"/>
      <c r="AV12" s="88"/>
      <c r="AW12" s="88"/>
      <c r="AX12" s="88"/>
      <c r="AY12" s="88"/>
      <c r="AZ12" s="88"/>
      <c r="BA12" s="88"/>
      <c r="BB12" s="88"/>
      <c r="BC12" s="151" t="s">
        <v>175</v>
      </c>
      <c r="BD12" s="151" t="s">
        <v>175</v>
      </c>
      <c r="BE12" s="152"/>
      <c r="BF12" s="56"/>
      <c r="BG12" s="613"/>
      <c r="BH12" s="276"/>
      <c r="BI12" s="276"/>
      <c r="BJ12" s="276"/>
      <c r="BK12" s="47"/>
      <c r="BL12" s="3"/>
      <c r="BM12" s="3"/>
      <c r="BN12" s="3"/>
      <c r="BO12" s="3"/>
      <c r="BP12" s="3"/>
      <c r="BQ12" s="3"/>
      <c r="BR12" s="611"/>
      <c r="BS12" s="2"/>
      <c r="BT12" s="147"/>
      <c r="BU12" s="667"/>
      <c r="BV12" s="127"/>
      <c r="BW12" s="127"/>
      <c r="BX12" s="5"/>
      <c r="BY12" s="5"/>
      <c r="BZ12" s="127"/>
      <c r="CA12" s="127"/>
      <c r="CB12" s="127"/>
      <c r="CC12" s="5"/>
      <c r="CD12" s="5"/>
      <c r="CE12" s="5"/>
      <c r="CF12" s="669" t="s">
        <v>164</v>
      </c>
      <c r="CG12" s="669"/>
      <c r="CH12" s="669"/>
      <c r="CI12" s="5"/>
      <c r="CJ12" s="5"/>
      <c r="CK12" s="154" t="s">
        <v>164</v>
      </c>
      <c r="CL12" s="155"/>
      <c r="CM12" s="139"/>
      <c r="CN12" s="670" t="s">
        <v>205</v>
      </c>
      <c r="CO12" s="671"/>
      <c r="CP12" s="671"/>
      <c r="CQ12" s="672"/>
      <c r="CR12" s="2"/>
      <c r="CS12" s="2"/>
      <c r="CT12" s="48"/>
      <c r="CU12" s="17"/>
      <c r="CV12" s="17"/>
      <c r="CW12" s="17"/>
      <c r="CX12" s="16"/>
      <c r="CY12" s="17"/>
      <c r="CZ12" s="1"/>
      <c r="DA12" s="1"/>
      <c r="DB12" s="2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</row>
    <row r="13" spans="1:197" ht="28.5" x14ac:dyDescent="0.3">
      <c r="A13" s="49"/>
      <c r="B13" s="2"/>
      <c r="C13" s="1"/>
      <c r="D13" s="5"/>
      <c r="E13" s="96"/>
      <c r="F13" s="110"/>
      <c r="G13" s="110"/>
      <c r="H13" s="138"/>
      <c r="I13" s="1"/>
      <c r="J13" s="596"/>
      <c r="K13" s="72"/>
      <c r="L13" s="584"/>
      <c r="M13" s="584"/>
      <c r="N13" s="72"/>
      <c r="O13" s="3"/>
      <c r="P13" s="600"/>
      <c r="Q13" s="600"/>
      <c r="R13" s="600"/>
      <c r="S13" s="140"/>
      <c r="T13" s="158" t="s">
        <v>828</v>
      </c>
      <c r="U13" s="148" t="s">
        <v>175</v>
      </c>
      <c r="V13" s="149"/>
      <c r="W13" s="159" t="s">
        <v>836</v>
      </c>
      <c r="X13" s="159" t="s">
        <v>835</v>
      </c>
      <c r="Y13" s="159" t="s">
        <v>834</v>
      </c>
      <c r="Z13" s="149"/>
      <c r="AA13" s="3"/>
      <c r="AB13" s="3"/>
      <c r="AC13" s="3"/>
      <c r="AD13" s="3"/>
      <c r="AE13" s="3"/>
      <c r="AF13" s="605"/>
      <c r="AG13" s="605"/>
      <c r="AH13" s="605"/>
      <c r="AI13" s="1"/>
      <c r="AJ13" s="1"/>
      <c r="AK13" s="86"/>
      <c r="AL13" s="86"/>
      <c r="AM13" s="86"/>
      <c r="AN13" s="86"/>
      <c r="AO13" s="86"/>
      <c r="AP13" s="3"/>
      <c r="AQ13" s="3"/>
      <c r="AR13" s="3"/>
      <c r="AS13" s="3"/>
      <c r="AT13" s="88"/>
      <c r="AU13" s="88"/>
      <c r="AV13" s="88"/>
      <c r="AW13" s="88"/>
      <c r="AX13" s="88"/>
      <c r="AY13" s="88"/>
      <c r="AZ13" s="88"/>
      <c r="BA13" s="88"/>
      <c r="BB13" s="151"/>
      <c r="BC13" s="161" t="s">
        <v>897</v>
      </c>
      <c r="BD13" s="161" t="s">
        <v>896</v>
      </c>
      <c r="BE13" s="151"/>
      <c r="BF13" s="56"/>
      <c r="BG13" s="276"/>
      <c r="BH13" s="584"/>
      <c r="BI13" s="584"/>
      <c r="BJ13" s="584"/>
      <c r="BK13" s="276"/>
      <c r="BL13" s="3"/>
      <c r="BM13" s="3"/>
      <c r="BN13" s="607"/>
      <c r="BO13" s="607"/>
      <c r="BP13" s="607"/>
      <c r="BQ13" s="607"/>
      <c r="BR13" s="611"/>
      <c r="BS13" s="2"/>
      <c r="BT13" s="43"/>
      <c r="BU13" s="667"/>
      <c r="BV13" s="127"/>
      <c r="BW13" s="127"/>
      <c r="BX13" s="5"/>
      <c r="BY13" s="5"/>
      <c r="BZ13" s="5"/>
      <c r="CA13" s="5"/>
      <c r="CB13" s="5"/>
      <c r="CC13" s="5"/>
      <c r="CD13" s="5"/>
      <c r="CE13" s="5"/>
      <c r="CF13" s="75"/>
      <c r="CG13" s="75"/>
      <c r="CH13" s="75"/>
      <c r="CI13" s="5"/>
      <c r="CJ13" s="5"/>
      <c r="CK13" s="162"/>
      <c r="CL13" s="162"/>
      <c r="CM13" s="139"/>
      <c r="CN13" s="673"/>
      <c r="CO13" s="674"/>
      <c r="CP13" s="674"/>
      <c r="CQ13" s="675"/>
      <c r="CR13" s="2"/>
      <c r="CS13" s="2"/>
      <c r="CT13" s="48"/>
      <c r="CU13" s="17"/>
      <c r="CV13" s="17"/>
      <c r="CW13" s="17"/>
      <c r="CX13" s="16"/>
      <c r="CY13" s="17"/>
      <c r="CZ13" s="1"/>
      <c r="DA13" s="1"/>
      <c r="DB13" s="2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</row>
    <row r="14" spans="1:197" ht="28.5" x14ac:dyDescent="0.35">
      <c r="A14" s="49"/>
      <c r="B14" s="1"/>
      <c r="C14" s="5"/>
      <c r="D14" s="5"/>
      <c r="E14" s="108"/>
      <c r="F14" s="139"/>
      <c r="G14" s="139"/>
      <c r="H14" s="56"/>
      <c r="I14" s="56"/>
      <c r="J14" s="597"/>
      <c r="K14" s="72"/>
      <c r="L14" s="584"/>
      <c r="M14" s="584"/>
      <c r="N14" s="72"/>
      <c r="O14" s="3"/>
      <c r="P14" s="600"/>
      <c r="Q14" s="600"/>
      <c r="R14" s="600"/>
      <c r="S14" s="140"/>
      <c r="T14" s="158" t="s">
        <v>827</v>
      </c>
      <c r="U14" s="148" t="s">
        <v>175</v>
      </c>
      <c r="V14" s="164"/>
      <c r="W14" s="159" t="s">
        <v>833</v>
      </c>
      <c r="X14" s="159" t="s">
        <v>832</v>
      </c>
      <c r="Y14" s="159" t="s">
        <v>831</v>
      </c>
      <c r="Z14" s="149"/>
      <c r="AA14" s="3"/>
      <c r="AB14" s="3"/>
      <c r="AC14" s="3"/>
      <c r="AD14" s="3"/>
      <c r="AE14" s="3"/>
      <c r="AF14" s="605"/>
      <c r="AG14" s="605"/>
      <c r="AH14" s="605"/>
      <c r="AI14" s="1"/>
      <c r="AJ14" s="1"/>
      <c r="AK14" s="86"/>
      <c r="AL14" s="86"/>
      <c r="AM14" s="86"/>
      <c r="AN14" s="86"/>
      <c r="AO14" s="86"/>
      <c r="AP14" s="3"/>
      <c r="AQ14" s="3"/>
      <c r="AR14" s="3"/>
      <c r="AS14" s="3"/>
      <c r="AT14" s="88"/>
      <c r="AU14" s="88"/>
      <c r="AV14" s="88"/>
      <c r="AW14" s="88"/>
      <c r="AX14" s="88"/>
      <c r="AY14" s="88"/>
      <c r="AZ14" s="88"/>
      <c r="BA14" s="88"/>
      <c r="BB14" s="151"/>
      <c r="BC14" s="161" t="s">
        <v>895</v>
      </c>
      <c r="BD14" s="161" t="s">
        <v>894</v>
      </c>
      <c r="BE14" s="151"/>
      <c r="BF14" s="56"/>
      <c r="BG14" s="276"/>
      <c r="BH14" s="584"/>
      <c r="BI14" s="584"/>
      <c r="BJ14" s="584"/>
      <c r="BK14" s="276"/>
      <c r="BL14" s="3"/>
      <c r="BM14" s="3"/>
      <c r="BN14" s="607"/>
      <c r="BO14" s="607"/>
      <c r="BP14" s="607"/>
      <c r="BQ14" s="607"/>
      <c r="BR14" s="126"/>
      <c r="BS14" s="2"/>
      <c r="BT14" s="43"/>
      <c r="BU14" s="667"/>
      <c r="BV14" s="127"/>
      <c r="BW14" s="127"/>
      <c r="BX14" s="5"/>
      <c r="BY14" s="3"/>
      <c r="BZ14" s="3"/>
      <c r="CA14" s="3"/>
      <c r="CB14" s="3"/>
      <c r="CC14" s="3"/>
      <c r="CD14" s="3"/>
      <c r="CE14" s="3"/>
      <c r="CF14" s="165" t="s">
        <v>175</v>
      </c>
      <c r="CG14" s="165" t="s">
        <v>175</v>
      </c>
      <c r="CH14" s="165" t="s">
        <v>175</v>
      </c>
      <c r="CI14" s="90" t="s">
        <v>209</v>
      </c>
      <c r="CJ14" s="3"/>
      <c r="CK14" s="166" t="s">
        <v>175</v>
      </c>
      <c r="CL14" s="166" t="s">
        <v>175</v>
      </c>
      <c r="CM14" s="3"/>
      <c r="CN14" s="673"/>
      <c r="CO14" s="674"/>
      <c r="CP14" s="674"/>
      <c r="CQ14" s="675"/>
      <c r="CR14" s="2"/>
      <c r="CS14" s="2"/>
      <c r="CT14" s="48"/>
      <c r="CU14" s="17"/>
      <c r="CV14" s="17"/>
      <c r="CW14" s="17"/>
      <c r="CX14" s="16"/>
      <c r="CY14" s="17"/>
      <c r="CZ14" s="1"/>
      <c r="DA14" s="1"/>
      <c r="DB14" s="2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</row>
    <row r="15" spans="1:197" ht="28.5" x14ac:dyDescent="0.35">
      <c r="A15" s="49"/>
      <c r="B15" s="2"/>
      <c r="C15" s="5"/>
      <c r="D15" s="5"/>
      <c r="E15" s="108"/>
      <c r="F15" s="584"/>
      <c r="G15" s="584"/>
      <c r="H15" s="679"/>
      <c r="I15" s="3"/>
      <c r="J15" s="597"/>
      <c r="K15" s="595"/>
      <c r="L15" s="210"/>
      <c r="M15" s="210"/>
      <c r="N15" s="598"/>
      <c r="O15" s="3"/>
      <c r="P15" s="110"/>
      <c r="Q15" s="110"/>
      <c r="R15" s="110"/>
      <c r="S15" s="140"/>
      <c r="T15" s="132"/>
      <c r="U15" s="5"/>
      <c r="V15" s="3"/>
      <c r="W15" s="149" t="s">
        <v>202</v>
      </c>
      <c r="X15" s="149" t="s">
        <v>202</v>
      </c>
      <c r="Y15" s="149" t="s">
        <v>202</v>
      </c>
      <c r="Z15" s="60" t="s">
        <v>210</v>
      </c>
      <c r="AA15" s="3"/>
      <c r="AB15" s="3"/>
      <c r="AC15" s="3"/>
      <c r="AD15" s="3"/>
      <c r="AE15" s="3"/>
      <c r="AF15" s="98"/>
      <c r="AG15" s="98"/>
      <c r="AH15" s="98"/>
      <c r="AI15" s="98"/>
      <c r="AJ15" s="168"/>
      <c r="AK15" s="86"/>
      <c r="AL15" s="86"/>
      <c r="AM15" s="86"/>
      <c r="AN15" s="86"/>
      <c r="AO15" s="86"/>
      <c r="AP15" s="3"/>
      <c r="AQ15" s="3"/>
      <c r="AR15" s="3"/>
      <c r="AS15" s="3"/>
      <c r="AT15" s="88"/>
      <c r="AU15" s="88"/>
      <c r="AV15" s="88"/>
      <c r="AW15" s="88"/>
      <c r="AX15" s="88"/>
      <c r="AY15" s="88"/>
      <c r="AZ15" s="88"/>
      <c r="BA15" s="88"/>
      <c r="BB15" s="88"/>
      <c r="BC15" s="151" t="s">
        <v>175</v>
      </c>
      <c r="BD15" s="151" t="s">
        <v>175</v>
      </c>
      <c r="BE15" s="152"/>
      <c r="BF15" s="56"/>
      <c r="BG15" s="613"/>
      <c r="BH15" s="276"/>
      <c r="BI15" s="276"/>
      <c r="BJ15" s="276"/>
      <c r="BK15" s="2"/>
      <c r="BL15" s="47"/>
      <c r="BM15" s="5"/>
      <c r="BN15" s="5"/>
      <c r="BO15" s="5"/>
      <c r="BP15" s="5"/>
      <c r="BQ15" s="5"/>
      <c r="BR15" s="5"/>
      <c r="BS15" s="5"/>
      <c r="BT15" s="5"/>
      <c r="BU15" s="667"/>
      <c r="BV15" s="127"/>
      <c r="BW15" s="127"/>
      <c r="BX15" s="127"/>
      <c r="BY15" s="608"/>
      <c r="BZ15" s="628"/>
      <c r="CA15" s="628"/>
      <c r="CB15" s="628"/>
      <c r="CC15" s="628"/>
      <c r="CD15" s="3"/>
      <c r="CE15" s="3"/>
      <c r="CF15" s="171" t="s">
        <v>929</v>
      </c>
      <c r="CG15" s="171" t="s">
        <v>928</v>
      </c>
      <c r="CH15" s="171" t="s">
        <v>927</v>
      </c>
      <c r="CI15" s="165"/>
      <c r="CJ15" s="166"/>
      <c r="CK15" s="172" t="s">
        <v>933</v>
      </c>
      <c r="CL15" s="172" t="s">
        <v>932</v>
      </c>
      <c r="CM15" s="166"/>
      <c r="CN15" s="673"/>
      <c r="CO15" s="674"/>
      <c r="CP15" s="674"/>
      <c r="CQ15" s="675"/>
      <c r="CR15" s="2"/>
      <c r="CS15" s="2"/>
      <c r="CT15" s="48"/>
      <c r="CU15" s="17"/>
      <c r="CV15" s="17"/>
      <c r="CW15" s="17"/>
      <c r="CX15" s="16"/>
      <c r="CY15" s="17"/>
      <c r="CZ15" s="1"/>
      <c r="DA15" s="1"/>
      <c r="DB15" s="2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</row>
    <row r="16" spans="1:197" ht="29.25" thickBot="1" x14ac:dyDescent="0.45">
      <c r="A16" s="644" t="s">
        <v>164</v>
      </c>
      <c r="B16" s="644"/>
      <c r="C16" s="6"/>
      <c r="D16" s="173"/>
      <c r="E16" s="174"/>
      <c r="F16" s="584"/>
      <c r="G16" s="584"/>
      <c r="H16" s="680"/>
      <c r="I16" s="110"/>
      <c r="J16" s="596"/>
      <c r="K16" s="210"/>
      <c r="L16" s="584"/>
      <c r="M16" s="584"/>
      <c r="N16" s="3"/>
      <c r="O16" s="3"/>
      <c r="P16" s="3"/>
      <c r="Q16" s="3"/>
      <c r="R16" s="110"/>
      <c r="S16" s="140"/>
      <c r="T16" s="644" t="s">
        <v>211</v>
      </c>
      <c r="U16" s="644"/>
      <c r="V16" s="3"/>
      <c r="W16" s="179"/>
      <c r="X16" s="180"/>
      <c r="Y16" s="180"/>
      <c r="Z16" s="181"/>
      <c r="AA16" s="3"/>
      <c r="AB16" s="3"/>
      <c r="AC16" s="3"/>
      <c r="AD16" s="3"/>
      <c r="AE16" s="3"/>
      <c r="AF16" s="5"/>
      <c r="AG16" s="5"/>
      <c r="AH16" s="5"/>
      <c r="AI16" s="98"/>
      <c r="AJ16" s="649" t="s">
        <v>198</v>
      </c>
      <c r="AK16" s="649"/>
      <c r="AL16" s="649"/>
      <c r="AM16" s="649"/>
      <c r="AN16" s="86"/>
      <c r="AO16" s="86"/>
      <c r="AP16" s="3"/>
      <c r="AQ16" s="3"/>
      <c r="AR16" s="3"/>
      <c r="AS16" s="3"/>
      <c r="AT16" s="88"/>
      <c r="AU16" s="88"/>
      <c r="AV16" s="88"/>
      <c r="AW16" s="88"/>
      <c r="AX16" s="88"/>
      <c r="AY16" s="88"/>
      <c r="AZ16" s="88"/>
      <c r="BA16" s="88"/>
      <c r="BB16" s="88"/>
      <c r="BC16" s="75"/>
      <c r="BD16" s="75"/>
      <c r="BE16" s="88"/>
      <c r="BF16" s="2"/>
      <c r="BG16" s="2"/>
      <c r="BH16" s="2"/>
      <c r="BI16" s="86"/>
      <c r="BJ16" s="86"/>
      <c r="BK16" s="2"/>
      <c r="BL16" s="1"/>
      <c r="BM16" s="5"/>
      <c r="BN16" s="5"/>
      <c r="BO16" s="5"/>
      <c r="BP16" s="5"/>
      <c r="BQ16" s="5"/>
      <c r="BR16" s="5"/>
      <c r="BS16" s="5"/>
      <c r="BT16" s="5"/>
      <c r="BU16" s="668"/>
      <c r="BV16" s="127"/>
      <c r="BW16" s="127"/>
      <c r="BX16" s="127"/>
      <c r="BY16" s="608"/>
      <c r="BZ16" s="628"/>
      <c r="CA16" s="628"/>
      <c r="CB16" s="628"/>
      <c r="CC16" s="628"/>
      <c r="CD16" s="182"/>
      <c r="CE16" s="182"/>
      <c r="CF16" s="171" t="s">
        <v>926</v>
      </c>
      <c r="CG16" s="171" t="s">
        <v>925</v>
      </c>
      <c r="CH16" s="171" t="s">
        <v>924</v>
      </c>
      <c r="CI16" s="165"/>
      <c r="CJ16" s="166"/>
      <c r="CK16" s="172" t="s">
        <v>931</v>
      </c>
      <c r="CL16" s="172" t="s">
        <v>930</v>
      </c>
      <c r="CM16" s="166"/>
      <c r="CN16" s="673"/>
      <c r="CO16" s="674"/>
      <c r="CP16" s="674"/>
      <c r="CQ16" s="675"/>
      <c r="CR16" s="2"/>
      <c r="CS16" s="2"/>
      <c r="CT16" s="48"/>
      <c r="CU16" s="17"/>
      <c r="CV16" s="17"/>
      <c r="CW16" s="17"/>
      <c r="CX16" s="16"/>
      <c r="CY16" s="17"/>
      <c r="CZ16" s="1"/>
      <c r="DA16" s="1"/>
      <c r="DB16" s="2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</row>
    <row r="17" spans="1:197" ht="28.5" x14ac:dyDescent="0.4">
      <c r="A17" s="35" t="s">
        <v>788</v>
      </c>
      <c r="B17" s="34" t="s">
        <v>175</v>
      </c>
      <c r="C17" s="30"/>
      <c r="D17" s="5"/>
      <c r="E17" s="1"/>
      <c r="F17" s="139"/>
      <c r="G17" s="139"/>
      <c r="H17" s="128"/>
      <c r="I17" s="128"/>
      <c r="J17" s="110"/>
      <c r="K17" s="599"/>
      <c r="L17" s="584"/>
      <c r="M17" s="584"/>
      <c r="N17" s="597"/>
      <c r="O17" s="189"/>
      <c r="P17" s="210"/>
      <c r="Q17" s="210"/>
      <c r="R17" s="56"/>
      <c r="S17" s="140"/>
      <c r="T17" s="5"/>
      <c r="U17" s="5"/>
      <c r="V17" s="5"/>
      <c r="W17" s="5"/>
      <c r="X17" s="5"/>
      <c r="Y17" s="5"/>
      <c r="Z17" s="5"/>
      <c r="AA17" s="147"/>
      <c r="AE17" s="5"/>
      <c r="AF17" s="5"/>
      <c r="AG17" s="5"/>
      <c r="AH17" s="5"/>
      <c r="AI17" s="56"/>
      <c r="AJ17" s="110"/>
      <c r="AK17" s="110"/>
      <c r="AL17" s="110"/>
      <c r="AM17" s="110"/>
      <c r="AN17" s="17"/>
      <c r="AO17" s="56" t="s">
        <v>213</v>
      </c>
      <c r="AP17" s="86"/>
      <c r="AQ17" s="86"/>
      <c r="AR17" s="86"/>
      <c r="AS17" s="134"/>
      <c r="AT17" s="1"/>
      <c r="AU17" s="88"/>
      <c r="AV17" s="88"/>
      <c r="AW17" s="88"/>
      <c r="AX17" s="88"/>
      <c r="AY17" s="86"/>
      <c r="AZ17" s="3"/>
      <c r="BA17" s="56"/>
      <c r="BB17" s="86"/>
      <c r="BC17" s="86"/>
      <c r="BD17" s="86"/>
      <c r="BE17" s="2"/>
      <c r="BF17" s="56"/>
      <c r="BG17" s="86"/>
      <c r="BH17" s="86"/>
      <c r="BI17" s="86"/>
      <c r="BJ17" s="86"/>
      <c r="BK17" s="2"/>
      <c r="BL17" s="1"/>
      <c r="BM17" s="5"/>
      <c r="BN17" s="5"/>
      <c r="BO17" s="5"/>
      <c r="BP17" s="5"/>
      <c r="BQ17" s="5"/>
      <c r="BR17" s="5"/>
      <c r="BS17" s="5"/>
      <c r="BT17" s="5"/>
      <c r="BU17" s="68"/>
      <c r="BV17" s="127"/>
      <c r="BW17" s="127"/>
      <c r="BX17" s="127"/>
      <c r="BY17" s="94"/>
      <c r="BZ17" s="94"/>
      <c r="CA17" s="94"/>
      <c r="CB17" s="94"/>
      <c r="CC17" s="94"/>
      <c r="CD17" s="30"/>
      <c r="CE17" s="188"/>
      <c r="CF17" s="165" t="s">
        <v>175</v>
      </c>
      <c r="CG17" s="165" t="s">
        <v>175</v>
      </c>
      <c r="CH17" s="165" t="s">
        <v>175</v>
      </c>
      <c r="CI17" s="3"/>
      <c r="CJ17" s="3"/>
      <c r="CK17" s="166" t="s">
        <v>175</v>
      </c>
      <c r="CL17" s="166" t="s">
        <v>175</v>
      </c>
      <c r="CM17" s="3"/>
      <c r="CN17" s="673"/>
      <c r="CO17" s="674"/>
      <c r="CP17" s="674"/>
      <c r="CQ17" s="675"/>
      <c r="CR17" s="2"/>
      <c r="CS17" s="2"/>
      <c r="CT17" s="48"/>
      <c r="CU17" s="17"/>
      <c r="CV17" s="17"/>
      <c r="CW17" s="17"/>
      <c r="CX17" s="16"/>
      <c r="CY17" s="17"/>
      <c r="CZ17" s="1"/>
      <c r="DA17" s="1"/>
      <c r="DB17" s="2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</row>
    <row r="18" spans="1:197" ht="28.5" x14ac:dyDescent="0.3">
      <c r="A18" s="589"/>
      <c r="B18" s="189"/>
      <c r="C18" s="3"/>
      <c r="D18" s="5"/>
      <c r="E18" s="1"/>
      <c r="F18" s="110"/>
      <c r="G18" s="110"/>
      <c r="H18" s="107"/>
      <c r="I18" s="1"/>
      <c r="J18" s="5"/>
      <c r="K18" s="138"/>
      <c r="L18" s="599"/>
      <c r="M18" s="599"/>
      <c r="N18" s="596"/>
      <c r="O18" s="72"/>
      <c r="P18" s="584"/>
      <c r="Q18" s="584"/>
      <c r="R18" s="72"/>
      <c r="S18" s="140"/>
      <c r="T18" s="192" t="s">
        <v>839</v>
      </c>
      <c r="U18" s="149" t="s">
        <v>202</v>
      </c>
      <c r="V18" s="3"/>
      <c r="W18" s="193"/>
      <c r="X18" s="194"/>
      <c r="Y18" s="194"/>
      <c r="Z18" s="5"/>
      <c r="AA18" s="5"/>
      <c r="AB18" s="5"/>
      <c r="AC18" s="58"/>
      <c r="AD18" s="58"/>
      <c r="AE18" s="5"/>
      <c r="AF18" s="195"/>
      <c r="AG18" s="5"/>
      <c r="AH18" s="58"/>
      <c r="AI18" s="5"/>
      <c r="AJ18" s="5"/>
      <c r="AK18" s="196" t="s">
        <v>202</v>
      </c>
      <c r="AL18" s="196" t="s">
        <v>202</v>
      </c>
      <c r="AM18" s="196" t="s">
        <v>202</v>
      </c>
      <c r="AN18" s="62" t="s">
        <v>219</v>
      </c>
      <c r="AO18" s="64" t="s">
        <v>220</v>
      </c>
      <c r="AP18" s="197" t="s">
        <v>182</v>
      </c>
      <c r="AQ18" s="197" t="s">
        <v>182</v>
      </c>
      <c r="AR18" s="197" t="s">
        <v>182</v>
      </c>
      <c r="AS18" s="2"/>
      <c r="AT18" s="3"/>
      <c r="AU18" s="88"/>
      <c r="AV18" s="88"/>
      <c r="AW18" s="88"/>
      <c r="AX18" s="88"/>
      <c r="AY18" s="2"/>
      <c r="AZ18" s="3"/>
      <c r="BA18" s="138"/>
      <c r="BB18" s="139"/>
      <c r="BC18" s="139"/>
      <c r="BD18" s="139"/>
      <c r="BE18" s="625"/>
      <c r="BF18" s="138"/>
      <c r="BG18" s="139"/>
      <c r="BH18" s="139"/>
      <c r="BI18" s="139"/>
      <c r="BJ18" s="139"/>
      <c r="BK18" s="2"/>
      <c r="BL18" s="1"/>
      <c r="BM18" s="5"/>
      <c r="BN18" s="5"/>
      <c r="BO18" s="5"/>
      <c r="BP18" s="5"/>
      <c r="BQ18" s="5"/>
      <c r="BR18" s="5"/>
      <c r="BS18" s="5"/>
      <c r="BT18" s="5"/>
      <c r="BU18" s="68"/>
      <c r="BV18" s="127"/>
      <c r="BW18" s="127"/>
      <c r="BX18" s="127"/>
      <c r="BY18" s="94"/>
      <c r="BZ18" s="3"/>
      <c r="CA18" s="3"/>
      <c r="CB18" s="3"/>
      <c r="CC18" s="3"/>
      <c r="CD18" s="3"/>
      <c r="CE18" s="3"/>
      <c r="CF18" s="75"/>
      <c r="CG18" s="75"/>
      <c r="CH18" s="75"/>
      <c r="CI18" s="3"/>
      <c r="CJ18" s="3"/>
      <c r="CK18" s="86"/>
      <c r="CL18" s="86"/>
      <c r="CM18" s="3"/>
      <c r="CN18" s="673"/>
      <c r="CO18" s="674"/>
      <c r="CP18" s="674"/>
      <c r="CQ18" s="675"/>
      <c r="CR18" s="2"/>
      <c r="CS18" s="2"/>
      <c r="CT18" s="48"/>
      <c r="CU18" s="17"/>
      <c r="CV18" s="17"/>
      <c r="CW18" s="17"/>
      <c r="CX18" s="16"/>
      <c r="CY18" s="17"/>
      <c r="CZ18" s="1"/>
      <c r="DA18" s="1"/>
      <c r="DB18" s="2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</row>
    <row r="19" spans="1:197" ht="28.5" x14ac:dyDescent="0.35">
      <c r="A19" s="35" t="s">
        <v>787</v>
      </c>
      <c r="B19" s="34" t="s">
        <v>175</v>
      </c>
      <c r="C19" s="199"/>
      <c r="D19" s="200"/>
      <c r="E19" s="3"/>
      <c r="F19" s="3"/>
      <c r="G19" s="3"/>
      <c r="H19" s="3"/>
      <c r="I19" s="5"/>
      <c r="J19" s="190"/>
      <c r="K19" s="186"/>
      <c r="L19" s="3"/>
      <c r="M19" s="3"/>
      <c r="N19" s="596"/>
      <c r="O19" s="72"/>
      <c r="P19" s="584"/>
      <c r="Q19" s="584"/>
      <c r="R19" s="72"/>
      <c r="S19" s="140"/>
      <c r="T19" s="192" t="s">
        <v>838</v>
      </c>
      <c r="U19" s="149" t="s">
        <v>202</v>
      </c>
      <c r="V19" s="604"/>
      <c r="W19" s="604"/>
      <c r="X19" s="604"/>
      <c r="Y19" s="604"/>
      <c r="Z19" s="5"/>
      <c r="AA19" s="604"/>
      <c r="AB19" s="604"/>
      <c r="AC19" s="604"/>
      <c r="AD19" s="3"/>
      <c r="AE19" s="5"/>
      <c r="AF19" s="604"/>
      <c r="AG19" s="604"/>
      <c r="AH19" s="604"/>
      <c r="AI19" s="5"/>
      <c r="AJ19" s="5"/>
      <c r="AK19" s="201" t="s">
        <v>863</v>
      </c>
      <c r="AL19" s="201" t="s">
        <v>862</v>
      </c>
      <c r="AM19" s="201" t="s">
        <v>861</v>
      </c>
      <c r="AN19" s="196"/>
      <c r="AO19" s="202"/>
      <c r="AP19" s="203" t="s">
        <v>869</v>
      </c>
      <c r="AQ19" s="203" t="s">
        <v>868</v>
      </c>
      <c r="AR19" s="204" t="s">
        <v>867</v>
      </c>
      <c r="AS19" s="205"/>
      <c r="AT19" s="3"/>
      <c r="AU19" s="88"/>
      <c r="AV19" s="88"/>
      <c r="AW19" s="88"/>
      <c r="AX19" s="88"/>
      <c r="AY19" s="2"/>
      <c r="AZ19" s="3"/>
      <c r="BA19" s="139"/>
      <c r="BB19" s="584"/>
      <c r="BC19" s="584"/>
      <c r="BD19" s="584"/>
      <c r="BE19" s="139"/>
      <c r="BF19" s="139"/>
      <c r="BG19" s="139"/>
      <c r="BH19" s="584"/>
      <c r="BI19" s="584"/>
      <c r="BJ19" s="584"/>
      <c r="BK19" s="139"/>
      <c r="BL19" s="1"/>
      <c r="BM19" s="5"/>
      <c r="BN19" s="5"/>
      <c r="BO19" s="5"/>
      <c r="BP19" s="5"/>
      <c r="BQ19" s="5"/>
      <c r="BR19" s="5"/>
      <c r="BS19" s="5"/>
      <c r="BT19" s="5"/>
      <c r="BU19" s="47"/>
      <c r="BV19" s="206"/>
      <c r="BW19" s="127"/>
      <c r="BX19" s="127"/>
      <c r="BY19" s="94"/>
      <c r="BZ19" s="681" t="s">
        <v>176</v>
      </c>
      <c r="CA19" s="681"/>
      <c r="CB19" s="681"/>
      <c r="CC19" s="681"/>
      <c r="CD19" s="189"/>
      <c r="CJ19" s="207"/>
      <c r="CK19" s="207"/>
      <c r="CL19" s="207"/>
      <c r="CM19" s="3"/>
      <c r="CN19" s="673"/>
      <c r="CO19" s="674"/>
      <c r="CP19" s="674"/>
      <c r="CQ19" s="675"/>
      <c r="CR19" s="2"/>
      <c r="CS19" s="2"/>
      <c r="CT19" s="48"/>
      <c r="CU19" s="17"/>
      <c r="CV19" s="17"/>
      <c r="CW19" s="17"/>
      <c r="CX19" s="16"/>
      <c r="CY19" s="17"/>
      <c r="CZ19" s="1"/>
      <c r="DA19" s="1"/>
      <c r="DB19" s="2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</row>
    <row r="20" spans="1:197" ht="28.5" x14ac:dyDescent="0.4">
      <c r="A20" s="590"/>
      <c r="B20" s="134"/>
      <c r="C20" s="199"/>
      <c r="D20" s="208"/>
      <c r="E20" s="12" t="s">
        <v>223</v>
      </c>
      <c r="F20" s="12"/>
      <c r="G20" s="12"/>
      <c r="H20" s="12"/>
      <c r="I20" s="70"/>
      <c r="J20" s="208"/>
      <c r="K20" s="3"/>
      <c r="L20" s="3"/>
      <c r="M20" s="3"/>
      <c r="N20" s="596"/>
      <c r="O20" s="72"/>
      <c r="P20" s="584"/>
      <c r="Q20" s="584"/>
      <c r="R20" s="72"/>
      <c r="S20" s="140"/>
      <c r="T20" s="159" t="s">
        <v>837</v>
      </c>
      <c r="U20" s="149" t="s">
        <v>202</v>
      </c>
      <c r="V20" s="604"/>
      <c r="W20" s="604"/>
      <c r="X20" s="604"/>
      <c r="Y20" s="604"/>
      <c r="Z20" s="5"/>
      <c r="AA20" s="604"/>
      <c r="AB20" s="604"/>
      <c r="AC20" s="604"/>
      <c r="AD20" s="3"/>
      <c r="AE20" s="5"/>
      <c r="AF20" s="604"/>
      <c r="AG20" s="604"/>
      <c r="AH20" s="604"/>
      <c r="AI20" s="5"/>
      <c r="AJ20" s="5"/>
      <c r="AK20" s="201" t="s">
        <v>860</v>
      </c>
      <c r="AL20" s="201" t="s">
        <v>859</v>
      </c>
      <c r="AM20" s="201" t="s">
        <v>858</v>
      </c>
      <c r="AN20" s="196"/>
      <c r="AO20" s="202"/>
      <c r="AP20" s="204" t="s">
        <v>866</v>
      </c>
      <c r="AQ20" s="204" t="s">
        <v>865</v>
      </c>
      <c r="AR20" s="204" t="s">
        <v>864</v>
      </c>
      <c r="AS20" s="209"/>
      <c r="AT20" s="3"/>
      <c r="AU20" s="88"/>
      <c r="AV20" s="88"/>
      <c r="AW20" s="88"/>
      <c r="AX20" s="88"/>
      <c r="AY20" s="2"/>
      <c r="AZ20" s="3"/>
      <c r="BA20" s="139"/>
      <c r="BB20" s="584"/>
      <c r="BC20" s="584"/>
      <c r="BD20" s="584"/>
      <c r="BE20" s="139"/>
      <c r="BF20" s="139"/>
      <c r="BG20" s="139"/>
      <c r="BH20" s="584"/>
      <c r="BI20" s="584"/>
      <c r="BJ20" s="584"/>
      <c r="BK20" s="139"/>
      <c r="BL20" s="1"/>
      <c r="BM20" s="5"/>
      <c r="BN20" s="5"/>
      <c r="BO20" s="5"/>
      <c r="BP20" s="5"/>
      <c r="BQ20" s="5"/>
      <c r="BR20" s="5"/>
      <c r="BS20" s="5"/>
      <c r="BT20" s="5"/>
      <c r="BU20" s="47"/>
      <c r="BV20" s="206"/>
      <c r="BW20" s="127"/>
      <c r="BX20" s="127"/>
      <c r="BY20" s="94"/>
      <c r="BZ20" s="86"/>
      <c r="CA20" s="86"/>
      <c r="CB20" s="86"/>
      <c r="CC20" s="86"/>
      <c r="CD20" s="210"/>
      <c r="CJ20" s="3"/>
      <c r="CK20" s="30"/>
      <c r="CL20" s="30"/>
      <c r="CM20" s="3"/>
      <c r="CN20" s="673"/>
      <c r="CO20" s="674"/>
      <c r="CP20" s="674"/>
      <c r="CQ20" s="675"/>
      <c r="CR20" s="2"/>
      <c r="CS20" s="2"/>
      <c r="CT20" s="48"/>
      <c r="CU20" s="17"/>
      <c r="CV20" s="17"/>
      <c r="CW20" s="17"/>
      <c r="CX20" s="16"/>
      <c r="CY20" s="17"/>
      <c r="CZ20" s="1"/>
      <c r="DA20" s="1"/>
      <c r="DB20" s="2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</row>
    <row r="21" spans="1:197" ht="29.25" thickBot="1" x14ac:dyDescent="0.35">
      <c r="A21" s="35" t="s">
        <v>786</v>
      </c>
      <c r="B21" s="34" t="s">
        <v>175</v>
      </c>
      <c r="C21" s="199"/>
      <c r="D21" s="208"/>
      <c r="E21" s="60" t="s">
        <v>178</v>
      </c>
      <c r="F21" s="211"/>
      <c r="G21" s="211"/>
      <c r="H21" s="62" t="s">
        <v>219</v>
      </c>
      <c r="I21" s="70"/>
      <c r="J21" s="208"/>
      <c r="K21" s="3"/>
      <c r="L21" s="3"/>
      <c r="M21" s="3"/>
      <c r="N21" s="597"/>
      <c r="O21" s="595"/>
      <c r="P21" s="210"/>
      <c r="Q21" s="210"/>
      <c r="R21" s="598"/>
      <c r="S21" s="140"/>
      <c r="T21" s="648" t="s">
        <v>224</v>
      </c>
      <c r="U21" s="648"/>
      <c r="V21" s="648"/>
      <c r="W21" s="682"/>
      <c r="X21" s="682"/>
      <c r="Y21" s="682"/>
      <c r="Z21" s="5"/>
      <c r="AA21" s="3"/>
      <c r="AB21" s="649" t="s">
        <v>223</v>
      </c>
      <c r="AC21" s="649"/>
      <c r="AD21" s="649"/>
      <c r="AE21" s="5"/>
      <c r="AF21" s="5"/>
      <c r="AG21" s="5"/>
      <c r="AH21" s="5"/>
      <c r="AI21" s="5"/>
      <c r="AJ21" s="5"/>
      <c r="AK21" s="196" t="s">
        <v>202</v>
      </c>
      <c r="AL21" s="196" t="s">
        <v>202</v>
      </c>
      <c r="AM21" s="196" t="s">
        <v>202</v>
      </c>
      <c r="AN21" s="17"/>
      <c r="AO21" s="58"/>
      <c r="AP21" s="197" t="s">
        <v>182</v>
      </c>
      <c r="AQ21" s="197" t="s">
        <v>182</v>
      </c>
      <c r="AR21" s="197" t="s">
        <v>182</v>
      </c>
      <c r="AS21" s="58"/>
      <c r="AT21" s="3"/>
      <c r="AU21" s="88"/>
      <c r="AV21" s="88"/>
      <c r="AW21" s="88"/>
      <c r="AX21" s="88"/>
      <c r="AY21" s="2"/>
      <c r="AZ21" s="3"/>
      <c r="BA21" s="139"/>
      <c r="BB21" s="139"/>
      <c r="BC21" s="139"/>
      <c r="BD21" s="139"/>
      <c r="BE21" s="613"/>
      <c r="BF21" s="139"/>
      <c r="BG21" s="139"/>
      <c r="BH21" s="139"/>
      <c r="BI21" s="139"/>
      <c r="BJ21" s="139"/>
      <c r="BK21" s="139"/>
      <c r="BL21" s="1"/>
      <c r="BM21" s="5"/>
      <c r="BN21" s="5"/>
      <c r="BO21" s="5"/>
      <c r="BP21" s="5"/>
      <c r="BQ21" s="5"/>
      <c r="BR21" s="5"/>
      <c r="BS21" s="5"/>
      <c r="BT21" s="5"/>
      <c r="BU21" s="47"/>
      <c r="BV21" s="213"/>
      <c r="BW21" s="127"/>
      <c r="BX21" s="127"/>
      <c r="BY21" s="60" t="s">
        <v>226</v>
      </c>
      <c r="BZ21" s="214" t="s">
        <v>175</v>
      </c>
      <c r="CA21" s="214" t="s">
        <v>175</v>
      </c>
      <c r="CB21" s="214" t="s">
        <v>175</v>
      </c>
      <c r="CC21" s="214" t="s">
        <v>175</v>
      </c>
      <c r="CD21" s="215" t="s">
        <v>227</v>
      </c>
      <c r="CJ21" s="317"/>
      <c r="CK21" s="3"/>
      <c r="CL21" s="3"/>
      <c r="CN21" s="673"/>
      <c r="CO21" s="674"/>
      <c r="CP21" s="674"/>
      <c r="CQ21" s="675"/>
      <c r="CR21" s="2"/>
      <c r="CS21" s="2"/>
      <c r="CT21" s="48"/>
      <c r="CU21" s="17"/>
      <c r="CV21" s="17"/>
      <c r="CW21" s="17"/>
      <c r="CX21" s="16"/>
      <c r="CY21" s="17"/>
      <c r="CZ21" s="1"/>
      <c r="DA21" s="1"/>
      <c r="DB21" s="2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</row>
    <row r="22" spans="1:197" ht="29.25" thickBot="1" x14ac:dyDescent="0.45">
      <c r="A22" s="589"/>
      <c r="B22" s="3"/>
      <c r="C22" s="199"/>
      <c r="D22" s="199"/>
      <c r="E22" s="196" t="s">
        <v>202</v>
      </c>
      <c r="F22" s="201" t="s">
        <v>803</v>
      </c>
      <c r="G22" s="201" t="s">
        <v>802</v>
      </c>
      <c r="H22" s="196" t="s">
        <v>202</v>
      </c>
      <c r="I22" s="199"/>
      <c r="J22" s="208"/>
      <c r="K22" s="3"/>
      <c r="L22" s="3"/>
      <c r="M22" s="3"/>
      <c r="N22" s="3"/>
      <c r="O22" s="3"/>
      <c r="P22" s="3"/>
      <c r="Q22" s="3"/>
      <c r="R22" s="130"/>
      <c r="S22" s="140"/>
      <c r="T22" s="3"/>
      <c r="U22" s="216"/>
      <c r="V22" s="200"/>
      <c r="W22" s="200"/>
      <c r="X22" s="200"/>
      <c r="Y22" s="217"/>
      <c r="Z22" s="5"/>
      <c r="AA22" s="5"/>
      <c r="AB22" s="200"/>
      <c r="AC22" s="200"/>
      <c r="AD22" s="217"/>
      <c r="AE22" s="5"/>
      <c r="AF22" s="5"/>
      <c r="AG22" s="5"/>
      <c r="AH22" s="5"/>
      <c r="AI22" s="5"/>
      <c r="AJ22" s="200"/>
      <c r="AK22" s="200"/>
      <c r="AL22" s="200"/>
      <c r="AM22" s="217"/>
      <c r="AN22" s="17"/>
      <c r="AO22" s="58"/>
      <c r="AP22" s="86"/>
      <c r="AQ22" s="86"/>
      <c r="AR22" s="86"/>
      <c r="AS22" s="3"/>
      <c r="AT22" s="86"/>
      <c r="AU22" s="88"/>
      <c r="AV22" s="88"/>
      <c r="AW22" s="88"/>
      <c r="AX22" s="88"/>
      <c r="AY22" s="2"/>
      <c r="AZ22" s="86"/>
      <c r="BA22" s="88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1"/>
      <c r="BM22" s="5"/>
      <c r="BN22" s="5"/>
      <c r="BO22" s="5"/>
      <c r="BP22" s="5"/>
      <c r="BQ22" s="5"/>
      <c r="BR22" s="5"/>
      <c r="BS22" s="5"/>
      <c r="BT22" s="5"/>
      <c r="BU22" s="47"/>
      <c r="BV22" s="218"/>
      <c r="BW22" s="127"/>
      <c r="BX22" s="127"/>
      <c r="BY22" s="214"/>
      <c r="BZ22" s="219" t="s">
        <v>941</v>
      </c>
      <c r="CA22" s="219" t="s">
        <v>940</v>
      </c>
      <c r="CB22" s="219" t="s">
        <v>939</v>
      </c>
      <c r="CC22" s="102" t="s">
        <v>938</v>
      </c>
      <c r="CD22" s="214"/>
      <c r="CJ22" s="629"/>
      <c r="CK22" s="629"/>
      <c r="CL22" s="629"/>
      <c r="CN22" s="673"/>
      <c r="CO22" s="674"/>
      <c r="CP22" s="674"/>
      <c r="CQ22" s="675"/>
      <c r="CR22" s="2"/>
      <c r="CS22" s="2"/>
      <c r="CT22" s="48"/>
      <c r="CU22" s="17"/>
      <c r="CV22" s="17"/>
      <c r="CW22" s="17"/>
      <c r="CX22" s="16"/>
      <c r="CY22" s="17"/>
      <c r="CZ22" s="1"/>
      <c r="DA22" s="1"/>
      <c r="DB22" s="2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</row>
    <row r="23" spans="1:197" ht="29.25" thickBot="1" x14ac:dyDescent="0.45">
      <c r="A23" s="35" t="s">
        <v>785</v>
      </c>
      <c r="B23" s="34" t="s">
        <v>175</v>
      </c>
      <c r="C23" s="199"/>
      <c r="D23" s="199"/>
      <c r="E23" s="196" t="s">
        <v>202</v>
      </c>
      <c r="F23" s="201" t="s">
        <v>801</v>
      </c>
      <c r="G23" s="201" t="s">
        <v>800</v>
      </c>
      <c r="H23" s="196" t="s">
        <v>202</v>
      </c>
      <c r="I23" s="199"/>
      <c r="J23" s="190"/>
      <c r="K23" s="3"/>
      <c r="L23" s="3"/>
      <c r="M23" s="3"/>
      <c r="N23" s="3"/>
      <c r="O23" s="3"/>
      <c r="P23" s="3"/>
      <c r="Q23" s="3"/>
      <c r="R23" s="3"/>
      <c r="S23" s="1"/>
      <c r="T23" s="3"/>
      <c r="U23" s="3"/>
      <c r="V23" s="62" t="s">
        <v>228</v>
      </c>
      <c r="W23" s="221" t="s">
        <v>182</v>
      </c>
      <c r="X23" s="221" t="s">
        <v>182</v>
      </c>
      <c r="Y23" s="221" t="s">
        <v>182</v>
      </c>
      <c r="Z23" s="60" t="s">
        <v>229</v>
      </c>
      <c r="AA23" s="5"/>
      <c r="AB23" s="149" t="s">
        <v>202</v>
      </c>
      <c r="AC23" s="149" t="s">
        <v>202</v>
      </c>
      <c r="AD23" s="149" t="s">
        <v>202</v>
      </c>
      <c r="AE23" s="5"/>
      <c r="AF23" s="222"/>
      <c r="AG23" s="5"/>
      <c r="AH23" s="5"/>
      <c r="AI23" s="1"/>
      <c r="AJ23" s="1"/>
      <c r="AK23" s="1"/>
      <c r="AL23" s="196" t="s">
        <v>202</v>
      </c>
      <c r="AM23" s="196" t="s">
        <v>202</v>
      </c>
      <c r="AN23" s="17"/>
      <c r="AO23" s="58"/>
      <c r="AP23" s="644" t="s">
        <v>164</v>
      </c>
      <c r="AQ23" s="644"/>
      <c r="AR23" s="644"/>
      <c r="AS23" s="644"/>
      <c r="AT23" s="2"/>
      <c r="AU23" s="56"/>
      <c r="AV23" s="86"/>
      <c r="AW23" s="86"/>
      <c r="AX23" s="86"/>
      <c r="AY23" s="86"/>
      <c r="AZ23" s="56"/>
      <c r="BA23" s="86"/>
      <c r="BB23" s="86"/>
      <c r="BC23" s="86"/>
      <c r="BD23" s="86"/>
      <c r="BE23" s="86"/>
      <c r="BF23" s="56"/>
      <c r="BG23" s="86"/>
      <c r="BH23" s="86"/>
      <c r="BI23" s="86"/>
      <c r="BJ23" s="86"/>
      <c r="BK23" s="86"/>
      <c r="BL23" s="86"/>
      <c r="BM23" s="2"/>
      <c r="BN23" s="2"/>
      <c r="BO23" s="5"/>
      <c r="BP23" s="5"/>
      <c r="BQ23" s="5"/>
      <c r="BR23" s="5"/>
      <c r="BS23" s="5"/>
      <c r="BT23" s="5"/>
      <c r="BU23" s="47"/>
      <c r="BV23" s="47"/>
      <c r="BW23" s="127"/>
      <c r="BX23" s="127"/>
      <c r="BY23" s="31"/>
      <c r="BZ23" s="32" t="s">
        <v>937</v>
      </c>
      <c r="CA23" s="32" t="s">
        <v>936</v>
      </c>
      <c r="CB23" s="32" t="s">
        <v>935</v>
      </c>
      <c r="CC23" s="32" t="s">
        <v>934</v>
      </c>
      <c r="CD23" s="31"/>
      <c r="CJ23" s="629"/>
      <c r="CK23" s="629"/>
      <c r="CL23" s="629"/>
      <c r="CN23" s="673"/>
      <c r="CO23" s="674"/>
      <c r="CP23" s="674"/>
      <c r="CQ23" s="675"/>
      <c r="CR23" s="2"/>
      <c r="CS23" s="2"/>
      <c r="CT23" s="48"/>
      <c r="CU23" s="17"/>
      <c r="CV23" s="17"/>
      <c r="CW23" s="17"/>
      <c r="CX23" s="16"/>
      <c r="CY23" s="17"/>
      <c r="CZ23" s="1"/>
      <c r="DA23" s="1"/>
      <c r="DB23" s="2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</row>
    <row r="24" spans="1:197" ht="28.5" x14ac:dyDescent="0.4">
      <c r="A24" s="644" t="s">
        <v>164</v>
      </c>
      <c r="B24" s="644"/>
      <c r="C24" s="3"/>
      <c r="D24" s="199"/>
      <c r="E24" s="196" t="s">
        <v>202</v>
      </c>
      <c r="F24" s="201" t="s">
        <v>799</v>
      </c>
      <c r="G24" s="201" t="s">
        <v>798</v>
      </c>
      <c r="H24" s="196" t="s">
        <v>202</v>
      </c>
      <c r="I24" s="19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21"/>
      <c r="W24" s="223" t="s">
        <v>851</v>
      </c>
      <c r="X24" s="223" t="s">
        <v>850</v>
      </c>
      <c r="Y24" s="223" t="s">
        <v>849</v>
      </c>
      <c r="Z24" s="221"/>
      <c r="AA24" s="224"/>
      <c r="AB24" s="192" t="s">
        <v>857</v>
      </c>
      <c r="AC24" s="192" t="s">
        <v>856</v>
      </c>
      <c r="AD24" s="192" t="s">
        <v>855</v>
      </c>
      <c r="AE24" s="224"/>
      <c r="AF24" s="605"/>
      <c r="AG24" s="605"/>
      <c r="AH24" s="605"/>
      <c r="AI24" s="5"/>
      <c r="AJ24" s="1"/>
      <c r="AK24" s="17"/>
      <c r="AL24" s="201" t="s">
        <v>873</v>
      </c>
      <c r="AM24" s="201" t="s">
        <v>872</v>
      </c>
      <c r="AN24" s="3"/>
      <c r="AO24" s="58"/>
      <c r="AP24" s="5"/>
      <c r="AQ24" s="5"/>
      <c r="AR24" s="5"/>
      <c r="AS24" s="2"/>
      <c r="AT24" s="2"/>
      <c r="AU24" s="138"/>
      <c r="AV24" s="139"/>
      <c r="AW24" s="139"/>
      <c r="AX24" s="139"/>
      <c r="AY24" s="139"/>
      <c r="AZ24" s="138"/>
      <c r="BA24" s="139"/>
      <c r="BB24" s="139"/>
      <c r="BC24" s="139"/>
      <c r="BD24" s="139"/>
      <c r="BE24" s="139"/>
      <c r="BF24" s="138"/>
      <c r="BG24" s="139"/>
      <c r="BH24" s="139"/>
      <c r="BI24" s="139"/>
      <c r="BJ24" s="139"/>
      <c r="BK24" s="139"/>
      <c r="BL24" s="2"/>
      <c r="BM24" s="139"/>
      <c r="BN24" s="139"/>
      <c r="BO24" s="2"/>
      <c r="BP24" s="5"/>
      <c r="BQ24" s="5"/>
      <c r="BR24" s="5"/>
      <c r="BS24" s="5"/>
      <c r="BT24" s="5"/>
      <c r="BU24" s="47"/>
      <c r="BV24" s="218"/>
      <c r="BW24" s="5"/>
      <c r="BX24" s="5"/>
      <c r="BY24" s="3"/>
      <c r="BZ24" s="31" t="s">
        <v>175</v>
      </c>
      <c r="CA24" s="31" t="s">
        <v>175</v>
      </c>
      <c r="CB24" s="31" t="s">
        <v>175</v>
      </c>
      <c r="CC24" s="31" t="s">
        <v>175</v>
      </c>
      <c r="CD24" s="47"/>
      <c r="CN24" s="673"/>
      <c r="CO24" s="674"/>
      <c r="CP24" s="674"/>
      <c r="CQ24" s="675"/>
      <c r="CR24" s="2"/>
      <c r="CS24" s="2"/>
      <c r="CT24" s="48"/>
      <c r="CU24" s="17"/>
      <c r="CV24" s="17"/>
      <c r="CW24" s="17"/>
      <c r="CX24" s="16"/>
      <c r="CY24" s="17"/>
      <c r="CZ24" s="1"/>
      <c r="DA24" s="1"/>
      <c r="DB24" s="2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</row>
    <row r="25" spans="1:197" ht="28.5" x14ac:dyDescent="0.35">
      <c r="A25" s="32" t="s">
        <v>795</v>
      </c>
      <c r="B25" s="31" t="s">
        <v>175</v>
      </c>
      <c r="C25" s="199"/>
      <c r="D25" s="199"/>
      <c r="E25" s="196" t="s">
        <v>202</v>
      </c>
      <c r="F25" s="201" t="s">
        <v>797</v>
      </c>
      <c r="G25" s="201" t="s">
        <v>796</v>
      </c>
      <c r="H25" s="196" t="s">
        <v>202</v>
      </c>
      <c r="I25" s="199"/>
      <c r="J25" s="3"/>
      <c r="K25" s="60"/>
      <c r="L25" s="60"/>
      <c r="M25" s="3"/>
      <c r="N25" s="3"/>
      <c r="O25" s="3"/>
      <c r="P25" s="3"/>
      <c r="Q25" s="3"/>
      <c r="R25" s="3"/>
      <c r="S25" s="3"/>
      <c r="T25" s="225"/>
      <c r="U25" s="3"/>
      <c r="V25" s="221"/>
      <c r="W25" s="223" t="s">
        <v>848</v>
      </c>
      <c r="X25" s="223" t="s">
        <v>847</v>
      </c>
      <c r="Y25" s="223" t="s">
        <v>846</v>
      </c>
      <c r="Z25" s="221"/>
      <c r="AA25" s="224"/>
      <c r="AB25" s="192" t="s">
        <v>854</v>
      </c>
      <c r="AC25" s="192" t="s">
        <v>853</v>
      </c>
      <c r="AD25" s="192" t="s">
        <v>852</v>
      </c>
      <c r="AE25" s="224"/>
      <c r="AF25" s="605"/>
      <c r="AG25" s="605"/>
      <c r="AH25" s="605"/>
      <c r="AI25" s="5"/>
      <c r="AJ25" s="1"/>
      <c r="AK25" s="226"/>
      <c r="AL25" s="201" t="s">
        <v>871</v>
      </c>
      <c r="AM25" s="201" t="s">
        <v>870</v>
      </c>
      <c r="AN25" s="64" t="s">
        <v>235</v>
      </c>
      <c r="AO25" s="58"/>
      <c r="AP25" s="605"/>
      <c r="AQ25" s="605"/>
      <c r="AR25" s="605"/>
      <c r="AS25" s="2"/>
      <c r="AT25" s="58"/>
      <c r="AU25" s="139"/>
      <c r="AV25" s="584"/>
      <c r="AW25" s="584"/>
      <c r="AX25" s="584"/>
      <c r="AY25" s="584"/>
      <c r="AZ25" s="139"/>
      <c r="BA25" s="584"/>
      <c r="BB25" s="584"/>
      <c r="BC25" s="584"/>
      <c r="BD25" s="584"/>
      <c r="BE25" s="139"/>
      <c r="BF25" s="139"/>
      <c r="BG25" s="584"/>
      <c r="BH25" s="584"/>
      <c r="BI25" s="584"/>
      <c r="BJ25" s="584"/>
      <c r="BK25" s="139"/>
      <c r="BL25" s="139"/>
      <c r="BM25" s="584"/>
      <c r="BN25" s="584"/>
      <c r="BO25" s="139"/>
      <c r="BP25" s="5"/>
      <c r="BQ25" s="5"/>
      <c r="BR25" s="5"/>
      <c r="BS25" s="5"/>
      <c r="BT25" s="5"/>
      <c r="BU25" s="47"/>
      <c r="BV25" s="218"/>
      <c r="BW25" s="5"/>
      <c r="BX25" s="5"/>
      <c r="BY25" s="3"/>
      <c r="BZ25" s="86"/>
      <c r="CA25" s="86"/>
      <c r="CB25" s="86"/>
      <c r="CC25" s="86"/>
      <c r="CD25" s="47"/>
      <c r="CN25" s="673"/>
      <c r="CO25" s="674"/>
      <c r="CP25" s="674"/>
      <c r="CQ25" s="675"/>
      <c r="CR25" s="2"/>
      <c r="CS25" s="2"/>
      <c r="CT25" s="48"/>
      <c r="CU25" s="17"/>
      <c r="CV25" s="17"/>
      <c r="CW25" s="17"/>
      <c r="CX25" s="16"/>
      <c r="CY25" s="17"/>
      <c r="CZ25" s="1"/>
      <c r="DA25" s="1"/>
      <c r="DB25" s="2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</row>
    <row r="26" spans="1:197" ht="28.5" x14ac:dyDescent="0.3">
      <c r="A26" s="591"/>
      <c r="C26" s="60" t="s">
        <v>166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225"/>
      <c r="U26" s="216"/>
      <c r="V26" s="216"/>
      <c r="W26" s="221" t="s">
        <v>182</v>
      </c>
      <c r="X26" s="221" t="s">
        <v>182</v>
      </c>
      <c r="Y26" s="221" t="s">
        <v>182</v>
      </c>
      <c r="Z26" s="122" t="s">
        <v>237</v>
      </c>
      <c r="AA26" s="5"/>
      <c r="AB26" s="149" t="s">
        <v>202</v>
      </c>
      <c r="AC26" s="149" t="s">
        <v>202</v>
      </c>
      <c r="AD26" s="149" t="s">
        <v>202</v>
      </c>
      <c r="AE26" s="60" t="s">
        <v>238</v>
      </c>
      <c r="AF26" s="5"/>
      <c r="AG26" s="58"/>
      <c r="AH26" s="228"/>
      <c r="AI26" s="228"/>
      <c r="AJ26" s="17"/>
      <c r="AK26" s="5"/>
      <c r="AL26" s="196" t="s">
        <v>202</v>
      </c>
      <c r="AM26" s="196" t="s">
        <v>202</v>
      </c>
      <c r="AN26" s="229"/>
      <c r="AO26" s="58"/>
      <c r="AP26" s="605"/>
      <c r="AQ26" s="605"/>
      <c r="AR26" s="605"/>
      <c r="AS26" s="2"/>
      <c r="AT26" s="2"/>
      <c r="AU26" s="139"/>
      <c r="AV26" s="584"/>
      <c r="AW26" s="584"/>
      <c r="AX26" s="584"/>
      <c r="AY26" s="584"/>
      <c r="AZ26" s="139"/>
      <c r="BA26" s="584"/>
      <c r="BB26" s="584"/>
      <c r="BC26" s="584"/>
      <c r="BD26" s="584"/>
      <c r="BE26" s="139"/>
      <c r="BF26" s="139"/>
      <c r="BG26" s="584"/>
      <c r="BH26" s="584"/>
      <c r="BI26" s="584"/>
      <c r="BJ26" s="584"/>
      <c r="BK26" s="139"/>
      <c r="BL26" s="139"/>
      <c r="BM26" s="584"/>
      <c r="BN26" s="584"/>
      <c r="BO26" s="139"/>
      <c r="BP26" s="5"/>
      <c r="BQ26" s="5"/>
      <c r="BR26" s="5"/>
      <c r="BS26" s="5"/>
      <c r="BT26" s="5"/>
      <c r="BU26" s="47"/>
      <c r="BV26" s="218"/>
      <c r="BW26" s="47"/>
      <c r="BX26" s="47"/>
      <c r="BY26" s="3"/>
      <c r="BZ26" s="650" t="s">
        <v>239</v>
      </c>
      <c r="CA26" s="650"/>
      <c r="CB26" s="650"/>
      <c r="CC26" s="650"/>
      <c r="CD26" s="3"/>
      <c r="CE26" s="3"/>
      <c r="CF26" s="65" t="s">
        <v>211</v>
      </c>
      <c r="CG26" s="65"/>
      <c r="CH26" s="65"/>
      <c r="CI26" s="189"/>
      <c r="CN26" s="673"/>
      <c r="CO26" s="674"/>
      <c r="CP26" s="674"/>
      <c r="CQ26" s="675"/>
      <c r="CR26" s="2"/>
      <c r="CS26" s="2"/>
      <c r="CT26" s="48"/>
      <c r="CU26" s="17"/>
      <c r="CV26" s="17"/>
      <c r="CW26" s="17"/>
      <c r="CX26" s="16"/>
      <c r="CY26" s="17"/>
      <c r="CZ26" s="1"/>
      <c r="DA26" s="1"/>
      <c r="DB26" s="2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</row>
    <row r="27" spans="1:197" ht="29.25" thickBot="1" x14ac:dyDescent="0.4">
      <c r="A27" s="32" t="s">
        <v>794</v>
      </c>
      <c r="B27" s="31" t="s">
        <v>175</v>
      </c>
      <c r="C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25"/>
      <c r="U27" s="230"/>
      <c r="V27" s="216"/>
      <c r="W27" s="200"/>
      <c r="X27" s="200"/>
      <c r="Y27" s="217"/>
      <c r="Z27" s="231"/>
      <c r="AA27" s="5"/>
      <c r="AB27" s="200"/>
      <c r="AC27" s="200"/>
      <c r="AD27" s="217"/>
      <c r="AE27" s="5"/>
      <c r="AF27" s="232"/>
      <c r="AG27" s="17"/>
      <c r="AH27" s="17"/>
      <c r="AI27" s="233"/>
      <c r="AJ27" s="17"/>
      <c r="AK27" s="5"/>
      <c r="AL27" s="234"/>
      <c r="AM27" s="235"/>
      <c r="AN27" s="229"/>
      <c r="AO27" s="58"/>
      <c r="AP27" s="2"/>
      <c r="AQ27" s="2"/>
      <c r="AR27" s="109"/>
      <c r="AS27" s="236"/>
      <c r="AT27" s="139"/>
      <c r="AU27" s="626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2"/>
      <c r="BM27" s="139"/>
      <c r="BN27" s="139"/>
      <c r="BO27" s="139"/>
      <c r="BP27" s="5"/>
      <c r="BQ27" s="5"/>
      <c r="BR27" s="5"/>
      <c r="BS27" s="5"/>
      <c r="BT27" s="5"/>
      <c r="BU27" s="47"/>
      <c r="BV27" s="218"/>
      <c r="BW27" s="47"/>
      <c r="BX27" s="47"/>
      <c r="BY27" s="3"/>
      <c r="BZ27" s="3"/>
      <c r="CA27" s="3"/>
      <c r="CB27" s="3"/>
      <c r="CC27" s="3"/>
      <c r="CD27" s="3"/>
      <c r="CE27" s="3"/>
      <c r="CF27" s="75"/>
      <c r="CG27" s="75"/>
      <c r="CH27" s="75"/>
      <c r="CI27" s="207"/>
      <c r="CJ27" s="238"/>
      <c r="CK27" s="30"/>
      <c r="CL27" s="30"/>
      <c r="CM27" s="238"/>
      <c r="CN27" s="673"/>
      <c r="CO27" s="674"/>
      <c r="CP27" s="674"/>
      <c r="CQ27" s="675"/>
      <c r="CR27" s="2"/>
      <c r="CS27" s="2"/>
      <c r="CT27" s="48"/>
      <c r="CU27" s="17"/>
      <c r="CV27" s="17"/>
      <c r="CW27" s="17"/>
      <c r="CX27" s="16"/>
      <c r="CY27" s="17"/>
      <c r="CZ27" s="1"/>
      <c r="DA27" s="1"/>
      <c r="DB27" s="2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</row>
    <row r="28" spans="1:197" ht="28.5" x14ac:dyDescent="0.25">
      <c r="A28" s="591"/>
      <c r="C28" s="199"/>
      <c r="F28" s="616"/>
      <c r="G28" s="617"/>
      <c r="J28" s="3"/>
      <c r="K28" s="3"/>
      <c r="L28" s="3"/>
      <c r="M28" s="3"/>
      <c r="N28" s="3"/>
      <c r="O28" s="3"/>
      <c r="P28" s="3"/>
      <c r="Q28" s="3"/>
      <c r="R28" s="3"/>
      <c r="S28" s="3"/>
      <c r="T28" s="241"/>
      <c r="U28" s="58"/>
      <c r="V28" s="651"/>
      <c r="W28" s="651"/>
      <c r="X28" s="651"/>
      <c r="Y28" s="651"/>
      <c r="Z28" s="17"/>
      <c r="AA28" s="17"/>
      <c r="AB28" s="17"/>
      <c r="AC28" s="233"/>
      <c r="AD28" s="233"/>
      <c r="AE28" s="17"/>
      <c r="AF28" s="232"/>
      <c r="AG28" s="17"/>
      <c r="AH28" s="17"/>
      <c r="AI28" s="17"/>
      <c r="AJ28" s="17"/>
      <c r="AK28" s="17"/>
      <c r="AL28" s="652" t="s">
        <v>223</v>
      </c>
      <c r="AM28" s="652"/>
      <c r="AN28" s="17"/>
      <c r="AO28" s="58"/>
      <c r="AP28" s="58"/>
      <c r="AQ28" s="2"/>
      <c r="AR28" s="2"/>
      <c r="AS28" s="2"/>
      <c r="AT28" s="86"/>
      <c r="AU28" s="2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627"/>
      <c r="BG28" s="86"/>
      <c r="BH28" s="86"/>
      <c r="BI28" s="86"/>
      <c r="BJ28" s="86"/>
      <c r="BK28" s="5"/>
      <c r="BL28" s="86"/>
      <c r="BM28" s="5"/>
      <c r="BN28" s="5"/>
      <c r="BO28" s="5"/>
      <c r="BP28" s="5"/>
      <c r="BQ28" s="5"/>
      <c r="BR28" s="5"/>
      <c r="BS28" s="5"/>
      <c r="BT28" s="5"/>
      <c r="BU28" s="47"/>
      <c r="BV28" s="218"/>
      <c r="BW28" s="243"/>
      <c r="BX28" s="243"/>
      <c r="BY28" s="3"/>
      <c r="BZ28" s="3"/>
      <c r="CA28" s="3"/>
      <c r="CB28" s="3"/>
      <c r="CC28" s="3"/>
      <c r="CE28" s="3"/>
      <c r="CF28" s="244" t="s">
        <v>175</v>
      </c>
      <c r="CG28" s="244" t="s">
        <v>175</v>
      </c>
      <c r="CH28" s="244" t="s">
        <v>175</v>
      </c>
      <c r="CI28" s="90" t="s">
        <v>241</v>
      </c>
      <c r="CJ28" s="3"/>
      <c r="CK28" s="166" t="s">
        <v>175</v>
      </c>
      <c r="CL28" s="166" t="s">
        <v>175</v>
      </c>
      <c r="CM28" s="3"/>
      <c r="CN28" s="673"/>
      <c r="CO28" s="674"/>
      <c r="CP28" s="674"/>
      <c r="CQ28" s="675"/>
      <c r="CR28" s="2"/>
      <c r="CS28" s="2"/>
      <c r="CT28" s="48"/>
      <c r="CU28" s="17"/>
      <c r="CV28" s="17"/>
      <c r="CW28" s="17"/>
      <c r="CX28" s="16"/>
      <c r="CY28" s="17"/>
      <c r="CZ28" s="1"/>
      <c r="DA28" s="1"/>
      <c r="DB28" s="2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</row>
    <row r="29" spans="1:197" ht="29.25" thickBot="1" x14ac:dyDescent="0.4">
      <c r="A29" s="32" t="s">
        <v>793</v>
      </c>
      <c r="B29" s="31" t="s">
        <v>175</v>
      </c>
      <c r="C29" s="199"/>
      <c r="F29" s="618"/>
      <c r="G29" s="619"/>
      <c r="J29" s="3"/>
      <c r="K29" s="3"/>
      <c r="L29" s="3"/>
      <c r="M29" s="3"/>
      <c r="N29" s="3"/>
      <c r="O29" s="3"/>
      <c r="P29" s="3"/>
      <c r="Q29" s="3"/>
      <c r="R29" s="3"/>
      <c r="S29" s="3"/>
      <c r="T29" s="248"/>
      <c r="U29" s="17"/>
      <c r="V29" s="3"/>
      <c r="W29" s="3"/>
      <c r="X29" s="3"/>
      <c r="Y29" s="3"/>
      <c r="Z29" s="17"/>
      <c r="AA29" s="17"/>
      <c r="AB29" s="17"/>
      <c r="AC29" s="233"/>
      <c r="AD29" s="233"/>
      <c r="AE29" s="17"/>
      <c r="AF29" s="232"/>
      <c r="AG29" s="17"/>
      <c r="AH29" s="17"/>
      <c r="AI29" s="17"/>
      <c r="AJ29" s="17"/>
      <c r="AK29" s="249"/>
      <c r="AL29" s="249"/>
      <c r="AM29" s="17"/>
      <c r="AN29" s="17"/>
      <c r="AO29" s="1"/>
      <c r="AP29" s="2"/>
      <c r="AQ29" s="2"/>
      <c r="AR29" s="2"/>
      <c r="AS29" s="2"/>
      <c r="AT29" s="250"/>
      <c r="AU29" s="2"/>
      <c r="AV29" s="2"/>
      <c r="AW29" s="1"/>
      <c r="AX29" s="1"/>
      <c r="AY29" s="47"/>
      <c r="AZ29" s="251"/>
      <c r="BA29" s="251"/>
      <c r="BB29" s="251"/>
      <c r="BC29" s="251"/>
      <c r="BD29" s="47"/>
      <c r="BE29" s="47"/>
      <c r="BF29" s="252"/>
      <c r="BG29" s="614"/>
      <c r="BH29" s="47"/>
      <c r="BI29" s="2"/>
      <c r="BJ29" s="615"/>
      <c r="BK29" s="615"/>
      <c r="BL29" s="147"/>
      <c r="BM29" s="47"/>
      <c r="BN29" s="147"/>
      <c r="BO29" s="147"/>
      <c r="BP29" s="147"/>
      <c r="BQ29" s="47"/>
      <c r="BR29" s="254"/>
      <c r="BS29" s="254"/>
      <c r="BT29" s="2"/>
      <c r="BU29" s="255"/>
      <c r="BV29" s="47"/>
      <c r="BW29" s="243"/>
      <c r="BX29" s="243"/>
      <c r="BY29" s="3"/>
      <c r="BZ29" s="3"/>
      <c r="CA29" s="3"/>
      <c r="CB29" s="3"/>
      <c r="CC29" s="3"/>
      <c r="CE29" s="256"/>
      <c r="CF29" s="257" t="s">
        <v>947</v>
      </c>
      <c r="CG29" s="257" t="s">
        <v>946</v>
      </c>
      <c r="CH29" s="257" t="s">
        <v>945</v>
      </c>
      <c r="CI29" s="256"/>
      <c r="CJ29" s="166"/>
      <c r="CK29" s="220" t="s">
        <v>951</v>
      </c>
      <c r="CL29" s="220" t="s">
        <v>950</v>
      </c>
      <c r="CM29" s="166"/>
      <c r="CN29" s="673"/>
      <c r="CO29" s="674"/>
      <c r="CP29" s="674"/>
      <c r="CQ29" s="675"/>
      <c r="CR29" s="259"/>
      <c r="CS29" s="260"/>
      <c r="CT29" s="16"/>
      <c r="CU29" s="17"/>
      <c r="CV29" s="17"/>
      <c r="CW29" s="17"/>
      <c r="CX29" s="16"/>
      <c r="CY29" s="17"/>
      <c r="CZ29" s="1"/>
      <c r="DA29" s="1"/>
      <c r="DB29" s="2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</row>
    <row r="30" spans="1:197" ht="29.25" thickBot="1" x14ac:dyDescent="0.3">
      <c r="A30" s="591"/>
      <c r="C30" s="199"/>
      <c r="F30" s="620"/>
      <c r="G30" s="621"/>
      <c r="J30" s="3"/>
      <c r="K30" s="3"/>
      <c r="L30" s="3"/>
      <c r="M30" s="3"/>
      <c r="N30" s="3"/>
      <c r="O30" s="3"/>
      <c r="P30" s="3"/>
      <c r="Q30" s="3"/>
      <c r="R30" s="3"/>
      <c r="S30" s="3"/>
      <c r="T30" s="263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5"/>
      <c r="AG30" s="264"/>
      <c r="AH30" s="264"/>
      <c r="AI30" s="264"/>
      <c r="AJ30" s="6"/>
      <c r="AK30" s="653" t="s">
        <v>201</v>
      </c>
      <c r="AL30" s="654"/>
      <c r="AM30" s="654"/>
      <c r="AN30" s="655"/>
      <c r="AO30" s="266"/>
      <c r="AP30" s="267"/>
      <c r="AQ30" s="267"/>
      <c r="AR30" s="267"/>
      <c r="AS30" s="267"/>
      <c r="AT30" s="267"/>
      <c r="AU30" s="266"/>
      <c r="AV30" s="268"/>
      <c r="AW30" s="266"/>
      <c r="AX30" s="656" t="s">
        <v>198</v>
      </c>
      <c r="AY30" s="656"/>
      <c r="AZ30" s="656"/>
      <c r="BA30" s="269"/>
      <c r="BB30" s="270"/>
      <c r="BC30" s="270"/>
      <c r="BD30" s="270"/>
      <c r="BE30" s="270"/>
      <c r="BF30" s="266"/>
      <c r="BG30" s="3"/>
      <c r="BH30" s="3"/>
      <c r="BI30" s="3"/>
      <c r="BJ30" s="271"/>
      <c r="BK30" s="272"/>
      <c r="BL30" s="267"/>
      <c r="BM30" s="266"/>
      <c r="BN30" s="266"/>
      <c r="BO30" s="266"/>
      <c r="BP30" s="266"/>
      <c r="BQ30" s="266"/>
      <c r="BR30" s="266"/>
      <c r="BS30" s="266"/>
      <c r="BT30" s="266"/>
      <c r="BU30" s="273"/>
      <c r="BV30" s="47"/>
      <c r="BW30" s="243"/>
      <c r="BX30" s="243"/>
      <c r="BY30" s="3"/>
      <c r="BZ30" s="3"/>
      <c r="CA30" s="3"/>
      <c r="CB30" s="3"/>
      <c r="CC30" s="3"/>
      <c r="CE30" s="256"/>
      <c r="CF30" s="257" t="s">
        <v>944</v>
      </c>
      <c r="CG30" s="257" t="s">
        <v>943</v>
      </c>
      <c r="CH30" s="257" t="s">
        <v>942</v>
      </c>
      <c r="CI30" s="256"/>
      <c r="CJ30" s="166"/>
      <c r="CK30" s="220" t="s">
        <v>949</v>
      </c>
      <c r="CL30" s="220" t="s">
        <v>948</v>
      </c>
      <c r="CM30" s="166"/>
      <c r="CN30" s="673"/>
      <c r="CO30" s="674"/>
      <c r="CP30" s="674"/>
      <c r="CQ30" s="675"/>
      <c r="CR30" s="259"/>
      <c r="CS30" s="260"/>
      <c r="CT30" s="16"/>
      <c r="CU30" s="17"/>
      <c r="CV30" s="17"/>
      <c r="CW30" s="17"/>
      <c r="CX30" s="16"/>
      <c r="CY30" s="1"/>
      <c r="CZ30" s="1"/>
      <c r="DA30" s="1"/>
      <c r="DB30" s="2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</row>
    <row r="31" spans="1:197" ht="29.25" thickBot="1" x14ac:dyDescent="0.4">
      <c r="A31" s="32" t="s">
        <v>792</v>
      </c>
      <c r="B31" s="31" t="s">
        <v>175</v>
      </c>
      <c r="C31" s="199"/>
      <c r="D31" s="1"/>
      <c r="E31" s="5"/>
      <c r="F31" s="5"/>
      <c r="G31" s="5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5"/>
      <c r="U31" s="274"/>
      <c r="V31" s="274"/>
      <c r="W31" s="274"/>
      <c r="X31" s="274"/>
      <c r="Y31" s="274"/>
      <c r="Z31" s="274"/>
      <c r="AA31" s="58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58"/>
      <c r="AN31" s="58"/>
      <c r="AO31" s="109"/>
      <c r="AP31" s="86"/>
      <c r="AQ31" s="86"/>
      <c r="AR31" s="86"/>
      <c r="AS31" s="2"/>
      <c r="AT31" s="147"/>
      <c r="AU31" s="147"/>
      <c r="AV31" s="275"/>
      <c r="AW31" s="60" t="s">
        <v>244</v>
      </c>
      <c r="AX31" s="200"/>
      <c r="AY31" s="200"/>
      <c r="AZ31" s="200"/>
      <c r="BA31" s="58"/>
      <c r="BB31" s="3"/>
      <c r="BC31" s="276"/>
      <c r="BD31" s="276"/>
      <c r="BE31" s="276"/>
      <c r="BF31" s="275"/>
      <c r="BG31" s="109"/>
      <c r="BH31" s="3"/>
      <c r="BI31" s="3"/>
      <c r="BJ31" s="199"/>
      <c r="BK31" s="199"/>
      <c r="BL31" s="86"/>
      <c r="BM31" s="86"/>
      <c r="BN31" s="86"/>
      <c r="BO31" s="5"/>
      <c r="BP31" s="5"/>
      <c r="BQ31" s="5"/>
      <c r="BR31" s="5"/>
      <c r="BS31" s="275"/>
      <c r="BT31" s="275"/>
      <c r="BU31" s="275"/>
      <c r="BV31" s="47"/>
      <c r="BW31" s="243"/>
      <c r="BX31" s="243"/>
      <c r="BY31" s="3"/>
      <c r="BZ31" s="3"/>
      <c r="CA31" s="3"/>
      <c r="CB31" s="3"/>
      <c r="CC31" s="3"/>
      <c r="CE31" s="5"/>
      <c r="CF31" s="244" t="s">
        <v>175</v>
      </c>
      <c r="CG31" s="244" t="s">
        <v>175</v>
      </c>
      <c r="CH31" s="244" t="s">
        <v>175</v>
      </c>
      <c r="CI31" s="5"/>
      <c r="CJ31" s="5"/>
      <c r="CK31" s="166" t="s">
        <v>175</v>
      </c>
      <c r="CL31" s="166" t="s">
        <v>175</v>
      </c>
      <c r="CM31" s="139"/>
      <c r="CN31" s="676"/>
      <c r="CO31" s="677"/>
      <c r="CP31" s="677"/>
      <c r="CQ31" s="678"/>
      <c r="CR31" s="259"/>
      <c r="CS31" s="260"/>
      <c r="CT31" s="16"/>
      <c r="CU31" s="17"/>
      <c r="CV31" s="17"/>
      <c r="CW31" s="17"/>
      <c r="CX31" s="16"/>
      <c r="CY31" s="17"/>
      <c r="CZ31" s="1"/>
      <c r="DA31" s="1"/>
      <c r="DB31" s="2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</row>
    <row r="32" spans="1:197" ht="28.5" x14ac:dyDescent="0.35">
      <c r="A32" s="591"/>
      <c r="C32" s="200"/>
      <c r="D32" s="122"/>
      <c r="E32" s="5"/>
      <c r="F32" s="5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5"/>
      <c r="Y32" s="5"/>
      <c r="Z32" s="5"/>
      <c r="AA32" s="58"/>
      <c r="AB32" s="277"/>
      <c r="AC32" s="58"/>
      <c r="AD32" s="58"/>
      <c r="AE32" s="58"/>
      <c r="AF32" s="58"/>
      <c r="AG32" s="58"/>
      <c r="AH32" s="58"/>
      <c r="AI32" s="58"/>
      <c r="AJ32" s="58"/>
      <c r="AK32" s="277"/>
      <c r="AL32" s="58"/>
      <c r="AM32" s="58"/>
      <c r="AN32" s="109"/>
      <c r="AO32" s="60" t="s">
        <v>195</v>
      </c>
      <c r="AP32" s="31" t="s">
        <v>175</v>
      </c>
      <c r="AQ32" s="31" t="s">
        <v>175</v>
      </c>
      <c r="AR32" s="31" t="s">
        <v>175</v>
      </c>
      <c r="AS32" s="109"/>
      <c r="AT32" s="278"/>
      <c r="AU32" s="3"/>
      <c r="AV32" s="5"/>
      <c r="AW32" s="62" t="s">
        <v>247</v>
      </c>
      <c r="AX32" s="149" t="s">
        <v>202</v>
      </c>
      <c r="AY32" s="149" t="s">
        <v>202</v>
      </c>
      <c r="AZ32" s="149" t="s">
        <v>202</v>
      </c>
      <c r="BA32" s="58"/>
      <c r="BB32" s="109"/>
      <c r="BC32" s="109"/>
      <c r="BD32" s="109"/>
      <c r="BE32" s="109"/>
      <c r="BF32" s="60" t="s">
        <v>248</v>
      </c>
      <c r="BG32" s="197" t="s">
        <v>182</v>
      </c>
      <c r="BH32" s="197" t="s">
        <v>182</v>
      </c>
      <c r="BI32" s="197" t="s">
        <v>182</v>
      </c>
      <c r="BJ32" s="86"/>
      <c r="BP32" s="5"/>
      <c r="BQ32" s="5"/>
      <c r="BR32" s="5"/>
      <c r="BS32" s="109"/>
      <c r="BT32" s="109"/>
      <c r="BU32" s="109"/>
      <c r="BV32" s="47"/>
      <c r="BW32" s="47"/>
      <c r="BX32" s="279"/>
      <c r="BY32" s="279"/>
      <c r="BZ32" s="280"/>
      <c r="CA32" s="280"/>
      <c r="CB32" s="280"/>
      <c r="CC32" s="5"/>
      <c r="CD32" s="86"/>
      <c r="CE32" s="276"/>
      <c r="CF32" s="75"/>
      <c r="CG32" s="75"/>
      <c r="CH32" s="75"/>
      <c r="CI32" s="5"/>
      <c r="CJ32" s="5"/>
      <c r="CK32" s="86"/>
      <c r="CL32" s="86"/>
      <c r="CM32" s="139"/>
      <c r="CN32" s="259"/>
      <c r="CO32" s="259"/>
      <c r="CP32" s="259"/>
      <c r="CQ32" s="259"/>
      <c r="CR32" s="259"/>
      <c r="CS32" s="260"/>
      <c r="CT32" s="16"/>
      <c r="CU32" s="17"/>
      <c r="CV32" s="17"/>
      <c r="CW32" s="17"/>
      <c r="CX32" s="16"/>
      <c r="CY32" s="17"/>
      <c r="CZ32" s="1"/>
      <c r="DA32" s="1"/>
      <c r="DB32" s="2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</row>
    <row r="33" spans="1:197" ht="29.25" thickBot="1" x14ac:dyDescent="0.4">
      <c r="A33" s="32" t="s">
        <v>791</v>
      </c>
      <c r="B33" s="31" t="s">
        <v>175</v>
      </c>
      <c r="C33" s="199"/>
      <c r="D33" s="5"/>
      <c r="E33" s="5"/>
      <c r="F33" s="79"/>
      <c r="G33" s="79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81"/>
      <c r="W33" s="216"/>
      <c r="X33" s="282"/>
      <c r="Y33" s="216"/>
      <c r="Z33" s="2"/>
      <c r="AA33" s="5"/>
      <c r="AB33" s="277"/>
      <c r="AC33" s="622"/>
      <c r="AD33" s="623"/>
      <c r="AE33" s="623"/>
      <c r="AF33" s="216"/>
      <c r="AG33" s="285"/>
      <c r="AH33" s="216"/>
      <c r="AI33" s="3"/>
      <c r="AJ33" s="58"/>
      <c r="AK33" s="277"/>
      <c r="AL33" s="58"/>
      <c r="AM33" s="236"/>
      <c r="AN33" s="5"/>
      <c r="AO33" s="286"/>
      <c r="AP33" s="32" t="s">
        <v>903</v>
      </c>
      <c r="AQ33" s="32" t="s">
        <v>902</v>
      </c>
      <c r="AR33" s="32" t="s">
        <v>901</v>
      </c>
      <c r="AS33" s="31"/>
      <c r="AT33" s="624"/>
      <c r="AU33" s="624"/>
      <c r="AV33" s="624"/>
      <c r="AW33" s="288"/>
      <c r="AX33" s="192" t="s">
        <v>909</v>
      </c>
      <c r="AY33" s="192" t="s">
        <v>908</v>
      </c>
      <c r="AZ33" s="192" t="s">
        <v>907</v>
      </c>
      <c r="BA33" s="224"/>
      <c r="BB33" s="109"/>
      <c r="BC33" s="109"/>
      <c r="BD33" s="109"/>
      <c r="BE33" s="109"/>
      <c r="BF33" s="197"/>
      <c r="BG33" s="289" t="s">
        <v>957</v>
      </c>
      <c r="BH33" s="289" t="s">
        <v>956</v>
      </c>
      <c r="BI33" s="289" t="s">
        <v>955</v>
      </c>
      <c r="BJ33" s="197"/>
      <c r="BP33" s="3"/>
      <c r="BQ33" s="3"/>
      <c r="BR33" s="3"/>
      <c r="BS33" s="3"/>
      <c r="BT33" s="5"/>
      <c r="BU33" s="5"/>
      <c r="BV33" s="5"/>
      <c r="BW33" s="5"/>
      <c r="BX33" s="5"/>
      <c r="BY33" s="47"/>
      <c r="BZ33" s="47"/>
      <c r="CA33" s="47"/>
      <c r="CB33" s="47"/>
      <c r="CC33" s="47"/>
      <c r="CD33" s="190"/>
      <c r="CI33" s="581"/>
      <c r="CJ33" s="269"/>
      <c r="CK33" s="582" t="s">
        <v>164</v>
      </c>
      <c r="CL33" s="583"/>
      <c r="CM33" s="268"/>
      <c r="CN33" s="290"/>
      <c r="CO33" s="291"/>
      <c r="CP33" s="291"/>
      <c r="CQ33" s="291"/>
      <c r="CR33" s="291"/>
      <c r="CS33" s="292"/>
      <c r="CT33" s="16"/>
      <c r="CU33" s="17"/>
      <c r="CV33" s="17"/>
      <c r="CW33" s="17"/>
      <c r="CX33" s="16"/>
      <c r="CY33" s="17"/>
      <c r="CZ33" s="1"/>
      <c r="DA33" s="1"/>
      <c r="DB33" s="2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</row>
    <row r="34" spans="1:197" ht="28.5" x14ac:dyDescent="0.35">
      <c r="A34" s="591"/>
      <c r="C34" s="199"/>
      <c r="D34" s="208"/>
      <c r="E34" s="5"/>
      <c r="F34" s="79"/>
      <c r="G34" s="79"/>
      <c r="H34" s="5"/>
      <c r="I34" s="29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85"/>
      <c r="W34" s="585"/>
      <c r="X34" s="585"/>
      <c r="Y34" s="3"/>
      <c r="Z34" s="586"/>
      <c r="AA34" s="586"/>
      <c r="AB34" s="586"/>
      <c r="AC34" s="3"/>
      <c r="AD34" s="601"/>
      <c r="AE34" s="601"/>
      <c r="AF34" s="3"/>
      <c r="AG34" s="3"/>
      <c r="AH34" s="3"/>
      <c r="AI34" s="3"/>
      <c r="AJ34" s="58"/>
      <c r="AK34" s="277"/>
      <c r="AL34" s="58"/>
      <c r="AM34" s="236"/>
      <c r="AN34" s="5"/>
      <c r="AO34" s="31"/>
      <c r="AP34" s="32" t="s">
        <v>900</v>
      </c>
      <c r="AQ34" s="32" t="s">
        <v>899</v>
      </c>
      <c r="AR34" s="32" t="s">
        <v>898</v>
      </c>
      <c r="AS34" s="31"/>
      <c r="AT34" s="624"/>
      <c r="AU34" s="624"/>
      <c r="AV34" s="624"/>
      <c r="AW34" s="224"/>
      <c r="AX34" s="192" t="s">
        <v>906</v>
      </c>
      <c r="AY34" s="192" t="s">
        <v>905</v>
      </c>
      <c r="AZ34" s="192" t="s">
        <v>904</v>
      </c>
      <c r="BA34" s="224"/>
      <c r="BB34" s="109"/>
      <c r="BC34" s="109"/>
      <c r="BD34" s="109"/>
      <c r="BE34" s="109"/>
      <c r="BF34" s="197"/>
      <c r="BG34" s="203" t="s">
        <v>954</v>
      </c>
      <c r="BH34" s="203" t="s">
        <v>953</v>
      </c>
      <c r="BI34" s="297" t="s">
        <v>952</v>
      </c>
      <c r="BJ34" s="197"/>
      <c r="BP34" s="3"/>
      <c r="BQ34" s="3"/>
      <c r="BR34" s="3"/>
      <c r="BS34" s="3"/>
      <c r="BT34" s="5"/>
      <c r="BU34" s="5"/>
      <c r="BV34" s="5"/>
      <c r="BW34" s="5"/>
      <c r="BX34" s="5"/>
      <c r="BY34" s="147"/>
      <c r="BZ34" s="298"/>
      <c r="CA34" s="299"/>
      <c r="CB34" s="299"/>
      <c r="CC34" s="299"/>
      <c r="CD34" s="299"/>
      <c r="CE34" s="299"/>
      <c r="CF34" s="299"/>
      <c r="CG34" s="299"/>
      <c r="CH34" s="299"/>
      <c r="CI34" s="47"/>
      <c r="CJ34" s="47"/>
      <c r="CK34" s="47"/>
      <c r="CL34" s="47"/>
      <c r="CM34" s="47"/>
      <c r="CN34" s="47"/>
      <c r="CO34" s="47"/>
      <c r="CP34" s="47"/>
      <c r="CQ34" s="17"/>
      <c r="CR34" s="17"/>
      <c r="CS34" s="17"/>
      <c r="CT34" s="16"/>
      <c r="CU34" s="17"/>
      <c r="CV34" s="17"/>
      <c r="CW34" s="17"/>
      <c r="CX34" s="16"/>
      <c r="CY34" s="17"/>
      <c r="CZ34" s="1"/>
      <c r="DA34" s="1"/>
      <c r="DB34" s="2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</row>
    <row r="35" spans="1:197" ht="29.25" thickBot="1" x14ac:dyDescent="0.4">
      <c r="A35" s="32" t="s">
        <v>790</v>
      </c>
      <c r="B35" s="31" t="s">
        <v>175</v>
      </c>
      <c r="C35" s="199"/>
      <c r="D35" s="208"/>
      <c r="E35" s="300"/>
      <c r="F35" s="211"/>
      <c r="G35" s="211"/>
      <c r="H35" s="62" t="s">
        <v>252</v>
      </c>
      <c r="I35" s="29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85"/>
      <c r="W35" s="585"/>
      <c r="X35" s="585"/>
      <c r="Y35" s="3"/>
      <c r="Z35" s="586"/>
      <c r="AA35" s="586"/>
      <c r="AB35" s="586"/>
      <c r="AC35" s="3"/>
      <c r="AD35" s="601"/>
      <c r="AE35" s="601"/>
      <c r="AF35" s="3"/>
      <c r="AG35" s="3"/>
      <c r="AH35" s="3"/>
      <c r="AI35" s="3"/>
      <c r="AJ35" s="58"/>
      <c r="AK35" s="281"/>
      <c r="AL35" s="58"/>
      <c r="AM35" s="236"/>
      <c r="AN35" s="5"/>
      <c r="AO35" s="65" t="s">
        <v>253</v>
      </c>
      <c r="AP35" s="31" t="s">
        <v>175</v>
      </c>
      <c r="AQ35" s="31" t="s">
        <v>175</v>
      </c>
      <c r="AR35" s="31" t="s">
        <v>175</v>
      </c>
      <c r="AS35" s="1"/>
      <c r="AT35" s="236"/>
      <c r="AU35" s="5"/>
      <c r="AV35" s="3"/>
      <c r="AW35" s="1"/>
      <c r="AX35" s="149" t="s">
        <v>202</v>
      </c>
      <c r="AY35" s="149" t="s">
        <v>202</v>
      </c>
      <c r="AZ35" s="149" t="s">
        <v>202</v>
      </c>
      <c r="BA35" s="301"/>
      <c r="BB35" s="109"/>
      <c r="BC35" s="109"/>
      <c r="BD35" s="109"/>
      <c r="BE35" s="109"/>
      <c r="BF35" s="109"/>
      <c r="BG35" s="197" t="s">
        <v>182</v>
      </c>
      <c r="BH35" s="197" t="s">
        <v>182</v>
      </c>
      <c r="BI35" s="197" t="s">
        <v>182</v>
      </c>
      <c r="BJ35" s="86"/>
      <c r="BP35" s="3"/>
      <c r="BQ35" s="3"/>
      <c r="BR35" s="3"/>
      <c r="BS35" s="3"/>
      <c r="BT35" s="302"/>
      <c r="BU35" s="5"/>
      <c r="BV35" s="5"/>
      <c r="BW35" s="5"/>
      <c r="BX35" s="5"/>
      <c r="BY35" s="147"/>
      <c r="BZ35" s="303"/>
      <c r="CA35" s="147"/>
      <c r="CB35" s="147"/>
      <c r="CH35" s="109"/>
      <c r="CI35" s="47"/>
      <c r="CJ35" s="47"/>
      <c r="CK35" s="47"/>
      <c r="CL35" s="47"/>
      <c r="CM35" s="47"/>
      <c r="CN35" s="47"/>
      <c r="CO35" s="47"/>
      <c r="CP35" s="47"/>
      <c r="CQ35" s="17"/>
      <c r="CR35" s="17"/>
      <c r="CS35" s="17"/>
      <c r="CT35" s="16"/>
      <c r="CU35" s="17"/>
      <c r="CV35" s="17"/>
      <c r="CW35" s="17"/>
      <c r="CX35" s="16"/>
      <c r="CY35" s="17"/>
      <c r="CZ35" s="1"/>
      <c r="DA35" s="1"/>
      <c r="DB35" s="2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</row>
    <row r="36" spans="1:197" ht="23.25" x14ac:dyDescent="0.3">
      <c r="A36" s="591"/>
      <c r="C36" s="199"/>
      <c r="D36" s="199"/>
      <c r="E36" s="196" t="s">
        <v>202</v>
      </c>
      <c r="F36" s="304" t="s">
        <v>809</v>
      </c>
      <c r="G36" s="305" t="s">
        <v>808</v>
      </c>
      <c r="H36" s="196" t="s">
        <v>202</v>
      </c>
      <c r="I36" s="19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33"/>
      <c r="W36" s="333"/>
      <c r="X36" s="306"/>
      <c r="Y36" s="61"/>
      <c r="Z36" s="5"/>
      <c r="AA36" s="307"/>
      <c r="AB36" s="5"/>
      <c r="AC36" s="3"/>
      <c r="AD36" s="3"/>
      <c r="AE36" s="3"/>
      <c r="AF36" s="301"/>
      <c r="AG36" s="216"/>
      <c r="AH36" s="216"/>
      <c r="AI36" s="216"/>
      <c r="AJ36" s="58"/>
      <c r="AK36" s="281"/>
      <c r="AL36" s="58"/>
      <c r="AM36" s="58"/>
      <c r="AN36" s="236"/>
      <c r="AO36" s="236"/>
      <c r="AP36" s="187"/>
      <c r="AQ36" s="187"/>
      <c r="AR36" s="86"/>
      <c r="AS36" s="5"/>
      <c r="AT36" s="5"/>
      <c r="AU36" s="236"/>
      <c r="AV36" s="5"/>
      <c r="AW36" s="200"/>
      <c r="AX36" s="200"/>
      <c r="AY36" s="200"/>
      <c r="AZ36" s="200"/>
      <c r="BA36" s="200"/>
      <c r="BB36" s="3"/>
      <c r="BC36" s="86"/>
      <c r="BD36" s="86"/>
      <c r="BE36" s="86"/>
      <c r="BF36" s="109"/>
      <c r="BG36" s="3"/>
      <c r="BH36" s="3"/>
      <c r="BI36" s="3"/>
      <c r="BJ36" s="86"/>
      <c r="BP36" s="86"/>
      <c r="BQ36" s="86"/>
      <c r="BR36" s="86"/>
      <c r="BS36" s="86"/>
      <c r="BT36" s="86"/>
      <c r="BU36" s="86"/>
      <c r="BV36" s="86"/>
      <c r="BW36" s="657"/>
      <c r="BX36" s="658"/>
      <c r="BY36" s="659"/>
      <c r="BZ36" s="303"/>
      <c r="CA36" s="147"/>
      <c r="CB36" s="147"/>
      <c r="CH36" s="109"/>
      <c r="CI36" s="147"/>
      <c r="CJ36" s="147"/>
      <c r="CM36" s="47"/>
      <c r="CN36" s="47"/>
      <c r="CO36" s="47"/>
      <c r="CP36" s="47"/>
      <c r="CQ36" s="47"/>
      <c r="CR36" s="47"/>
      <c r="CS36" s="47"/>
      <c r="CT36" s="47"/>
      <c r="CU36" s="17"/>
      <c r="CV36" s="17"/>
      <c r="CW36" s="17"/>
      <c r="CX36" s="17"/>
      <c r="CY36" s="17"/>
      <c r="CZ36" s="1"/>
      <c r="DA36" s="1"/>
      <c r="DB36" s="2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</row>
    <row r="37" spans="1:197" ht="26.25" x14ac:dyDescent="0.4">
      <c r="A37" s="32" t="s">
        <v>789</v>
      </c>
      <c r="B37" s="31" t="s">
        <v>175</v>
      </c>
      <c r="C37" s="199"/>
      <c r="D37" s="199"/>
      <c r="E37" s="196" t="s">
        <v>202</v>
      </c>
      <c r="F37" s="304" t="s">
        <v>807</v>
      </c>
      <c r="G37" s="305" t="s">
        <v>806</v>
      </c>
      <c r="H37" s="196" t="s">
        <v>202</v>
      </c>
      <c r="I37" s="19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3"/>
      <c r="Y37" s="308" t="s">
        <v>255</v>
      </c>
      <c r="Z37" s="308"/>
      <c r="AA37" s="308"/>
      <c r="AB37" s="308"/>
      <c r="AC37" s="58"/>
      <c r="AD37" s="58"/>
      <c r="AE37" s="58"/>
      <c r="AF37" s="58"/>
      <c r="AG37" s="58"/>
      <c r="AH37" s="58"/>
      <c r="AI37" s="58"/>
      <c r="AJ37" s="58"/>
      <c r="AK37" s="277"/>
      <c r="AL37" s="58"/>
      <c r="AM37" s="58"/>
      <c r="AN37" s="309"/>
      <c r="AO37" s="3"/>
      <c r="AP37" s="648" t="s">
        <v>176</v>
      </c>
      <c r="AQ37" s="648"/>
      <c r="AR37" s="648"/>
      <c r="AS37" s="3"/>
      <c r="AT37" s="236"/>
      <c r="AU37" s="109"/>
      <c r="AV37" s="5"/>
      <c r="AW37" s="109"/>
      <c r="AX37" s="5"/>
      <c r="AY37" s="109"/>
      <c r="AZ37" s="3"/>
      <c r="BA37" s="31" t="s">
        <v>175</v>
      </c>
      <c r="BB37" s="310"/>
      <c r="BC37" s="310"/>
      <c r="BD37" s="310"/>
      <c r="BE37" s="310"/>
      <c r="BF37" s="310"/>
      <c r="BG37" s="648" t="s">
        <v>176</v>
      </c>
      <c r="BH37" s="648"/>
      <c r="BI37" s="648"/>
      <c r="BJ37" s="134"/>
      <c r="BP37" s="130"/>
      <c r="BQ37" s="130"/>
      <c r="BR37" s="130"/>
      <c r="BS37" s="86"/>
      <c r="BT37" s="86"/>
      <c r="BU37" s="86"/>
      <c r="BV37" s="86"/>
      <c r="BW37" s="660"/>
      <c r="BX37" s="661"/>
      <c r="BY37" s="662"/>
      <c r="BZ37" s="147"/>
      <c r="CA37" s="147"/>
      <c r="CB37" s="147"/>
      <c r="CH37" s="109"/>
      <c r="CI37" s="147"/>
      <c r="CJ37" s="147"/>
      <c r="CM37" s="147"/>
      <c r="CN37" s="147"/>
      <c r="CO37" s="147"/>
      <c r="CP37" s="147"/>
      <c r="CQ37" s="147"/>
      <c r="CR37" s="47"/>
      <c r="CS37" s="47"/>
      <c r="CT37" s="47"/>
      <c r="CU37" s="17"/>
      <c r="CV37" s="17"/>
      <c r="CW37" s="17"/>
      <c r="CX37" s="17"/>
      <c r="CY37" s="17"/>
      <c r="CZ37" s="1"/>
      <c r="DA37" s="1"/>
      <c r="DB37" s="2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</row>
    <row r="38" spans="1:197" ht="26.25" x14ac:dyDescent="0.4">
      <c r="A38" s="31"/>
      <c r="B38" s="311"/>
      <c r="C38" s="199"/>
      <c r="D38" s="199"/>
      <c r="E38" s="196" t="s">
        <v>202</v>
      </c>
      <c r="F38" s="304" t="s">
        <v>805</v>
      </c>
      <c r="G38" s="305" t="s">
        <v>804</v>
      </c>
      <c r="H38" s="196" t="s">
        <v>202</v>
      </c>
      <c r="I38" s="199"/>
      <c r="J38" s="5"/>
      <c r="K38" s="3"/>
      <c r="L38" s="3"/>
      <c r="M38" s="3"/>
      <c r="N38" s="3"/>
      <c r="O38" s="5"/>
      <c r="P38" s="630"/>
      <c r="Q38" s="630"/>
      <c r="R38" s="3"/>
      <c r="S38" s="3"/>
      <c r="T38" s="3"/>
      <c r="U38" s="3"/>
      <c r="V38" s="301"/>
      <c r="W38" s="58"/>
      <c r="X38" s="3"/>
      <c r="Y38" s="3"/>
      <c r="Z38" s="110"/>
      <c r="AA38" s="110"/>
      <c r="AB38" s="130"/>
      <c r="AC38" s="58"/>
      <c r="AD38" s="58"/>
      <c r="AE38" s="58"/>
      <c r="AF38" s="58"/>
      <c r="AG38" s="58"/>
      <c r="AH38" s="216"/>
      <c r="AI38" s="282"/>
      <c r="AJ38" s="274"/>
      <c r="AK38" s="277"/>
      <c r="AL38" s="58"/>
      <c r="AM38" s="58"/>
      <c r="AN38" s="3"/>
      <c r="AO38" s="3"/>
      <c r="AP38" s="3"/>
      <c r="AQ38" s="3"/>
      <c r="AR38" s="3"/>
      <c r="AS38" s="3"/>
      <c r="AT38" s="600"/>
      <c r="AU38" s="600"/>
      <c r="AV38" s="3"/>
      <c r="AW38" s="3"/>
      <c r="AX38" s="3"/>
      <c r="AY38" s="60" t="s">
        <v>256</v>
      </c>
      <c r="AZ38" s="592"/>
      <c r="BA38" s="32" t="s">
        <v>918</v>
      </c>
      <c r="BB38" s="592"/>
      <c r="BC38" s="3"/>
      <c r="BD38" s="3"/>
      <c r="BE38" s="109"/>
      <c r="BF38" s="109"/>
      <c r="BG38" s="109"/>
      <c r="BH38" s="109"/>
      <c r="BI38" s="109"/>
      <c r="BJ38" s="109"/>
      <c r="BK38" s="5"/>
      <c r="BL38" s="5"/>
      <c r="BM38" s="5"/>
      <c r="BN38" s="5"/>
      <c r="BO38" s="5"/>
      <c r="BP38" s="109"/>
      <c r="BQ38" s="109"/>
      <c r="BR38" s="109"/>
      <c r="BS38" s="313"/>
      <c r="BT38" s="313"/>
      <c r="BU38" s="5"/>
      <c r="BV38" s="5"/>
      <c r="BW38" s="660"/>
      <c r="BX38" s="661"/>
      <c r="BY38" s="662"/>
      <c r="BZ38" s="147"/>
      <c r="CA38" s="147"/>
      <c r="CB38" s="147"/>
      <c r="CH38" s="5"/>
      <c r="CI38" s="5"/>
      <c r="CJ38" s="147"/>
      <c r="CK38" s="147"/>
      <c r="CL38" s="147"/>
      <c r="CM38" s="147"/>
      <c r="CN38" s="147"/>
      <c r="CO38" s="147"/>
      <c r="CP38" s="147"/>
      <c r="CQ38" s="147"/>
      <c r="CR38" s="47"/>
      <c r="CS38" s="47"/>
      <c r="CT38" s="47"/>
      <c r="CU38" s="17"/>
      <c r="CV38" s="17"/>
      <c r="CW38" s="17"/>
      <c r="CX38" s="17"/>
      <c r="CY38" s="17"/>
      <c r="CZ38" s="1"/>
      <c r="DA38" s="1"/>
      <c r="DB38" s="2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</row>
    <row r="39" spans="1:197" ht="23.25" x14ac:dyDescent="0.35">
      <c r="C39" s="199"/>
      <c r="D39" s="3"/>
      <c r="E39" s="649" t="s">
        <v>224</v>
      </c>
      <c r="F39" s="649"/>
      <c r="G39" s="649"/>
      <c r="H39" s="649"/>
      <c r="I39" s="5"/>
      <c r="J39" s="5"/>
      <c r="K39" s="3"/>
      <c r="L39" s="3"/>
      <c r="M39" s="3"/>
      <c r="N39" s="3"/>
      <c r="O39" s="5"/>
      <c r="P39" s="1"/>
      <c r="Q39" s="5"/>
      <c r="R39" s="5"/>
      <c r="S39" s="5"/>
      <c r="T39" s="1"/>
      <c r="U39" s="58"/>
      <c r="V39" s="58"/>
      <c r="W39" s="58"/>
      <c r="X39" s="3"/>
      <c r="Y39" s="56" t="s">
        <v>258</v>
      </c>
      <c r="Z39" s="314" t="s">
        <v>182</v>
      </c>
      <c r="AA39" s="314" t="s">
        <v>182</v>
      </c>
      <c r="AB39" s="60" t="s">
        <v>259</v>
      </c>
      <c r="AC39" s="58"/>
      <c r="AD39" s="58"/>
      <c r="AE39" s="58"/>
      <c r="AF39" s="58"/>
      <c r="AG39" s="58"/>
      <c r="AH39" s="216"/>
      <c r="AI39" s="282"/>
      <c r="AJ39" s="301"/>
      <c r="AK39" s="301"/>
      <c r="AL39" s="58"/>
      <c r="AM39" s="58"/>
      <c r="AN39" s="3"/>
      <c r="AO39" s="3"/>
      <c r="AP39" s="3"/>
      <c r="AQ39" s="3"/>
      <c r="AR39" s="3"/>
      <c r="AS39" s="3"/>
      <c r="AT39" s="600"/>
      <c r="AU39" s="600"/>
      <c r="AV39" s="3"/>
      <c r="AW39" s="3"/>
      <c r="AX39" s="3"/>
      <c r="AY39" s="31" t="s">
        <v>175</v>
      </c>
      <c r="AZ39" s="32" t="s">
        <v>917</v>
      </c>
      <c r="BA39" s="593"/>
      <c r="BB39" s="32" t="s">
        <v>916</v>
      </c>
      <c r="BC39" s="31" t="s">
        <v>175</v>
      </c>
      <c r="BD39" s="316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313"/>
      <c r="BT39" s="313"/>
      <c r="BU39" s="5"/>
      <c r="BV39" s="5"/>
      <c r="BW39" s="660"/>
      <c r="BX39" s="661"/>
      <c r="BY39" s="662"/>
      <c r="BZ39" s="147"/>
      <c r="CA39" s="147"/>
      <c r="CB39" s="147"/>
      <c r="CH39" s="5"/>
      <c r="CI39" s="5"/>
      <c r="CJ39" s="147"/>
      <c r="CM39" s="147"/>
      <c r="CN39" s="147"/>
      <c r="CO39" s="147"/>
      <c r="CP39" s="147"/>
      <c r="CQ39" s="147"/>
      <c r="CR39" s="47"/>
      <c r="CS39" s="47"/>
      <c r="CT39" s="47"/>
      <c r="CU39" s="17"/>
      <c r="CV39" s="17"/>
      <c r="CW39" s="17"/>
      <c r="CX39" s="17"/>
      <c r="CY39" s="17"/>
      <c r="CZ39" s="1"/>
      <c r="DA39" s="1"/>
      <c r="DB39" s="2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</row>
    <row r="40" spans="1:197" ht="24" thickBot="1" x14ac:dyDescent="0.35">
      <c r="B40" s="61"/>
      <c r="C40" s="61"/>
      <c r="D40" s="61"/>
      <c r="E40" s="3"/>
      <c r="F40" s="3"/>
      <c r="G40" s="3"/>
      <c r="H40" s="3"/>
      <c r="I40" s="3"/>
      <c r="J40" s="30"/>
      <c r="K40" s="3"/>
      <c r="L40" s="3"/>
      <c r="M40" s="3"/>
      <c r="N40" s="3"/>
      <c r="O40" s="30"/>
      <c r="P40" s="216"/>
      <c r="Q40" s="216"/>
      <c r="R40" s="216"/>
      <c r="S40" s="1"/>
      <c r="T40" s="1"/>
      <c r="U40" s="58"/>
      <c r="V40" s="601"/>
      <c r="W40" s="601"/>
      <c r="X40" s="3"/>
      <c r="Y40" s="314"/>
      <c r="Z40" s="100" t="s">
        <v>813</v>
      </c>
      <c r="AA40" s="100" t="s">
        <v>812</v>
      </c>
      <c r="AB40" s="314"/>
      <c r="AC40" s="58"/>
      <c r="AD40" s="58"/>
      <c r="AE40" s="58"/>
      <c r="AF40" s="58"/>
      <c r="AG40" s="282"/>
      <c r="AH40" s="282"/>
      <c r="AI40" s="282"/>
      <c r="AJ40" s="301"/>
      <c r="AK40" s="301"/>
      <c r="AL40" s="58"/>
      <c r="AM40" s="58"/>
      <c r="AN40" s="3"/>
      <c r="AO40" s="3"/>
      <c r="AP40" s="3"/>
      <c r="AQ40" s="3"/>
      <c r="AR40" s="3"/>
      <c r="AS40" s="3"/>
      <c r="AT40" s="600"/>
      <c r="AU40" s="600"/>
      <c r="AV40" s="3"/>
      <c r="AW40" s="316"/>
      <c r="AX40" s="3"/>
      <c r="AY40" s="274"/>
      <c r="AZ40" s="592"/>
      <c r="BA40" s="32" t="s">
        <v>915</v>
      </c>
      <c r="BB40" s="592"/>
      <c r="BC40" s="316"/>
      <c r="BD40" s="316"/>
      <c r="BE40" s="109"/>
      <c r="BF40" s="109"/>
      <c r="BG40" s="109"/>
      <c r="BH40" s="109"/>
      <c r="BI40" s="313"/>
      <c r="BJ40" s="109"/>
      <c r="BK40" s="109"/>
      <c r="BL40" s="109"/>
      <c r="BM40" s="109"/>
      <c r="BN40" s="313"/>
      <c r="BO40" s="313"/>
      <c r="BP40" s="313"/>
      <c r="BQ40" s="313"/>
      <c r="BR40" s="313"/>
      <c r="BS40" s="313"/>
      <c r="BT40" s="313"/>
      <c r="BU40" s="5"/>
      <c r="BV40" s="5"/>
      <c r="BW40" s="663"/>
      <c r="BX40" s="664"/>
      <c r="BY40" s="665"/>
      <c r="BZ40" s="147"/>
      <c r="CA40" s="147"/>
      <c r="CB40" s="147"/>
      <c r="CC40" s="147"/>
      <c r="CD40" s="147"/>
      <c r="CE40" s="5"/>
      <c r="CF40" s="5"/>
      <c r="CG40" s="5"/>
      <c r="CH40" s="5"/>
      <c r="CI40" s="5"/>
      <c r="CJ40" s="3"/>
      <c r="CM40" s="147"/>
      <c r="CN40" s="5"/>
      <c r="CO40" s="147"/>
      <c r="CP40" s="147"/>
      <c r="CQ40" s="147"/>
      <c r="CR40" s="47"/>
      <c r="CS40" s="47"/>
      <c r="CT40" s="47"/>
      <c r="CU40" s="17"/>
      <c r="CV40" s="17"/>
      <c r="CW40" s="17"/>
      <c r="CX40" s="17"/>
      <c r="CY40" s="17"/>
      <c r="CZ40" s="1"/>
      <c r="DA40" s="1"/>
      <c r="DB40" s="2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</row>
    <row r="41" spans="1:197" ht="26.25" x14ac:dyDescent="0.4">
      <c r="A41" s="317"/>
      <c r="B41" s="3"/>
      <c r="C41" s="3"/>
      <c r="D41" s="318"/>
      <c r="E41" s="3"/>
      <c r="F41" s="3"/>
      <c r="G41" s="3"/>
      <c r="H41" s="3"/>
      <c r="I41" s="3"/>
      <c r="J41" s="30"/>
      <c r="K41" s="3"/>
      <c r="L41" s="3"/>
      <c r="M41" s="3"/>
      <c r="N41" s="3"/>
      <c r="O41" s="30"/>
      <c r="P41" s="216"/>
      <c r="Q41" s="602"/>
      <c r="R41" s="602"/>
      <c r="S41" s="1"/>
      <c r="T41" s="1"/>
      <c r="U41" s="58"/>
      <c r="V41" s="601"/>
      <c r="W41" s="601"/>
      <c r="X41" s="3"/>
      <c r="Y41" s="314"/>
      <c r="Z41" s="100" t="s">
        <v>811</v>
      </c>
      <c r="AA41" s="100" t="s">
        <v>810</v>
      </c>
      <c r="AB41" s="314"/>
      <c r="AC41" s="58"/>
      <c r="AD41" s="58"/>
      <c r="AE41" s="58"/>
      <c r="AF41" s="58"/>
      <c r="AG41" s="282"/>
      <c r="AH41" s="282"/>
      <c r="AI41" s="282"/>
      <c r="AJ41" s="274"/>
      <c r="AK41" s="58"/>
      <c r="AL41" s="58"/>
      <c r="AM41" s="58"/>
      <c r="AN41" s="320"/>
      <c r="AO41" s="321"/>
      <c r="AP41" s="320"/>
      <c r="AQ41" s="236"/>
      <c r="AR41" s="236"/>
      <c r="AS41" s="322"/>
      <c r="AT41" s="5"/>
      <c r="AU41" s="5"/>
      <c r="AV41" s="322"/>
      <c r="AW41" s="109"/>
      <c r="AX41" s="109"/>
      <c r="AY41" s="3"/>
      <c r="AZ41" s="3"/>
      <c r="BA41" s="31" t="s">
        <v>175</v>
      </c>
      <c r="BB41" s="648" t="s">
        <v>176</v>
      </c>
      <c r="BC41" s="648"/>
      <c r="BD41" s="648"/>
      <c r="BE41" s="322"/>
      <c r="BF41" s="109"/>
      <c r="BG41" s="109"/>
      <c r="BH41" s="313"/>
      <c r="BI41" s="313"/>
      <c r="BJ41" s="109"/>
      <c r="BK41" s="109"/>
      <c r="BL41" s="109"/>
      <c r="BM41" s="109"/>
      <c r="BN41" s="313"/>
      <c r="BO41" s="109"/>
      <c r="BP41" s="630"/>
      <c r="BQ41" s="630"/>
      <c r="BR41" s="630"/>
      <c r="BS41" s="130"/>
      <c r="BT41" s="630"/>
      <c r="BU41" s="630"/>
      <c r="BV41" s="630"/>
      <c r="BW41" s="130"/>
      <c r="BX41" s="259"/>
      <c r="BY41" s="323"/>
      <c r="BZ41" s="47"/>
      <c r="CA41" s="47"/>
      <c r="CB41" s="47"/>
      <c r="CC41" s="47"/>
      <c r="CD41" s="47"/>
      <c r="CE41" s="5"/>
      <c r="CF41" s="5"/>
      <c r="CG41" s="5"/>
      <c r="CH41" s="5"/>
      <c r="CI41" s="5"/>
      <c r="CJ41" s="3"/>
      <c r="CK41" s="3"/>
      <c r="CL41" s="3"/>
      <c r="CM41" s="147"/>
      <c r="CN41" s="147"/>
      <c r="CO41" s="47"/>
      <c r="CP41" s="47"/>
      <c r="CQ41" s="47"/>
      <c r="CR41" s="47"/>
      <c r="CS41" s="47"/>
      <c r="CT41" s="47"/>
      <c r="CU41" s="17"/>
      <c r="CV41" s="17"/>
      <c r="CW41" s="17"/>
      <c r="CX41" s="17"/>
      <c r="CY41" s="17"/>
      <c r="CZ41" s="1"/>
      <c r="DA41" s="1"/>
      <c r="DB41" s="2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</row>
    <row r="42" spans="1:197" ht="21" x14ac:dyDescent="0.3">
      <c r="A42" s="5"/>
      <c r="B42" s="5"/>
      <c r="C42" s="200"/>
      <c r="D42" s="3"/>
      <c r="E42" s="3"/>
      <c r="F42" s="3"/>
      <c r="G42" s="3"/>
      <c r="H42" s="3"/>
      <c r="I42" s="3"/>
      <c r="J42" s="30"/>
      <c r="K42" s="3"/>
      <c r="L42" s="3"/>
      <c r="M42" s="3"/>
      <c r="N42" s="3"/>
      <c r="O42" s="324"/>
      <c r="P42" s="216"/>
      <c r="Q42" s="602"/>
      <c r="R42" s="602"/>
      <c r="S42" s="1"/>
      <c r="T42" s="274"/>
      <c r="U42" s="58"/>
      <c r="V42" s="58"/>
      <c r="W42" s="274"/>
      <c r="X42" s="3"/>
      <c r="Y42" s="3"/>
      <c r="Z42" s="314" t="s">
        <v>182</v>
      </c>
      <c r="AA42" s="314" t="s">
        <v>182</v>
      </c>
      <c r="AB42" s="5"/>
      <c r="AC42" s="58"/>
      <c r="AD42" s="58"/>
      <c r="AE42" s="58"/>
      <c r="AF42" s="58"/>
      <c r="AG42" s="216"/>
      <c r="AH42" s="216"/>
      <c r="AI42" s="216"/>
      <c r="AJ42" s="58"/>
      <c r="AK42" s="58"/>
      <c r="AL42" s="5"/>
      <c r="AM42" s="326"/>
      <c r="AN42" s="327"/>
      <c r="AO42" s="327"/>
      <c r="AP42" s="327"/>
      <c r="AQ42" s="326"/>
      <c r="AR42" s="109"/>
      <c r="AS42" s="2"/>
      <c r="AT42" s="2"/>
      <c r="AU42" s="2"/>
      <c r="AV42" s="2"/>
      <c r="AW42" s="322"/>
      <c r="AX42" s="109"/>
      <c r="AY42" s="326"/>
      <c r="AZ42" s="328"/>
      <c r="BA42" s="329"/>
      <c r="BB42" s="329"/>
      <c r="BC42" s="3"/>
      <c r="BD42" s="3"/>
      <c r="BE42" s="3"/>
      <c r="BF42" s="329"/>
      <c r="BG42" s="109"/>
      <c r="BH42" s="109"/>
      <c r="BI42" s="109"/>
      <c r="BJ42" s="109"/>
      <c r="BK42" s="109"/>
      <c r="BL42" s="109"/>
      <c r="BM42" s="109"/>
      <c r="BN42" s="313"/>
      <c r="BO42" s="109"/>
      <c r="BP42" s="199"/>
      <c r="BQ42" s="199"/>
      <c r="BR42" s="199"/>
      <c r="BS42" s="3"/>
      <c r="BT42" s="199"/>
      <c r="BU42" s="199"/>
      <c r="BV42" s="199"/>
      <c r="BW42" s="3"/>
      <c r="BX42" s="259"/>
      <c r="BY42" s="323"/>
      <c r="BZ42" s="47"/>
      <c r="CA42" s="47"/>
      <c r="CB42" s="47"/>
      <c r="CC42" s="47"/>
      <c r="CD42" s="47"/>
      <c r="CE42" s="5"/>
      <c r="CF42" s="5"/>
      <c r="CG42" s="5"/>
      <c r="CH42" s="5"/>
      <c r="CI42" s="5"/>
      <c r="CJ42" s="3"/>
      <c r="CK42" s="3"/>
      <c r="CL42" s="3"/>
      <c r="CM42" s="47"/>
      <c r="CN42" s="47"/>
      <c r="CO42" s="47"/>
      <c r="CP42" s="47"/>
      <c r="CQ42" s="47"/>
      <c r="CR42" s="47"/>
      <c r="CS42" s="47"/>
      <c r="CT42" s="47"/>
      <c r="CU42" s="17"/>
      <c r="CV42" s="17"/>
      <c r="CW42" s="17"/>
      <c r="CX42" s="17"/>
      <c r="CY42" s="17"/>
      <c r="CZ42" s="1"/>
      <c r="DA42" s="1"/>
      <c r="DB42" s="2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</row>
    <row r="43" spans="1:197" ht="27" thickBot="1" x14ac:dyDescent="0.45">
      <c r="A43" s="5"/>
      <c r="B43" s="330"/>
      <c r="C43" s="330"/>
      <c r="D43" s="3"/>
      <c r="E43" s="3"/>
      <c r="F43" s="3"/>
      <c r="G43" s="3"/>
      <c r="H43" s="3"/>
      <c r="I43" s="5"/>
      <c r="J43" s="30"/>
      <c r="K43" s="3"/>
      <c r="L43" s="3"/>
      <c r="M43" s="3"/>
      <c r="N43" s="3"/>
      <c r="O43" s="30"/>
      <c r="P43" s="30"/>
      <c r="Q43" s="30"/>
      <c r="R43" s="30"/>
      <c r="S43" s="1"/>
      <c r="T43" s="325"/>
      <c r="U43" s="331"/>
      <c r="V43" s="58"/>
      <c r="W43" s="58"/>
      <c r="X43" s="3"/>
      <c r="Y43" s="3"/>
      <c r="Z43" s="110"/>
      <c r="AA43" s="110"/>
      <c r="AB43" s="134"/>
      <c r="AC43" s="58"/>
      <c r="AD43" s="216"/>
      <c r="AE43" s="216"/>
      <c r="AF43" s="216"/>
      <c r="AG43" s="216"/>
      <c r="AH43" s="5"/>
      <c r="AI43" s="216"/>
      <c r="AJ43" s="58"/>
      <c r="AK43" s="60" t="s">
        <v>261</v>
      </c>
      <c r="AL43" s="332"/>
      <c r="AM43" s="148" t="s">
        <v>175</v>
      </c>
      <c r="AN43" s="148" t="s">
        <v>175</v>
      </c>
      <c r="AO43" s="148" t="s">
        <v>175</v>
      </c>
      <c r="AP43" s="148" t="s">
        <v>175</v>
      </c>
      <c r="AQ43" s="148" t="s">
        <v>175</v>
      </c>
      <c r="AR43" s="109"/>
      <c r="AS43" s="2"/>
      <c r="AT43" s="5"/>
      <c r="AU43" s="5"/>
      <c r="AV43" s="5"/>
      <c r="AW43" s="3"/>
      <c r="AX43" s="60" t="s">
        <v>262</v>
      </c>
      <c r="AY43" s="148" t="s">
        <v>175</v>
      </c>
      <c r="AZ43" s="34" t="s">
        <v>175</v>
      </c>
      <c r="BA43" s="34" t="s">
        <v>175</v>
      </c>
      <c r="BB43" s="34" t="s">
        <v>175</v>
      </c>
      <c r="BC43" s="34" t="s">
        <v>175</v>
      </c>
      <c r="BD43" s="3"/>
      <c r="BE43" s="3"/>
      <c r="BF43" s="329"/>
      <c r="BG43" s="109"/>
      <c r="BH43" s="109"/>
      <c r="BI43" s="109"/>
      <c r="BJ43" s="109"/>
      <c r="BK43" s="109"/>
      <c r="BL43" s="109"/>
      <c r="BM43" s="109"/>
      <c r="BN43" s="109"/>
      <c r="BO43" s="333"/>
      <c r="BP43" s="334"/>
      <c r="BQ43" s="334"/>
      <c r="BR43" s="334"/>
      <c r="BS43" s="3"/>
      <c r="BT43" s="335"/>
      <c r="BU43" s="335"/>
      <c r="BV43" s="335"/>
      <c r="BW43" s="60"/>
      <c r="BX43" s="5"/>
      <c r="BY43" s="323"/>
      <c r="BZ43" s="47"/>
      <c r="CA43" s="47"/>
      <c r="CB43" s="47"/>
      <c r="CC43" s="47"/>
      <c r="CD43" s="47"/>
      <c r="CE43" s="5"/>
      <c r="CF43" s="5"/>
      <c r="CG43" s="5"/>
      <c r="CH43" s="5"/>
      <c r="CI43" s="5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17"/>
      <c r="CV43" s="17"/>
      <c r="CW43" s="17"/>
      <c r="CX43" s="17"/>
      <c r="CY43" s="17"/>
      <c r="CZ43" s="1"/>
      <c r="DA43" s="1"/>
      <c r="DB43" s="2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</row>
    <row r="44" spans="1:197" ht="24" thickBot="1" x14ac:dyDescent="0.35">
      <c r="A44" s="5"/>
      <c r="B44" s="5"/>
      <c r="C44" s="5"/>
      <c r="D44" s="3"/>
      <c r="E44" s="3"/>
      <c r="F44" s="3"/>
      <c r="G44" s="3"/>
      <c r="H44" s="3"/>
      <c r="I44" s="5"/>
      <c r="J44" s="5"/>
      <c r="K44" s="3"/>
      <c r="L44" s="3"/>
      <c r="M44" s="3"/>
      <c r="N44" s="3"/>
      <c r="O44" s="5"/>
      <c r="P44" s="5"/>
      <c r="Q44" s="631" t="s">
        <v>263</v>
      </c>
      <c r="R44" s="632"/>
      <c r="S44" s="632"/>
      <c r="T44" s="633"/>
      <c r="U44" s="1"/>
      <c r="V44" s="1"/>
      <c r="W44" s="1"/>
      <c r="X44" s="58"/>
      <c r="Y44" s="58"/>
      <c r="Z44" s="58"/>
      <c r="AA44" s="58"/>
      <c r="AB44" s="58"/>
      <c r="AC44" s="216"/>
      <c r="AD44" s="216"/>
      <c r="AE44" s="216"/>
      <c r="AF44" s="216"/>
      <c r="AG44" s="3"/>
      <c r="AH44" s="3"/>
      <c r="AI44" s="3"/>
      <c r="AJ44" s="3"/>
      <c r="AK44" s="148"/>
      <c r="AL44" s="148"/>
      <c r="AM44" s="35" t="s">
        <v>914</v>
      </c>
      <c r="AN44" s="35" t="s">
        <v>913</v>
      </c>
      <c r="AO44" s="35" t="s">
        <v>912</v>
      </c>
      <c r="AP44" s="35" t="s">
        <v>911</v>
      </c>
      <c r="AQ44" s="158" t="s">
        <v>910</v>
      </c>
      <c r="AR44" s="148"/>
      <c r="AS44" s="5"/>
      <c r="AT44" s="5"/>
      <c r="AU44" s="5"/>
      <c r="AV44" s="5"/>
      <c r="AW44" s="3"/>
      <c r="AX44" s="148"/>
      <c r="AY44" s="36" t="s">
        <v>923</v>
      </c>
      <c r="AZ44" s="36" t="s">
        <v>922</v>
      </c>
      <c r="BA44" s="36" t="s">
        <v>921</v>
      </c>
      <c r="BB44" s="36" t="s">
        <v>920</v>
      </c>
      <c r="BC44" s="36" t="s">
        <v>919</v>
      </c>
      <c r="BD44" s="316"/>
      <c r="BE44" s="109"/>
      <c r="BF44" s="336"/>
      <c r="BG44" s="336"/>
      <c r="BH44" s="336"/>
      <c r="BI44" s="640" t="s">
        <v>264</v>
      </c>
      <c r="BJ44" s="641"/>
      <c r="BK44" s="641"/>
      <c r="BL44" s="642"/>
      <c r="BM44" s="109" t="s">
        <v>265</v>
      </c>
      <c r="BN44" s="337"/>
      <c r="BO44" s="338"/>
      <c r="BP44" s="588"/>
      <c r="BQ44" s="588"/>
      <c r="BR44" s="588"/>
      <c r="BS44" s="588"/>
      <c r="BT44" s="588"/>
      <c r="BU44" s="588"/>
      <c r="BV44" s="588"/>
      <c r="BW44" s="588"/>
      <c r="BX44" s="3"/>
      <c r="BY44" s="340"/>
      <c r="BZ44" s="47"/>
      <c r="CA44" s="47"/>
      <c r="CB44" s="47"/>
      <c r="CC44" s="47"/>
      <c r="CD44" s="47"/>
      <c r="CE44" s="5"/>
      <c r="CF44" s="5"/>
      <c r="CG44" s="5"/>
      <c r="CH44" s="5"/>
      <c r="CI44" s="5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17"/>
      <c r="CV44" s="17"/>
      <c r="CW44" s="17"/>
      <c r="CX44" s="17"/>
      <c r="CY44" s="17"/>
      <c r="CZ44" s="1"/>
      <c r="DA44" s="1"/>
      <c r="DB44" s="2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</row>
    <row r="45" spans="1:197" ht="26.25" x14ac:dyDescent="0.4">
      <c r="A45" s="5"/>
      <c r="B45" s="5"/>
      <c r="C45" s="5"/>
      <c r="D45" s="1"/>
      <c r="E45" s="3"/>
      <c r="F45" s="3"/>
      <c r="G45" s="3"/>
      <c r="H45" s="3"/>
      <c r="I45" s="5"/>
      <c r="J45" s="5"/>
      <c r="K45" s="3"/>
      <c r="L45" s="3"/>
      <c r="M45" s="3"/>
      <c r="N45" s="3"/>
      <c r="O45" s="5"/>
      <c r="P45" s="5"/>
      <c r="Q45" s="634"/>
      <c r="R45" s="635"/>
      <c r="S45" s="635"/>
      <c r="T45" s="636"/>
      <c r="U45" s="1"/>
      <c r="V45" s="1"/>
      <c r="W45" s="1"/>
      <c r="X45" s="274"/>
      <c r="Y45" s="341"/>
      <c r="Z45" s="342"/>
      <c r="AA45" s="343"/>
      <c r="AB45" s="344"/>
      <c r="AC45" s="342"/>
      <c r="AD45" s="343"/>
      <c r="AE45" s="344"/>
      <c r="AF45" s="342"/>
      <c r="AG45" s="343"/>
      <c r="AH45" s="344"/>
      <c r="AI45" s="342"/>
      <c r="AJ45" s="345"/>
      <c r="AK45" s="346"/>
      <c r="AL45" s="3"/>
      <c r="AM45" s="643" t="s">
        <v>176</v>
      </c>
      <c r="AN45" s="643"/>
      <c r="AO45" s="643"/>
      <c r="AP45" s="643"/>
      <c r="AQ45" s="644" t="s">
        <v>211</v>
      </c>
      <c r="AR45" s="644"/>
      <c r="AS45" s="347"/>
      <c r="AT45" s="348"/>
      <c r="AU45" s="349"/>
      <c r="AV45" s="350"/>
      <c r="AW45" s="351"/>
      <c r="AX45" s="347"/>
      <c r="AY45" s="645" t="s">
        <v>266</v>
      </c>
      <c r="AZ45" s="645"/>
      <c r="BA45" s="645"/>
      <c r="BB45" s="645"/>
      <c r="BC45" s="645"/>
      <c r="BD45" s="347"/>
      <c r="BE45" s="347"/>
      <c r="BF45" s="352"/>
      <c r="BG45" s="353"/>
      <c r="BH45" s="354"/>
      <c r="BI45" s="354"/>
      <c r="BJ45" s="355"/>
      <c r="BK45" s="354"/>
      <c r="BL45" s="354"/>
      <c r="BM45" s="354"/>
      <c r="BN45" s="354"/>
      <c r="BO45" s="354"/>
      <c r="BP45" s="354"/>
      <c r="BQ45" s="356"/>
      <c r="BR45" s="354"/>
      <c r="BS45" s="354"/>
      <c r="BT45" s="354"/>
      <c r="BU45" s="357"/>
      <c r="BV45" s="358"/>
      <c r="BW45" s="358"/>
      <c r="BX45" s="358"/>
      <c r="BY45" s="358"/>
      <c r="BZ45" s="47"/>
      <c r="CA45" s="47"/>
      <c r="CB45" s="47"/>
      <c r="CC45" s="47"/>
      <c r="CD45" s="47"/>
      <c r="CE45" s="47"/>
      <c r="CF45" s="47"/>
      <c r="CG45" s="47"/>
      <c r="CH45" s="359"/>
      <c r="CI45" s="359"/>
      <c r="CJ45" s="359"/>
      <c r="CK45" s="359"/>
      <c r="CL45" s="359"/>
      <c r="CM45" s="359"/>
      <c r="CN45" s="359"/>
      <c r="CO45" s="359"/>
      <c r="CP45" s="47"/>
      <c r="CQ45" s="47"/>
      <c r="CR45" s="47"/>
      <c r="CS45" s="47"/>
      <c r="CT45" s="47"/>
      <c r="CU45" s="17"/>
      <c r="CV45" s="17"/>
      <c r="CW45" s="17"/>
      <c r="CX45" s="17"/>
      <c r="CY45" s="17"/>
      <c r="CZ45" s="1"/>
      <c r="DA45" s="1"/>
      <c r="DB45" s="2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</row>
    <row r="46" spans="1:197" ht="2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34"/>
      <c r="R46" s="635"/>
      <c r="S46" s="635"/>
      <c r="T46" s="636"/>
      <c r="U46" s="1"/>
      <c r="V46" s="1"/>
      <c r="W46" s="274"/>
      <c r="X46" s="274"/>
      <c r="Y46" s="360"/>
      <c r="Z46" s="361"/>
      <c r="AA46" s="361"/>
      <c r="AB46" s="646" t="s">
        <v>267</v>
      </c>
      <c r="AC46" s="646"/>
      <c r="AD46" s="646"/>
      <c r="AE46" s="646"/>
      <c r="AF46" s="646"/>
      <c r="AG46" s="646"/>
      <c r="AH46" s="361"/>
      <c r="AI46" s="361"/>
      <c r="AJ46" s="345"/>
      <c r="AK46" s="3"/>
      <c r="AL46" s="5"/>
      <c r="AM46" s="58"/>
      <c r="AN46" s="3"/>
      <c r="AO46" s="3"/>
      <c r="AP46" s="3"/>
      <c r="AQ46" s="3"/>
      <c r="AR46" s="109"/>
      <c r="AS46" s="109"/>
      <c r="AT46" s="348"/>
      <c r="AU46" s="349"/>
      <c r="AV46" s="349"/>
      <c r="AW46" s="362"/>
      <c r="AX46" s="3"/>
      <c r="AY46" s="363"/>
      <c r="AZ46" s="109"/>
      <c r="BA46" s="109"/>
      <c r="BB46" s="109"/>
      <c r="BC46" s="109"/>
      <c r="BD46" s="109"/>
      <c r="BE46" s="109"/>
      <c r="BF46" s="364"/>
      <c r="BG46" s="365"/>
      <c r="BH46" s="366"/>
      <c r="BI46" s="366"/>
      <c r="BJ46" s="366"/>
      <c r="BK46" s="647" t="s">
        <v>268</v>
      </c>
      <c r="BL46" s="647"/>
      <c r="BM46" s="647"/>
      <c r="BN46" s="647"/>
      <c r="BO46" s="647"/>
      <c r="BP46" s="647"/>
      <c r="BQ46" s="647"/>
      <c r="BR46" s="366"/>
      <c r="BS46" s="366"/>
      <c r="BT46" s="366"/>
      <c r="BU46" s="36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359"/>
      <c r="CI46" s="359"/>
      <c r="CJ46" s="359"/>
      <c r="CK46" s="359"/>
      <c r="CL46" s="359"/>
      <c r="CM46" s="359"/>
      <c r="CN46" s="359"/>
      <c r="CO46" s="359"/>
      <c r="CP46" s="47"/>
      <c r="CQ46" s="47"/>
      <c r="CR46" s="47"/>
      <c r="CS46" s="47"/>
      <c r="CT46" s="47"/>
      <c r="CU46" s="17"/>
      <c r="CV46" s="17"/>
      <c r="CW46" s="17"/>
      <c r="CX46" s="1"/>
      <c r="CY46" s="17"/>
      <c r="CZ46" s="1"/>
      <c r="DA46" s="1"/>
      <c r="DB46" s="2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</row>
    <row r="47" spans="1:197" ht="2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634"/>
      <c r="R47" s="635"/>
      <c r="S47" s="635"/>
      <c r="T47" s="636"/>
      <c r="U47" s="1"/>
      <c r="V47" s="1"/>
      <c r="W47" s="58"/>
      <c r="X47" s="58"/>
      <c r="Y47" s="360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45"/>
      <c r="AK47" s="216"/>
      <c r="AL47" s="3"/>
      <c r="AM47" s="3"/>
      <c r="AN47" s="3"/>
      <c r="AO47" s="3"/>
      <c r="AP47" s="3"/>
      <c r="AQ47" s="3"/>
      <c r="AR47" s="109"/>
      <c r="AS47" s="109"/>
      <c r="AT47" s="348"/>
      <c r="AU47" s="368" t="s">
        <v>269</v>
      </c>
      <c r="AV47" s="368"/>
      <c r="AW47" s="362"/>
      <c r="AX47" s="3"/>
      <c r="AY47" s="3"/>
      <c r="AZ47" s="3"/>
      <c r="BA47" s="109"/>
      <c r="BB47" s="109"/>
      <c r="BC47" s="109"/>
      <c r="BD47" s="369"/>
      <c r="BE47" s="369"/>
      <c r="BF47" s="369"/>
      <c r="BG47" s="370"/>
      <c r="BH47" s="371"/>
      <c r="BI47" s="371"/>
      <c r="BJ47" s="371"/>
      <c r="BK47" s="371"/>
      <c r="BL47" s="371"/>
      <c r="BM47" s="371"/>
      <c r="BN47" s="371"/>
      <c r="BO47" s="366"/>
      <c r="BP47" s="366"/>
      <c r="BQ47" s="366"/>
      <c r="BR47" s="366"/>
      <c r="BS47" s="366"/>
      <c r="BT47" s="366"/>
      <c r="BU47" s="36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359"/>
      <c r="CI47" s="359"/>
      <c r="CJ47" s="359"/>
      <c r="CK47" s="359"/>
      <c r="CL47" s="359"/>
      <c r="CM47" s="359"/>
      <c r="CN47" s="359"/>
      <c r="CO47" s="359"/>
      <c r="CP47" s="47"/>
      <c r="CQ47" s="47"/>
      <c r="CR47" s="47"/>
      <c r="CS47" s="47"/>
      <c r="CT47" s="47"/>
      <c r="CU47" s="17"/>
      <c r="CV47" s="17"/>
      <c r="CW47" s="17"/>
      <c r="CX47" s="1"/>
      <c r="CY47" s="1"/>
      <c r="CZ47" s="1"/>
      <c r="DA47" s="1"/>
      <c r="DB47" s="2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</row>
    <row r="48" spans="1:197" ht="21.75" thickBot="1" x14ac:dyDescent="0.4">
      <c r="A48" s="173"/>
      <c r="B48" s="173"/>
      <c r="C48" s="173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637"/>
      <c r="R48" s="638"/>
      <c r="S48" s="638"/>
      <c r="T48" s="639"/>
      <c r="U48" s="372"/>
      <c r="V48" s="372"/>
      <c r="W48" s="372"/>
      <c r="X48" s="372"/>
      <c r="Y48" s="373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5"/>
      <c r="AK48" s="216"/>
      <c r="AL48" s="5"/>
      <c r="AM48" s="58"/>
      <c r="AN48" s="58"/>
      <c r="AO48" s="109"/>
      <c r="AP48" s="109"/>
      <c r="AQ48" s="109"/>
      <c r="AR48" s="109"/>
      <c r="AS48" s="109"/>
      <c r="AT48" s="376"/>
      <c r="AU48" s="377"/>
      <c r="AV48" s="377"/>
      <c r="AW48" s="378"/>
      <c r="AX48" s="3"/>
      <c r="AY48" s="109"/>
      <c r="AZ48" s="109"/>
      <c r="BA48" s="109"/>
      <c r="BB48" s="109"/>
      <c r="BC48" s="109"/>
      <c r="BD48" s="109"/>
      <c r="BE48" s="109"/>
      <c r="BF48" s="109"/>
      <c r="BG48" s="379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1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359"/>
      <c r="CI48" s="359"/>
      <c r="CJ48" s="359"/>
      <c r="CK48" s="359"/>
      <c r="CL48" s="359"/>
      <c r="CM48" s="359"/>
      <c r="CN48" s="359"/>
      <c r="CO48" s="359"/>
      <c r="CP48" s="47"/>
      <c r="CQ48" s="47"/>
      <c r="CR48" s="47"/>
      <c r="CS48" s="47"/>
      <c r="CT48" s="47"/>
      <c r="CU48" s="17"/>
      <c r="CV48" s="17"/>
      <c r="CW48" s="17"/>
      <c r="CX48" s="1"/>
      <c r="CY48" s="1"/>
      <c r="CZ48" s="1"/>
      <c r="DA48" s="1"/>
      <c r="DB48" s="2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</row>
    <row r="49" spans="1:197" ht="18.75" x14ac:dyDescent="0.25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5"/>
      <c r="AM49" s="2"/>
      <c r="AN49" s="2"/>
      <c r="AO49" s="2"/>
      <c r="AP49" s="2"/>
      <c r="AQ49" s="2"/>
      <c r="AR49" s="2"/>
      <c r="AS49" s="2"/>
      <c r="AT49" s="2"/>
      <c r="AU49" s="3"/>
      <c r="AV49" s="3"/>
      <c r="AW49" s="3"/>
      <c r="AX49" s="3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47"/>
      <c r="BW49" s="47"/>
      <c r="BX49" s="47"/>
      <c r="BY49" s="47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1"/>
      <c r="DA49" s="1"/>
      <c r="DB49" s="2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</row>
    <row r="50" spans="1:197" ht="18.75" x14ac:dyDescent="0.25">
      <c r="A50" s="5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5"/>
      <c r="AL50" s="3"/>
      <c r="AM50" s="3"/>
      <c r="AN50" s="3"/>
      <c r="AO50" s="3"/>
      <c r="AP50" s="2"/>
      <c r="AQ50" s="2"/>
      <c r="AR50" s="2"/>
      <c r="AS50" s="2"/>
      <c r="AT50" s="2"/>
      <c r="AU50" s="3"/>
      <c r="AV50" s="3"/>
      <c r="AW50" s="3"/>
      <c r="AX50" s="3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47"/>
      <c r="BW50" s="47"/>
      <c r="BX50" s="47"/>
      <c r="BY50" s="47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</row>
    <row r="51" spans="1:197" ht="18.75" x14ac:dyDescent="0.25">
      <c r="A51" s="5"/>
      <c r="B51" s="5"/>
      <c r="C51" s="5"/>
      <c r="D51" s="2"/>
      <c r="E51" s="2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47"/>
      <c r="BW51" s="47"/>
      <c r="BX51" s="47"/>
      <c r="BY51" s="47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</row>
    <row r="52" spans="1:197" ht="18.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47"/>
      <c r="BW52" s="47"/>
      <c r="BX52" s="47"/>
      <c r="BY52" s="47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1"/>
      <c r="CL52" s="1"/>
      <c r="CM52" s="1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</row>
    <row r="53" spans="1:197" ht="18.7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47"/>
      <c r="BW53" s="47"/>
      <c r="BX53" s="47"/>
      <c r="BY53" s="47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</row>
    <row r="54" spans="1:197" ht="18.7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3"/>
      <c r="M54" s="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47"/>
      <c r="BW54" s="47"/>
      <c r="BX54" s="47"/>
      <c r="BY54" s="47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</row>
    <row r="55" spans="1:197" ht="18.7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47"/>
      <c r="BW55" s="47"/>
      <c r="BX55" s="47"/>
      <c r="BY55" s="47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</row>
    <row r="56" spans="1:197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</row>
    <row r="57" spans="1:197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</row>
    <row r="58" spans="1:197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</row>
    <row r="59" spans="1:197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</row>
    <row r="60" spans="1:197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</row>
    <row r="61" spans="1:197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</row>
    <row r="62" spans="1:197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</row>
  </sheetData>
  <mergeCells count="53">
    <mergeCell ref="F9:G9"/>
    <mergeCell ref="T9:U9"/>
    <mergeCell ref="A1:CV1"/>
    <mergeCell ref="O2:P2"/>
    <mergeCell ref="X2:AD2"/>
    <mergeCell ref="AQ2:AT2"/>
    <mergeCell ref="AU2:AX2"/>
    <mergeCell ref="AY2:BB2"/>
    <mergeCell ref="BV3:BW7"/>
    <mergeCell ref="CF3:CS5"/>
    <mergeCell ref="AK4:AM4"/>
    <mergeCell ref="BB4:BD4"/>
    <mergeCell ref="F8:G8"/>
    <mergeCell ref="F10:G10"/>
    <mergeCell ref="V10:Y10"/>
    <mergeCell ref="BB10:BE10"/>
    <mergeCell ref="F11:G11"/>
    <mergeCell ref="AA11:AC11"/>
    <mergeCell ref="AW11:AY11"/>
    <mergeCell ref="BU11:BU16"/>
    <mergeCell ref="CF12:CH12"/>
    <mergeCell ref="CN12:CQ31"/>
    <mergeCell ref="H15:H16"/>
    <mergeCell ref="A16:B16"/>
    <mergeCell ref="T16:U16"/>
    <mergeCell ref="AJ16:AM16"/>
    <mergeCell ref="BZ19:CC19"/>
    <mergeCell ref="T21:V21"/>
    <mergeCell ref="W21:Y21"/>
    <mergeCell ref="P38:Q38"/>
    <mergeCell ref="AB21:AD21"/>
    <mergeCell ref="AP23:AS23"/>
    <mergeCell ref="A24:B24"/>
    <mergeCell ref="BZ26:CC26"/>
    <mergeCell ref="V28:Y28"/>
    <mergeCell ref="AL28:AM28"/>
    <mergeCell ref="AK30:AN30"/>
    <mergeCell ref="AX30:AZ30"/>
    <mergeCell ref="BW36:BY40"/>
    <mergeCell ref="AP37:AR37"/>
    <mergeCell ref="BG37:BI37"/>
    <mergeCell ref="E39:H39"/>
    <mergeCell ref="BT41:BV41"/>
    <mergeCell ref="Q44:T48"/>
    <mergeCell ref="BI44:BJ44"/>
    <mergeCell ref="BK44:BL44"/>
    <mergeCell ref="AM45:AP45"/>
    <mergeCell ref="AQ45:AR45"/>
    <mergeCell ref="AY45:BC45"/>
    <mergeCell ref="AB46:AG46"/>
    <mergeCell ref="BK46:BQ46"/>
    <mergeCell ref="BB41:BD41"/>
    <mergeCell ref="BP41:BR41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GO482"/>
  <sheetViews>
    <sheetView zoomScale="40" zoomScaleNormal="40" workbookViewId="0">
      <selection activeCell="M32" sqref="M32"/>
    </sheetView>
  </sheetViews>
  <sheetFormatPr baseColWidth="10" defaultColWidth="16" defaultRowHeight="12.75" x14ac:dyDescent="0.25"/>
  <cols>
    <col min="1" max="16384" width="16" style="4"/>
  </cols>
  <sheetData>
    <row r="1" spans="1:197" ht="34.5" thickBot="1" x14ac:dyDescent="0.3">
      <c r="A1" s="684" t="s">
        <v>162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5"/>
      <c r="AG1" s="685"/>
      <c r="AH1" s="685"/>
      <c r="AI1" s="685"/>
      <c r="AJ1" s="685"/>
      <c r="AK1" s="685"/>
      <c r="AL1" s="685"/>
      <c r="AM1" s="685"/>
      <c r="AN1" s="685"/>
      <c r="AO1" s="685"/>
      <c r="AP1" s="685"/>
      <c r="AQ1" s="685"/>
      <c r="AR1" s="685"/>
      <c r="AS1" s="685"/>
      <c r="AT1" s="685"/>
      <c r="AU1" s="685"/>
      <c r="AV1" s="685"/>
      <c r="AW1" s="685"/>
      <c r="AX1" s="685"/>
      <c r="AY1" s="685"/>
      <c r="AZ1" s="685"/>
      <c r="BA1" s="685"/>
      <c r="BB1" s="685"/>
      <c r="BC1" s="685"/>
      <c r="BD1" s="685"/>
      <c r="BE1" s="685"/>
      <c r="BF1" s="685"/>
      <c r="BG1" s="685"/>
      <c r="BH1" s="685"/>
      <c r="BI1" s="685"/>
      <c r="BJ1" s="685"/>
      <c r="BK1" s="685"/>
      <c r="BL1" s="685"/>
      <c r="BM1" s="685"/>
      <c r="BN1" s="685"/>
      <c r="BO1" s="685"/>
      <c r="BP1" s="685"/>
      <c r="BQ1" s="685"/>
      <c r="BR1" s="685"/>
      <c r="BS1" s="685"/>
      <c r="BT1" s="685"/>
      <c r="BU1" s="685"/>
      <c r="BV1" s="685"/>
      <c r="BW1" s="685"/>
      <c r="BX1" s="685"/>
      <c r="BY1" s="685"/>
      <c r="BZ1" s="685"/>
      <c r="CA1" s="685"/>
      <c r="CB1" s="685"/>
      <c r="CC1" s="685"/>
      <c r="CD1" s="685"/>
      <c r="CE1" s="685"/>
      <c r="CF1" s="685"/>
      <c r="CG1" s="685"/>
      <c r="CH1" s="685"/>
      <c r="CI1" s="685"/>
      <c r="CJ1" s="685"/>
      <c r="CK1" s="685"/>
      <c r="CL1" s="685"/>
      <c r="CM1" s="685"/>
      <c r="CN1" s="685"/>
      <c r="CO1" s="685"/>
      <c r="CP1" s="685"/>
      <c r="CQ1" s="685"/>
      <c r="CR1" s="685"/>
      <c r="CS1" s="685"/>
      <c r="CT1" s="685"/>
      <c r="CU1" s="685"/>
      <c r="CV1" s="686"/>
      <c r="CW1" s="1"/>
      <c r="CX1" s="1"/>
      <c r="CY1" s="1"/>
      <c r="CZ1" s="2"/>
      <c r="DA1" s="2"/>
      <c r="DB1" s="2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 ht="29.25" thickBot="1" x14ac:dyDescent="0.4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87" t="s">
        <v>163</v>
      </c>
      <c r="P2" s="688"/>
      <c r="Q2" s="7"/>
      <c r="R2" s="8"/>
      <c r="S2" s="1"/>
      <c r="T2" s="1"/>
      <c r="U2" s="9"/>
      <c r="V2" s="10"/>
      <c r="W2" s="10"/>
      <c r="X2" s="689" t="s">
        <v>164</v>
      </c>
      <c r="Y2" s="689"/>
      <c r="Z2" s="689"/>
      <c r="AA2" s="689"/>
      <c r="AB2" s="689"/>
      <c r="AC2" s="689"/>
      <c r="AD2" s="69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1"/>
      <c r="AP2" s="11"/>
      <c r="AQ2" s="644" t="s">
        <v>164</v>
      </c>
      <c r="AR2" s="644"/>
      <c r="AS2" s="644"/>
      <c r="AT2" s="644"/>
      <c r="AU2" s="691" t="s">
        <v>165</v>
      </c>
      <c r="AV2" s="691"/>
      <c r="AW2" s="691"/>
      <c r="AX2" s="691"/>
      <c r="AY2" s="692"/>
      <c r="AZ2" s="692"/>
      <c r="BA2" s="692"/>
      <c r="BB2" s="692"/>
      <c r="BC2" s="13"/>
      <c r="BD2" s="13"/>
      <c r="BE2" s="8"/>
      <c r="BF2" s="6"/>
      <c r="BG2" s="6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6"/>
      <c r="CU2" s="17"/>
      <c r="CV2" s="17"/>
      <c r="CW2" s="17"/>
      <c r="CX2" s="16"/>
      <c r="CY2" s="1"/>
      <c r="CZ2" s="1"/>
      <c r="DA2" s="18"/>
      <c r="DB2" s="2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</row>
    <row r="3" spans="1:197" ht="15" customHeight="1" x14ac:dyDescent="0.35">
      <c r="A3" s="19"/>
      <c r="B3" s="20"/>
      <c r="C3" s="20"/>
      <c r="D3" s="20"/>
      <c r="E3" s="21"/>
      <c r="F3" s="22"/>
      <c r="G3" s="23" t="s">
        <v>166</v>
      </c>
      <c r="H3" s="5"/>
      <c r="I3" s="5"/>
      <c r="J3" s="3"/>
      <c r="K3" s="24"/>
      <c r="L3" s="25" t="s">
        <v>167</v>
      </c>
      <c r="M3" s="25" t="s">
        <v>167</v>
      </c>
      <c r="N3" s="26"/>
      <c r="O3" s="5"/>
      <c r="P3" s="1"/>
      <c r="Q3" s="3"/>
      <c r="R3" s="27"/>
      <c r="S3" s="20"/>
      <c r="T3" s="28"/>
      <c r="U3" s="29"/>
      <c r="V3" s="30"/>
      <c r="W3" s="31"/>
      <c r="X3" s="32" t="s">
        <v>112</v>
      </c>
      <c r="Y3" s="32" t="s">
        <v>112</v>
      </c>
      <c r="Z3" s="32" t="s">
        <v>112</v>
      </c>
      <c r="AA3" s="32" t="s">
        <v>112</v>
      </c>
      <c r="AB3" s="32" t="s">
        <v>112</v>
      </c>
      <c r="AC3" s="32" t="s">
        <v>112</v>
      </c>
      <c r="AD3" s="32" t="s">
        <v>112</v>
      </c>
      <c r="AE3" s="1"/>
      <c r="AF3" s="1"/>
      <c r="AG3" s="33"/>
      <c r="AH3" s="33"/>
      <c r="AI3" s="33"/>
      <c r="AJ3" s="33"/>
      <c r="AK3" s="33"/>
      <c r="AL3" s="33"/>
      <c r="AM3" s="33"/>
      <c r="AN3" s="33"/>
      <c r="AO3" s="3"/>
      <c r="AP3" s="34"/>
      <c r="AQ3" s="35" t="s">
        <v>133</v>
      </c>
      <c r="AR3" s="35" t="s">
        <v>133</v>
      </c>
      <c r="AS3" s="35" t="s">
        <v>133</v>
      </c>
      <c r="AT3" s="35" t="s">
        <v>133</v>
      </c>
      <c r="AU3" s="36" t="s">
        <v>84</v>
      </c>
      <c r="AV3" s="36" t="s">
        <v>84</v>
      </c>
      <c r="AW3" s="36" t="s">
        <v>84</v>
      </c>
      <c r="AX3" s="36" t="s">
        <v>84</v>
      </c>
      <c r="AY3" s="34"/>
      <c r="AZ3" s="3"/>
      <c r="BA3" s="3"/>
      <c r="BB3" s="3"/>
      <c r="BC3" s="3"/>
      <c r="BD3" s="3"/>
      <c r="BE3" s="3"/>
      <c r="BF3" s="3"/>
      <c r="BG3" s="3"/>
      <c r="BH3" s="37"/>
      <c r="BI3" s="38"/>
      <c r="BJ3" s="39"/>
      <c r="BK3" s="580"/>
      <c r="BL3" s="580"/>
      <c r="BM3" s="40"/>
      <c r="BN3" s="41" t="s">
        <v>168</v>
      </c>
      <c r="BO3" s="41" t="s">
        <v>168</v>
      </c>
      <c r="BP3" s="41" t="s">
        <v>168</v>
      </c>
      <c r="BQ3" s="42"/>
      <c r="BR3" s="43"/>
      <c r="BS3" s="43"/>
      <c r="BT3" s="44"/>
      <c r="BU3" s="45"/>
      <c r="BV3" s="693" t="s">
        <v>169</v>
      </c>
      <c r="BW3" s="694"/>
      <c r="BX3" s="46"/>
      <c r="BY3" s="46"/>
      <c r="BZ3" s="46"/>
      <c r="CA3" s="46"/>
      <c r="CB3" s="46"/>
      <c r="CC3" s="46"/>
      <c r="CD3" s="47"/>
      <c r="CE3" s="45"/>
      <c r="CF3" s="699" t="s">
        <v>170</v>
      </c>
      <c r="CG3" s="700"/>
      <c r="CH3" s="700"/>
      <c r="CI3" s="700"/>
      <c r="CJ3" s="700"/>
      <c r="CK3" s="700"/>
      <c r="CL3" s="700"/>
      <c r="CM3" s="700"/>
      <c r="CN3" s="700"/>
      <c r="CO3" s="700"/>
      <c r="CP3" s="700"/>
      <c r="CQ3" s="700"/>
      <c r="CR3" s="700"/>
      <c r="CS3" s="700"/>
      <c r="CT3" s="48"/>
      <c r="CU3" s="17"/>
      <c r="CV3" s="17"/>
      <c r="CW3" s="17"/>
      <c r="CX3" s="16"/>
      <c r="CY3" s="1"/>
      <c r="CZ3" s="1"/>
      <c r="DA3" s="1"/>
      <c r="DB3" s="2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</row>
    <row r="4" spans="1:197" ht="28.5" x14ac:dyDescent="0.35">
      <c r="A4" s="49"/>
      <c r="B4" s="1"/>
      <c r="C4" s="1"/>
      <c r="D4" s="1"/>
      <c r="E4" s="50"/>
      <c r="F4" s="25" t="s">
        <v>167</v>
      </c>
      <c r="G4" s="51" t="s">
        <v>171</v>
      </c>
      <c r="H4" s="52">
        <v>2</v>
      </c>
      <c r="I4" s="5"/>
      <c r="J4" s="3"/>
      <c r="K4" s="53" t="s">
        <v>172</v>
      </c>
      <c r="L4" s="54"/>
      <c r="M4" s="54"/>
      <c r="N4" s="55" t="s">
        <v>173</v>
      </c>
      <c r="O4" s="56"/>
      <c r="P4" s="1"/>
      <c r="Q4" s="3"/>
      <c r="R4" s="57"/>
      <c r="S4" s="1"/>
      <c r="T4" s="58"/>
      <c r="U4" s="59"/>
      <c r="V4" s="30"/>
      <c r="W4" s="60" t="s">
        <v>174</v>
      </c>
      <c r="X4" s="31" t="s">
        <v>175</v>
      </c>
      <c r="Y4" s="31" t="s">
        <v>175</v>
      </c>
      <c r="Z4" s="31" t="s">
        <v>175</v>
      </c>
      <c r="AA4" s="31" t="s">
        <v>175</v>
      </c>
      <c r="AB4" s="31" t="s">
        <v>175</v>
      </c>
      <c r="AC4" s="31" t="s">
        <v>175</v>
      </c>
      <c r="AD4" s="31" t="s">
        <v>175</v>
      </c>
      <c r="AE4" s="30"/>
      <c r="AF4" s="1"/>
      <c r="AG4" s="61"/>
      <c r="AH4" s="61"/>
      <c r="AI4" s="61"/>
      <c r="AJ4" s="33"/>
      <c r="AK4" s="649" t="s">
        <v>176</v>
      </c>
      <c r="AL4" s="649"/>
      <c r="AM4" s="649"/>
      <c r="AN4" s="1"/>
      <c r="AO4" s="63"/>
      <c r="AP4" s="3"/>
      <c r="AQ4" s="34" t="s">
        <v>175</v>
      </c>
      <c r="AR4" s="34" t="s">
        <v>175</v>
      </c>
      <c r="AS4" s="34" t="s">
        <v>175</v>
      </c>
      <c r="AT4" s="34" t="s">
        <v>175</v>
      </c>
      <c r="AU4" s="34" t="s">
        <v>175</v>
      </c>
      <c r="AV4" s="34" t="s">
        <v>175</v>
      </c>
      <c r="AW4" s="34" t="s">
        <v>175</v>
      </c>
      <c r="AX4" s="34" t="s">
        <v>175</v>
      </c>
      <c r="AY4" s="64" t="s">
        <v>177</v>
      </c>
      <c r="AZ4" s="38"/>
      <c r="BA4" s="3"/>
      <c r="BB4" s="669" t="s">
        <v>164</v>
      </c>
      <c r="BC4" s="669"/>
      <c r="BD4" s="669"/>
      <c r="BE4" s="38"/>
      <c r="BF4" s="38"/>
      <c r="BG4" s="38"/>
      <c r="BH4" s="38"/>
      <c r="BI4" s="38"/>
      <c r="BJ4" s="47"/>
      <c r="BK4" s="47"/>
      <c r="BL4" s="47"/>
      <c r="BM4" s="66"/>
      <c r="BN4" s="67"/>
      <c r="BO4" s="42"/>
      <c r="BP4" s="67"/>
      <c r="BQ4" s="3"/>
      <c r="BR4" s="2"/>
      <c r="BS4" s="2"/>
      <c r="BT4" s="2"/>
      <c r="BU4" s="68"/>
      <c r="BV4" s="695"/>
      <c r="BW4" s="696"/>
      <c r="BX4" s="69"/>
      <c r="BY4" s="69"/>
      <c r="BZ4" s="69"/>
      <c r="CA4" s="69"/>
      <c r="CB4" s="69"/>
      <c r="CC4" s="69"/>
      <c r="CD4" s="47"/>
      <c r="CE4" s="47"/>
      <c r="CF4" s="701"/>
      <c r="CG4" s="647"/>
      <c r="CH4" s="647"/>
      <c r="CI4" s="647"/>
      <c r="CJ4" s="647"/>
      <c r="CK4" s="647"/>
      <c r="CL4" s="647"/>
      <c r="CM4" s="647"/>
      <c r="CN4" s="647"/>
      <c r="CO4" s="647"/>
      <c r="CP4" s="647"/>
      <c r="CQ4" s="647"/>
      <c r="CR4" s="647"/>
      <c r="CS4" s="647"/>
      <c r="CT4" s="48"/>
      <c r="CU4" s="17"/>
      <c r="CV4" s="17"/>
      <c r="CW4" s="17"/>
      <c r="CX4" s="16"/>
      <c r="CY4" s="1"/>
      <c r="CZ4" s="1"/>
      <c r="DA4" s="1"/>
      <c r="DB4" s="2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</row>
    <row r="5" spans="1:197" ht="29.25" thickBot="1" x14ac:dyDescent="0.35">
      <c r="A5" s="49"/>
      <c r="B5" s="1"/>
      <c r="C5" s="1"/>
      <c r="D5" s="1"/>
      <c r="E5" s="50"/>
      <c r="F5" s="3"/>
      <c r="G5" s="3"/>
      <c r="H5" s="70"/>
      <c r="I5" s="5"/>
      <c r="J5" s="30"/>
      <c r="K5" s="71"/>
      <c r="L5" s="52">
        <v>1</v>
      </c>
      <c r="M5" s="52">
        <v>2</v>
      </c>
      <c r="N5" s="72"/>
      <c r="O5" s="5"/>
      <c r="P5" s="5"/>
      <c r="Q5" s="3"/>
      <c r="R5" s="57"/>
      <c r="S5" s="1"/>
      <c r="T5" s="73"/>
      <c r="U5" s="59"/>
      <c r="V5" s="1"/>
      <c r="W5" s="74"/>
      <c r="X5" s="75">
        <v>1</v>
      </c>
      <c r="Y5" s="75">
        <v>2</v>
      </c>
      <c r="Z5" s="75">
        <v>3</v>
      </c>
      <c r="AA5" s="75">
        <v>4</v>
      </c>
      <c r="AB5" s="75">
        <v>5</v>
      </c>
      <c r="AC5" s="75">
        <v>6</v>
      </c>
      <c r="AD5" s="75">
        <v>7</v>
      </c>
      <c r="AE5" s="30"/>
      <c r="AF5" s="1"/>
      <c r="AG5" s="61"/>
      <c r="AH5" s="3"/>
      <c r="AI5" s="3"/>
      <c r="AJ5" s="33"/>
      <c r="AK5" s="75">
        <v>1</v>
      </c>
      <c r="AL5" s="75">
        <v>2</v>
      </c>
      <c r="AM5" s="75">
        <v>3</v>
      </c>
      <c r="AN5" s="1"/>
      <c r="AO5" s="63"/>
      <c r="AP5" s="3"/>
      <c r="AQ5" s="75">
        <v>1</v>
      </c>
      <c r="AR5" s="75">
        <v>2</v>
      </c>
      <c r="AS5" s="75">
        <v>3</v>
      </c>
      <c r="AT5" s="75">
        <v>4</v>
      </c>
      <c r="AU5" s="75">
        <v>5</v>
      </c>
      <c r="AV5" s="75">
        <v>6</v>
      </c>
      <c r="AW5" s="75">
        <v>6</v>
      </c>
      <c r="AX5" s="75">
        <v>5</v>
      </c>
      <c r="AY5" s="75">
        <v>4</v>
      </c>
      <c r="AZ5" s="75"/>
      <c r="BA5" s="75"/>
      <c r="BB5" s="75">
        <v>6</v>
      </c>
      <c r="BC5" s="75">
        <v>5</v>
      </c>
      <c r="BD5" s="75">
        <v>4</v>
      </c>
      <c r="BE5" s="76"/>
      <c r="BF5" s="5"/>
      <c r="BG5" s="38"/>
      <c r="BH5" s="38"/>
      <c r="BI5" s="77"/>
      <c r="BJ5" s="77"/>
      <c r="BK5" s="2"/>
      <c r="BL5" s="47"/>
      <c r="BM5" s="3"/>
      <c r="BN5" s="3"/>
      <c r="BO5" s="3"/>
      <c r="BP5" s="3"/>
      <c r="BQ5" s="78"/>
      <c r="BR5" s="2"/>
      <c r="BS5" s="2"/>
      <c r="BT5" s="2"/>
      <c r="BU5" s="68"/>
      <c r="BV5" s="695"/>
      <c r="BW5" s="696"/>
      <c r="BX5" s="79"/>
      <c r="BY5" s="79"/>
      <c r="BZ5" s="79"/>
      <c r="CA5" s="79"/>
      <c r="CB5" s="79"/>
      <c r="CC5" s="79"/>
      <c r="CD5" s="47"/>
      <c r="CE5" s="47"/>
      <c r="CF5" s="702"/>
      <c r="CG5" s="703"/>
      <c r="CH5" s="703"/>
      <c r="CI5" s="703"/>
      <c r="CJ5" s="703"/>
      <c r="CK5" s="703"/>
      <c r="CL5" s="703"/>
      <c r="CM5" s="703"/>
      <c r="CN5" s="703"/>
      <c r="CO5" s="703"/>
      <c r="CP5" s="703"/>
      <c r="CQ5" s="703"/>
      <c r="CR5" s="703"/>
      <c r="CS5" s="703"/>
      <c r="CT5" s="48"/>
      <c r="CU5" s="17"/>
      <c r="CV5" s="17"/>
      <c r="CW5" s="17"/>
      <c r="CX5" s="16"/>
      <c r="CY5" s="1"/>
      <c r="CZ5" s="1"/>
      <c r="DA5" s="1"/>
      <c r="DB5" s="2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ht="28.5" x14ac:dyDescent="0.35">
      <c r="A6" s="80"/>
      <c r="B6" s="2"/>
      <c r="C6" s="1"/>
      <c r="D6" s="1"/>
      <c r="E6" s="50"/>
      <c r="F6" s="25" t="s">
        <v>167</v>
      </c>
      <c r="G6" s="51" t="s">
        <v>171</v>
      </c>
      <c r="H6" s="52">
        <v>1</v>
      </c>
      <c r="I6" s="5"/>
      <c r="J6" s="3"/>
      <c r="K6" s="81" t="s">
        <v>178</v>
      </c>
      <c r="L6" s="54"/>
      <c r="M6" s="54"/>
      <c r="N6" s="55" t="s">
        <v>179</v>
      </c>
      <c r="O6" s="5"/>
      <c r="P6" s="5"/>
      <c r="Q6" s="3"/>
      <c r="R6" s="82"/>
      <c r="S6" s="1"/>
      <c r="T6" s="73"/>
      <c r="U6" s="59"/>
      <c r="V6" s="1"/>
      <c r="W6" s="3" t="s">
        <v>180</v>
      </c>
      <c r="X6" s="30"/>
      <c r="Y6" s="3"/>
      <c r="Z6" s="60" t="s">
        <v>181</v>
      </c>
      <c r="AA6" s="83" t="s">
        <v>182</v>
      </c>
      <c r="AB6" s="83" t="s">
        <v>182</v>
      </c>
      <c r="AC6" s="83" t="s">
        <v>182</v>
      </c>
      <c r="AD6" s="84" t="s">
        <v>183</v>
      </c>
      <c r="AE6" s="30"/>
      <c r="AF6" s="1"/>
      <c r="AG6" s="61"/>
      <c r="AH6" s="3"/>
      <c r="AI6" s="3"/>
      <c r="AJ6" s="5"/>
      <c r="AK6" s="85" t="s">
        <v>175</v>
      </c>
      <c r="AL6" s="85" t="s">
        <v>175</v>
      </c>
      <c r="AM6" s="85" t="s">
        <v>175</v>
      </c>
      <c r="AN6" s="60" t="s">
        <v>184</v>
      </c>
      <c r="AO6" s="63"/>
      <c r="AP6" s="3" t="s">
        <v>185</v>
      </c>
      <c r="AQ6" s="3"/>
      <c r="AR6" s="86"/>
      <c r="AS6" s="3"/>
      <c r="AT6" s="87"/>
      <c r="AU6" s="3"/>
      <c r="AV6" s="60" t="s">
        <v>186</v>
      </c>
      <c r="AW6" s="31" t="s">
        <v>175</v>
      </c>
      <c r="AX6" s="31" t="s">
        <v>175</v>
      </c>
      <c r="AY6" s="31" t="s">
        <v>175</v>
      </c>
      <c r="AZ6" s="88"/>
      <c r="BA6" s="3"/>
      <c r="BB6" s="89" t="s">
        <v>175</v>
      </c>
      <c r="BC6" s="89" t="s">
        <v>175</v>
      </c>
      <c r="BD6" s="89" t="s">
        <v>175</v>
      </c>
      <c r="BE6" s="90" t="s">
        <v>187</v>
      </c>
      <c r="BF6" s="91"/>
      <c r="BG6" s="92"/>
      <c r="BH6" s="77"/>
      <c r="BI6" s="93"/>
      <c r="BJ6" s="93"/>
      <c r="BK6" s="77"/>
      <c r="BL6" s="47"/>
      <c r="BM6" s="3"/>
      <c r="BN6" s="3"/>
      <c r="BO6" s="3"/>
      <c r="BP6" s="3"/>
      <c r="BQ6" s="3"/>
      <c r="BR6" s="94"/>
      <c r="BS6" s="43"/>
      <c r="BT6" s="44"/>
      <c r="BU6" s="45"/>
      <c r="BV6" s="695"/>
      <c r="BW6" s="696"/>
      <c r="BX6" s="79"/>
      <c r="BY6" s="79"/>
      <c r="BZ6" s="79"/>
      <c r="CA6" s="79"/>
      <c r="CB6" s="79"/>
      <c r="CC6" s="79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2"/>
      <c r="CR6" s="2"/>
      <c r="CS6" s="2"/>
      <c r="CT6" s="48"/>
      <c r="CU6" s="17"/>
      <c r="CV6" s="17"/>
      <c r="CW6" s="17"/>
      <c r="CX6" s="16"/>
      <c r="CY6" s="1"/>
      <c r="CZ6" s="1"/>
      <c r="DA6" s="1"/>
      <c r="DB6" s="2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</row>
    <row r="7" spans="1:197" ht="29.25" thickBot="1" x14ac:dyDescent="0.4">
      <c r="A7" s="95"/>
      <c r="B7" s="2"/>
      <c r="C7" s="1"/>
      <c r="D7" s="1"/>
      <c r="E7" s="96"/>
      <c r="F7" s="51"/>
      <c r="G7" s="55" t="s">
        <v>188</v>
      </c>
      <c r="H7" s="3"/>
      <c r="I7" s="5"/>
      <c r="J7" s="97">
        <v>1</v>
      </c>
      <c r="K7" s="26"/>
      <c r="L7" s="25" t="s">
        <v>167</v>
      </c>
      <c r="M7" s="25" t="s">
        <v>167</v>
      </c>
      <c r="N7" s="26"/>
      <c r="O7" s="5"/>
      <c r="P7" s="2"/>
      <c r="Q7" s="3"/>
      <c r="R7" s="49"/>
      <c r="S7" s="5"/>
      <c r="T7" s="5"/>
      <c r="U7" s="59"/>
      <c r="V7" s="98"/>
      <c r="W7" s="99" t="s">
        <v>189</v>
      </c>
      <c r="X7" s="99" t="s">
        <v>189</v>
      </c>
      <c r="Y7" s="3"/>
      <c r="Z7" s="83"/>
      <c r="AA7" s="100" t="s">
        <v>102</v>
      </c>
      <c r="AB7" s="100" t="s">
        <v>102</v>
      </c>
      <c r="AC7" s="100" t="s">
        <v>102</v>
      </c>
      <c r="AD7" s="83"/>
      <c r="AE7" s="1"/>
      <c r="AF7" s="3"/>
      <c r="AG7" s="101" t="s">
        <v>190</v>
      </c>
      <c r="AH7" s="101" t="s">
        <v>190</v>
      </c>
      <c r="AI7" s="101" t="s">
        <v>190</v>
      </c>
      <c r="AJ7" s="85"/>
      <c r="AK7" s="102" t="s">
        <v>27</v>
      </c>
      <c r="AL7" s="102" t="s">
        <v>27</v>
      </c>
      <c r="AM7" s="102" t="s">
        <v>27</v>
      </c>
      <c r="AN7" s="85"/>
      <c r="AO7" s="63"/>
      <c r="AP7" s="103" t="s">
        <v>191</v>
      </c>
      <c r="AQ7" s="103" t="s">
        <v>191</v>
      </c>
      <c r="AR7" s="103" t="s">
        <v>191</v>
      </c>
      <c r="AS7" s="103" t="s">
        <v>191</v>
      </c>
      <c r="AT7" s="3"/>
      <c r="AU7" s="3"/>
      <c r="AV7" s="31"/>
      <c r="AW7" s="32" t="s">
        <v>112</v>
      </c>
      <c r="AX7" s="32" t="s">
        <v>112</v>
      </c>
      <c r="AY7" s="32" t="s">
        <v>112</v>
      </c>
      <c r="AZ7" s="31"/>
      <c r="BA7" s="89"/>
      <c r="BB7" s="104" t="s">
        <v>144</v>
      </c>
      <c r="BC7" s="104" t="s">
        <v>144</v>
      </c>
      <c r="BD7" s="104" t="s">
        <v>144</v>
      </c>
      <c r="BE7" s="89"/>
      <c r="BF7" s="91"/>
      <c r="BG7" s="105"/>
      <c r="BH7" s="93"/>
      <c r="BI7" s="25" t="s">
        <v>167</v>
      </c>
      <c r="BJ7" s="25" t="s">
        <v>167</v>
      </c>
      <c r="BK7" s="93"/>
      <c r="BL7" s="5"/>
      <c r="BM7" s="3"/>
      <c r="BN7" s="67" t="s">
        <v>192</v>
      </c>
      <c r="BO7" s="106" t="s">
        <v>193</v>
      </c>
      <c r="BP7" s="106" t="s">
        <v>193</v>
      </c>
      <c r="BQ7" s="107" t="s">
        <v>192</v>
      </c>
      <c r="BR7" s="94"/>
      <c r="BS7" s="43"/>
      <c r="BT7" s="44"/>
      <c r="BU7" s="108"/>
      <c r="BV7" s="697"/>
      <c r="BW7" s="698"/>
      <c r="BX7" s="79"/>
      <c r="BY7" s="79"/>
      <c r="BZ7" s="79"/>
      <c r="CA7" s="79"/>
      <c r="CB7" s="79"/>
      <c r="CC7" s="79"/>
      <c r="CD7" s="2"/>
      <c r="CE7" s="109"/>
      <c r="CF7" s="1"/>
      <c r="CG7" s="1"/>
      <c r="CH7" s="2"/>
      <c r="CI7" s="109"/>
      <c r="CJ7" s="2"/>
      <c r="CK7" s="2"/>
      <c r="CL7" s="47"/>
      <c r="CM7" s="47"/>
      <c r="CN7" s="47"/>
      <c r="CO7" s="47"/>
      <c r="CP7" s="1"/>
      <c r="CQ7" s="2"/>
      <c r="CR7" s="2"/>
      <c r="CS7" s="2"/>
      <c r="CT7" s="48"/>
      <c r="CU7" s="17"/>
      <c r="CV7" s="17"/>
      <c r="CW7" s="17"/>
      <c r="CX7" s="16"/>
      <c r="CY7" s="1"/>
      <c r="CZ7" s="1"/>
      <c r="DA7" s="1"/>
      <c r="DB7" s="2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</row>
    <row r="8" spans="1:197" ht="29.25" thickBot="1" x14ac:dyDescent="0.45">
      <c r="A8" s="95"/>
      <c r="B8" s="2"/>
      <c r="C8" s="1"/>
      <c r="D8" s="1"/>
      <c r="E8" s="50"/>
      <c r="F8" s="780"/>
      <c r="G8" s="780"/>
      <c r="H8" s="1"/>
      <c r="I8" s="5"/>
      <c r="J8" s="97">
        <v>2</v>
      </c>
      <c r="K8" s="26"/>
      <c r="L8" s="25" t="s">
        <v>167</v>
      </c>
      <c r="M8" s="25" t="s">
        <v>167</v>
      </c>
      <c r="N8" s="26"/>
      <c r="O8" s="5"/>
      <c r="P8" s="110"/>
      <c r="Q8" s="3"/>
      <c r="R8" s="111"/>
      <c r="S8" s="112"/>
      <c r="T8" s="113"/>
      <c r="U8" s="114"/>
      <c r="V8" s="5"/>
      <c r="W8" s="99" t="s">
        <v>189</v>
      </c>
      <c r="X8" s="99" t="s">
        <v>189</v>
      </c>
      <c r="Y8" s="3"/>
      <c r="Z8" s="115"/>
      <c r="AA8" s="100" t="s">
        <v>102</v>
      </c>
      <c r="AB8" s="100" t="s">
        <v>102</v>
      </c>
      <c r="AC8" s="100" t="s">
        <v>102</v>
      </c>
      <c r="AD8" s="83"/>
      <c r="AE8" s="1"/>
      <c r="AF8" s="3"/>
      <c r="AG8" s="101" t="s">
        <v>190</v>
      </c>
      <c r="AH8" s="101" t="s">
        <v>190</v>
      </c>
      <c r="AI8" s="101" t="s">
        <v>190</v>
      </c>
      <c r="AJ8" s="85"/>
      <c r="AK8" s="116" t="s">
        <v>65</v>
      </c>
      <c r="AL8" s="116" t="s">
        <v>65</v>
      </c>
      <c r="AM8" s="116" t="s">
        <v>65</v>
      </c>
      <c r="AN8" s="85"/>
      <c r="AO8" s="109"/>
      <c r="AP8" s="103" t="s">
        <v>191</v>
      </c>
      <c r="AQ8" s="103" t="s">
        <v>191</v>
      </c>
      <c r="AR8" s="103" t="s">
        <v>191</v>
      </c>
      <c r="AS8" s="103" t="s">
        <v>191</v>
      </c>
      <c r="AT8" s="3"/>
      <c r="AU8" s="3"/>
      <c r="AV8" s="31"/>
      <c r="AW8" s="32" t="s">
        <v>112</v>
      </c>
      <c r="AX8" s="32" t="s">
        <v>112</v>
      </c>
      <c r="AY8" s="32" t="s">
        <v>112</v>
      </c>
      <c r="AZ8" s="31"/>
      <c r="BA8" s="89"/>
      <c r="BB8" s="104" t="s">
        <v>144</v>
      </c>
      <c r="BC8" s="104" t="s">
        <v>144</v>
      </c>
      <c r="BD8" s="104" t="s">
        <v>144</v>
      </c>
      <c r="BE8" s="89"/>
      <c r="BF8" s="91"/>
      <c r="BG8" s="105"/>
      <c r="BH8" s="93"/>
      <c r="BI8" s="25" t="s">
        <v>167</v>
      </c>
      <c r="BJ8" s="25" t="s">
        <v>167</v>
      </c>
      <c r="BK8" s="93"/>
      <c r="BL8" s="5"/>
      <c r="BM8" s="3"/>
      <c r="BN8" s="67" t="s">
        <v>192</v>
      </c>
      <c r="BO8" s="106" t="s">
        <v>193</v>
      </c>
      <c r="BP8" s="106" t="s">
        <v>193</v>
      </c>
      <c r="BQ8" s="117" t="s">
        <v>192</v>
      </c>
      <c r="BR8" s="94"/>
      <c r="BS8" s="43"/>
      <c r="BT8" s="44"/>
      <c r="BU8" s="68"/>
      <c r="BV8" s="118"/>
      <c r="BW8" s="69"/>
      <c r="BX8" s="119"/>
      <c r="BY8" s="1"/>
      <c r="BZ8" s="69"/>
      <c r="CA8" s="3"/>
      <c r="CB8" s="3"/>
      <c r="CC8" s="3"/>
      <c r="CD8" s="120"/>
      <c r="CE8" s="1"/>
      <c r="CF8" s="1"/>
      <c r="CG8" s="1"/>
      <c r="CH8" s="1"/>
      <c r="CI8" s="1"/>
      <c r="CJ8" s="1"/>
      <c r="CK8" s="2"/>
      <c r="CL8" s="47"/>
      <c r="CM8" s="47"/>
      <c r="CN8" s="47"/>
      <c r="CO8" s="47"/>
      <c r="CP8" s="5"/>
      <c r="CQ8" s="2"/>
      <c r="CR8" s="2"/>
      <c r="CS8" s="2"/>
      <c r="CT8" s="48"/>
      <c r="CU8" s="17"/>
      <c r="CV8" s="17"/>
      <c r="CW8" s="17"/>
      <c r="CX8" s="16"/>
      <c r="CY8" s="17"/>
      <c r="CZ8" s="1"/>
      <c r="DA8" s="1"/>
      <c r="DB8" s="2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</row>
    <row r="9" spans="1:197" ht="28.5" x14ac:dyDescent="0.4">
      <c r="A9" s="49"/>
      <c r="B9" s="2"/>
      <c r="C9" s="1"/>
      <c r="D9" s="1"/>
      <c r="E9" s="50"/>
      <c r="F9" s="780"/>
      <c r="G9" s="780"/>
      <c r="H9" s="1"/>
      <c r="I9" s="5"/>
      <c r="J9" s="121"/>
      <c r="K9" s="52"/>
      <c r="L9" s="25" t="s">
        <v>167</v>
      </c>
      <c r="M9" s="25" t="s">
        <v>167</v>
      </c>
      <c r="N9" s="52"/>
      <c r="O9" s="3"/>
      <c r="P9" s="3"/>
      <c r="Q9" s="122" t="s">
        <v>194</v>
      </c>
      <c r="R9" s="123"/>
      <c r="S9" s="123"/>
      <c r="T9" s="644" t="s">
        <v>164</v>
      </c>
      <c r="U9" s="644"/>
      <c r="V9" s="5"/>
      <c r="W9" s="5"/>
      <c r="X9" s="5"/>
      <c r="Y9" s="1"/>
      <c r="Z9" s="98"/>
      <c r="AA9" s="83" t="s">
        <v>182</v>
      </c>
      <c r="AB9" s="83" t="s">
        <v>182</v>
      </c>
      <c r="AC9" s="83" t="s">
        <v>182</v>
      </c>
      <c r="AD9" s="98"/>
      <c r="AE9" s="1"/>
      <c r="AF9" s="98"/>
      <c r="AG9" s="3"/>
      <c r="AH9" s="3"/>
      <c r="AI9" s="3"/>
      <c r="AJ9" s="5"/>
      <c r="AK9" s="85" t="s">
        <v>175</v>
      </c>
      <c r="AL9" s="85" t="s">
        <v>175</v>
      </c>
      <c r="AM9" s="85" t="s">
        <v>175</v>
      </c>
      <c r="AN9" s="3"/>
      <c r="AO9" s="63"/>
      <c r="AP9" s="58"/>
      <c r="AQ9" s="58"/>
      <c r="AR9" s="2"/>
      <c r="AS9" s="2"/>
      <c r="AT9" s="47"/>
      <c r="AU9" s="3"/>
      <c r="AV9" s="75"/>
      <c r="AW9" s="31" t="s">
        <v>175</v>
      </c>
      <c r="AX9" s="31" t="s">
        <v>175</v>
      </c>
      <c r="AY9" s="31" t="s">
        <v>175</v>
      </c>
      <c r="AZ9" s="124"/>
      <c r="BA9" s="3"/>
      <c r="BB9" s="89" t="s">
        <v>175</v>
      </c>
      <c r="BC9" s="89" t="s">
        <v>175</v>
      </c>
      <c r="BD9" s="89" t="s">
        <v>175</v>
      </c>
      <c r="BE9" s="3"/>
      <c r="BF9" s="125"/>
      <c r="BG9" s="105"/>
      <c r="BH9" s="77"/>
      <c r="BI9" s="93"/>
      <c r="BJ9" s="93"/>
      <c r="BK9" s="77"/>
      <c r="BL9" s="5"/>
      <c r="BM9" s="3"/>
      <c r="BN9" s="67" t="s">
        <v>192</v>
      </c>
      <c r="BO9" s="106" t="s">
        <v>193</v>
      </c>
      <c r="BP9" s="106" t="s">
        <v>193</v>
      </c>
      <c r="BQ9" s="117" t="s">
        <v>192</v>
      </c>
      <c r="BR9" s="126"/>
      <c r="BS9" s="43"/>
      <c r="BT9" s="44"/>
      <c r="BU9" s="45"/>
      <c r="BV9" s="127"/>
      <c r="BW9" s="127"/>
      <c r="BX9" s="127"/>
      <c r="CB9" s="3"/>
      <c r="CC9" s="3"/>
      <c r="CD9" s="3"/>
      <c r="CE9" s="56"/>
      <c r="CF9" s="128"/>
      <c r="CG9" s="128"/>
      <c r="CH9" s="128"/>
      <c r="CI9" s="128"/>
      <c r="CJ9" s="2"/>
      <c r="CK9" s="128"/>
      <c r="CL9" s="128"/>
      <c r="CM9" s="128"/>
      <c r="CN9" s="128"/>
      <c r="CO9" s="47"/>
      <c r="CP9" s="5"/>
      <c r="CQ9" s="2"/>
      <c r="CR9" s="2"/>
      <c r="CS9" s="2"/>
      <c r="CT9" s="48"/>
      <c r="CU9" s="17"/>
      <c r="CV9" s="17"/>
      <c r="CW9" s="17"/>
      <c r="CX9" s="16"/>
      <c r="CY9" s="17"/>
      <c r="CZ9" s="1"/>
      <c r="DA9" s="1"/>
      <c r="DB9" s="2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</row>
    <row r="10" spans="1:197" ht="29.25" thickBot="1" x14ac:dyDescent="0.45">
      <c r="A10" s="49"/>
      <c r="B10" s="2"/>
      <c r="C10" s="1"/>
      <c r="D10" s="5"/>
      <c r="E10" s="50"/>
      <c r="F10" s="780"/>
      <c r="G10" s="780"/>
      <c r="H10" s="5"/>
      <c r="I10" s="5"/>
      <c r="J10" s="121"/>
      <c r="K10" s="53" t="s">
        <v>195</v>
      </c>
      <c r="L10" s="129"/>
      <c r="M10" s="129"/>
      <c r="N10" s="55" t="s">
        <v>196</v>
      </c>
      <c r="O10" s="5"/>
      <c r="P10" s="130"/>
      <c r="Q10" s="130"/>
      <c r="R10" s="130"/>
      <c r="S10" s="131">
        <v>2</v>
      </c>
      <c r="T10" s="132"/>
      <c r="U10" s="60" t="s">
        <v>197</v>
      </c>
      <c r="V10" s="649" t="s">
        <v>198</v>
      </c>
      <c r="W10" s="649"/>
      <c r="X10" s="649"/>
      <c r="Y10" s="649"/>
      <c r="Z10" s="3"/>
      <c r="AA10" s="75">
        <v>1</v>
      </c>
      <c r="AB10" s="75">
        <v>2</v>
      </c>
      <c r="AC10" s="75">
        <v>3</v>
      </c>
      <c r="AD10" s="98"/>
      <c r="AE10" s="3"/>
      <c r="AF10" s="3"/>
      <c r="AG10" s="3"/>
      <c r="AH10" s="3"/>
      <c r="AI10" s="3"/>
      <c r="AJ10" s="98"/>
      <c r="AK10" s="75">
        <v>6</v>
      </c>
      <c r="AL10" s="75">
        <v>5</v>
      </c>
      <c r="AM10" s="75">
        <v>4</v>
      </c>
      <c r="AN10" s="133"/>
      <c r="AO10" s="63"/>
      <c r="AP10" s="134"/>
      <c r="AQ10" s="134"/>
      <c r="AR10" s="134"/>
      <c r="AS10" s="134"/>
      <c r="AT10" s="3"/>
      <c r="AU10" s="3"/>
      <c r="AV10" s="75"/>
      <c r="AW10" s="75">
        <v>1</v>
      </c>
      <c r="AX10" s="75">
        <v>2</v>
      </c>
      <c r="AY10" s="75">
        <v>3</v>
      </c>
      <c r="AZ10" s="124"/>
      <c r="BA10" s="61"/>
      <c r="BB10" s="644" t="s">
        <v>199</v>
      </c>
      <c r="BC10" s="644"/>
      <c r="BD10" s="644"/>
      <c r="BE10" s="644"/>
      <c r="BF10" s="5"/>
      <c r="BG10" s="5"/>
      <c r="BH10" s="5"/>
      <c r="BI10" s="77"/>
      <c r="BJ10" s="77"/>
      <c r="BK10" s="135"/>
      <c r="BL10" s="136"/>
      <c r="BM10" s="3"/>
      <c r="BN10" s="126"/>
      <c r="BO10" s="126"/>
      <c r="BP10" s="78"/>
      <c r="BQ10" s="3"/>
      <c r="BR10" s="137"/>
      <c r="BS10" s="47"/>
      <c r="BT10" s="47"/>
      <c r="BU10" s="45"/>
      <c r="BV10" s="127"/>
      <c r="BW10" s="127"/>
      <c r="BX10" s="127"/>
      <c r="CB10" s="3"/>
      <c r="CC10" s="3"/>
      <c r="CD10" s="3"/>
      <c r="CE10" s="138"/>
      <c r="CF10" s="5"/>
      <c r="CG10" s="5"/>
      <c r="CH10" s="5"/>
      <c r="CI10" s="5"/>
      <c r="CJ10" s="138"/>
      <c r="CK10" s="139"/>
      <c r="CL10" s="5"/>
      <c r="CM10" s="139"/>
      <c r="CN10" s="139"/>
      <c r="CO10" s="56"/>
      <c r="CP10" s="5"/>
      <c r="CQ10" s="2"/>
      <c r="CR10" s="2"/>
      <c r="CS10" s="2"/>
      <c r="CT10" s="48"/>
      <c r="CU10" s="17"/>
      <c r="CV10" s="17"/>
      <c r="CW10" s="17"/>
      <c r="CX10" s="16"/>
      <c r="CY10" s="17"/>
      <c r="CZ10" s="1"/>
      <c r="DA10" s="1"/>
      <c r="DB10" s="2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</row>
    <row r="11" spans="1:197" ht="29.25" thickBot="1" x14ac:dyDescent="0.35">
      <c r="A11" s="5"/>
      <c r="B11" s="5"/>
      <c r="C11" s="5"/>
      <c r="D11" s="5"/>
      <c r="E11" s="50"/>
      <c r="F11" s="780"/>
      <c r="G11" s="780"/>
      <c r="H11" s="5"/>
      <c r="I11" s="5"/>
      <c r="J11" s="97">
        <v>1</v>
      </c>
      <c r="K11" s="26"/>
      <c r="L11" s="25" t="s">
        <v>167</v>
      </c>
      <c r="M11" s="25" t="s">
        <v>167</v>
      </c>
      <c r="N11" s="26"/>
      <c r="O11" s="3"/>
      <c r="P11" s="110"/>
      <c r="Q11" s="110"/>
      <c r="R11" s="110"/>
      <c r="S11" s="140"/>
      <c r="T11" s="35" t="s">
        <v>133</v>
      </c>
      <c r="U11" s="141" t="s">
        <v>175</v>
      </c>
      <c r="V11" s="3"/>
      <c r="W11" s="142">
        <v>7</v>
      </c>
      <c r="X11" s="143">
        <v>6</v>
      </c>
      <c r="Y11" s="142">
        <v>5</v>
      </c>
      <c r="Z11" s="5"/>
      <c r="AA11" s="683" t="s">
        <v>200</v>
      </c>
      <c r="AB11" s="683"/>
      <c r="AC11" s="683"/>
      <c r="AD11" s="142"/>
      <c r="AE11" s="3"/>
      <c r="AF11" s="98"/>
      <c r="AG11" s="3"/>
      <c r="AH11" s="3"/>
      <c r="AI11" s="3"/>
      <c r="AJ11" s="98"/>
      <c r="AK11" s="98"/>
      <c r="AL11" s="86"/>
      <c r="AM11" s="86"/>
      <c r="AN11" s="86"/>
      <c r="AO11" s="56"/>
      <c r="AP11" s="86"/>
      <c r="AQ11" s="86"/>
      <c r="AR11" s="86"/>
      <c r="AS11" s="86"/>
      <c r="AT11" s="88"/>
      <c r="AU11" s="88"/>
      <c r="AV11" s="88"/>
      <c r="AW11" s="669" t="s">
        <v>164</v>
      </c>
      <c r="AX11" s="669"/>
      <c r="AY11" s="669"/>
      <c r="AZ11" s="88"/>
      <c r="BA11" s="88"/>
      <c r="BB11" s="88"/>
      <c r="BC11" s="75">
        <v>1</v>
      </c>
      <c r="BD11" s="75">
        <v>2</v>
      </c>
      <c r="BE11" s="3"/>
      <c r="BF11" s="56"/>
      <c r="BG11" s="5"/>
      <c r="BH11" s="144">
        <v>5</v>
      </c>
      <c r="BI11" s="144">
        <v>4</v>
      </c>
      <c r="BJ11" s="144">
        <v>3</v>
      </c>
      <c r="BK11" s="145"/>
      <c r="BL11" s="3"/>
      <c r="BM11" s="3"/>
      <c r="BN11" s="3"/>
      <c r="BO11" s="3"/>
      <c r="BP11" s="3"/>
      <c r="BQ11" s="3"/>
      <c r="BR11" s="146"/>
      <c r="BS11" s="47"/>
      <c r="BT11" s="43"/>
      <c r="BU11" s="666" t="s">
        <v>201</v>
      </c>
      <c r="BV11" s="127"/>
      <c r="BW11" s="127"/>
      <c r="BX11" s="127"/>
      <c r="CB11" s="3"/>
      <c r="CC11" s="127"/>
      <c r="CD11" s="127"/>
      <c r="CE11" s="139"/>
      <c r="CF11" s="5"/>
      <c r="CG11" s="5"/>
      <c r="CH11" s="5"/>
      <c r="CI11" s="5"/>
      <c r="CJ11" s="147"/>
      <c r="CK11" s="5"/>
      <c r="CL11" s="5"/>
      <c r="CM11" s="5"/>
      <c r="CN11" s="5"/>
      <c r="CO11" s="139"/>
      <c r="CP11" s="5"/>
      <c r="CQ11" s="2"/>
      <c r="CR11" s="2"/>
      <c r="CS11" s="2"/>
      <c r="CT11" s="48"/>
      <c r="CU11" s="17"/>
      <c r="CV11" s="17"/>
      <c r="CW11" s="17"/>
      <c r="CX11" s="16"/>
      <c r="CY11" s="17"/>
      <c r="CZ11" s="1"/>
      <c r="DA11" s="1"/>
      <c r="DB11" s="2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</row>
    <row r="12" spans="1:197" ht="28.5" x14ac:dyDescent="0.3">
      <c r="A12" s="5"/>
      <c r="B12" s="5"/>
      <c r="C12" s="5"/>
      <c r="D12" s="5"/>
      <c r="E12" s="50"/>
      <c r="F12" s="5"/>
      <c r="G12" s="5"/>
      <c r="H12" s="5"/>
      <c r="I12" s="5"/>
      <c r="J12" s="97">
        <v>2</v>
      </c>
      <c r="K12" s="26"/>
      <c r="L12" s="25" t="s">
        <v>167</v>
      </c>
      <c r="M12" s="25" t="s">
        <v>167</v>
      </c>
      <c r="N12" s="26"/>
      <c r="O12" s="3"/>
      <c r="P12" s="110"/>
      <c r="Q12" s="110"/>
      <c r="R12" s="110"/>
      <c r="S12" s="140"/>
      <c r="T12" s="35" t="s">
        <v>133</v>
      </c>
      <c r="U12" s="148" t="s">
        <v>175</v>
      </c>
      <c r="V12" s="3"/>
      <c r="W12" s="149" t="s">
        <v>202</v>
      </c>
      <c r="X12" s="149" t="s">
        <v>202</v>
      </c>
      <c r="Y12" s="149" t="s">
        <v>202</v>
      </c>
      <c r="Z12" s="62" t="s">
        <v>203</v>
      </c>
      <c r="AA12" s="3"/>
      <c r="AB12" s="3"/>
      <c r="AC12" s="3"/>
      <c r="AD12" s="3"/>
      <c r="AE12" s="3"/>
      <c r="AF12" s="98" t="s">
        <v>204</v>
      </c>
      <c r="AG12" s="150"/>
      <c r="AH12" s="5"/>
      <c r="AI12" s="1"/>
      <c r="AJ12" s="1"/>
      <c r="AK12" s="86"/>
      <c r="AL12" s="86"/>
      <c r="AM12" s="86"/>
      <c r="AN12" s="86"/>
      <c r="AO12" s="86"/>
      <c r="AP12" s="3"/>
      <c r="AQ12" s="3"/>
      <c r="AR12" s="3"/>
      <c r="AS12" s="3"/>
      <c r="AT12" s="88"/>
      <c r="AU12" s="88"/>
      <c r="AV12" s="88"/>
      <c r="AW12" s="88"/>
      <c r="AX12" s="88"/>
      <c r="AY12" s="88"/>
      <c r="AZ12" s="88"/>
      <c r="BA12" s="88"/>
      <c r="BB12" s="88"/>
      <c r="BC12" s="151" t="s">
        <v>175</v>
      </c>
      <c r="BD12" s="151" t="s">
        <v>175</v>
      </c>
      <c r="BE12" s="152"/>
      <c r="BF12" s="56"/>
      <c r="BG12" s="153"/>
      <c r="BH12" s="93"/>
      <c r="BI12" s="93"/>
      <c r="BJ12" s="93"/>
      <c r="BK12" s="77"/>
      <c r="BL12" s="3"/>
      <c r="BM12" s="3"/>
      <c r="BN12" s="3"/>
      <c r="BO12" s="3"/>
      <c r="BP12" s="3"/>
      <c r="BQ12" s="3"/>
      <c r="BR12" s="146"/>
      <c r="BS12" s="2"/>
      <c r="BT12" s="147"/>
      <c r="BU12" s="667"/>
      <c r="BV12" s="127"/>
      <c r="BW12" s="127"/>
      <c r="BX12" s="5"/>
      <c r="BY12" s="5"/>
      <c r="BZ12" s="127"/>
      <c r="CA12" s="127"/>
      <c r="CB12" s="127"/>
      <c r="CC12" s="5"/>
      <c r="CD12" s="5"/>
      <c r="CE12" s="5"/>
      <c r="CF12" s="669" t="s">
        <v>164</v>
      </c>
      <c r="CG12" s="669"/>
      <c r="CH12" s="669"/>
      <c r="CI12" s="5"/>
      <c r="CJ12" s="5"/>
      <c r="CK12" s="154" t="s">
        <v>164</v>
      </c>
      <c r="CL12" s="155"/>
      <c r="CM12" s="139"/>
      <c r="CN12" s="670" t="s">
        <v>205</v>
      </c>
      <c r="CO12" s="671"/>
      <c r="CP12" s="671"/>
      <c r="CQ12" s="672"/>
      <c r="CR12" s="2"/>
      <c r="CS12" s="2"/>
      <c r="CT12" s="48"/>
      <c r="CU12" s="17"/>
      <c r="CV12" s="17"/>
      <c r="CW12" s="17"/>
      <c r="CX12" s="16"/>
      <c r="CY12" s="17"/>
      <c r="CZ12" s="1"/>
      <c r="DA12" s="1"/>
      <c r="DB12" s="2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</row>
    <row r="13" spans="1:197" ht="28.5" x14ac:dyDescent="0.3">
      <c r="A13" s="49"/>
      <c r="B13" s="2"/>
      <c r="C13" s="1"/>
      <c r="D13" s="5"/>
      <c r="E13" s="96"/>
      <c r="F13" s="156"/>
      <c r="G13" s="156"/>
      <c r="H13" s="23"/>
      <c r="I13" s="1"/>
      <c r="J13" s="97">
        <v>3</v>
      </c>
      <c r="K13" s="26"/>
      <c r="L13" s="25" t="s">
        <v>167</v>
      </c>
      <c r="M13" s="25" t="s">
        <v>167</v>
      </c>
      <c r="N13" s="26"/>
      <c r="O13" s="3"/>
      <c r="P13" s="157" t="s">
        <v>206</v>
      </c>
      <c r="Q13" s="157" t="s">
        <v>206</v>
      </c>
      <c r="R13" s="157" t="s">
        <v>206</v>
      </c>
      <c r="S13" s="140"/>
      <c r="T13" s="158" t="s">
        <v>123</v>
      </c>
      <c r="U13" s="148" t="s">
        <v>175</v>
      </c>
      <c r="V13" s="149"/>
      <c r="W13" s="159" t="s">
        <v>16</v>
      </c>
      <c r="X13" s="159" t="s">
        <v>16</v>
      </c>
      <c r="Y13" s="159" t="s">
        <v>16</v>
      </c>
      <c r="Z13" s="149"/>
      <c r="AA13" s="3"/>
      <c r="AB13" s="3"/>
      <c r="AC13" s="3"/>
      <c r="AD13" s="3"/>
      <c r="AE13" s="3"/>
      <c r="AF13" s="160" t="s">
        <v>207</v>
      </c>
      <c r="AG13" s="160" t="s">
        <v>207</v>
      </c>
      <c r="AH13" s="160" t="s">
        <v>207</v>
      </c>
      <c r="AI13" s="1"/>
      <c r="AJ13" s="1"/>
      <c r="AK13" s="86"/>
      <c r="AL13" s="86"/>
      <c r="AM13" s="86"/>
      <c r="AN13" s="86"/>
      <c r="AO13" s="86"/>
      <c r="AP13" s="3"/>
      <c r="AQ13" s="3"/>
      <c r="AR13" s="3"/>
      <c r="AS13" s="3"/>
      <c r="AT13" s="88"/>
      <c r="AU13" s="88"/>
      <c r="AV13" s="88"/>
      <c r="AW13" s="88"/>
      <c r="AX13" s="88"/>
      <c r="AY13" s="88"/>
      <c r="AZ13" s="88"/>
      <c r="BA13" s="88"/>
      <c r="BB13" s="151"/>
      <c r="BC13" s="161" t="s">
        <v>117</v>
      </c>
      <c r="BD13" s="161" t="s">
        <v>117</v>
      </c>
      <c r="BE13" s="151"/>
      <c r="BF13" s="56"/>
      <c r="BG13" s="93"/>
      <c r="BH13" s="25" t="s">
        <v>167</v>
      </c>
      <c r="BI13" s="25" t="s">
        <v>167</v>
      </c>
      <c r="BJ13" s="25" t="s">
        <v>167</v>
      </c>
      <c r="BK13" s="93"/>
      <c r="BL13" s="3"/>
      <c r="BM13" s="3"/>
      <c r="BN13" s="41" t="s">
        <v>168</v>
      </c>
      <c r="BO13" s="41" t="s">
        <v>168</v>
      </c>
      <c r="BP13" s="41" t="s">
        <v>168</v>
      </c>
      <c r="BQ13" s="41" t="s">
        <v>168</v>
      </c>
      <c r="BR13" s="146"/>
      <c r="BS13" s="2"/>
      <c r="BT13" s="43"/>
      <c r="BU13" s="667"/>
      <c r="BV13" s="127"/>
      <c r="BW13" s="127"/>
      <c r="BX13" s="5"/>
      <c r="BY13" s="5"/>
      <c r="BZ13" s="5"/>
      <c r="CA13" s="5"/>
      <c r="CB13" s="5"/>
      <c r="CC13" s="5"/>
      <c r="CD13" s="5"/>
      <c r="CE13" s="5"/>
      <c r="CF13" s="75">
        <v>6</v>
      </c>
      <c r="CG13" s="75">
        <v>5</v>
      </c>
      <c r="CH13" s="75">
        <v>4</v>
      </c>
      <c r="CI13" s="5"/>
      <c r="CJ13" s="5"/>
      <c r="CK13" s="162">
        <v>4</v>
      </c>
      <c r="CL13" s="162">
        <v>3</v>
      </c>
      <c r="CM13" s="139"/>
      <c r="CN13" s="673"/>
      <c r="CO13" s="674"/>
      <c r="CP13" s="674"/>
      <c r="CQ13" s="675"/>
      <c r="CR13" s="2"/>
      <c r="CS13" s="2"/>
      <c r="CT13" s="48"/>
      <c r="CU13" s="17"/>
      <c r="CV13" s="17"/>
      <c r="CW13" s="17"/>
      <c r="CX13" s="16"/>
      <c r="CY13" s="17"/>
      <c r="CZ13" s="1"/>
      <c r="DA13" s="1"/>
      <c r="DB13" s="2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</row>
    <row r="14" spans="1:197" ht="28.5" x14ac:dyDescent="0.35">
      <c r="A14" s="49"/>
      <c r="B14" s="1"/>
      <c r="C14" s="5"/>
      <c r="D14" s="5"/>
      <c r="E14" s="108"/>
      <c r="F14" s="163"/>
      <c r="G14" s="163"/>
      <c r="H14" s="55"/>
      <c r="I14" s="56" t="s">
        <v>208</v>
      </c>
      <c r="J14" s="121"/>
      <c r="K14" s="26"/>
      <c r="L14" s="25" t="s">
        <v>167</v>
      </c>
      <c r="M14" s="25" t="s">
        <v>167</v>
      </c>
      <c r="N14" s="26"/>
      <c r="O14" s="3"/>
      <c r="P14" s="157" t="s">
        <v>206</v>
      </c>
      <c r="Q14" s="157" t="s">
        <v>206</v>
      </c>
      <c r="R14" s="157" t="s">
        <v>206</v>
      </c>
      <c r="S14" s="140"/>
      <c r="T14" s="158" t="s">
        <v>123</v>
      </c>
      <c r="U14" s="148" t="s">
        <v>175</v>
      </c>
      <c r="V14" s="164"/>
      <c r="W14" s="159" t="s">
        <v>16</v>
      </c>
      <c r="X14" s="159" t="s">
        <v>16</v>
      </c>
      <c r="Y14" s="159" t="s">
        <v>16</v>
      </c>
      <c r="Z14" s="149"/>
      <c r="AA14" s="3"/>
      <c r="AB14" s="3"/>
      <c r="AC14" s="3"/>
      <c r="AD14" s="3"/>
      <c r="AE14" s="3"/>
      <c r="AF14" s="160" t="s">
        <v>207</v>
      </c>
      <c r="AG14" s="160" t="s">
        <v>207</v>
      </c>
      <c r="AH14" s="160" t="s">
        <v>207</v>
      </c>
      <c r="AI14" s="1"/>
      <c r="AJ14" s="1"/>
      <c r="AK14" s="86"/>
      <c r="AL14" s="86"/>
      <c r="AM14" s="86"/>
      <c r="AN14" s="86"/>
      <c r="AO14" s="86"/>
      <c r="AP14" s="3"/>
      <c r="AQ14" s="3"/>
      <c r="AR14" s="3"/>
      <c r="AS14" s="3"/>
      <c r="AT14" s="88"/>
      <c r="AU14" s="88"/>
      <c r="AV14" s="88"/>
      <c r="AW14" s="88"/>
      <c r="AX14" s="88"/>
      <c r="AY14" s="88"/>
      <c r="AZ14" s="88"/>
      <c r="BA14" s="88"/>
      <c r="BB14" s="151"/>
      <c r="BC14" s="161" t="s">
        <v>117</v>
      </c>
      <c r="BD14" s="161" t="s">
        <v>117</v>
      </c>
      <c r="BE14" s="151"/>
      <c r="BF14" s="56"/>
      <c r="BG14" s="93"/>
      <c r="BH14" s="25" t="s">
        <v>167</v>
      </c>
      <c r="BI14" s="25" t="s">
        <v>167</v>
      </c>
      <c r="BJ14" s="25" t="s">
        <v>167</v>
      </c>
      <c r="BK14" s="93"/>
      <c r="BL14" s="3"/>
      <c r="BM14" s="3"/>
      <c r="BN14" s="41" t="s">
        <v>168</v>
      </c>
      <c r="BO14" s="41" t="s">
        <v>168</v>
      </c>
      <c r="BP14" s="41" t="s">
        <v>168</v>
      </c>
      <c r="BQ14" s="41" t="s">
        <v>168</v>
      </c>
      <c r="BR14" s="126"/>
      <c r="BS14" s="2"/>
      <c r="BT14" s="43"/>
      <c r="BU14" s="667"/>
      <c r="BV14" s="127"/>
      <c r="BW14" s="127"/>
      <c r="BX14" s="5"/>
      <c r="BY14" s="3"/>
      <c r="BZ14" s="3"/>
      <c r="CA14" s="3"/>
      <c r="CB14" s="3"/>
      <c r="CC14" s="3"/>
      <c r="CD14" s="3"/>
      <c r="CE14" s="3"/>
      <c r="CF14" s="165" t="s">
        <v>175</v>
      </c>
      <c r="CG14" s="165" t="s">
        <v>175</v>
      </c>
      <c r="CH14" s="165" t="s">
        <v>175</v>
      </c>
      <c r="CI14" s="90" t="s">
        <v>209</v>
      </c>
      <c r="CJ14" s="3"/>
      <c r="CK14" s="166" t="s">
        <v>175</v>
      </c>
      <c r="CL14" s="166" t="s">
        <v>175</v>
      </c>
      <c r="CM14" s="3"/>
      <c r="CN14" s="673"/>
      <c r="CO14" s="674"/>
      <c r="CP14" s="674"/>
      <c r="CQ14" s="675"/>
      <c r="CR14" s="2"/>
      <c r="CS14" s="2"/>
      <c r="CT14" s="48"/>
      <c r="CU14" s="17"/>
      <c r="CV14" s="17"/>
      <c r="CW14" s="17"/>
      <c r="CX14" s="16"/>
      <c r="CY14" s="17"/>
      <c r="CZ14" s="1"/>
      <c r="DA14" s="1"/>
      <c r="DB14" s="2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</row>
    <row r="15" spans="1:197" ht="28.5" x14ac:dyDescent="0.35">
      <c r="A15" s="49"/>
      <c r="B15" s="2"/>
      <c r="C15" s="5"/>
      <c r="D15" s="5"/>
      <c r="E15" s="108"/>
      <c r="F15" s="25"/>
      <c r="G15" s="25"/>
      <c r="H15" s="777"/>
      <c r="I15" s="3"/>
      <c r="J15" s="121"/>
      <c r="K15" s="71"/>
      <c r="L15" s="129"/>
      <c r="M15" s="129"/>
      <c r="N15" s="167"/>
      <c r="O15" s="3"/>
      <c r="P15" s="110"/>
      <c r="Q15" s="110"/>
      <c r="R15" s="110"/>
      <c r="S15" s="140"/>
      <c r="T15" s="132"/>
      <c r="U15" s="5"/>
      <c r="V15" s="3"/>
      <c r="W15" s="149" t="s">
        <v>202</v>
      </c>
      <c r="X15" s="149" t="s">
        <v>202</v>
      </c>
      <c r="Y15" s="149" t="s">
        <v>202</v>
      </c>
      <c r="Z15" s="60" t="s">
        <v>210</v>
      </c>
      <c r="AA15" s="3"/>
      <c r="AB15" s="3"/>
      <c r="AC15" s="3"/>
      <c r="AD15" s="3"/>
      <c r="AE15" s="3"/>
      <c r="AF15" s="98"/>
      <c r="AG15" s="98"/>
      <c r="AH15" s="98"/>
      <c r="AI15" s="98"/>
      <c r="AJ15" s="168"/>
      <c r="AK15" s="86"/>
      <c r="AL15" s="86"/>
      <c r="AM15" s="86"/>
      <c r="AN15" s="86"/>
      <c r="AO15" s="86"/>
      <c r="AP15" s="3"/>
      <c r="AQ15" s="3"/>
      <c r="AR15" s="3"/>
      <c r="AS15" s="3"/>
      <c r="AT15" s="88"/>
      <c r="AU15" s="88"/>
      <c r="AV15" s="88"/>
      <c r="AW15" s="88"/>
      <c r="AX15" s="88"/>
      <c r="AY15" s="88"/>
      <c r="AZ15" s="88"/>
      <c r="BA15" s="88"/>
      <c r="BB15" s="88"/>
      <c r="BC15" s="151" t="s">
        <v>175</v>
      </c>
      <c r="BD15" s="151" t="s">
        <v>175</v>
      </c>
      <c r="BE15" s="152"/>
      <c r="BF15" s="56"/>
      <c r="BG15" s="153"/>
      <c r="BH15" s="93"/>
      <c r="BI15" s="93"/>
      <c r="BJ15" s="93"/>
      <c r="BK15" s="169"/>
      <c r="BL15" s="47"/>
      <c r="BM15" s="5"/>
      <c r="BN15" s="5"/>
      <c r="BO15" s="5"/>
      <c r="BP15" s="5"/>
      <c r="BQ15" s="5"/>
      <c r="BR15" s="5"/>
      <c r="BS15" s="5"/>
      <c r="BT15" s="5"/>
      <c r="BU15" s="667"/>
      <c r="BV15" s="127"/>
      <c r="BW15" s="127"/>
      <c r="BX15" s="127"/>
      <c r="BY15" s="94"/>
      <c r="BZ15" s="170" t="s">
        <v>193</v>
      </c>
      <c r="CA15" s="170" t="s">
        <v>193</v>
      </c>
      <c r="CB15" s="170" t="s">
        <v>193</v>
      </c>
      <c r="CC15" s="170" t="s">
        <v>193</v>
      </c>
      <c r="CD15" s="3"/>
      <c r="CE15" s="3"/>
      <c r="CF15" s="171" t="s">
        <v>138</v>
      </c>
      <c r="CG15" s="171" t="s">
        <v>138</v>
      </c>
      <c r="CH15" s="171" t="s">
        <v>138</v>
      </c>
      <c r="CI15" s="165"/>
      <c r="CJ15" s="166"/>
      <c r="CK15" s="172" t="s">
        <v>137</v>
      </c>
      <c r="CL15" s="172" t="s">
        <v>137</v>
      </c>
      <c r="CM15" s="166"/>
      <c r="CN15" s="673"/>
      <c r="CO15" s="674"/>
      <c r="CP15" s="674"/>
      <c r="CQ15" s="675"/>
      <c r="CR15" s="2"/>
      <c r="CS15" s="2"/>
      <c r="CT15" s="48"/>
      <c r="CU15" s="17"/>
      <c r="CV15" s="17"/>
      <c r="CW15" s="17"/>
      <c r="CX15" s="16"/>
      <c r="CY15" s="17"/>
      <c r="CZ15" s="1"/>
      <c r="DA15" s="1"/>
      <c r="DB15" s="2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</row>
    <row r="16" spans="1:197" ht="29.25" thickBot="1" x14ac:dyDescent="0.45">
      <c r="A16" s="644" t="s">
        <v>164</v>
      </c>
      <c r="B16" s="644"/>
      <c r="C16" s="6"/>
      <c r="D16" s="173"/>
      <c r="E16" s="174"/>
      <c r="F16" s="25"/>
      <c r="G16" s="25"/>
      <c r="H16" s="778"/>
      <c r="I16" s="110"/>
      <c r="J16" s="175"/>
      <c r="K16" s="176"/>
      <c r="L16" s="177"/>
      <c r="M16" s="177"/>
      <c r="N16" s="178"/>
      <c r="O16" s="3"/>
      <c r="P16" s="3"/>
      <c r="Q16" s="3"/>
      <c r="R16" s="110"/>
      <c r="S16" s="140"/>
      <c r="T16" s="644" t="s">
        <v>211</v>
      </c>
      <c r="U16" s="644"/>
      <c r="V16" s="3"/>
      <c r="W16" s="179">
        <v>2</v>
      </c>
      <c r="X16" s="180">
        <v>3</v>
      </c>
      <c r="Y16" s="180">
        <v>4</v>
      </c>
      <c r="Z16" s="181"/>
      <c r="AA16" s="3"/>
      <c r="AB16" s="3"/>
      <c r="AC16" s="3"/>
      <c r="AD16" s="3"/>
      <c r="AE16" s="3"/>
      <c r="AF16" s="5"/>
      <c r="AG16" s="5"/>
      <c r="AH16" s="5"/>
      <c r="AI16" s="98"/>
      <c r="AJ16" s="649" t="s">
        <v>198</v>
      </c>
      <c r="AK16" s="649"/>
      <c r="AL16" s="649"/>
      <c r="AM16" s="649"/>
      <c r="AN16" s="86">
        <v>1</v>
      </c>
      <c r="AO16" s="86"/>
      <c r="AP16" s="3"/>
      <c r="AQ16" s="3"/>
      <c r="AR16" s="3"/>
      <c r="AS16" s="3"/>
      <c r="AT16" s="88"/>
      <c r="AU16" s="88"/>
      <c r="AV16" s="88"/>
      <c r="AW16" s="88"/>
      <c r="AX16" s="88"/>
      <c r="AY16" s="88"/>
      <c r="AZ16" s="88"/>
      <c r="BA16" s="88"/>
      <c r="BB16" s="88"/>
      <c r="BC16" s="75">
        <v>4</v>
      </c>
      <c r="BD16" s="75">
        <v>3</v>
      </c>
      <c r="BE16" s="88"/>
      <c r="BF16" s="2"/>
      <c r="BG16" s="2"/>
      <c r="BH16" s="2"/>
      <c r="BI16" s="144">
        <v>1</v>
      </c>
      <c r="BJ16" s="144">
        <v>2</v>
      </c>
      <c r="BK16" s="2"/>
      <c r="BL16" s="1"/>
      <c r="BM16" s="5"/>
      <c r="BN16" s="5"/>
      <c r="BO16" s="5"/>
      <c r="BP16" s="5"/>
      <c r="BQ16" s="5"/>
      <c r="BR16" s="5"/>
      <c r="BS16" s="5"/>
      <c r="BT16" s="5"/>
      <c r="BU16" s="668"/>
      <c r="BV16" s="127"/>
      <c r="BW16" s="127"/>
      <c r="BX16" s="127"/>
      <c r="BY16" s="94"/>
      <c r="BZ16" s="170" t="s">
        <v>193</v>
      </c>
      <c r="CA16" s="170" t="s">
        <v>193</v>
      </c>
      <c r="CB16" s="170" t="s">
        <v>193</v>
      </c>
      <c r="CC16" s="170" t="s">
        <v>193</v>
      </c>
      <c r="CD16" s="182"/>
      <c r="CE16" s="182"/>
      <c r="CF16" s="171" t="s">
        <v>138</v>
      </c>
      <c r="CG16" s="171" t="s">
        <v>138</v>
      </c>
      <c r="CH16" s="171" t="s">
        <v>138</v>
      </c>
      <c r="CI16" s="165"/>
      <c r="CJ16" s="166"/>
      <c r="CK16" s="172" t="s">
        <v>137</v>
      </c>
      <c r="CL16" s="172" t="s">
        <v>137</v>
      </c>
      <c r="CM16" s="166"/>
      <c r="CN16" s="673"/>
      <c r="CO16" s="674"/>
      <c r="CP16" s="674"/>
      <c r="CQ16" s="675"/>
      <c r="CR16" s="2"/>
      <c r="CS16" s="2"/>
      <c r="CT16" s="48"/>
      <c r="CU16" s="17"/>
      <c r="CV16" s="17"/>
      <c r="CW16" s="17"/>
      <c r="CX16" s="16"/>
      <c r="CY16" s="17"/>
      <c r="CZ16" s="1"/>
      <c r="DA16" s="1"/>
      <c r="DB16" s="2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</row>
    <row r="17" spans="1:197" ht="28.5" x14ac:dyDescent="0.4">
      <c r="A17" s="35" t="s">
        <v>133</v>
      </c>
      <c r="B17" s="34" t="s">
        <v>175</v>
      </c>
      <c r="C17" s="30"/>
      <c r="D17" s="5"/>
      <c r="E17" s="1"/>
      <c r="F17" s="163"/>
      <c r="G17" s="163"/>
      <c r="H17" s="183"/>
      <c r="I17" s="184"/>
      <c r="J17" s="185"/>
      <c r="K17" s="186"/>
      <c r="L17" s="177"/>
      <c r="M17" s="177"/>
      <c r="N17" s="121"/>
      <c r="O17" s="53" t="s">
        <v>195</v>
      </c>
      <c r="P17" s="129"/>
      <c r="Q17" s="129"/>
      <c r="R17" s="55" t="s">
        <v>196</v>
      </c>
      <c r="S17" s="140"/>
      <c r="T17" s="5"/>
      <c r="U17" s="5"/>
      <c r="V17" s="5"/>
      <c r="W17" s="5"/>
      <c r="X17" s="5"/>
      <c r="Y17" s="5"/>
      <c r="Z17" s="5"/>
      <c r="AA17" s="147"/>
      <c r="AE17" s="5"/>
      <c r="AF17" s="5"/>
      <c r="AG17" s="5"/>
      <c r="AH17" s="5"/>
      <c r="AI17" s="122" t="s">
        <v>212</v>
      </c>
      <c r="AJ17" s="110"/>
      <c r="AK17" s="110">
        <v>7</v>
      </c>
      <c r="AL17" s="110">
        <v>6</v>
      </c>
      <c r="AM17" s="110">
        <v>5</v>
      </c>
      <c r="AN17" s="17"/>
      <c r="AO17" s="56" t="s">
        <v>213</v>
      </c>
      <c r="AP17" s="86">
        <v>6</v>
      </c>
      <c r="AQ17" s="86">
        <v>5</v>
      </c>
      <c r="AR17" s="86">
        <v>4</v>
      </c>
      <c r="AS17" s="134"/>
      <c r="AT17" s="1"/>
      <c r="AU17" s="88"/>
      <c r="AV17" s="88"/>
      <c r="AW17" s="88"/>
      <c r="AX17" s="88"/>
      <c r="AY17" s="187"/>
      <c r="AZ17" s="3"/>
      <c r="BA17" s="56" t="s">
        <v>214</v>
      </c>
      <c r="BB17" s="144">
        <v>7</v>
      </c>
      <c r="BC17" s="144">
        <v>6</v>
      </c>
      <c r="BD17" s="144">
        <v>5</v>
      </c>
      <c r="BE17" s="2"/>
      <c r="BF17" s="56" t="s">
        <v>215</v>
      </c>
      <c r="BG17" s="144">
        <v>8</v>
      </c>
      <c r="BH17" s="144">
        <v>7</v>
      </c>
      <c r="BI17" s="144">
        <v>6</v>
      </c>
      <c r="BJ17" s="144">
        <v>5</v>
      </c>
      <c r="BK17" s="2"/>
      <c r="BL17" s="1"/>
      <c r="BM17" s="5"/>
      <c r="BN17" s="5"/>
      <c r="BO17" s="5"/>
      <c r="BP17" s="5"/>
      <c r="BQ17" s="5"/>
      <c r="BR17" s="5"/>
      <c r="BS17" s="5"/>
      <c r="BT17" s="5"/>
      <c r="BU17" s="68"/>
      <c r="BV17" s="127"/>
      <c r="BW17" s="127"/>
      <c r="BX17" s="127"/>
      <c r="BY17" s="94"/>
      <c r="BZ17" s="94"/>
      <c r="CA17" s="94"/>
      <c r="CB17" s="94"/>
      <c r="CC17" s="94"/>
      <c r="CD17" s="30"/>
      <c r="CE17" s="188"/>
      <c r="CF17" s="165" t="s">
        <v>175</v>
      </c>
      <c r="CG17" s="165" t="s">
        <v>175</v>
      </c>
      <c r="CH17" s="165" t="s">
        <v>175</v>
      </c>
      <c r="CI17" s="3"/>
      <c r="CJ17" s="3"/>
      <c r="CK17" s="166" t="s">
        <v>175</v>
      </c>
      <c r="CL17" s="166" t="s">
        <v>175</v>
      </c>
      <c r="CM17" s="3"/>
      <c r="CN17" s="673"/>
      <c r="CO17" s="674"/>
      <c r="CP17" s="674"/>
      <c r="CQ17" s="675"/>
      <c r="CR17" s="2"/>
      <c r="CS17" s="2"/>
      <c r="CT17" s="48"/>
      <c r="CU17" s="17"/>
      <c r="CV17" s="17"/>
      <c r="CW17" s="17"/>
      <c r="CX17" s="16"/>
      <c r="CY17" s="17"/>
      <c r="CZ17" s="1"/>
      <c r="DA17" s="1"/>
      <c r="DB17" s="2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</row>
    <row r="18" spans="1:197" ht="28.5" x14ac:dyDescent="0.3">
      <c r="A18" s="3"/>
      <c r="B18" s="189"/>
      <c r="C18" s="3"/>
      <c r="D18" s="5"/>
      <c r="E18" s="1"/>
      <c r="F18" s="156"/>
      <c r="G18" s="156"/>
      <c r="H18" s="107"/>
      <c r="I18" s="1"/>
      <c r="J18" s="190"/>
      <c r="K18" s="191"/>
      <c r="L18" s="186"/>
      <c r="M18" s="186"/>
      <c r="N18" s="97">
        <v>1</v>
      </c>
      <c r="O18" s="26" t="s">
        <v>171</v>
      </c>
      <c r="P18" s="25" t="s">
        <v>167</v>
      </c>
      <c r="Q18" s="25" t="s">
        <v>167</v>
      </c>
      <c r="R18" s="26" t="s">
        <v>171</v>
      </c>
      <c r="S18" s="140"/>
      <c r="T18" s="192" t="s">
        <v>9</v>
      </c>
      <c r="U18" s="149" t="s">
        <v>202</v>
      </c>
      <c r="V18" s="3"/>
      <c r="W18" s="193" t="s">
        <v>216</v>
      </c>
      <c r="X18" s="194"/>
      <c r="Y18" s="194"/>
      <c r="Z18" s="5"/>
      <c r="AA18" s="5" t="s">
        <v>217</v>
      </c>
      <c r="AB18" s="5"/>
      <c r="AC18" s="58"/>
      <c r="AD18" s="58"/>
      <c r="AE18" s="5"/>
      <c r="AF18" s="195" t="s">
        <v>218</v>
      </c>
      <c r="AG18" s="5"/>
      <c r="AH18" s="58"/>
      <c r="AI18" s="5"/>
      <c r="AJ18" s="5"/>
      <c r="AK18" s="196" t="s">
        <v>202</v>
      </c>
      <c r="AL18" s="196" t="s">
        <v>202</v>
      </c>
      <c r="AM18" s="196" t="s">
        <v>202</v>
      </c>
      <c r="AN18" s="62" t="s">
        <v>219</v>
      </c>
      <c r="AO18" s="64" t="s">
        <v>220</v>
      </c>
      <c r="AP18" s="197" t="s">
        <v>182</v>
      </c>
      <c r="AQ18" s="197" t="s">
        <v>182</v>
      </c>
      <c r="AR18" s="197" t="s">
        <v>182</v>
      </c>
      <c r="AS18" s="2"/>
      <c r="AT18" s="3"/>
      <c r="AU18" s="88"/>
      <c r="AV18" s="88"/>
      <c r="AW18" s="88"/>
      <c r="AX18" s="88"/>
      <c r="AY18" s="2"/>
      <c r="AZ18" s="3"/>
      <c r="BA18" s="23" t="s">
        <v>221</v>
      </c>
      <c r="BB18" s="163"/>
      <c r="BC18" s="163"/>
      <c r="BD18" s="163"/>
      <c r="BE18" s="90" t="s">
        <v>222</v>
      </c>
      <c r="BF18" s="23" t="s">
        <v>197</v>
      </c>
      <c r="BG18" s="163"/>
      <c r="BH18" s="198"/>
      <c r="BI18" s="198"/>
      <c r="BJ18" s="198"/>
      <c r="BK18" s="169"/>
      <c r="BL18" s="1"/>
      <c r="BM18" s="5"/>
      <c r="BN18" s="5"/>
      <c r="BO18" s="5"/>
      <c r="BP18" s="5"/>
      <c r="BQ18" s="5"/>
      <c r="BR18" s="5"/>
      <c r="BS18" s="5"/>
      <c r="BT18" s="5"/>
      <c r="BU18" s="68"/>
      <c r="BV18" s="127"/>
      <c r="BW18" s="127"/>
      <c r="BX18" s="127"/>
      <c r="BY18" s="94"/>
      <c r="BZ18" s="3"/>
      <c r="CA18" s="3"/>
      <c r="CB18" s="3"/>
      <c r="CC18" s="3"/>
      <c r="CD18" s="3"/>
      <c r="CE18" s="3"/>
      <c r="CF18" s="75">
        <v>1</v>
      </c>
      <c r="CG18" s="75">
        <v>2</v>
      </c>
      <c r="CH18" s="75">
        <v>3</v>
      </c>
      <c r="CI18" s="3"/>
      <c r="CJ18" s="3"/>
      <c r="CK18" s="86">
        <v>1</v>
      </c>
      <c r="CL18" s="86">
        <v>2</v>
      </c>
      <c r="CM18" s="3"/>
      <c r="CN18" s="673"/>
      <c r="CO18" s="674"/>
      <c r="CP18" s="674"/>
      <c r="CQ18" s="675"/>
      <c r="CR18" s="2"/>
      <c r="CS18" s="2"/>
      <c r="CT18" s="48"/>
      <c r="CU18" s="17"/>
      <c r="CV18" s="17"/>
      <c r="CW18" s="17"/>
      <c r="CX18" s="16"/>
      <c r="CY18" s="17"/>
      <c r="CZ18" s="1"/>
      <c r="DA18" s="1"/>
      <c r="DB18" s="2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</row>
    <row r="19" spans="1:197" ht="28.5" x14ac:dyDescent="0.35">
      <c r="A19" s="35" t="s">
        <v>133</v>
      </c>
      <c r="B19" s="34" t="s">
        <v>175</v>
      </c>
      <c r="C19" s="199"/>
      <c r="D19" s="200"/>
      <c r="E19" s="3"/>
      <c r="F19" s="3"/>
      <c r="G19" s="3"/>
      <c r="H19" s="3"/>
      <c r="I19" s="5"/>
      <c r="J19" s="190"/>
      <c r="K19" s="186"/>
      <c r="L19" s="3"/>
      <c r="M19" s="3"/>
      <c r="N19" s="97">
        <v>2</v>
      </c>
      <c r="O19" s="26" t="s">
        <v>171</v>
      </c>
      <c r="P19" s="25" t="s">
        <v>167</v>
      </c>
      <c r="Q19" s="25" t="s">
        <v>167</v>
      </c>
      <c r="R19" s="26" t="s">
        <v>171</v>
      </c>
      <c r="S19" s="140"/>
      <c r="T19" s="192" t="s">
        <v>9</v>
      </c>
      <c r="U19" s="149" t="s">
        <v>202</v>
      </c>
      <c r="V19" s="101" t="s">
        <v>190</v>
      </c>
      <c r="W19" s="101" t="s">
        <v>190</v>
      </c>
      <c r="X19" s="101" t="s">
        <v>190</v>
      </c>
      <c r="Y19" s="101" t="s">
        <v>190</v>
      </c>
      <c r="Z19" s="5"/>
      <c r="AA19" s="101" t="s">
        <v>190</v>
      </c>
      <c r="AB19" s="101" t="s">
        <v>190</v>
      </c>
      <c r="AC19" s="101" t="s">
        <v>190</v>
      </c>
      <c r="AD19" s="3"/>
      <c r="AE19" s="5"/>
      <c r="AF19" s="101" t="s">
        <v>190</v>
      </c>
      <c r="AG19" s="101" t="s">
        <v>190</v>
      </c>
      <c r="AH19" s="101" t="s">
        <v>190</v>
      </c>
      <c r="AI19" s="5"/>
      <c r="AJ19" s="5"/>
      <c r="AK19" s="201" t="s">
        <v>11</v>
      </c>
      <c r="AL19" s="201" t="s">
        <v>11</v>
      </c>
      <c r="AM19" s="201" t="s">
        <v>11</v>
      </c>
      <c r="AN19" s="196"/>
      <c r="AO19" s="202"/>
      <c r="AP19" s="203" t="s">
        <v>23</v>
      </c>
      <c r="AQ19" s="203" t="s">
        <v>23</v>
      </c>
      <c r="AR19" s="204" t="s">
        <v>25</v>
      </c>
      <c r="AS19" s="205"/>
      <c r="AT19" s="3"/>
      <c r="AU19" s="88"/>
      <c r="AV19" s="88"/>
      <c r="AW19" s="88"/>
      <c r="AX19" s="88"/>
      <c r="AY19" s="2"/>
      <c r="AZ19" s="3"/>
      <c r="BA19" s="163"/>
      <c r="BB19" s="25" t="s">
        <v>167</v>
      </c>
      <c r="BC19" s="25" t="s">
        <v>167</v>
      </c>
      <c r="BD19" s="25" t="s">
        <v>167</v>
      </c>
      <c r="BE19" s="163"/>
      <c r="BF19" s="163"/>
      <c r="BG19" s="198"/>
      <c r="BH19" s="25" t="s">
        <v>167</v>
      </c>
      <c r="BI19" s="25" t="s">
        <v>167</v>
      </c>
      <c r="BJ19" s="25" t="s">
        <v>167</v>
      </c>
      <c r="BK19" s="198"/>
      <c r="BL19" s="1"/>
      <c r="BM19" s="5"/>
      <c r="BN19" s="5"/>
      <c r="BO19" s="5"/>
      <c r="BP19" s="5"/>
      <c r="BQ19" s="5"/>
      <c r="BR19" s="5"/>
      <c r="BS19" s="5"/>
      <c r="BT19" s="5"/>
      <c r="BU19" s="47"/>
      <c r="BV19" s="206"/>
      <c r="BW19" s="127"/>
      <c r="BX19" s="127"/>
      <c r="BY19" s="94"/>
      <c r="BZ19" s="681" t="s">
        <v>176</v>
      </c>
      <c r="CA19" s="681"/>
      <c r="CB19" s="681"/>
      <c r="CC19" s="681"/>
      <c r="CD19" s="189"/>
      <c r="CJ19" s="207"/>
      <c r="CK19" s="207"/>
      <c r="CL19" s="207"/>
      <c r="CM19" s="3"/>
      <c r="CN19" s="673"/>
      <c r="CO19" s="674"/>
      <c r="CP19" s="674"/>
      <c r="CQ19" s="675"/>
      <c r="CR19" s="2"/>
      <c r="CS19" s="2"/>
      <c r="CT19" s="48"/>
      <c r="CU19" s="17"/>
      <c r="CV19" s="17"/>
      <c r="CW19" s="17"/>
      <c r="CX19" s="16"/>
      <c r="CY19" s="17"/>
      <c r="CZ19" s="1"/>
      <c r="DA19" s="1"/>
      <c r="DB19" s="2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</row>
    <row r="20" spans="1:197" ht="28.5" x14ac:dyDescent="0.4">
      <c r="A20" s="134"/>
      <c r="B20" s="134"/>
      <c r="C20" s="199"/>
      <c r="D20" s="208"/>
      <c r="E20" s="12" t="s">
        <v>223</v>
      </c>
      <c r="F20" s="12"/>
      <c r="G20" s="12"/>
      <c r="H20" s="12"/>
      <c r="I20" s="70"/>
      <c r="J20" s="208"/>
      <c r="K20" s="3"/>
      <c r="L20" s="3"/>
      <c r="M20" s="3"/>
      <c r="N20" s="97">
        <v>3</v>
      </c>
      <c r="O20" s="26" t="s">
        <v>171</v>
      </c>
      <c r="P20" s="25" t="s">
        <v>167</v>
      </c>
      <c r="Q20" s="25" t="s">
        <v>167</v>
      </c>
      <c r="R20" s="26" t="s">
        <v>171</v>
      </c>
      <c r="S20" s="140"/>
      <c r="T20" s="159" t="s">
        <v>16</v>
      </c>
      <c r="U20" s="149" t="s">
        <v>202</v>
      </c>
      <c r="V20" s="101" t="s">
        <v>190</v>
      </c>
      <c r="W20" s="101" t="s">
        <v>190</v>
      </c>
      <c r="X20" s="101" t="s">
        <v>190</v>
      </c>
      <c r="Y20" s="101" t="s">
        <v>190</v>
      </c>
      <c r="Z20" s="5"/>
      <c r="AA20" s="101" t="s">
        <v>190</v>
      </c>
      <c r="AB20" s="101" t="s">
        <v>190</v>
      </c>
      <c r="AC20" s="101" t="s">
        <v>190</v>
      </c>
      <c r="AD20" s="3"/>
      <c r="AE20" s="5"/>
      <c r="AF20" s="101" t="s">
        <v>190</v>
      </c>
      <c r="AG20" s="101" t="s">
        <v>190</v>
      </c>
      <c r="AH20" s="101" t="s">
        <v>190</v>
      </c>
      <c r="AI20" s="5"/>
      <c r="AJ20" s="5"/>
      <c r="AK20" s="201" t="s">
        <v>11</v>
      </c>
      <c r="AL20" s="201" t="s">
        <v>11</v>
      </c>
      <c r="AM20" s="201" t="s">
        <v>11</v>
      </c>
      <c r="AN20" s="196"/>
      <c r="AO20" s="202"/>
      <c r="AP20" s="204" t="s">
        <v>25</v>
      </c>
      <c r="AQ20" s="204" t="s">
        <v>25</v>
      </c>
      <c r="AR20" s="204" t="s">
        <v>25</v>
      </c>
      <c r="AS20" s="209"/>
      <c r="AT20" s="3"/>
      <c r="AU20" s="88"/>
      <c r="AV20" s="88"/>
      <c r="AW20" s="88"/>
      <c r="AX20" s="88"/>
      <c r="AY20" s="2"/>
      <c r="AZ20" s="3"/>
      <c r="BA20" s="163"/>
      <c r="BB20" s="25" t="s">
        <v>167</v>
      </c>
      <c r="BC20" s="25" t="s">
        <v>167</v>
      </c>
      <c r="BD20" s="25" t="s">
        <v>167</v>
      </c>
      <c r="BE20" s="163"/>
      <c r="BF20" s="163"/>
      <c r="BG20" s="198"/>
      <c r="BH20" s="25" t="s">
        <v>167</v>
      </c>
      <c r="BI20" s="25" t="s">
        <v>167</v>
      </c>
      <c r="BJ20" s="25" t="s">
        <v>167</v>
      </c>
      <c r="BK20" s="198"/>
      <c r="BL20" s="1"/>
      <c r="BM20" s="5"/>
      <c r="BN20" s="5"/>
      <c r="BO20" s="5"/>
      <c r="BP20" s="5"/>
      <c r="BQ20" s="5"/>
      <c r="BR20" s="5"/>
      <c r="BS20" s="5"/>
      <c r="BT20" s="5"/>
      <c r="BU20" s="47"/>
      <c r="BV20" s="206"/>
      <c r="BW20" s="127"/>
      <c r="BX20" s="127"/>
      <c r="BY20" s="94"/>
      <c r="BZ20" s="86">
        <v>8</v>
      </c>
      <c r="CA20" s="86">
        <v>7</v>
      </c>
      <c r="CB20" s="86">
        <v>6</v>
      </c>
      <c r="CC20" s="86">
        <v>5</v>
      </c>
      <c r="CD20" s="210"/>
      <c r="CJ20" s="3"/>
      <c r="CK20" s="30"/>
      <c r="CL20" s="30"/>
      <c r="CM20" s="3"/>
      <c r="CN20" s="673"/>
      <c r="CO20" s="674"/>
      <c r="CP20" s="674"/>
      <c r="CQ20" s="675"/>
      <c r="CR20" s="2"/>
      <c r="CS20" s="2"/>
      <c r="CT20" s="48"/>
      <c r="CU20" s="17"/>
      <c r="CV20" s="17"/>
      <c r="CW20" s="17"/>
      <c r="CX20" s="16"/>
      <c r="CY20" s="17"/>
      <c r="CZ20" s="1"/>
      <c r="DA20" s="1"/>
      <c r="DB20" s="2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</row>
    <row r="21" spans="1:197" ht="29.25" thickBot="1" x14ac:dyDescent="0.35">
      <c r="A21" s="35" t="s">
        <v>133</v>
      </c>
      <c r="B21" s="34" t="s">
        <v>175</v>
      </c>
      <c r="C21" s="199"/>
      <c r="D21" s="208"/>
      <c r="E21" s="60" t="s">
        <v>178</v>
      </c>
      <c r="F21" s="211"/>
      <c r="G21" s="211"/>
      <c r="H21" s="62" t="s">
        <v>219</v>
      </c>
      <c r="I21" s="70"/>
      <c r="J21" s="208"/>
      <c r="K21" s="3"/>
      <c r="L21" s="3"/>
      <c r="M21" s="3"/>
      <c r="N21" s="121"/>
      <c r="O21" s="71"/>
      <c r="P21" s="129"/>
      <c r="Q21" s="129"/>
      <c r="R21" s="167"/>
      <c r="S21" s="140"/>
      <c r="T21" s="648" t="s">
        <v>224</v>
      </c>
      <c r="U21" s="648"/>
      <c r="V21" s="648"/>
      <c r="W21" s="779" t="s">
        <v>225</v>
      </c>
      <c r="X21" s="779"/>
      <c r="Y21" s="779"/>
      <c r="Z21" s="5"/>
      <c r="AA21" s="3"/>
      <c r="AB21" s="649" t="s">
        <v>223</v>
      </c>
      <c r="AC21" s="649"/>
      <c r="AD21" s="649"/>
      <c r="AE21" s="5"/>
      <c r="AF21" s="5"/>
      <c r="AG21" s="5"/>
      <c r="AH21" s="5"/>
      <c r="AI21" s="5"/>
      <c r="AJ21" s="5"/>
      <c r="AK21" s="196" t="s">
        <v>202</v>
      </c>
      <c r="AL21" s="196" t="s">
        <v>202</v>
      </c>
      <c r="AM21" s="196" t="s">
        <v>202</v>
      </c>
      <c r="AN21" s="17"/>
      <c r="AO21" s="58"/>
      <c r="AP21" s="197" t="s">
        <v>182</v>
      </c>
      <c r="AQ21" s="197" t="s">
        <v>182</v>
      </c>
      <c r="AR21" s="197" t="s">
        <v>182</v>
      </c>
      <c r="AS21" s="58"/>
      <c r="AT21" s="3"/>
      <c r="AU21" s="88"/>
      <c r="AV21" s="88"/>
      <c r="AW21" s="88"/>
      <c r="AX21" s="88"/>
      <c r="AY21" s="2"/>
      <c r="AZ21" s="3"/>
      <c r="BA21" s="212"/>
      <c r="BB21" s="163"/>
      <c r="BC21" s="163"/>
      <c r="BD21" s="163"/>
      <c r="BE21" s="153"/>
      <c r="BF21" s="212"/>
      <c r="BG21" s="163"/>
      <c r="BH21" s="198"/>
      <c r="BI21" s="198"/>
      <c r="BJ21" s="198"/>
      <c r="BK21" s="212"/>
      <c r="BL21" s="1"/>
      <c r="BM21" s="5"/>
      <c r="BN21" s="5"/>
      <c r="BO21" s="5"/>
      <c r="BP21" s="5"/>
      <c r="BQ21" s="5"/>
      <c r="BR21" s="5"/>
      <c r="BS21" s="5"/>
      <c r="BT21" s="5"/>
      <c r="BU21" s="47"/>
      <c r="BV21" s="213"/>
      <c r="BW21" s="127"/>
      <c r="BX21" s="127"/>
      <c r="BY21" s="60" t="s">
        <v>226</v>
      </c>
      <c r="BZ21" s="214" t="s">
        <v>175</v>
      </c>
      <c r="CA21" s="214" t="s">
        <v>175</v>
      </c>
      <c r="CB21" s="214" t="s">
        <v>175</v>
      </c>
      <c r="CC21" s="214" t="s">
        <v>175</v>
      </c>
      <c r="CD21" s="215" t="s">
        <v>227</v>
      </c>
      <c r="CJ21" s="245" t="s">
        <v>242</v>
      </c>
      <c r="CK21" s="3"/>
      <c r="CL21" s="3"/>
      <c r="CN21" s="673"/>
      <c r="CO21" s="674"/>
      <c r="CP21" s="674"/>
      <c r="CQ21" s="675"/>
      <c r="CR21" s="2"/>
      <c r="CS21" s="2"/>
      <c r="CT21" s="48"/>
      <c r="CU21" s="17"/>
      <c r="CV21" s="17"/>
      <c r="CW21" s="17"/>
      <c r="CX21" s="16"/>
      <c r="CY21" s="17"/>
      <c r="CZ21" s="1"/>
      <c r="DA21" s="1"/>
      <c r="DB21" s="2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</row>
    <row r="22" spans="1:197" ht="29.25" thickBot="1" x14ac:dyDescent="0.45">
      <c r="A22" s="3"/>
      <c r="B22" s="3"/>
      <c r="C22" s="199"/>
      <c r="D22" s="199">
        <v>1</v>
      </c>
      <c r="E22" s="196" t="s">
        <v>202</v>
      </c>
      <c r="F22" s="201" t="s">
        <v>11</v>
      </c>
      <c r="G22" s="201" t="s">
        <v>11</v>
      </c>
      <c r="H22" s="196" t="s">
        <v>202</v>
      </c>
      <c r="I22" s="199">
        <v>8</v>
      </c>
      <c r="J22" s="208"/>
      <c r="K22" s="3"/>
      <c r="L22" s="3"/>
      <c r="M22" s="3"/>
      <c r="N22" s="3"/>
      <c r="O22" s="3"/>
      <c r="P22" s="3"/>
      <c r="Q22" s="3"/>
      <c r="R22" s="134"/>
      <c r="S22" s="140"/>
      <c r="T22" s="3"/>
      <c r="U22" s="216"/>
      <c r="V22" s="200">
        <v>8</v>
      </c>
      <c r="W22" s="200">
        <v>7</v>
      </c>
      <c r="X22" s="200">
        <v>6</v>
      </c>
      <c r="Y22" s="217">
        <v>5</v>
      </c>
      <c r="Z22" s="5"/>
      <c r="AA22" s="5"/>
      <c r="AB22" s="200">
        <v>7</v>
      </c>
      <c r="AC22" s="200">
        <v>6</v>
      </c>
      <c r="AD22" s="217">
        <v>5</v>
      </c>
      <c r="AE22" s="5"/>
      <c r="AF22" s="5"/>
      <c r="AG22" s="5"/>
      <c r="AH22" s="5"/>
      <c r="AI22" s="5"/>
      <c r="AJ22" s="200"/>
      <c r="AK22" s="200">
        <v>2</v>
      </c>
      <c r="AL22" s="200">
        <v>3</v>
      </c>
      <c r="AM22" s="217">
        <v>4</v>
      </c>
      <c r="AN22" s="17"/>
      <c r="AO22" s="58"/>
      <c r="AP22" s="86">
        <v>1</v>
      </c>
      <c r="AQ22" s="86">
        <v>2</v>
      </c>
      <c r="AR22" s="86">
        <v>3</v>
      </c>
      <c r="AS22" s="3"/>
      <c r="AT22" s="86"/>
      <c r="AU22" s="88"/>
      <c r="AV22" s="88"/>
      <c r="AW22" s="88"/>
      <c r="AX22" s="88"/>
      <c r="AY22" s="2"/>
      <c r="AZ22" s="86"/>
      <c r="BA22" s="88"/>
      <c r="BB22" s="144">
        <v>2</v>
      </c>
      <c r="BC22" s="144">
        <v>3</v>
      </c>
      <c r="BD22" s="144">
        <v>4</v>
      </c>
      <c r="BE22" s="86"/>
      <c r="BF22" s="86"/>
      <c r="BG22" s="144">
        <v>1</v>
      </c>
      <c r="BH22" s="144">
        <v>2</v>
      </c>
      <c r="BI22" s="144">
        <v>3</v>
      </c>
      <c r="BJ22" s="144">
        <v>4</v>
      </c>
      <c r="BK22" s="86"/>
      <c r="BL22" s="1"/>
      <c r="BM22" s="5"/>
      <c r="BN22" s="5"/>
      <c r="BO22" s="5"/>
      <c r="BP22" s="5"/>
      <c r="BQ22" s="5"/>
      <c r="BR22" s="5"/>
      <c r="BS22" s="5"/>
      <c r="BT22" s="5"/>
      <c r="BU22" s="47"/>
      <c r="BV22" s="218"/>
      <c r="BW22" s="127"/>
      <c r="BX22" s="127"/>
      <c r="BY22" s="214"/>
      <c r="BZ22" s="219" t="s">
        <v>27</v>
      </c>
      <c r="CA22" s="219" t="s">
        <v>27</v>
      </c>
      <c r="CB22" s="219" t="s">
        <v>27</v>
      </c>
      <c r="CC22" s="102" t="s">
        <v>27</v>
      </c>
      <c r="CD22" s="214"/>
      <c r="CJ22" s="258" t="s">
        <v>207</v>
      </c>
      <c r="CK22" s="258" t="s">
        <v>207</v>
      </c>
      <c r="CL22" s="258" t="s">
        <v>207</v>
      </c>
      <c r="CN22" s="673"/>
      <c r="CO22" s="674"/>
      <c r="CP22" s="674"/>
      <c r="CQ22" s="675"/>
      <c r="CR22" s="2"/>
      <c r="CS22" s="2"/>
      <c r="CT22" s="48"/>
      <c r="CU22" s="17"/>
      <c r="CV22" s="17"/>
      <c r="CW22" s="17"/>
      <c r="CX22" s="16"/>
      <c r="CY22" s="17"/>
      <c r="CZ22" s="1"/>
      <c r="DA22" s="1"/>
      <c r="DB22" s="2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</row>
    <row r="23" spans="1:197" ht="29.25" thickBot="1" x14ac:dyDescent="0.45">
      <c r="A23" s="35" t="s">
        <v>133</v>
      </c>
      <c r="B23" s="34" t="s">
        <v>175</v>
      </c>
      <c r="C23" s="199"/>
      <c r="D23" s="199">
        <v>2</v>
      </c>
      <c r="E23" s="196" t="s">
        <v>202</v>
      </c>
      <c r="F23" s="201" t="s">
        <v>11</v>
      </c>
      <c r="G23" s="201" t="s">
        <v>11</v>
      </c>
      <c r="H23" s="196" t="s">
        <v>202</v>
      </c>
      <c r="I23" s="199">
        <v>7</v>
      </c>
      <c r="J23" s="190"/>
      <c r="K23" s="3"/>
      <c r="L23" s="3"/>
      <c r="M23" s="3"/>
      <c r="N23" s="3"/>
      <c r="O23" s="3"/>
      <c r="P23" s="3"/>
      <c r="Q23" s="3"/>
      <c r="R23" s="3"/>
      <c r="S23" s="1"/>
      <c r="T23" s="3"/>
      <c r="U23" s="3"/>
      <c r="V23" s="62" t="s">
        <v>228</v>
      </c>
      <c r="W23" s="221" t="s">
        <v>182</v>
      </c>
      <c r="X23" s="221" t="s">
        <v>182</v>
      </c>
      <c r="Y23" s="221" t="s">
        <v>182</v>
      </c>
      <c r="Z23" s="60" t="s">
        <v>229</v>
      </c>
      <c r="AA23" s="5"/>
      <c r="AB23" s="149" t="s">
        <v>202</v>
      </c>
      <c r="AC23" s="149" t="s">
        <v>202</v>
      </c>
      <c r="AD23" s="149" t="s">
        <v>202</v>
      </c>
      <c r="AE23" s="5"/>
      <c r="AF23" s="222" t="s">
        <v>230</v>
      </c>
      <c r="AG23" s="5"/>
      <c r="AH23" s="5"/>
      <c r="AI23" s="1"/>
      <c r="AJ23" s="1"/>
      <c r="AK23" s="1"/>
      <c r="AL23" s="196" t="s">
        <v>202</v>
      </c>
      <c r="AM23" s="196" t="s">
        <v>202</v>
      </c>
      <c r="AN23" s="17"/>
      <c r="AO23" s="58"/>
      <c r="AP23" s="644" t="s">
        <v>164</v>
      </c>
      <c r="AQ23" s="644"/>
      <c r="AR23" s="644"/>
      <c r="AS23" s="644"/>
      <c r="AT23" s="2"/>
      <c r="AU23" s="56" t="s">
        <v>231</v>
      </c>
      <c r="AV23" s="144">
        <v>8</v>
      </c>
      <c r="AW23" s="144">
        <v>7</v>
      </c>
      <c r="AX23" s="144">
        <v>6</v>
      </c>
      <c r="AY23" s="144">
        <v>5</v>
      </c>
      <c r="AZ23" s="56" t="s">
        <v>232</v>
      </c>
      <c r="BA23" s="144">
        <v>8</v>
      </c>
      <c r="BB23" s="144">
        <v>7</v>
      </c>
      <c r="BC23" s="144">
        <v>6</v>
      </c>
      <c r="BD23" s="144">
        <v>5</v>
      </c>
      <c r="BE23" s="86"/>
      <c r="BF23" s="56" t="s">
        <v>233</v>
      </c>
      <c r="BG23" s="144">
        <v>8</v>
      </c>
      <c r="BH23" s="144">
        <v>7</v>
      </c>
      <c r="BI23" s="144">
        <v>6</v>
      </c>
      <c r="BJ23" s="144">
        <v>5</v>
      </c>
      <c r="BK23" s="86"/>
      <c r="BL23" s="86"/>
      <c r="BM23" s="169"/>
      <c r="BN23" s="169"/>
      <c r="BO23" s="5"/>
      <c r="BP23" s="5"/>
      <c r="BQ23" s="5"/>
      <c r="BR23" s="5"/>
      <c r="BS23" s="5"/>
      <c r="BT23" s="5"/>
      <c r="BU23" s="47"/>
      <c r="BV23" s="47"/>
      <c r="BW23" s="127"/>
      <c r="BX23" s="127"/>
      <c r="BY23" s="31"/>
      <c r="BZ23" s="32" t="s">
        <v>112</v>
      </c>
      <c r="CA23" s="32" t="s">
        <v>112</v>
      </c>
      <c r="CB23" s="32" t="s">
        <v>112</v>
      </c>
      <c r="CC23" s="32" t="s">
        <v>112</v>
      </c>
      <c r="CD23" s="31"/>
      <c r="CJ23" s="258" t="s">
        <v>207</v>
      </c>
      <c r="CK23" s="258" t="s">
        <v>207</v>
      </c>
      <c r="CL23" s="258" t="s">
        <v>207</v>
      </c>
      <c r="CN23" s="673"/>
      <c r="CO23" s="674"/>
      <c r="CP23" s="674"/>
      <c r="CQ23" s="675"/>
      <c r="CR23" s="2"/>
      <c r="CS23" s="2"/>
      <c r="CT23" s="48"/>
      <c r="CU23" s="17"/>
      <c r="CV23" s="17"/>
      <c r="CW23" s="17"/>
      <c r="CX23" s="16"/>
      <c r="CY23" s="17"/>
      <c r="CZ23" s="1"/>
      <c r="DA23" s="1"/>
      <c r="DB23" s="2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</row>
    <row r="24" spans="1:197" ht="28.5" x14ac:dyDescent="0.4">
      <c r="A24" s="644" t="s">
        <v>164</v>
      </c>
      <c r="B24" s="644"/>
      <c r="C24" s="3"/>
      <c r="D24" s="199">
        <v>3</v>
      </c>
      <c r="E24" s="196" t="s">
        <v>202</v>
      </c>
      <c r="F24" s="201" t="s">
        <v>11</v>
      </c>
      <c r="G24" s="201" t="s">
        <v>11</v>
      </c>
      <c r="H24" s="196" t="s">
        <v>202</v>
      </c>
      <c r="I24" s="199">
        <v>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21"/>
      <c r="W24" s="223" t="s">
        <v>124</v>
      </c>
      <c r="X24" s="223" t="s">
        <v>124</v>
      </c>
      <c r="Y24" s="223" t="s">
        <v>124</v>
      </c>
      <c r="Z24" s="221"/>
      <c r="AA24" s="224"/>
      <c r="AB24" s="192" t="s">
        <v>9</v>
      </c>
      <c r="AC24" s="192" t="s">
        <v>9</v>
      </c>
      <c r="AD24" s="192" t="s">
        <v>9</v>
      </c>
      <c r="AE24" s="224"/>
      <c r="AF24" s="160" t="s">
        <v>207</v>
      </c>
      <c r="AG24" s="160" t="s">
        <v>207</v>
      </c>
      <c r="AH24" s="160" t="s">
        <v>207</v>
      </c>
      <c r="AI24" s="5"/>
      <c r="AJ24" s="1"/>
      <c r="AK24" s="17"/>
      <c r="AL24" s="201" t="s">
        <v>11</v>
      </c>
      <c r="AM24" s="201" t="s">
        <v>11</v>
      </c>
      <c r="AN24" s="3"/>
      <c r="AO24" s="58"/>
      <c r="AP24" s="5"/>
      <c r="AQ24" s="5"/>
      <c r="AR24" s="5"/>
      <c r="AS24" s="2"/>
      <c r="AT24" s="2"/>
      <c r="AU24" s="23" t="s">
        <v>220</v>
      </c>
      <c r="AV24" s="163"/>
      <c r="AW24" s="163"/>
      <c r="AX24" s="163"/>
      <c r="AY24" s="163"/>
      <c r="AZ24" s="23" t="s">
        <v>234</v>
      </c>
      <c r="BA24" s="163"/>
      <c r="BB24" s="163"/>
      <c r="BC24" s="163"/>
      <c r="BD24" s="163"/>
      <c r="BE24" s="212"/>
      <c r="BF24" s="23" t="s">
        <v>229</v>
      </c>
      <c r="BG24" s="163"/>
      <c r="BH24" s="163"/>
      <c r="BI24" s="163"/>
      <c r="BJ24" s="163"/>
      <c r="BK24" s="212"/>
      <c r="BL24" s="169"/>
      <c r="BM24" s="198"/>
      <c r="BN24" s="198"/>
      <c r="BO24" s="169"/>
      <c r="BP24" s="5"/>
      <c r="BQ24" s="5"/>
      <c r="BR24" s="5"/>
      <c r="BS24" s="5"/>
      <c r="BT24" s="5"/>
      <c r="BU24" s="47"/>
      <c r="BV24" s="218"/>
      <c r="BW24" s="5"/>
      <c r="BX24" s="5"/>
      <c r="BY24" s="3"/>
      <c r="BZ24" s="31" t="s">
        <v>175</v>
      </c>
      <c r="CA24" s="31" t="s">
        <v>175</v>
      </c>
      <c r="CB24" s="31" t="s">
        <v>175</v>
      </c>
      <c r="CC24" s="31" t="s">
        <v>175</v>
      </c>
      <c r="CD24" s="47"/>
      <c r="CN24" s="673"/>
      <c r="CO24" s="674"/>
      <c r="CP24" s="674"/>
      <c r="CQ24" s="675"/>
      <c r="CR24" s="2"/>
      <c r="CS24" s="2"/>
      <c r="CT24" s="48"/>
      <c r="CU24" s="17"/>
      <c r="CV24" s="17"/>
      <c r="CW24" s="17"/>
      <c r="CX24" s="16"/>
      <c r="CY24" s="17"/>
      <c r="CZ24" s="1"/>
      <c r="DA24" s="1"/>
      <c r="DB24" s="2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</row>
    <row r="25" spans="1:197" ht="28.5" x14ac:dyDescent="0.35">
      <c r="A25" s="32" t="s">
        <v>112</v>
      </c>
      <c r="B25" s="31" t="s">
        <v>175</v>
      </c>
      <c r="C25" s="199"/>
      <c r="D25" s="199">
        <v>4</v>
      </c>
      <c r="E25" s="196" t="s">
        <v>202</v>
      </c>
      <c r="F25" s="201" t="s">
        <v>11</v>
      </c>
      <c r="G25" s="201" t="s">
        <v>11</v>
      </c>
      <c r="H25" s="196" t="s">
        <v>202</v>
      </c>
      <c r="I25" s="199">
        <v>5</v>
      </c>
      <c r="J25" s="3"/>
      <c r="K25" s="60"/>
      <c r="L25" s="60" t="s">
        <v>172</v>
      </c>
      <c r="M25" s="3"/>
      <c r="N25" s="3"/>
      <c r="O25" s="3"/>
      <c r="P25" s="3"/>
      <c r="Q25" s="3"/>
      <c r="R25" s="3"/>
      <c r="S25" s="3"/>
      <c r="T25" s="225"/>
      <c r="U25" s="3"/>
      <c r="V25" s="221"/>
      <c r="W25" s="223" t="s">
        <v>124</v>
      </c>
      <c r="X25" s="223" t="s">
        <v>124</v>
      </c>
      <c r="Y25" s="223" t="s">
        <v>124</v>
      </c>
      <c r="Z25" s="221"/>
      <c r="AA25" s="224"/>
      <c r="AB25" s="192" t="s">
        <v>9</v>
      </c>
      <c r="AC25" s="192" t="s">
        <v>9</v>
      </c>
      <c r="AD25" s="192" t="s">
        <v>9</v>
      </c>
      <c r="AE25" s="224"/>
      <c r="AF25" s="160" t="s">
        <v>207</v>
      </c>
      <c r="AG25" s="160" t="s">
        <v>207</v>
      </c>
      <c r="AH25" s="160" t="s">
        <v>207</v>
      </c>
      <c r="AI25" s="5"/>
      <c r="AJ25" s="1"/>
      <c r="AK25" s="226"/>
      <c r="AL25" s="201" t="s">
        <v>11</v>
      </c>
      <c r="AM25" s="201" t="s">
        <v>11</v>
      </c>
      <c r="AN25" s="64" t="s">
        <v>235</v>
      </c>
      <c r="AO25" s="58"/>
      <c r="AP25" s="227" t="s">
        <v>236</v>
      </c>
      <c r="AQ25" s="227" t="s">
        <v>236</v>
      </c>
      <c r="AR25" s="227" t="s">
        <v>236</v>
      </c>
      <c r="AS25" s="2"/>
      <c r="AT25" s="58"/>
      <c r="AU25" s="163"/>
      <c r="AV25" s="25" t="s">
        <v>167</v>
      </c>
      <c r="AW25" s="25" t="s">
        <v>167</v>
      </c>
      <c r="AX25" s="25" t="s">
        <v>167</v>
      </c>
      <c r="AY25" s="25" t="s">
        <v>167</v>
      </c>
      <c r="AZ25" s="163"/>
      <c r="BA25" s="25" t="s">
        <v>167</v>
      </c>
      <c r="BB25" s="25" t="s">
        <v>167</v>
      </c>
      <c r="BC25" s="25" t="s">
        <v>167</v>
      </c>
      <c r="BD25" s="25" t="s">
        <v>167</v>
      </c>
      <c r="BE25" s="163"/>
      <c r="BF25" s="163"/>
      <c r="BG25" s="25" t="s">
        <v>167</v>
      </c>
      <c r="BH25" s="25" t="s">
        <v>167</v>
      </c>
      <c r="BI25" s="25" t="s">
        <v>167</v>
      </c>
      <c r="BJ25" s="25" t="s">
        <v>167</v>
      </c>
      <c r="BK25" s="163"/>
      <c r="BL25" s="198"/>
      <c r="BM25" s="25" t="s">
        <v>167</v>
      </c>
      <c r="BN25" s="25" t="s">
        <v>167</v>
      </c>
      <c r="BO25" s="198"/>
      <c r="BP25" s="5"/>
      <c r="BQ25" s="5"/>
      <c r="BR25" s="5"/>
      <c r="BS25" s="5"/>
      <c r="BT25" s="5"/>
      <c r="BU25" s="47"/>
      <c r="BV25" s="218"/>
      <c r="BW25" s="5"/>
      <c r="BX25" s="5"/>
      <c r="BY25" s="3"/>
      <c r="BZ25" s="86">
        <v>1</v>
      </c>
      <c r="CA25" s="86">
        <v>2</v>
      </c>
      <c r="CB25" s="86">
        <v>3</v>
      </c>
      <c r="CC25" s="86">
        <v>4</v>
      </c>
      <c r="CD25" s="47"/>
      <c r="CN25" s="673"/>
      <c r="CO25" s="674"/>
      <c r="CP25" s="674"/>
      <c r="CQ25" s="675"/>
      <c r="CR25" s="2"/>
      <c r="CS25" s="2"/>
      <c r="CT25" s="48"/>
      <c r="CU25" s="17"/>
      <c r="CV25" s="17"/>
      <c r="CW25" s="17"/>
      <c r="CX25" s="16"/>
      <c r="CY25" s="17"/>
      <c r="CZ25" s="1"/>
      <c r="DA25" s="1"/>
      <c r="DB25" s="2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</row>
    <row r="26" spans="1:197" ht="28.5" x14ac:dyDescent="0.3">
      <c r="C26" s="60" t="s">
        <v>166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225"/>
      <c r="U26" s="216"/>
      <c r="V26" s="216"/>
      <c r="W26" s="221" t="s">
        <v>182</v>
      </c>
      <c r="X26" s="221" t="s">
        <v>182</v>
      </c>
      <c r="Y26" s="221" t="s">
        <v>182</v>
      </c>
      <c r="Z26" s="122" t="s">
        <v>237</v>
      </c>
      <c r="AA26" s="5"/>
      <c r="AB26" s="149" t="s">
        <v>202</v>
      </c>
      <c r="AC26" s="149" t="s">
        <v>202</v>
      </c>
      <c r="AD26" s="149" t="s">
        <v>202</v>
      </c>
      <c r="AE26" s="60" t="s">
        <v>238</v>
      </c>
      <c r="AF26" s="5"/>
      <c r="AG26" s="58"/>
      <c r="AH26" s="228"/>
      <c r="AI26" s="228"/>
      <c r="AJ26" s="17"/>
      <c r="AK26" s="5"/>
      <c r="AL26" s="196" t="s">
        <v>202</v>
      </c>
      <c r="AM26" s="196" t="s">
        <v>202</v>
      </c>
      <c r="AN26" s="229"/>
      <c r="AO26" s="58"/>
      <c r="AP26" s="227" t="s">
        <v>236</v>
      </c>
      <c r="AQ26" s="227" t="s">
        <v>236</v>
      </c>
      <c r="AR26" s="227" t="s">
        <v>236</v>
      </c>
      <c r="AS26" s="2"/>
      <c r="AT26" s="2"/>
      <c r="AU26" s="163"/>
      <c r="AV26" s="25" t="s">
        <v>167</v>
      </c>
      <c r="AW26" s="25" t="s">
        <v>167</v>
      </c>
      <c r="AX26" s="25" t="s">
        <v>167</v>
      </c>
      <c r="AY26" s="25" t="s">
        <v>167</v>
      </c>
      <c r="AZ26" s="163"/>
      <c r="BA26" s="25" t="s">
        <v>167</v>
      </c>
      <c r="BB26" s="25" t="s">
        <v>167</v>
      </c>
      <c r="BC26" s="25" t="s">
        <v>167</v>
      </c>
      <c r="BD26" s="25" t="s">
        <v>167</v>
      </c>
      <c r="BE26" s="163"/>
      <c r="BF26" s="163"/>
      <c r="BG26" s="25" t="s">
        <v>167</v>
      </c>
      <c r="BH26" s="25" t="s">
        <v>167</v>
      </c>
      <c r="BI26" s="25" t="s">
        <v>167</v>
      </c>
      <c r="BJ26" s="25" t="s">
        <v>167</v>
      </c>
      <c r="BK26" s="163"/>
      <c r="BL26" s="198"/>
      <c r="BM26" s="25" t="s">
        <v>167</v>
      </c>
      <c r="BN26" s="25" t="s">
        <v>167</v>
      </c>
      <c r="BO26" s="198"/>
      <c r="BP26" s="5"/>
      <c r="BQ26" s="5"/>
      <c r="BR26" s="5"/>
      <c r="BS26" s="5"/>
      <c r="BT26" s="5"/>
      <c r="BU26" s="47"/>
      <c r="BV26" s="218"/>
      <c r="BW26" s="47"/>
      <c r="BX26" s="47"/>
      <c r="BY26" s="3"/>
      <c r="BZ26" s="650" t="s">
        <v>239</v>
      </c>
      <c r="CA26" s="650"/>
      <c r="CB26" s="650"/>
      <c r="CC26" s="650"/>
      <c r="CD26" s="3"/>
      <c r="CE26" s="3"/>
      <c r="CF26" s="65" t="s">
        <v>211</v>
      </c>
      <c r="CG26" s="65"/>
      <c r="CH26" s="65"/>
      <c r="CI26" s="189"/>
      <c r="CN26" s="673"/>
      <c r="CO26" s="674"/>
      <c r="CP26" s="674"/>
      <c r="CQ26" s="675"/>
      <c r="CR26" s="2"/>
      <c r="CS26" s="2"/>
      <c r="CT26" s="48"/>
      <c r="CU26" s="17"/>
      <c r="CV26" s="17"/>
      <c r="CW26" s="17"/>
      <c r="CX26" s="16"/>
      <c r="CY26" s="17"/>
      <c r="CZ26" s="1"/>
      <c r="DA26" s="1"/>
      <c r="DB26" s="2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</row>
    <row r="27" spans="1:197" ht="29.25" thickBot="1" x14ac:dyDescent="0.4">
      <c r="A27" s="32" t="s">
        <v>112</v>
      </c>
      <c r="B27" s="31" t="s">
        <v>175</v>
      </c>
      <c r="C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25"/>
      <c r="U27" s="230"/>
      <c r="V27" s="216"/>
      <c r="W27" s="200">
        <v>2</v>
      </c>
      <c r="X27" s="200">
        <v>3</v>
      </c>
      <c r="Y27" s="217">
        <v>4</v>
      </c>
      <c r="Z27" s="231"/>
      <c r="AA27" s="5"/>
      <c r="AB27" s="200">
        <v>2</v>
      </c>
      <c r="AC27" s="200">
        <v>3</v>
      </c>
      <c r="AD27" s="217">
        <v>4</v>
      </c>
      <c r="AE27" s="5"/>
      <c r="AF27" s="232"/>
      <c r="AG27" s="17"/>
      <c r="AH27" s="17"/>
      <c r="AI27" s="233"/>
      <c r="AJ27" s="17"/>
      <c r="AK27" s="5"/>
      <c r="AL27" s="234">
        <v>1</v>
      </c>
      <c r="AM27" s="235">
        <v>2</v>
      </c>
      <c r="AN27" s="229"/>
      <c r="AO27" s="58"/>
      <c r="AP27" s="2"/>
      <c r="AQ27" s="2"/>
      <c r="AR27" s="109"/>
      <c r="AS27" s="236"/>
      <c r="AT27" s="139"/>
      <c r="AU27" s="237"/>
      <c r="AV27" s="163"/>
      <c r="AW27" s="163"/>
      <c r="AX27" s="163"/>
      <c r="AY27" s="163"/>
      <c r="AZ27" s="212"/>
      <c r="BA27" s="163"/>
      <c r="BB27" s="163"/>
      <c r="BC27" s="163"/>
      <c r="BD27" s="163"/>
      <c r="BE27" s="212"/>
      <c r="BF27" s="212"/>
      <c r="BG27" s="163"/>
      <c r="BH27" s="163"/>
      <c r="BI27" s="163"/>
      <c r="BJ27" s="163"/>
      <c r="BK27" s="212"/>
      <c r="BL27" s="169"/>
      <c r="BM27" s="198"/>
      <c r="BN27" s="198"/>
      <c r="BO27" s="212"/>
      <c r="BP27" s="5"/>
      <c r="BQ27" s="5"/>
      <c r="BR27" s="5"/>
      <c r="BS27" s="5"/>
      <c r="BT27" s="5"/>
      <c r="BU27" s="47"/>
      <c r="BV27" s="218"/>
      <c r="BW27" s="47"/>
      <c r="BX27" s="47"/>
      <c r="BY27" s="3"/>
      <c r="BZ27" s="3"/>
      <c r="CA27" s="3"/>
      <c r="CB27" s="3"/>
      <c r="CC27" s="3"/>
      <c r="CD27" s="3"/>
      <c r="CE27" s="3"/>
      <c r="CF27" s="75">
        <v>6</v>
      </c>
      <c r="CG27" s="75">
        <v>5</v>
      </c>
      <c r="CH27" s="75">
        <v>4</v>
      </c>
      <c r="CI27" s="207"/>
      <c r="CJ27" s="238"/>
      <c r="CK27" s="30">
        <v>4</v>
      </c>
      <c r="CL27" s="30">
        <v>3</v>
      </c>
      <c r="CM27" s="238"/>
      <c r="CN27" s="673"/>
      <c r="CO27" s="674"/>
      <c r="CP27" s="674"/>
      <c r="CQ27" s="675"/>
      <c r="CR27" s="2"/>
      <c r="CS27" s="2"/>
      <c r="CT27" s="48"/>
      <c r="CU27" s="17"/>
      <c r="CV27" s="17"/>
      <c r="CW27" s="17"/>
      <c r="CX27" s="16"/>
      <c r="CY27" s="17"/>
      <c r="CZ27" s="1"/>
      <c r="DA27" s="1"/>
      <c r="DB27" s="2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</row>
    <row r="28" spans="1:197" ht="28.5" x14ac:dyDescent="0.25">
      <c r="C28" s="199">
        <v>1</v>
      </c>
      <c r="F28" s="239" t="s">
        <v>240</v>
      </c>
      <c r="G28" s="240" t="s">
        <v>240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241"/>
      <c r="U28" s="58"/>
      <c r="V28" s="651"/>
      <c r="W28" s="651"/>
      <c r="X28" s="651"/>
      <c r="Y28" s="651"/>
      <c r="Z28" s="17"/>
      <c r="AA28" s="17"/>
      <c r="AB28" s="17"/>
      <c r="AC28" s="233"/>
      <c r="AD28" s="233"/>
      <c r="AE28" s="17"/>
      <c r="AF28" s="232"/>
      <c r="AG28" s="17"/>
      <c r="AH28" s="17"/>
      <c r="AI28" s="17"/>
      <c r="AJ28" s="17"/>
      <c r="AK28" s="17"/>
      <c r="AL28" s="652" t="s">
        <v>223</v>
      </c>
      <c r="AM28" s="652"/>
      <c r="AN28" s="17"/>
      <c r="AO28" s="58"/>
      <c r="AP28" s="58"/>
      <c r="AQ28" s="2"/>
      <c r="AR28" s="2"/>
      <c r="AS28" s="2"/>
      <c r="AT28" s="86"/>
      <c r="AU28" s="2"/>
      <c r="AV28" s="144">
        <v>1</v>
      </c>
      <c r="AW28" s="144">
        <v>2</v>
      </c>
      <c r="AX28" s="144">
        <v>3</v>
      </c>
      <c r="AY28" s="144">
        <v>4</v>
      </c>
      <c r="AZ28" s="86"/>
      <c r="BA28" s="144">
        <v>1</v>
      </c>
      <c r="BB28" s="144">
        <v>2</v>
      </c>
      <c r="BC28" s="144">
        <v>3</v>
      </c>
      <c r="BD28" s="144">
        <v>4</v>
      </c>
      <c r="BE28" s="187"/>
      <c r="BF28" s="242"/>
      <c r="BG28" s="144">
        <v>1</v>
      </c>
      <c r="BH28" s="144">
        <v>2</v>
      </c>
      <c r="BI28" s="144">
        <v>3</v>
      </c>
      <c r="BJ28" s="144">
        <v>4</v>
      </c>
      <c r="BK28" s="5"/>
      <c r="BL28" s="86"/>
      <c r="BM28" s="5"/>
      <c r="BN28" s="5"/>
      <c r="BO28" s="5"/>
      <c r="BP28" s="5"/>
      <c r="BQ28" s="5"/>
      <c r="BR28" s="5"/>
      <c r="BS28" s="5"/>
      <c r="BT28" s="5"/>
      <c r="BU28" s="47"/>
      <c r="BV28" s="218"/>
      <c r="BW28" s="243"/>
      <c r="BX28" s="243"/>
      <c r="BY28" s="3"/>
      <c r="BZ28" s="3"/>
      <c r="CA28" s="3"/>
      <c r="CB28" s="3"/>
      <c r="CC28" s="3"/>
      <c r="CE28" s="3"/>
      <c r="CF28" s="244" t="s">
        <v>175</v>
      </c>
      <c r="CG28" s="244" t="s">
        <v>175</v>
      </c>
      <c r="CH28" s="244" t="s">
        <v>175</v>
      </c>
      <c r="CI28" s="90" t="s">
        <v>241</v>
      </c>
      <c r="CJ28" s="3"/>
      <c r="CK28" s="166" t="s">
        <v>175</v>
      </c>
      <c r="CL28" s="166" t="s">
        <v>175</v>
      </c>
      <c r="CM28" s="3"/>
      <c r="CN28" s="673"/>
      <c r="CO28" s="674"/>
      <c r="CP28" s="674"/>
      <c r="CQ28" s="675"/>
      <c r="CR28" s="2"/>
      <c r="CS28" s="2"/>
      <c r="CT28" s="48"/>
      <c r="CU28" s="17"/>
      <c r="CV28" s="17"/>
      <c r="CW28" s="17"/>
      <c r="CX28" s="16"/>
      <c r="CY28" s="17"/>
      <c r="CZ28" s="1"/>
      <c r="DA28" s="1"/>
      <c r="DB28" s="2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</row>
    <row r="29" spans="1:197" ht="29.25" thickBot="1" x14ac:dyDescent="0.4">
      <c r="A29" s="32" t="s">
        <v>112</v>
      </c>
      <c r="B29" s="31" t="s">
        <v>175</v>
      </c>
      <c r="C29" s="199">
        <v>2</v>
      </c>
      <c r="F29" s="246" t="s">
        <v>240</v>
      </c>
      <c r="G29" s="247" t="s">
        <v>240</v>
      </c>
      <c r="J29" s="3"/>
      <c r="K29" s="3"/>
      <c r="L29" s="3"/>
      <c r="M29" s="3"/>
      <c r="N29" s="3"/>
      <c r="O29" s="3"/>
      <c r="P29" s="3" t="s">
        <v>243</v>
      </c>
      <c r="Q29" s="3"/>
      <c r="R29" s="3"/>
      <c r="S29" s="3"/>
      <c r="T29" s="248"/>
      <c r="U29" s="17"/>
      <c r="V29" s="3"/>
      <c r="W29" s="3"/>
      <c r="X29" s="3"/>
      <c r="Y29" s="3"/>
      <c r="Z29" s="17"/>
      <c r="AA29" s="17"/>
      <c r="AB29" s="17"/>
      <c r="AC29" s="233"/>
      <c r="AD29" s="233"/>
      <c r="AE29" s="17"/>
      <c r="AF29" s="232"/>
      <c r="AG29" s="17"/>
      <c r="AH29" s="17"/>
      <c r="AI29" s="17"/>
      <c r="AJ29" s="17"/>
      <c r="AK29" s="249"/>
      <c r="AL29" s="249"/>
      <c r="AM29" s="17"/>
      <c r="AN29" s="17"/>
      <c r="AO29" s="1"/>
      <c r="AP29" s="2"/>
      <c r="AQ29" s="2"/>
      <c r="AR29" s="2"/>
      <c r="AS29" s="2"/>
      <c r="AT29" s="250"/>
      <c r="AU29" s="2"/>
      <c r="AV29" s="2"/>
      <c r="AW29" s="1"/>
      <c r="AX29" s="1"/>
      <c r="AY29" s="47"/>
      <c r="AZ29" s="251"/>
      <c r="BA29" s="251"/>
      <c r="BB29" s="251"/>
      <c r="BC29" s="251"/>
      <c r="BD29" s="47"/>
      <c r="BE29" s="47"/>
      <c r="BF29" s="252"/>
      <c r="BG29" s="252"/>
      <c r="BH29" s="47"/>
      <c r="BI29" s="2"/>
      <c r="BJ29" s="253"/>
      <c r="BK29" s="253"/>
      <c r="BL29" s="147"/>
      <c r="BM29" s="47"/>
      <c r="BN29" s="147"/>
      <c r="BO29" s="147"/>
      <c r="BP29" s="147"/>
      <c r="BQ29" s="47"/>
      <c r="BR29" s="254"/>
      <c r="BS29" s="254"/>
      <c r="BT29" s="2"/>
      <c r="BU29" s="255"/>
      <c r="BV29" s="47"/>
      <c r="BW29" s="243"/>
      <c r="BX29" s="243"/>
      <c r="BY29" s="3"/>
      <c r="BZ29" s="3"/>
      <c r="CA29" s="3"/>
      <c r="CB29" s="3"/>
      <c r="CC29" s="3"/>
      <c r="CE29" s="256"/>
      <c r="CF29" s="257" t="s">
        <v>159</v>
      </c>
      <c r="CG29" s="257" t="s">
        <v>159</v>
      </c>
      <c r="CH29" s="257" t="s">
        <v>159</v>
      </c>
      <c r="CI29" s="256"/>
      <c r="CJ29" s="166"/>
      <c r="CK29" s="220" t="s">
        <v>157</v>
      </c>
      <c r="CL29" s="220" t="s">
        <v>157</v>
      </c>
      <c r="CM29" s="166"/>
      <c r="CN29" s="673"/>
      <c r="CO29" s="674"/>
      <c r="CP29" s="674"/>
      <c r="CQ29" s="675"/>
      <c r="CR29" s="259"/>
      <c r="CS29" s="260"/>
      <c r="CT29" s="16"/>
      <c r="CU29" s="17"/>
      <c r="CV29" s="17"/>
      <c r="CW29" s="17"/>
      <c r="CX29" s="16"/>
      <c r="CY29" s="17"/>
      <c r="CZ29" s="1"/>
      <c r="DA29" s="1"/>
      <c r="DB29" s="2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</row>
    <row r="30" spans="1:197" ht="29.25" thickBot="1" x14ac:dyDescent="0.3">
      <c r="C30" s="199">
        <v>3</v>
      </c>
      <c r="F30" s="261" t="s">
        <v>240</v>
      </c>
      <c r="G30" s="262" t="s">
        <v>240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263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5"/>
      <c r="AG30" s="264"/>
      <c r="AH30" s="264"/>
      <c r="AI30" s="264"/>
      <c r="AJ30" s="6"/>
      <c r="AK30" s="653" t="s">
        <v>201</v>
      </c>
      <c r="AL30" s="654"/>
      <c r="AM30" s="654"/>
      <c r="AN30" s="655"/>
      <c r="AO30" s="266"/>
      <c r="AP30" s="267"/>
      <c r="AQ30" s="267"/>
      <c r="AR30" s="267"/>
      <c r="AS30" s="267"/>
      <c r="AT30" s="267"/>
      <c r="AU30" s="266"/>
      <c r="AV30" s="268"/>
      <c r="AW30" s="266"/>
      <c r="AX30" s="656" t="s">
        <v>198</v>
      </c>
      <c r="AY30" s="656"/>
      <c r="AZ30" s="656"/>
      <c r="BA30" s="269"/>
      <c r="BB30" s="270"/>
      <c r="BC30" s="270"/>
      <c r="BD30" s="270"/>
      <c r="BE30" s="270"/>
      <c r="BF30" s="266"/>
      <c r="BG30" s="3"/>
      <c r="BH30" s="3"/>
      <c r="BI30" s="3"/>
      <c r="BJ30" s="271"/>
      <c r="BK30" s="272"/>
      <c r="BL30" s="267"/>
      <c r="BM30" s="266"/>
      <c r="BN30" s="266"/>
      <c r="BO30" s="266"/>
      <c r="BP30" s="266"/>
      <c r="BQ30" s="266"/>
      <c r="BR30" s="266"/>
      <c r="BS30" s="266"/>
      <c r="BT30" s="266"/>
      <c r="BU30" s="273"/>
      <c r="BV30" s="47"/>
      <c r="BW30" s="243"/>
      <c r="BX30" s="243"/>
      <c r="BY30" s="3"/>
      <c r="BZ30" s="3"/>
      <c r="CA30" s="3"/>
      <c r="CB30" s="3"/>
      <c r="CC30" s="3"/>
      <c r="CE30" s="256"/>
      <c r="CF30" s="257" t="s">
        <v>159</v>
      </c>
      <c r="CG30" s="257" t="s">
        <v>159</v>
      </c>
      <c r="CH30" s="257" t="s">
        <v>159</v>
      </c>
      <c r="CI30" s="256"/>
      <c r="CJ30" s="166"/>
      <c r="CK30" s="220" t="s">
        <v>157</v>
      </c>
      <c r="CL30" s="220" t="s">
        <v>157</v>
      </c>
      <c r="CM30" s="166"/>
      <c r="CN30" s="673"/>
      <c r="CO30" s="674"/>
      <c r="CP30" s="674"/>
      <c r="CQ30" s="675"/>
      <c r="CR30" s="259"/>
      <c r="CS30" s="260"/>
      <c r="CT30" s="16"/>
      <c r="CU30" s="17"/>
      <c r="CV30" s="17"/>
      <c r="CW30" s="17"/>
      <c r="CX30" s="16"/>
      <c r="CY30" s="1"/>
      <c r="CZ30" s="1"/>
      <c r="DA30" s="1"/>
      <c r="DB30" s="2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</row>
    <row r="31" spans="1:197" ht="29.25" thickBot="1" x14ac:dyDescent="0.4">
      <c r="A31" s="32" t="s">
        <v>112</v>
      </c>
      <c r="B31" s="31" t="s">
        <v>175</v>
      </c>
      <c r="C31" s="199">
        <v>4</v>
      </c>
      <c r="D31" s="1"/>
      <c r="E31" s="5"/>
      <c r="F31" s="5"/>
      <c r="G31" s="5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5"/>
      <c r="U31" s="274"/>
      <c r="V31" s="274"/>
      <c r="W31" s="274"/>
      <c r="X31" s="274"/>
      <c r="Y31" s="274"/>
      <c r="Z31" s="274"/>
      <c r="AA31" s="58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58"/>
      <c r="AN31" s="58"/>
      <c r="AO31" s="109"/>
      <c r="AP31" s="86">
        <v>6</v>
      </c>
      <c r="AQ31" s="86">
        <v>5</v>
      </c>
      <c r="AR31" s="86">
        <v>4</v>
      </c>
      <c r="AS31" s="2"/>
      <c r="AT31" s="147"/>
      <c r="AU31" s="147"/>
      <c r="AV31" s="275"/>
      <c r="AW31" s="60" t="s">
        <v>244</v>
      </c>
      <c r="AX31" s="200">
        <v>6</v>
      </c>
      <c r="AY31" s="200">
        <v>5</v>
      </c>
      <c r="AZ31" s="200">
        <v>4</v>
      </c>
      <c r="BA31" s="58"/>
      <c r="BB31" s="3"/>
      <c r="BC31" s="276">
        <v>6</v>
      </c>
      <c r="BD31" s="276">
        <v>5</v>
      </c>
      <c r="BE31" s="276">
        <v>4</v>
      </c>
      <c r="BF31" s="275"/>
      <c r="BG31" s="109"/>
      <c r="BH31" s="3"/>
      <c r="BI31" s="3"/>
      <c r="BJ31" s="199"/>
      <c r="BK31" s="199"/>
      <c r="BL31" s="86">
        <v>6</v>
      </c>
      <c r="BM31" s="86">
        <v>5</v>
      </c>
      <c r="BN31" s="86">
        <v>4</v>
      </c>
      <c r="BO31" s="5"/>
      <c r="BP31" s="5"/>
      <c r="BQ31" s="5"/>
      <c r="BR31" s="5"/>
      <c r="BS31" s="275"/>
      <c r="BT31" s="275"/>
      <c r="BU31" s="275"/>
      <c r="BV31" s="47"/>
      <c r="BW31" s="243"/>
      <c r="BX31" s="243"/>
      <c r="BY31" s="3"/>
      <c r="BZ31" s="3"/>
      <c r="CA31" s="3"/>
      <c r="CB31" s="3"/>
      <c r="CC31" s="3"/>
      <c r="CE31" s="5"/>
      <c r="CF31" s="244" t="s">
        <v>175</v>
      </c>
      <c r="CG31" s="244" t="s">
        <v>175</v>
      </c>
      <c r="CH31" s="244" t="s">
        <v>175</v>
      </c>
      <c r="CI31" s="5"/>
      <c r="CJ31" s="5"/>
      <c r="CK31" s="166" t="s">
        <v>175</v>
      </c>
      <c r="CL31" s="166" t="s">
        <v>175</v>
      </c>
      <c r="CM31" s="139"/>
      <c r="CN31" s="676"/>
      <c r="CO31" s="677"/>
      <c r="CP31" s="677"/>
      <c r="CQ31" s="678"/>
      <c r="CR31" s="259"/>
      <c r="CS31" s="260"/>
      <c r="CT31" s="16"/>
      <c r="CU31" s="17"/>
      <c r="CV31" s="17"/>
      <c r="CW31" s="17"/>
      <c r="CX31" s="16"/>
      <c r="CY31" s="17"/>
      <c r="CZ31" s="1"/>
      <c r="DA31" s="1"/>
      <c r="DB31" s="2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</row>
    <row r="32" spans="1:197" ht="28.5" x14ac:dyDescent="0.35">
      <c r="C32" s="200"/>
      <c r="D32" s="122"/>
      <c r="E32" s="5"/>
      <c r="F32" s="5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 t="s">
        <v>245</v>
      </c>
      <c r="X32" s="5"/>
      <c r="Y32" s="5"/>
      <c r="Z32" s="5"/>
      <c r="AA32" s="58"/>
      <c r="AB32" s="277"/>
      <c r="AC32" s="58"/>
      <c r="AD32" s="58"/>
      <c r="AE32" s="58"/>
      <c r="AF32" s="58"/>
      <c r="AG32" s="58"/>
      <c r="AH32" s="58"/>
      <c r="AI32" s="58"/>
      <c r="AJ32" s="58"/>
      <c r="AK32" s="277"/>
      <c r="AL32" s="58"/>
      <c r="AM32" s="58"/>
      <c r="AN32" s="109"/>
      <c r="AO32" s="60" t="s">
        <v>195</v>
      </c>
      <c r="AP32" s="31" t="s">
        <v>175</v>
      </c>
      <c r="AQ32" s="31" t="s">
        <v>175</v>
      </c>
      <c r="AR32" s="31" t="s">
        <v>175</v>
      </c>
      <c r="AS32" s="109"/>
      <c r="AT32" s="278" t="s">
        <v>246</v>
      </c>
      <c r="AU32" s="3"/>
      <c r="AV32" s="5"/>
      <c r="AW32" s="62" t="s">
        <v>247</v>
      </c>
      <c r="AX32" s="149" t="s">
        <v>202</v>
      </c>
      <c r="AY32" s="149" t="s">
        <v>202</v>
      </c>
      <c r="AZ32" s="149" t="s">
        <v>202</v>
      </c>
      <c r="BA32" s="58"/>
      <c r="BB32" s="109"/>
      <c r="BC32" s="109"/>
      <c r="BD32" s="109"/>
      <c r="BE32" s="109"/>
      <c r="BF32" s="60" t="s">
        <v>248</v>
      </c>
      <c r="BG32" s="197" t="s">
        <v>182</v>
      </c>
      <c r="BH32" s="197" t="s">
        <v>182</v>
      </c>
      <c r="BI32" s="197" t="s">
        <v>182</v>
      </c>
      <c r="BJ32" s="86"/>
      <c r="BP32" s="5"/>
      <c r="BQ32" s="5"/>
      <c r="BR32" s="5"/>
      <c r="BS32" s="109"/>
      <c r="BT32" s="109"/>
      <c r="BU32" s="109"/>
      <c r="BV32" s="47"/>
      <c r="BW32" s="47"/>
      <c r="BX32" s="279"/>
      <c r="BY32" s="279"/>
      <c r="BZ32" s="280"/>
      <c r="CA32" s="280"/>
      <c r="CB32" s="280"/>
      <c r="CC32" s="5"/>
      <c r="CD32" s="86"/>
      <c r="CE32" s="276"/>
      <c r="CF32" s="75">
        <v>1</v>
      </c>
      <c r="CG32" s="75">
        <v>2</v>
      </c>
      <c r="CH32" s="75">
        <v>3</v>
      </c>
      <c r="CI32" s="5"/>
      <c r="CJ32" s="5"/>
      <c r="CK32" s="86">
        <v>1</v>
      </c>
      <c r="CL32" s="86">
        <v>2</v>
      </c>
      <c r="CM32" s="139"/>
      <c r="CN32" s="259"/>
      <c r="CO32" s="259"/>
      <c r="CP32" s="259"/>
      <c r="CQ32" s="259"/>
      <c r="CR32" s="259"/>
      <c r="CS32" s="260"/>
      <c r="CT32" s="16"/>
      <c r="CU32" s="17"/>
      <c r="CV32" s="17"/>
      <c r="CW32" s="17"/>
      <c r="CX32" s="16"/>
      <c r="CY32" s="17"/>
      <c r="CZ32" s="1"/>
      <c r="DA32" s="1"/>
      <c r="DB32" s="2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</row>
    <row r="33" spans="1:197" ht="29.25" thickBot="1" x14ac:dyDescent="0.4">
      <c r="A33" s="32" t="s">
        <v>112</v>
      </c>
      <c r="B33" s="31" t="s">
        <v>175</v>
      </c>
      <c r="C33" s="199">
        <v>1</v>
      </c>
      <c r="D33" s="5"/>
      <c r="E33" s="5"/>
      <c r="F33" s="79"/>
      <c r="G33" s="79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81" t="s">
        <v>249</v>
      </c>
      <c r="W33" s="216"/>
      <c r="X33" s="282"/>
      <c r="Y33" s="216"/>
      <c r="Z33" s="2"/>
      <c r="AA33" s="5"/>
      <c r="AB33" s="277"/>
      <c r="AC33" s="283"/>
      <c r="AD33" s="284"/>
      <c r="AE33" s="284"/>
      <c r="AF33" s="216"/>
      <c r="AG33" s="285"/>
      <c r="AH33" s="216"/>
      <c r="AI33" s="3"/>
      <c r="AJ33" s="58"/>
      <c r="AK33" s="277"/>
      <c r="AL33" s="58"/>
      <c r="AM33" s="236"/>
      <c r="AN33" s="5"/>
      <c r="AO33" s="286"/>
      <c r="AP33" s="32" t="s">
        <v>112</v>
      </c>
      <c r="AQ33" s="32" t="s">
        <v>112</v>
      </c>
      <c r="AR33" s="32" t="s">
        <v>112</v>
      </c>
      <c r="AS33" s="31"/>
      <c r="AT33" s="287" t="s">
        <v>207</v>
      </c>
      <c r="AU33" s="287" t="s">
        <v>207</v>
      </c>
      <c r="AV33" s="287" t="s">
        <v>207</v>
      </c>
      <c r="AW33" s="288"/>
      <c r="AX33" s="192" t="s">
        <v>9</v>
      </c>
      <c r="AY33" s="192" t="s">
        <v>9</v>
      </c>
      <c r="AZ33" s="192" t="s">
        <v>9</v>
      </c>
      <c r="BA33" s="224"/>
      <c r="BB33" s="109"/>
      <c r="BC33" s="109"/>
      <c r="BD33" s="109"/>
      <c r="BE33" s="109"/>
      <c r="BF33" s="197"/>
      <c r="BG33" s="289" t="s">
        <v>61</v>
      </c>
      <c r="BH33" s="289" t="s">
        <v>61</v>
      </c>
      <c r="BI33" s="289" t="s">
        <v>61</v>
      </c>
      <c r="BJ33" s="197"/>
      <c r="BP33" s="3"/>
      <c r="BQ33" s="3"/>
      <c r="BR33" s="3"/>
      <c r="BS33" s="3"/>
      <c r="BT33" s="5"/>
      <c r="BU33" s="5"/>
      <c r="BV33" s="5"/>
      <c r="BW33" s="5"/>
      <c r="BX33" s="5"/>
      <c r="BY33" s="47"/>
      <c r="BZ33" s="47"/>
      <c r="CA33" s="47"/>
      <c r="CB33" s="47"/>
      <c r="CC33" s="47"/>
      <c r="CD33" s="190"/>
      <c r="CI33" s="581"/>
      <c r="CJ33" s="269"/>
      <c r="CK33" s="582" t="s">
        <v>164</v>
      </c>
      <c r="CL33" s="583"/>
      <c r="CM33" s="268"/>
      <c r="CN33" s="290"/>
      <c r="CO33" s="291"/>
      <c r="CP33" s="291"/>
      <c r="CQ33" s="291"/>
      <c r="CR33" s="291"/>
      <c r="CS33" s="292"/>
      <c r="CT33" s="16"/>
      <c r="CU33" s="17"/>
      <c r="CV33" s="17"/>
      <c r="CW33" s="17"/>
      <c r="CX33" s="16"/>
      <c r="CY33" s="17"/>
      <c r="CZ33" s="1"/>
      <c r="DA33" s="1"/>
      <c r="DB33" s="2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</row>
    <row r="34" spans="1:197" ht="28.5" x14ac:dyDescent="0.35">
      <c r="C34" s="199">
        <v>2</v>
      </c>
      <c r="D34" s="208"/>
      <c r="E34" s="5"/>
      <c r="F34" s="79"/>
      <c r="G34" s="79"/>
      <c r="H34" s="5"/>
      <c r="I34" s="29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94" t="s">
        <v>250</v>
      </c>
      <c r="W34" s="294" t="s">
        <v>250</v>
      </c>
      <c r="X34" s="294" t="s">
        <v>250</v>
      </c>
      <c r="Y34" s="3"/>
      <c r="Z34" s="295" t="s">
        <v>251</v>
      </c>
      <c r="AA34" s="295" t="s">
        <v>251</v>
      </c>
      <c r="AB34" s="295" t="s">
        <v>251</v>
      </c>
      <c r="AC34" s="3"/>
      <c r="AD34" s="296" t="s">
        <v>236</v>
      </c>
      <c r="AE34" s="296" t="s">
        <v>236</v>
      </c>
      <c r="AF34" s="3"/>
      <c r="AG34" s="3"/>
      <c r="AH34" s="3"/>
      <c r="AI34" s="3"/>
      <c r="AJ34" s="58"/>
      <c r="AK34" s="277"/>
      <c r="AL34" s="58"/>
      <c r="AM34" s="236"/>
      <c r="AN34" s="5"/>
      <c r="AO34" s="31"/>
      <c r="AP34" s="32" t="s">
        <v>112</v>
      </c>
      <c r="AQ34" s="32" t="s">
        <v>112</v>
      </c>
      <c r="AR34" s="32" t="s">
        <v>112</v>
      </c>
      <c r="AS34" s="31"/>
      <c r="AT34" s="287" t="s">
        <v>207</v>
      </c>
      <c r="AU34" s="287" t="s">
        <v>207</v>
      </c>
      <c r="AV34" s="287" t="s">
        <v>207</v>
      </c>
      <c r="AW34" s="224"/>
      <c r="AX34" s="192" t="s">
        <v>9</v>
      </c>
      <c r="AY34" s="192" t="s">
        <v>9</v>
      </c>
      <c r="AZ34" s="192" t="s">
        <v>9</v>
      </c>
      <c r="BA34" s="224"/>
      <c r="BB34" s="109"/>
      <c r="BC34" s="109"/>
      <c r="BD34" s="109"/>
      <c r="BE34" s="109"/>
      <c r="BF34" s="197"/>
      <c r="BG34" s="203" t="s">
        <v>23</v>
      </c>
      <c r="BH34" s="203" t="s">
        <v>23</v>
      </c>
      <c r="BI34" s="297" t="s">
        <v>25</v>
      </c>
      <c r="BJ34" s="197"/>
      <c r="BP34" s="3"/>
      <c r="BQ34" s="3"/>
      <c r="BR34" s="3"/>
      <c r="BS34" s="3"/>
      <c r="BT34" s="5"/>
      <c r="BU34" s="5"/>
      <c r="BV34" s="5"/>
      <c r="BW34" s="5"/>
      <c r="BX34" s="5"/>
      <c r="BY34" s="147"/>
      <c r="BZ34" s="298"/>
      <c r="CA34" s="299"/>
      <c r="CB34" s="299"/>
      <c r="CC34" s="299"/>
      <c r="CD34" s="299"/>
      <c r="CE34" s="299"/>
      <c r="CF34" s="299"/>
      <c r="CG34" s="299"/>
      <c r="CH34" s="299"/>
      <c r="CI34" s="47"/>
      <c r="CJ34" s="47"/>
      <c r="CK34" s="47"/>
      <c r="CL34" s="47"/>
      <c r="CM34" s="47"/>
      <c r="CN34" s="47"/>
      <c r="CO34" s="47"/>
      <c r="CP34" s="47"/>
      <c r="CQ34" s="17"/>
      <c r="CR34" s="17"/>
      <c r="CS34" s="17"/>
      <c r="CT34" s="16"/>
      <c r="CU34" s="17"/>
      <c r="CV34" s="17"/>
      <c r="CW34" s="17"/>
      <c r="CX34" s="16"/>
      <c r="CY34" s="17"/>
      <c r="CZ34" s="1"/>
      <c r="DA34" s="1"/>
      <c r="DB34" s="2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</row>
    <row r="35" spans="1:197" ht="29.25" thickBot="1" x14ac:dyDescent="0.4">
      <c r="A35" s="32" t="s">
        <v>112</v>
      </c>
      <c r="B35" s="31" t="s">
        <v>175</v>
      </c>
      <c r="C35" s="199">
        <v>3</v>
      </c>
      <c r="D35" s="208"/>
      <c r="E35" s="300"/>
      <c r="F35" s="211"/>
      <c r="G35" s="211"/>
      <c r="H35" s="62" t="s">
        <v>252</v>
      </c>
      <c r="I35" s="29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94" t="s">
        <v>250</v>
      </c>
      <c r="W35" s="294" t="s">
        <v>250</v>
      </c>
      <c r="X35" s="294" t="s">
        <v>250</v>
      </c>
      <c r="Y35" s="3"/>
      <c r="Z35" s="295" t="s">
        <v>251</v>
      </c>
      <c r="AA35" s="295" t="s">
        <v>251</v>
      </c>
      <c r="AB35" s="295" t="s">
        <v>251</v>
      </c>
      <c r="AC35" s="3"/>
      <c r="AD35" s="296" t="s">
        <v>236</v>
      </c>
      <c r="AE35" s="296" t="s">
        <v>236</v>
      </c>
      <c r="AF35" s="3"/>
      <c r="AG35" s="3"/>
      <c r="AH35" s="3"/>
      <c r="AI35" s="3"/>
      <c r="AJ35" s="58"/>
      <c r="AK35" s="281"/>
      <c r="AL35" s="58"/>
      <c r="AM35" s="236"/>
      <c r="AN35" s="5"/>
      <c r="AO35" s="65" t="s">
        <v>253</v>
      </c>
      <c r="AP35" s="31" t="s">
        <v>175</v>
      </c>
      <c r="AQ35" s="31" t="s">
        <v>175</v>
      </c>
      <c r="AR35" s="31" t="s">
        <v>175</v>
      </c>
      <c r="AS35" s="1"/>
      <c r="AT35" s="236"/>
      <c r="AU35" s="5"/>
      <c r="AV35" s="3"/>
      <c r="AW35" s="1"/>
      <c r="AX35" s="149" t="s">
        <v>202</v>
      </c>
      <c r="AY35" s="149" t="s">
        <v>202</v>
      </c>
      <c r="AZ35" s="149" t="s">
        <v>202</v>
      </c>
      <c r="BA35" s="301"/>
      <c r="BB35" s="109"/>
      <c r="BC35" s="109"/>
      <c r="BD35" s="109"/>
      <c r="BE35" s="109"/>
      <c r="BF35" s="109"/>
      <c r="BG35" s="197" t="s">
        <v>182</v>
      </c>
      <c r="BH35" s="197" t="s">
        <v>182</v>
      </c>
      <c r="BI35" s="197" t="s">
        <v>182</v>
      </c>
      <c r="BJ35" s="86"/>
      <c r="BP35" s="3"/>
      <c r="BQ35" s="3"/>
      <c r="BR35" s="3"/>
      <c r="BS35" s="3"/>
      <c r="BT35" s="302"/>
      <c r="BU35" s="5"/>
      <c r="BV35" s="5"/>
      <c r="BW35" s="5"/>
      <c r="BX35" s="5"/>
      <c r="BY35" s="147"/>
      <c r="BZ35" s="303"/>
      <c r="CA35" s="147"/>
      <c r="CB35" s="147"/>
      <c r="CH35" s="109"/>
      <c r="CI35" s="47"/>
      <c r="CJ35" s="47"/>
      <c r="CK35" s="47"/>
      <c r="CL35" s="47"/>
      <c r="CM35" s="47"/>
      <c r="CN35" s="47"/>
      <c r="CO35" s="47"/>
      <c r="CP35" s="47"/>
      <c r="CQ35" s="17"/>
      <c r="CR35" s="17"/>
      <c r="CS35" s="17"/>
      <c r="CT35" s="16"/>
      <c r="CU35" s="17"/>
      <c r="CV35" s="17"/>
      <c r="CW35" s="17"/>
      <c r="CX35" s="16"/>
      <c r="CY35" s="17"/>
      <c r="CZ35" s="1"/>
      <c r="DA35" s="1"/>
      <c r="DB35" s="2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</row>
    <row r="36" spans="1:197" ht="23.25" x14ac:dyDescent="0.3">
      <c r="C36" s="199">
        <v>4</v>
      </c>
      <c r="D36" s="199">
        <v>1</v>
      </c>
      <c r="E36" s="196" t="s">
        <v>202</v>
      </c>
      <c r="F36" s="304" t="s">
        <v>131</v>
      </c>
      <c r="G36" s="305" t="s">
        <v>129</v>
      </c>
      <c r="H36" s="196" t="s">
        <v>202</v>
      </c>
      <c r="I36" s="199">
        <v>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61"/>
      <c r="W36" s="61"/>
      <c r="X36" s="306"/>
      <c r="Y36" s="61"/>
      <c r="Z36" s="5"/>
      <c r="AA36" s="307"/>
      <c r="AB36" s="5"/>
      <c r="AC36" s="3"/>
      <c r="AD36" s="3"/>
      <c r="AE36" s="3"/>
      <c r="AF36" s="301"/>
      <c r="AG36" s="216"/>
      <c r="AH36" s="216"/>
      <c r="AI36" s="216"/>
      <c r="AJ36" s="58"/>
      <c r="AK36" s="281"/>
      <c r="AL36" s="58"/>
      <c r="AM36" s="58"/>
      <c r="AN36" s="236"/>
      <c r="AO36" s="236"/>
      <c r="AP36" s="187">
        <v>1</v>
      </c>
      <c r="AQ36" s="187">
        <v>2</v>
      </c>
      <c r="AR36" s="86">
        <v>3</v>
      </c>
      <c r="AS36" s="5"/>
      <c r="AT36" s="5"/>
      <c r="AU36" s="236"/>
      <c r="AV36" s="5"/>
      <c r="AW36" s="200"/>
      <c r="AX36" s="200">
        <v>1</v>
      </c>
      <c r="AY36" s="200">
        <v>2</v>
      </c>
      <c r="AZ36" s="200">
        <v>3</v>
      </c>
      <c r="BA36" s="200"/>
      <c r="BB36" s="3"/>
      <c r="BC36" s="86"/>
      <c r="BD36" s="86"/>
      <c r="BE36" s="86"/>
      <c r="BF36" s="109"/>
      <c r="BG36" s="3"/>
      <c r="BH36" s="3"/>
      <c r="BI36" s="3"/>
      <c r="BJ36" s="86"/>
      <c r="BP36" s="86"/>
      <c r="BQ36" s="86"/>
      <c r="BR36" s="86"/>
      <c r="BS36" s="86"/>
      <c r="BT36" s="86"/>
      <c r="BU36" s="86"/>
      <c r="BV36" s="86"/>
      <c r="BW36" s="657" t="s">
        <v>254</v>
      </c>
      <c r="BX36" s="658"/>
      <c r="BY36" s="659"/>
      <c r="BZ36" s="303"/>
      <c r="CA36" s="147"/>
      <c r="CB36" s="147"/>
      <c r="CH36" s="109"/>
      <c r="CI36" s="147"/>
      <c r="CJ36" s="147"/>
      <c r="CM36" s="47"/>
      <c r="CN36" s="47"/>
      <c r="CO36" s="47"/>
      <c r="CP36" s="47"/>
      <c r="CQ36" s="47"/>
      <c r="CR36" s="47"/>
      <c r="CS36" s="47"/>
      <c r="CT36" s="47"/>
      <c r="CU36" s="17"/>
      <c r="CV36" s="17"/>
      <c r="CW36" s="17"/>
      <c r="CX36" s="17"/>
      <c r="CY36" s="17"/>
      <c r="CZ36" s="1"/>
      <c r="DA36" s="1"/>
      <c r="DB36" s="2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</row>
    <row r="37" spans="1:197" ht="26.25" x14ac:dyDescent="0.4">
      <c r="A37" s="32" t="s">
        <v>112</v>
      </c>
      <c r="B37" s="31" t="s">
        <v>175</v>
      </c>
      <c r="C37" s="199">
        <v>5</v>
      </c>
      <c r="D37" s="199">
        <v>2</v>
      </c>
      <c r="E37" s="196" t="s">
        <v>202</v>
      </c>
      <c r="F37" s="304" t="s">
        <v>131</v>
      </c>
      <c r="G37" s="305" t="s">
        <v>129</v>
      </c>
      <c r="H37" s="196" t="s">
        <v>202</v>
      </c>
      <c r="I37" s="199">
        <v>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3"/>
      <c r="Y37" s="308" t="s">
        <v>255</v>
      </c>
      <c r="Z37" s="308"/>
      <c r="AA37" s="308"/>
      <c r="AB37" s="308"/>
      <c r="AC37" s="58"/>
      <c r="AD37" s="58"/>
      <c r="AE37" s="58"/>
      <c r="AF37" s="58"/>
      <c r="AG37" s="58"/>
      <c r="AH37" s="58"/>
      <c r="AI37" s="58"/>
      <c r="AJ37" s="58"/>
      <c r="AK37" s="277"/>
      <c r="AL37" s="58"/>
      <c r="AM37" s="58"/>
      <c r="AN37" s="309"/>
      <c r="AO37" s="3"/>
      <c r="AP37" s="648" t="s">
        <v>176</v>
      </c>
      <c r="AQ37" s="648"/>
      <c r="AR37" s="648"/>
      <c r="AS37" s="3"/>
      <c r="AT37" s="236"/>
      <c r="AU37" s="109"/>
      <c r="AV37" s="5"/>
      <c r="AW37" s="109"/>
      <c r="AX37" s="5"/>
      <c r="AY37" s="109"/>
      <c r="AZ37" s="3"/>
      <c r="BA37" s="31" t="s">
        <v>175</v>
      </c>
      <c r="BB37" s="310"/>
      <c r="BC37" s="310"/>
      <c r="BD37" s="310"/>
      <c r="BE37" s="310"/>
      <c r="BF37" s="310"/>
      <c r="BG37" s="648" t="s">
        <v>176</v>
      </c>
      <c r="BH37" s="648"/>
      <c r="BI37" s="648"/>
      <c r="BJ37" s="134"/>
      <c r="BP37" s="130"/>
      <c r="BQ37" s="130"/>
      <c r="BR37" s="130"/>
      <c r="BS37" s="86"/>
      <c r="BT37" s="86"/>
      <c r="BU37" s="86"/>
      <c r="BV37" s="86"/>
      <c r="BW37" s="660"/>
      <c r="BX37" s="661"/>
      <c r="BY37" s="662"/>
      <c r="BZ37" s="147"/>
      <c r="CA37" s="147"/>
      <c r="CB37" s="147"/>
      <c r="CH37" s="109"/>
      <c r="CI37" s="147"/>
      <c r="CJ37" s="147"/>
      <c r="CM37" s="147"/>
      <c r="CN37" s="147"/>
      <c r="CO37" s="147"/>
      <c r="CP37" s="147"/>
      <c r="CQ37" s="147"/>
      <c r="CR37" s="47"/>
      <c r="CS37" s="47"/>
      <c r="CT37" s="47"/>
      <c r="CU37" s="17"/>
      <c r="CV37" s="17"/>
      <c r="CW37" s="17"/>
      <c r="CX37" s="17"/>
      <c r="CY37" s="17"/>
      <c r="CZ37" s="1"/>
      <c r="DA37" s="1"/>
      <c r="DB37" s="2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</row>
    <row r="38" spans="1:197" ht="26.25" x14ac:dyDescent="0.4">
      <c r="A38" s="31"/>
      <c r="B38" s="311"/>
      <c r="C38" s="199">
        <v>6</v>
      </c>
      <c r="D38" s="199">
        <v>3</v>
      </c>
      <c r="E38" s="196" t="s">
        <v>202</v>
      </c>
      <c r="F38" s="304" t="s">
        <v>131</v>
      </c>
      <c r="G38" s="305" t="s">
        <v>129</v>
      </c>
      <c r="H38" s="196" t="s">
        <v>202</v>
      </c>
      <c r="I38" s="199">
        <v>4</v>
      </c>
      <c r="J38" s="5"/>
      <c r="K38" s="3"/>
      <c r="L38" s="3"/>
      <c r="M38" s="3"/>
      <c r="N38" s="3"/>
      <c r="O38" s="5"/>
      <c r="P38" s="644"/>
      <c r="Q38" s="644"/>
      <c r="R38" s="3"/>
      <c r="S38" s="3"/>
      <c r="T38" s="3"/>
      <c r="U38" s="3"/>
      <c r="V38" s="301"/>
      <c r="W38" s="58"/>
      <c r="X38" s="3"/>
      <c r="Y38" s="3"/>
      <c r="Z38" s="110">
        <v>1</v>
      </c>
      <c r="AA38" s="110">
        <v>2</v>
      </c>
      <c r="AB38" s="130"/>
      <c r="AC38" s="58"/>
      <c r="AD38" s="58"/>
      <c r="AE38" s="58"/>
      <c r="AF38" s="58"/>
      <c r="AG38" s="58"/>
      <c r="AH38" s="216"/>
      <c r="AI38" s="282"/>
      <c r="AJ38" s="274"/>
      <c r="AK38" s="277"/>
      <c r="AL38" s="58"/>
      <c r="AM38" s="58"/>
      <c r="AN38" s="3"/>
      <c r="AO38" s="3"/>
      <c r="AP38" s="3"/>
      <c r="AQ38" s="3"/>
      <c r="AR38" s="3"/>
      <c r="AS38" s="3"/>
      <c r="AT38" s="157" t="s">
        <v>206</v>
      </c>
      <c r="AU38" s="157" t="s">
        <v>206</v>
      </c>
      <c r="AV38" s="3"/>
      <c r="AW38" s="3"/>
      <c r="AX38" s="3"/>
      <c r="AY38" s="60" t="s">
        <v>256</v>
      </c>
      <c r="AZ38" s="312" t="s">
        <v>257</v>
      </c>
      <c r="BA38" s="32" t="s">
        <v>112</v>
      </c>
      <c r="BB38" s="312" t="s">
        <v>257</v>
      </c>
      <c r="BC38" s="3"/>
      <c r="BD38" s="3"/>
      <c r="BE38" s="109"/>
      <c r="BF38" s="109"/>
      <c r="BG38" s="109"/>
      <c r="BH38" s="109"/>
      <c r="BI38" s="109"/>
      <c r="BJ38" s="109"/>
      <c r="BK38" s="5"/>
      <c r="BL38" s="5"/>
      <c r="BM38" s="5"/>
      <c r="BN38" s="5"/>
      <c r="BO38" s="5"/>
      <c r="BP38" s="109"/>
      <c r="BQ38" s="109"/>
      <c r="BR38" s="109"/>
      <c r="BS38" s="313"/>
      <c r="BT38" s="313"/>
      <c r="BU38" s="5"/>
      <c r="BV38" s="5"/>
      <c r="BW38" s="660"/>
      <c r="BX38" s="661"/>
      <c r="BY38" s="662"/>
      <c r="BZ38" s="147"/>
      <c r="CA38" s="147"/>
      <c r="CB38" s="147"/>
      <c r="CH38" s="5"/>
      <c r="CI38" s="5"/>
      <c r="CJ38" s="147"/>
      <c r="CK38" s="147"/>
      <c r="CL38" s="147"/>
      <c r="CM38" s="147"/>
      <c r="CN38" s="147"/>
      <c r="CO38" s="147"/>
      <c r="CP38" s="147"/>
      <c r="CQ38" s="147"/>
      <c r="CR38" s="47"/>
      <c r="CS38" s="47"/>
      <c r="CT38" s="47"/>
      <c r="CU38" s="17"/>
      <c r="CV38" s="17"/>
      <c r="CW38" s="17"/>
      <c r="CX38" s="17"/>
      <c r="CY38" s="17"/>
      <c r="CZ38" s="1"/>
      <c r="DA38" s="1"/>
      <c r="DB38" s="2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</row>
    <row r="39" spans="1:197" ht="23.25" x14ac:dyDescent="0.35">
      <c r="C39" s="199">
        <v>7</v>
      </c>
      <c r="D39" s="3"/>
      <c r="E39" s="649" t="s">
        <v>224</v>
      </c>
      <c r="F39" s="649"/>
      <c r="G39" s="649"/>
      <c r="H39" s="649"/>
      <c r="I39" s="5"/>
      <c r="J39" s="5"/>
      <c r="K39" s="3"/>
      <c r="L39" s="3"/>
      <c r="M39" s="3"/>
      <c r="N39" s="3"/>
      <c r="O39" s="5"/>
      <c r="P39" s="1"/>
      <c r="Q39" s="5"/>
      <c r="R39" s="5"/>
      <c r="S39" s="5"/>
      <c r="T39" s="1"/>
      <c r="U39" s="58"/>
      <c r="V39" s="58"/>
      <c r="W39" s="58"/>
      <c r="X39" s="3"/>
      <c r="Y39" s="56" t="s">
        <v>258</v>
      </c>
      <c r="Z39" s="314" t="s">
        <v>182</v>
      </c>
      <c r="AA39" s="314" t="s">
        <v>182</v>
      </c>
      <c r="AB39" s="60" t="s">
        <v>259</v>
      </c>
      <c r="AC39" s="58"/>
      <c r="AD39" s="58"/>
      <c r="AE39" s="58"/>
      <c r="AF39" s="58"/>
      <c r="AG39" s="58"/>
      <c r="AH39" s="216"/>
      <c r="AI39" s="282"/>
      <c r="AJ39" s="301"/>
      <c r="AK39" s="301"/>
      <c r="AL39" s="58"/>
      <c r="AM39" s="58"/>
      <c r="AN39" s="3"/>
      <c r="AO39" s="3"/>
      <c r="AP39" s="3"/>
      <c r="AQ39" s="3"/>
      <c r="AR39" s="3"/>
      <c r="AS39" s="3"/>
      <c r="AT39" s="157" t="s">
        <v>206</v>
      </c>
      <c r="AU39" s="157" t="s">
        <v>206</v>
      </c>
      <c r="AV39" s="3"/>
      <c r="AW39" s="3"/>
      <c r="AX39" s="3"/>
      <c r="AY39" s="31" t="s">
        <v>175</v>
      </c>
      <c r="AZ39" s="32" t="s">
        <v>112</v>
      </c>
      <c r="BA39" s="315" t="s">
        <v>260</v>
      </c>
      <c r="BB39" s="32" t="s">
        <v>112</v>
      </c>
      <c r="BC39" s="31" t="s">
        <v>175</v>
      </c>
      <c r="BD39" s="316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313"/>
      <c r="BT39" s="313"/>
      <c r="BU39" s="5"/>
      <c r="BV39" s="5"/>
      <c r="BW39" s="660"/>
      <c r="BX39" s="661"/>
      <c r="BY39" s="662"/>
      <c r="BZ39" s="147"/>
      <c r="CA39" s="147"/>
      <c r="CB39" s="147"/>
      <c r="CH39" s="5"/>
      <c r="CI39" s="5"/>
      <c r="CJ39" s="147"/>
      <c r="CM39" s="147"/>
      <c r="CN39" s="147"/>
      <c r="CO39" s="147"/>
      <c r="CP39" s="147"/>
      <c r="CQ39" s="147"/>
      <c r="CR39" s="47"/>
      <c r="CS39" s="47"/>
      <c r="CT39" s="47"/>
      <c r="CU39" s="17"/>
      <c r="CV39" s="17"/>
      <c r="CW39" s="17"/>
      <c r="CX39" s="17"/>
      <c r="CY39" s="17"/>
      <c r="CZ39" s="1"/>
      <c r="DA39" s="1"/>
      <c r="DB39" s="2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</row>
    <row r="40" spans="1:197" ht="24" thickBot="1" x14ac:dyDescent="0.35">
      <c r="B40" s="61"/>
      <c r="C40" s="61"/>
      <c r="D40" s="61"/>
      <c r="E40" s="3"/>
      <c r="F40" s="3"/>
      <c r="G40" s="3"/>
      <c r="H40" s="3"/>
      <c r="I40" s="3"/>
      <c r="J40" s="30"/>
      <c r="K40" s="3"/>
      <c r="L40" s="3"/>
      <c r="M40" s="3"/>
      <c r="N40" s="3"/>
      <c r="O40" s="30"/>
      <c r="P40" s="216"/>
      <c r="Q40" s="216" t="s">
        <v>180</v>
      </c>
      <c r="R40" s="216"/>
      <c r="S40" s="1"/>
      <c r="T40" s="1"/>
      <c r="U40" s="58"/>
      <c r="V40" s="296" t="s">
        <v>236</v>
      </c>
      <c r="W40" s="296" t="s">
        <v>236</v>
      </c>
      <c r="X40" s="3"/>
      <c r="Y40" s="314"/>
      <c r="Z40" s="100" t="s">
        <v>102</v>
      </c>
      <c r="AA40" s="100" t="s">
        <v>102</v>
      </c>
      <c r="AB40" s="314"/>
      <c r="AC40" s="58"/>
      <c r="AD40" s="58"/>
      <c r="AE40" s="58"/>
      <c r="AF40" s="58"/>
      <c r="AG40" s="282"/>
      <c r="AH40" s="282"/>
      <c r="AI40" s="282"/>
      <c r="AJ40" s="301"/>
      <c r="AK40" s="301"/>
      <c r="AL40" s="58"/>
      <c r="AM40" s="58"/>
      <c r="AN40" s="3"/>
      <c r="AO40" s="3"/>
      <c r="AP40" s="3"/>
      <c r="AQ40" s="3"/>
      <c r="AR40" s="3"/>
      <c r="AS40" s="3"/>
      <c r="AT40" s="157" t="s">
        <v>206</v>
      </c>
      <c r="AU40" s="157" t="s">
        <v>206</v>
      </c>
      <c r="AV40" s="3"/>
      <c r="AW40" s="316"/>
      <c r="AX40" s="3"/>
      <c r="AY40" s="274"/>
      <c r="AZ40" s="312" t="s">
        <v>257</v>
      </c>
      <c r="BA40" s="32" t="s">
        <v>112</v>
      </c>
      <c r="BB40" s="312" t="s">
        <v>257</v>
      </c>
      <c r="BC40" s="316"/>
      <c r="BD40" s="316"/>
      <c r="BE40" s="109"/>
      <c r="BF40" s="109"/>
      <c r="BG40" s="109"/>
      <c r="BH40" s="109"/>
      <c r="BI40" s="313"/>
      <c r="BJ40" s="109"/>
      <c r="BK40" s="109"/>
      <c r="BL40" s="109"/>
      <c r="BM40" s="109"/>
      <c r="BN40" s="313"/>
      <c r="BO40" s="313"/>
      <c r="BP40" s="313"/>
      <c r="BQ40" s="313"/>
      <c r="BR40" s="313"/>
      <c r="BS40" s="313"/>
      <c r="BT40" s="313"/>
      <c r="BU40" s="5"/>
      <c r="BV40" s="5"/>
      <c r="BW40" s="663"/>
      <c r="BX40" s="664"/>
      <c r="BY40" s="665"/>
      <c r="BZ40" s="147"/>
      <c r="CA40" s="147"/>
      <c r="CB40" s="147"/>
      <c r="CC40" s="147"/>
      <c r="CD40" s="147"/>
      <c r="CE40" s="5"/>
      <c r="CF40" s="5"/>
      <c r="CG40" s="5"/>
      <c r="CH40" s="5"/>
      <c r="CI40" s="5"/>
      <c r="CJ40" s="3"/>
      <c r="CM40" s="147"/>
      <c r="CN40" s="5"/>
      <c r="CO40" s="147"/>
      <c r="CP40" s="147"/>
      <c r="CQ40" s="147"/>
      <c r="CR40" s="47"/>
      <c r="CS40" s="47"/>
      <c r="CT40" s="47"/>
      <c r="CU40" s="17"/>
      <c r="CV40" s="17"/>
      <c r="CW40" s="17"/>
      <c r="CX40" s="17"/>
      <c r="CY40" s="17"/>
      <c r="CZ40" s="1"/>
      <c r="DA40" s="1"/>
      <c r="DB40" s="2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</row>
    <row r="41" spans="1:197" ht="26.25" x14ac:dyDescent="0.4">
      <c r="A41" s="317"/>
      <c r="B41" s="3"/>
      <c r="C41" s="3"/>
      <c r="D41" s="318"/>
      <c r="E41" s="3"/>
      <c r="F41" s="3"/>
      <c r="G41" s="3"/>
      <c r="H41" s="3"/>
      <c r="I41" s="3"/>
      <c r="J41" s="30"/>
      <c r="K41" s="3"/>
      <c r="L41" s="3"/>
      <c r="M41" s="3"/>
      <c r="N41" s="3"/>
      <c r="O41" s="30"/>
      <c r="P41" s="216"/>
      <c r="Q41" s="319" t="s">
        <v>189</v>
      </c>
      <c r="R41" s="319" t="s">
        <v>189</v>
      </c>
      <c r="S41" s="1"/>
      <c r="T41" s="1"/>
      <c r="U41" s="58"/>
      <c r="V41" s="296" t="s">
        <v>236</v>
      </c>
      <c r="W41" s="296" t="s">
        <v>236</v>
      </c>
      <c r="X41" s="3"/>
      <c r="Y41" s="314"/>
      <c r="Z41" s="100" t="s">
        <v>102</v>
      </c>
      <c r="AA41" s="100" t="s">
        <v>102</v>
      </c>
      <c r="AB41" s="314"/>
      <c r="AC41" s="58"/>
      <c r="AD41" s="58"/>
      <c r="AE41" s="58"/>
      <c r="AF41" s="58"/>
      <c r="AG41" s="282"/>
      <c r="AH41" s="282"/>
      <c r="AI41" s="282"/>
      <c r="AJ41" s="274"/>
      <c r="AK41" s="58"/>
      <c r="AL41" s="58"/>
      <c r="AM41" s="58"/>
      <c r="AN41" s="320"/>
      <c r="AO41" s="321"/>
      <c r="AP41" s="320"/>
      <c r="AQ41" s="236"/>
      <c r="AR41" s="236"/>
      <c r="AS41" s="322"/>
      <c r="AT41" s="5"/>
      <c r="AU41" s="5"/>
      <c r="AV41" s="322"/>
      <c r="AW41" s="109"/>
      <c r="AX41" s="109"/>
      <c r="AY41" s="3"/>
      <c r="AZ41" s="3"/>
      <c r="BA41" s="31" t="s">
        <v>175</v>
      </c>
      <c r="BB41" s="648" t="s">
        <v>176</v>
      </c>
      <c r="BC41" s="648"/>
      <c r="BD41" s="648"/>
      <c r="BE41" s="322"/>
      <c r="BF41" s="109"/>
      <c r="BG41" s="109"/>
      <c r="BH41" s="313"/>
      <c r="BI41" s="313"/>
      <c r="BJ41" s="109"/>
      <c r="BK41" s="109"/>
      <c r="BL41" s="109"/>
      <c r="BM41" s="109"/>
      <c r="BN41" s="313"/>
      <c r="BO41" s="109"/>
      <c r="BP41" s="630"/>
      <c r="BQ41" s="630"/>
      <c r="BR41" s="630"/>
      <c r="BS41" s="130"/>
      <c r="BT41" s="630"/>
      <c r="BU41" s="630"/>
      <c r="BV41" s="630"/>
      <c r="BW41" s="130"/>
      <c r="BX41" s="259"/>
      <c r="BY41" s="323"/>
      <c r="BZ41" s="47"/>
      <c r="CA41" s="47"/>
      <c r="CB41" s="47"/>
      <c r="CC41" s="47"/>
      <c r="CD41" s="47"/>
      <c r="CE41" s="5"/>
      <c r="CF41" s="5"/>
      <c r="CG41" s="5"/>
      <c r="CH41" s="5"/>
      <c r="CI41" s="5"/>
      <c r="CJ41" s="3"/>
      <c r="CK41" s="3"/>
      <c r="CL41" s="3"/>
      <c r="CM41" s="147"/>
      <c r="CN41" s="147"/>
      <c r="CO41" s="47"/>
      <c r="CP41" s="47"/>
      <c r="CQ41" s="47"/>
      <c r="CR41" s="47"/>
      <c r="CS41" s="47"/>
      <c r="CT41" s="47"/>
      <c r="CU41" s="17"/>
      <c r="CV41" s="17"/>
      <c r="CW41" s="17"/>
      <c r="CX41" s="17"/>
      <c r="CY41" s="17"/>
      <c r="CZ41" s="1"/>
      <c r="DA41" s="1"/>
      <c r="DB41" s="2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</row>
    <row r="42" spans="1:197" ht="21" x14ac:dyDescent="0.3">
      <c r="A42" s="5"/>
      <c r="B42" s="5"/>
      <c r="C42" s="200"/>
      <c r="D42" s="3"/>
      <c r="E42" s="3"/>
      <c r="F42" s="3"/>
      <c r="G42" s="3"/>
      <c r="H42" s="3"/>
      <c r="I42" s="3"/>
      <c r="J42" s="30"/>
      <c r="K42" s="3"/>
      <c r="L42" s="3"/>
      <c r="M42" s="3"/>
      <c r="N42" s="3"/>
      <c r="O42" s="324"/>
      <c r="P42" s="216"/>
      <c r="Q42" s="319" t="s">
        <v>189</v>
      </c>
      <c r="R42" s="319" t="s">
        <v>189</v>
      </c>
      <c r="S42" s="1"/>
      <c r="T42" s="325"/>
      <c r="U42" s="58"/>
      <c r="V42" s="58"/>
      <c r="W42" s="274"/>
      <c r="X42" s="3"/>
      <c r="Y42" s="3"/>
      <c r="Z42" s="314" t="s">
        <v>182</v>
      </c>
      <c r="AA42" s="314" t="s">
        <v>182</v>
      </c>
      <c r="AB42" s="5"/>
      <c r="AC42" s="58"/>
      <c r="AD42" s="58"/>
      <c r="AE42" s="58"/>
      <c r="AF42" s="58"/>
      <c r="AG42" s="216"/>
      <c r="AH42" s="216"/>
      <c r="AI42" s="216"/>
      <c r="AJ42" s="58"/>
      <c r="AK42" s="58"/>
      <c r="AL42" s="5"/>
      <c r="AM42" s="326">
        <v>2</v>
      </c>
      <c r="AN42" s="327">
        <v>3</v>
      </c>
      <c r="AO42" s="327">
        <v>4</v>
      </c>
      <c r="AP42" s="327">
        <v>5</v>
      </c>
      <c r="AQ42" s="326">
        <v>6</v>
      </c>
      <c r="AR42" s="109"/>
      <c r="AS42" s="2"/>
      <c r="AT42" s="2"/>
      <c r="AU42" s="2"/>
      <c r="AV42" s="2"/>
      <c r="AW42" s="322"/>
      <c r="AX42" s="109"/>
      <c r="AY42" s="326">
        <v>1</v>
      </c>
      <c r="AZ42" s="328"/>
      <c r="BA42" s="329"/>
      <c r="BB42" s="329"/>
      <c r="BC42" s="3"/>
      <c r="BD42" s="3"/>
      <c r="BE42" s="3"/>
      <c r="BF42" s="329"/>
      <c r="BG42" s="109"/>
      <c r="BH42" s="109"/>
      <c r="BI42" s="109"/>
      <c r="BJ42" s="109"/>
      <c r="BK42" s="109"/>
      <c r="BL42" s="109"/>
      <c r="BM42" s="109"/>
      <c r="BN42" s="313"/>
      <c r="BO42" s="109"/>
      <c r="BP42" s="199"/>
      <c r="BQ42" s="199"/>
      <c r="BR42" s="199"/>
      <c r="BS42" s="3"/>
      <c r="BT42" s="199"/>
      <c r="BU42" s="199"/>
      <c r="BV42" s="199"/>
      <c r="BW42" s="3"/>
      <c r="BX42" s="259"/>
      <c r="BY42" s="323"/>
      <c r="BZ42" s="47"/>
      <c r="CA42" s="47"/>
      <c r="CB42" s="47"/>
      <c r="CC42" s="47"/>
      <c r="CD42" s="47"/>
      <c r="CE42" s="5"/>
      <c r="CF42" s="5"/>
      <c r="CG42" s="5"/>
      <c r="CH42" s="5"/>
      <c r="CI42" s="5"/>
      <c r="CJ42" s="3"/>
      <c r="CK42" s="3"/>
      <c r="CL42" s="3"/>
      <c r="CM42" s="47"/>
      <c r="CN42" s="47"/>
      <c r="CO42" s="47"/>
      <c r="CP42" s="47"/>
      <c r="CQ42" s="47"/>
      <c r="CR42" s="47"/>
      <c r="CS42" s="47"/>
      <c r="CT42" s="47"/>
      <c r="CU42" s="17"/>
      <c r="CV42" s="17"/>
      <c r="CW42" s="17"/>
      <c r="CX42" s="17"/>
      <c r="CY42" s="17"/>
      <c r="CZ42" s="1"/>
      <c r="DA42" s="1"/>
      <c r="DB42" s="2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</row>
    <row r="43" spans="1:197" ht="27" thickBot="1" x14ac:dyDescent="0.45">
      <c r="A43" s="5"/>
      <c r="B43" s="330"/>
      <c r="C43" s="330"/>
      <c r="D43" s="3"/>
      <c r="E43" s="3"/>
      <c r="F43" s="3"/>
      <c r="G43" s="3"/>
      <c r="H43" s="3"/>
      <c r="I43" s="5"/>
      <c r="J43" s="30"/>
      <c r="K43" s="3"/>
      <c r="L43" s="3"/>
      <c r="M43" s="3"/>
      <c r="N43" s="3"/>
      <c r="O43" s="30"/>
      <c r="P43" s="30"/>
      <c r="Q43" s="30"/>
      <c r="R43" s="30"/>
      <c r="S43" s="1"/>
      <c r="T43" s="325"/>
      <c r="U43" s="331"/>
      <c r="V43" s="58"/>
      <c r="W43" s="58"/>
      <c r="X43" s="3"/>
      <c r="Y43" s="3"/>
      <c r="Z43" s="110">
        <v>4</v>
      </c>
      <c r="AA43" s="110">
        <v>3</v>
      </c>
      <c r="AB43" s="134"/>
      <c r="AC43" s="58"/>
      <c r="AD43" s="216"/>
      <c r="AE43" s="216"/>
      <c r="AF43" s="216"/>
      <c r="AG43" s="216"/>
      <c r="AH43" s="5"/>
      <c r="AI43" s="216"/>
      <c r="AJ43" s="58"/>
      <c r="AK43" s="60" t="s">
        <v>261</v>
      </c>
      <c r="AL43" s="332"/>
      <c r="AM43" s="148" t="s">
        <v>175</v>
      </c>
      <c r="AN43" s="148" t="s">
        <v>175</v>
      </c>
      <c r="AO43" s="148" t="s">
        <v>175</v>
      </c>
      <c r="AP43" s="148" t="s">
        <v>175</v>
      </c>
      <c r="AQ43" s="148" t="s">
        <v>175</v>
      </c>
      <c r="AR43" s="109"/>
      <c r="AS43" s="2"/>
      <c r="AT43" s="5"/>
      <c r="AU43" s="5"/>
      <c r="AV43" s="5"/>
      <c r="AW43" s="3"/>
      <c r="AX43" s="60" t="s">
        <v>262</v>
      </c>
      <c r="AY43" s="148" t="s">
        <v>175</v>
      </c>
      <c r="AZ43" s="34" t="s">
        <v>175</v>
      </c>
      <c r="BA43" s="34" t="s">
        <v>175</v>
      </c>
      <c r="BB43" s="34" t="s">
        <v>175</v>
      </c>
      <c r="BC43" s="34" t="s">
        <v>175</v>
      </c>
      <c r="BD43" s="3"/>
      <c r="BE43" s="3"/>
      <c r="BF43" s="329"/>
      <c r="BG43" s="109"/>
      <c r="BH43" s="109"/>
      <c r="BI43" s="109"/>
      <c r="BJ43" s="109"/>
      <c r="BK43" s="109"/>
      <c r="BL43" s="109"/>
      <c r="BM43" s="109"/>
      <c r="BN43" s="109"/>
      <c r="BO43" s="333"/>
      <c r="BP43" s="334"/>
      <c r="BQ43" s="334"/>
      <c r="BR43" s="334"/>
      <c r="BS43" s="3"/>
      <c r="BT43" s="335"/>
      <c r="BU43" s="335"/>
      <c r="BV43" s="335"/>
      <c r="BW43" s="60"/>
      <c r="BX43" s="5"/>
      <c r="BY43" s="323"/>
      <c r="BZ43" s="47"/>
      <c r="CA43" s="47"/>
      <c r="CB43" s="47"/>
      <c r="CC43" s="47"/>
      <c r="CD43" s="47"/>
      <c r="CE43" s="5"/>
      <c r="CF43" s="5"/>
      <c r="CG43" s="5"/>
      <c r="CH43" s="5"/>
      <c r="CI43" s="5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17"/>
      <c r="CV43" s="17"/>
      <c r="CW43" s="17"/>
      <c r="CX43" s="17"/>
      <c r="CY43" s="17"/>
      <c r="CZ43" s="1"/>
      <c r="DA43" s="1"/>
      <c r="DB43" s="2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</row>
    <row r="44" spans="1:197" ht="24" thickBot="1" x14ac:dyDescent="0.35">
      <c r="A44" s="5"/>
      <c r="B44" s="5"/>
      <c r="C44" s="5"/>
      <c r="D44" s="3"/>
      <c r="E44" s="3"/>
      <c r="F44" s="3"/>
      <c r="G44" s="3"/>
      <c r="H44" s="3"/>
      <c r="I44" s="5"/>
      <c r="J44" s="5"/>
      <c r="K44" s="3"/>
      <c r="L44" s="3"/>
      <c r="M44" s="3"/>
      <c r="N44" s="3"/>
      <c r="O44" s="5"/>
      <c r="P44" s="5"/>
      <c r="Q44" s="631" t="s">
        <v>263</v>
      </c>
      <c r="R44" s="632"/>
      <c r="S44" s="632"/>
      <c r="T44" s="633"/>
      <c r="U44" s="1"/>
      <c r="V44" s="1"/>
      <c r="W44" s="1"/>
      <c r="X44" s="58"/>
      <c r="Y44" s="58"/>
      <c r="Z44" s="58"/>
      <c r="AA44" s="58"/>
      <c r="AB44" s="58"/>
      <c r="AC44" s="216"/>
      <c r="AD44" s="216"/>
      <c r="AE44" s="216"/>
      <c r="AF44" s="216"/>
      <c r="AG44" s="3"/>
      <c r="AH44" s="3"/>
      <c r="AI44" s="3"/>
      <c r="AJ44" s="3"/>
      <c r="AK44" s="148"/>
      <c r="AL44" s="148"/>
      <c r="AM44" s="35" t="s">
        <v>133</v>
      </c>
      <c r="AN44" s="35" t="s">
        <v>133</v>
      </c>
      <c r="AO44" s="35" t="s">
        <v>133</v>
      </c>
      <c r="AP44" s="35" t="s">
        <v>133</v>
      </c>
      <c r="AQ44" s="158" t="s">
        <v>123</v>
      </c>
      <c r="AR44" s="148"/>
      <c r="AS44" s="5"/>
      <c r="AT44" s="5"/>
      <c r="AU44" s="5"/>
      <c r="AV44" s="5"/>
      <c r="AW44" s="3"/>
      <c r="AX44" s="148"/>
      <c r="AY44" s="36" t="s">
        <v>84</v>
      </c>
      <c r="AZ44" s="36" t="s">
        <v>84</v>
      </c>
      <c r="BA44" s="36" t="s">
        <v>84</v>
      </c>
      <c r="BB44" s="36" t="s">
        <v>84</v>
      </c>
      <c r="BC44" s="36" t="s">
        <v>84</v>
      </c>
      <c r="BD44" s="316"/>
      <c r="BE44" s="109"/>
      <c r="BF44" s="336"/>
      <c r="BG44" s="336"/>
      <c r="BH44" s="336"/>
      <c r="BI44" s="640" t="s">
        <v>264</v>
      </c>
      <c r="BJ44" s="641"/>
      <c r="BK44" s="641"/>
      <c r="BL44" s="642"/>
      <c r="BM44" s="109" t="s">
        <v>265</v>
      </c>
      <c r="BN44" s="337"/>
      <c r="BO44" s="338"/>
      <c r="BP44" s="339" t="s">
        <v>254</v>
      </c>
      <c r="BQ44" s="339" t="s">
        <v>254</v>
      </c>
      <c r="BR44" s="339" t="s">
        <v>254</v>
      </c>
      <c r="BS44" s="339" t="s">
        <v>254</v>
      </c>
      <c r="BT44" s="339" t="s">
        <v>254</v>
      </c>
      <c r="BU44" s="339" t="s">
        <v>254</v>
      </c>
      <c r="BV44" s="339" t="s">
        <v>254</v>
      </c>
      <c r="BW44" s="339" t="s">
        <v>254</v>
      </c>
      <c r="BX44" s="3"/>
      <c r="BY44" s="340"/>
      <c r="BZ44" s="47"/>
      <c r="CA44" s="47"/>
      <c r="CB44" s="47"/>
      <c r="CC44" s="47"/>
      <c r="CD44" s="47"/>
      <c r="CE44" s="5"/>
      <c r="CF44" s="5"/>
      <c r="CG44" s="5"/>
      <c r="CH44" s="5"/>
      <c r="CI44" s="5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17"/>
      <c r="CV44" s="17"/>
      <c r="CW44" s="17"/>
      <c r="CX44" s="17"/>
      <c r="CY44" s="17"/>
      <c r="CZ44" s="1"/>
      <c r="DA44" s="1"/>
      <c r="DB44" s="2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</row>
    <row r="45" spans="1:197" ht="26.25" x14ac:dyDescent="0.4">
      <c r="A45" s="5"/>
      <c r="B45" s="5"/>
      <c r="C45" s="5"/>
      <c r="D45" s="1"/>
      <c r="E45" s="3"/>
      <c r="F45" s="3"/>
      <c r="G45" s="3"/>
      <c r="H45" s="3"/>
      <c r="I45" s="5"/>
      <c r="J45" s="5"/>
      <c r="K45" s="3"/>
      <c r="L45" s="3"/>
      <c r="M45" s="3"/>
      <c r="N45" s="3"/>
      <c r="O45" s="5"/>
      <c r="P45" s="5"/>
      <c r="Q45" s="634"/>
      <c r="R45" s="635"/>
      <c r="S45" s="635"/>
      <c r="T45" s="636"/>
      <c r="U45" s="1"/>
      <c r="V45" s="1"/>
      <c r="W45" s="1"/>
      <c r="X45" s="274"/>
      <c r="Y45" s="341"/>
      <c r="Z45" s="342"/>
      <c r="AA45" s="343"/>
      <c r="AB45" s="344"/>
      <c r="AC45" s="342"/>
      <c r="AD45" s="343"/>
      <c r="AE45" s="344"/>
      <c r="AF45" s="342"/>
      <c r="AG45" s="343"/>
      <c r="AH45" s="344"/>
      <c r="AI45" s="342"/>
      <c r="AJ45" s="345"/>
      <c r="AK45" s="346"/>
      <c r="AL45" s="3"/>
      <c r="AM45" s="643" t="s">
        <v>176</v>
      </c>
      <c r="AN45" s="643"/>
      <c r="AO45" s="643"/>
      <c r="AP45" s="643"/>
      <c r="AQ45" s="644" t="s">
        <v>211</v>
      </c>
      <c r="AR45" s="644"/>
      <c r="AS45" s="347"/>
      <c r="AT45" s="348"/>
      <c r="AU45" s="349"/>
      <c r="AV45" s="350"/>
      <c r="AW45" s="351"/>
      <c r="AX45" s="347"/>
      <c r="AY45" s="645" t="s">
        <v>266</v>
      </c>
      <c r="AZ45" s="645"/>
      <c r="BA45" s="645"/>
      <c r="BB45" s="645"/>
      <c r="BC45" s="645"/>
      <c r="BD45" s="347"/>
      <c r="BE45" s="347"/>
      <c r="BF45" s="352"/>
      <c r="BG45" s="353"/>
      <c r="BH45" s="354"/>
      <c r="BI45" s="354"/>
      <c r="BJ45" s="355"/>
      <c r="BK45" s="354"/>
      <c r="BL45" s="354"/>
      <c r="BM45" s="354"/>
      <c r="BN45" s="354"/>
      <c r="BO45" s="354"/>
      <c r="BP45" s="354"/>
      <c r="BQ45" s="356"/>
      <c r="BR45" s="354"/>
      <c r="BS45" s="354"/>
      <c r="BT45" s="354"/>
      <c r="BU45" s="357"/>
      <c r="BV45" s="358"/>
      <c r="BW45" s="358"/>
      <c r="BX45" s="358"/>
      <c r="BY45" s="358"/>
      <c r="BZ45" s="47"/>
      <c r="CA45" s="47"/>
      <c r="CB45" s="47"/>
      <c r="CC45" s="47"/>
      <c r="CD45" s="47"/>
      <c r="CE45" s="47"/>
      <c r="CF45" s="47"/>
      <c r="CG45" s="47"/>
      <c r="CH45" s="359"/>
      <c r="CI45" s="359"/>
      <c r="CJ45" s="359"/>
      <c r="CK45" s="359"/>
      <c r="CL45" s="359"/>
      <c r="CM45" s="359"/>
      <c r="CN45" s="359"/>
      <c r="CO45" s="359"/>
      <c r="CP45" s="47"/>
      <c r="CQ45" s="47"/>
      <c r="CR45" s="47"/>
      <c r="CS45" s="47"/>
      <c r="CT45" s="47"/>
      <c r="CU45" s="17"/>
      <c r="CV45" s="17"/>
      <c r="CW45" s="17"/>
      <c r="CX45" s="17"/>
      <c r="CY45" s="17"/>
      <c r="CZ45" s="1"/>
      <c r="DA45" s="1"/>
      <c r="DB45" s="2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</row>
    <row r="46" spans="1:197" ht="2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34"/>
      <c r="R46" s="635"/>
      <c r="S46" s="635"/>
      <c r="T46" s="636"/>
      <c r="U46" s="1"/>
      <c r="V46" s="1"/>
      <c r="W46" s="274"/>
      <c r="X46" s="274"/>
      <c r="Y46" s="360"/>
      <c r="Z46" s="361"/>
      <c r="AA46" s="361"/>
      <c r="AB46" s="646" t="s">
        <v>267</v>
      </c>
      <c r="AC46" s="646"/>
      <c r="AD46" s="646"/>
      <c r="AE46" s="646"/>
      <c r="AF46" s="646"/>
      <c r="AG46" s="646"/>
      <c r="AH46" s="361"/>
      <c r="AI46" s="361"/>
      <c r="AJ46" s="345"/>
      <c r="AK46" s="3"/>
      <c r="AL46" s="5"/>
      <c r="AM46" s="58"/>
      <c r="AN46" s="3"/>
      <c r="AO46" s="3"/>
      <c r="AP46" s="3"/>
      <c r="AQ46" s="3"/>
      <c r="AR46" s="109"/>
      <c r="AS46" s="109"/>
      <c r="AT46" s="348"/>
      <c r="AU46" s="349"/>
      <c r="AV46" s="349"/>
      <c r="AW46" s="362"/>
      <c r="AX46" s="3"/>
      <c r="AY46" s="363"/>
      <c r="AZ46" s="109"/>
      <c r="BA46" s="109"/>
      <c r="BB46" s="109"/>
      <c r="BC46" s="109"/>
      <c r="BD46" s="109"/>
      <c r="BE46" s="109"/>
      <c r="BF46" s="364"/>
      <c r="BG46" s="365"/>
      <c r="BH46" s="366"/>
      <c r="BI46" s="366"/>
      <c r="BJ46" s="366"/>
      <c r="BK46" s="647" t="s">
        <v>268</v>
      </c>
      <c r="BL46" s="647"/>
      <c r="BM46" s="647"/>
      <c r="BN46" s="647"/>
      <c r="BO46" s="647"/>
      <c r="BP46" s="647"/>
      <c r="BQ46" s="647"/>
      <c r="BR46" s="366"/>
      <c r="BS46" s="366"/>
      <c r="BT46" s="366"/>
      <c r="BU46" s="36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359"/>
      <c r="CI46" s="359"/>
      <c r="CJ46" s="359"/>
      <c r="CK46" s="359"/>
      <c r="CL46" s="359"/>
      <c r="CM46" s="359"/>
      <c r="CN46" s="359"/>
      <c r="CO46" s="359"/>
      <c r="CP46" s="47"/>
      <c r="CQ46" s="47"/>
      <c r="CR46" s="47"/>
      <c r="CS46" s="47"/>
      <c r="CT46" s="47"/>
      <c r="CU46" s="17"/>
      <c r="CV46" s="17"/>
      <c r="CW46" s="17"/>
      <c r="CX46" s="1"/>
      <c r="CY46" s="17"/>
      <c r="CZ46" s="1"/>
      <c r="DA46" s="1"/>
      <c r="DB46" s="2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</row>
    <row r="47" spans="1:197" ht="2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634"/>
      <c r="R47" s="635"/>
      <c r="S47" s="635"/>
      <c r="T47" s="636"/>
      <c r="U47" s="1"/>
      <c r="V47" s="1"/>
      <c r="W47" s="58"/>
      <c r="X47" s="58"/>
      <c r="Y47" s="360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45"/>
      <c r="AK47" s="216"/>
      <c r="AL47" s="3"/>
      <c r="AM47" s="3"/>
      <c r="AN47" s="3"/>
      <c r="AO47" s="3"/>
      <c r="AP47" s="3"/>
      <c r="AQ47" s="3"/>
      <c r="AR47" s="109"/>
      <c r="AS47" s="109"/>
      <c r="AT47" s="348"/>
      <c r="AU47" s="368" t="s">
        <v>269</v>
      </c>
      <c r="AV47" s="368"/>
      <c r="AW47" s="362"/>
      <c r="AX47" s="3"/>
      <c r="AY47" s="3"/>
      <c r="AZ47" s="3"/>
      <c r="BA47" s="109"/>
      <c r="BB47" s="109"/>
      <c r="BC47" s="109"/>
      <c r="BD47" s="369"/>
      <c r="BE47" s="369"/>
      <c r="BF47" s="369"/>
      <c r="BG47" s="370"/>
      <c r="BH47" s="371"/>
      <c r="BI47" s="371"/>
      <c r="BJ47" s="371"/>
      <c r="BK47" s="371"/>
      <c r="BL47" s="371"/>
      <c r="BM47" s="371"/>
      <c r="BN47" s="371"/>
      <c r="BO47" s="366"/>
      <c r="BP47" s="366"/>
      <c r="BQ47" s="366"/>
      <c r="BR47" s="366"/>
      <c r="BS47" s="366"/>
      <c r="BT47" s="366"/>
      <c r="BU47" s="36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359"/>
      <c r="CI47" s="359"/>
      <c r="CJ47" s="359"/>
      <c r="CK47" s="359"/>
      <c r="CL47" s="359"/>
      <c r="CM47" s="359"/>
      <c r="CN47" s="359"/>
      <c r="CO47" s="359"/>
      <c r="CP47" s="47"/>
      <c r="CQ47" s="47"/>
      <c r="CR47" s="47"/>
      <c r="CS47" s="47"/>
      <c r="CT47" s="47"/>
      <c r="CU47" s="17"/>
      <c r="CV47" s="17"/>
      <c r="CW47" s="17"/>
      <c r="CX47" s="1"/>
      <c r="CY47" s="1"/>
      <c r="CZ47" s="1"/>
      <c r="DA47" s="1"/>
      <c r="DB47" s="2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</row>
    <row r="48" spans="1:197" ht="21.75" thickBot="1" x14ac:dyDescent="0.4">
      <c r="A48" s="173"/>
      <c r="B48" s="173"/>
      <c r="C48" s="173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637"/>
      <c r="R48" s="638"/>
      <c r="S48" s="638"/>
      <c r="T48" s="639"/>
      <c r="U48" s="372"/>
      <c r="V48" s="372"/>
      <c r="W48" s="372"/>
      <c r="X48" s="372"/>
      <c r="Y48" s="373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5"/>
      <c r="AK48" s="216"/>
      <c r="AL48" s="5"/>
      <c r="AM48" s="58"/>
      <c r="AN48" s="58"/>
      <c r="AO48" s="109"/>
      <c r="AP48" s="109"/>
      <c r="AQ48" s="109"/>
      <c r="AR48" s="109"/>
      <c r="AS48" s="109"/>
      <c r="AT48" s="376"/>
      <c r="AU48" s="377"/>
      <c r="AV48" s="377"/>
      <c r="AW48" s="378"/>
      <c r="AX48" s="3"/>
      <c r="AY48" s="109"/>
      <c r="AZ48" s="109"/>
      <c r="BA48" s="109"/>
      <c r="BB48" s="109"/>
      <c r="BC48" s="109"/>
      <c r="BD48" s="109"/>
      <c r="BE48" s="109"/>
      <c r="BF48" s="109"/>
      <c r="BG48" s="379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1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359"/>
      <c r="CI48" s="359"/>
      <c r="CJ48" s="359"/>
      <c r="CK48" s="359"/>
      <c r="CL48" s="359"/>
      <c r="CM48" s="359"/>
      <c r="CN48" s="359"/>
      <c r="CO48" s="359"/>
      <c r="CP48" s="47"/>
      <c r="CQ48" s="47"/>
      <c r="CR48" s="47"/>
      <c r="CS48" s="47"/>
      <c r="CT48" s="47"/>
      <c r="CU48" s="17"/>
      <c r="CV48" s="17"/>
      <c r="CW48" s="17"/>
      <c r="CX48" s="1"/>
      <c r="CY48" s="1"/>
      <c r="CZ48" s="1"/>
      <c r="DA48" s="1"/>
      <c r="DB48" s="2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</row>
    <row r="49" spans="1:197" ht="18.75" x14ac:dyDescent="0.25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5"/>
      <c r="AM49" s="2"/>
      <c r="AN49" s="2"/>
      <c r="AO49" s="2"/>
      <c r="AP49" s="2"/>
      <c r="AQ49" s="2"/>
      <c r="AR49" s="2"/>
      <c r="AS49" s="2"/>
      <c r="AT49" s="2"/>
      <c r="AU49" s="3"/>
      <c r="AV49" s="3"/>
      <c r="AW49" s="3"/>
      <c r="AX49" s="3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47"/>
      <c r="BW49" s="47"/>
      <c r="BX49" s="47"/>
      <c r="BY49" s="47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1"/>
      <c r="DA49" s="1"/>
      <c r="DB49" s="2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</row>
    <row r="50" spans="1:197" ht="18.75" x14ac:dyDescent="0.25">
      <c r="A50" s="5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5"/>
      <c r="AL50" s="3"/>
      <c r="AM50" s="3"/>
      <c r="AN50" s="3"/>
      <c r="AO50" s="3"/>
      <c r="AP50" s="2"/>
      <c r="AQ50" s="2"/>
      <c r="AR50" s="2"/>
      <c r="AS50" s="2"/>
      <c r="AT50" s="2"/>
      <c r="AU50" s="3"/>
      <c r="AV50" s="3"/>
      <c r="AW50" s="3"/>
      <c r="AX50" s="3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47"/>
      <c r="BW50" s="47"/>
      <c r="BX50" s="47"/>
      <c r="BY50" s="47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</row>
    <row r="51" spans="1:197" ht="18.75" x14ac:dyDescent="0.25">
      <c r="A51" s="5"/>
      <c r="B51" s="5"/>
      <c r="C51" s="5"/>
      <c r="D51" s="2"/>
      <c r="E51" s="2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47"/>
      <c r="BW51" s="47"/>
      <c r="BX51" s="47"/>
      <c r="BY51" s="47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</row>
    <row r="52" spans="1:197" ht="18.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47"/>
      <c r="BW52" s="47"/>
      <c r="BX52" s="47"/>
      <c r="BY52" s="47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1"/>
      <c r="CL52" s="1"/>
      <c r="CM52" s="1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</row>
    <row r="53" spans="1:197" ht="18.7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47"/>
      <c r="BW53" s="47"/>
      <c r="BX53" s="47"/>
      <c r="BY53" s="47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</row>
    <row r="54" spans="1:197" ht="18.7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3"/>
      <c r="M54" s="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47"/>
      <c r="BW54" s="47"/>
      <c r="BX54" s="47"/>
      <c r="BY54" s="47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</row>
    <row r="55" spans="1:197" ht="18.7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47"/>
      <c r="BW55" s="47"/>
      <c r="BX55" s="47"/>
      <c r="BY55" s="47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</row>
    <row r="56" spans="1:197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</row>
    <row r="57" spans="1:197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</row>
    <row r="58" spans="1:197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</row>
    <row r="59" spans="1:197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</row>
    <row r="60" spans="1:197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</row>
    <row r="61" spans="1:197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</row>
    <row r="62" spans="1:197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</row>
    <row r="76" spans="1:29" ht="13.5" thickBot="1" x14ac:dyDescent="0.3"/>
    <row r="77" spans="1:29" ht="24" thickBot="1" x14ac:dyDescent="0.3">
      <c r="A77" s="758" t="s">
        <v>270</v>
      </c>
      <c r="B77" s="759"/>
      <c r="C77" s="759"/>
      <c r="D77" s="759"/>
      <c r="E77" s="759"/>
      <c r="F77" s="759"/>
      <c r="G77" s="759"/>
      <c r="H77" s="759"/>
      <c r="I77" s="760"/>
      <c r="J77" s="761">
        <f>SUM(F85,O85,F190,O190)</f>
        <v>382</v>
      </c>
      <c r="K77" s="762"/>
      <c r="L77" s="762"/>
      <c r="M77" s="763"/>
      <c r="N77" s="382"/>
      <c r="O77" s="382"/>
      <c r="P77" s="382"/>
      <c r="Q77" s="382"/>
      <c r="R77" s="382"/>
      <c r="S77" s="382"/>
      <c r="T77" s="764" t="s">
        <v>271</v>
      </c>
      <c r="U77" s="764"/>
      <c r="V77" s="764"/>
      <c r="W77" s="764"/>
      <c r="X77" s="382"/>
      <c r="Y77" s="382"/>
      <c r="Z77" s="764" t="s">
        <v>272</v>
      </c>
      <c r="AA77" s="764"/>
      <c r="AB77" s="764"/>
      <c r="AC77" s="764"/>
    </row>
    <row r="78" spans="1:29" ht="23.25" x14ac:dyDescent="0.3">
      <c r="A78" s="383" t="s">
        <v>273</v>
      </c>
      <c r="B78" s="384"/>
      <c r="C78" s="384"/>
      <c r="D78" s="384"/>
      <c r="E78" s="384"/>
      <c r="F78" s="384"/>
      <c r="G78" s="384"/>
      <c r="H78" s="384"/>
      <c r="I78" s="384"/>
      <c r="J78" s="385"/>
      <c r="K78" s="385"/>
      <c r="L78" s="385"/>
      <c r="M78" s="385"/>
      <c r="N78" s="382"/>
      <c r="O78" s="382"/>
      <c r="P78" s="382"/>
      <c r="Q78" s="382"/>
      <c r="R78" s="382"/>
      <c r="S78" s="382"/>
      <c r="T78" s="774" t="s">
        <v>274</v>
      </c>
      <c r="U78" s="774"/>
      <c r="V78" s="774" t="s">
        <v>275</v>
      </c>
      <c r="W78" s="774"/>
      <c r="X78" s="382"/>
      <c r="Y78" s="382"/>
      <c r="Z78" s="774" t="s">
        <v>274</v>
      </c>
      <c r="AA78" s="774"/>
      <c r="AB78" s="774" t="s">
        <v>275</v>
      </c>
      <c r="AC78" s="774"/>
    </row>
    <row r="79" spans="1:29" ht="17.25" x14ac:dyDescent="0.3">
      <c r="A79" s="382"/>
      <c r="B79" s="382"/>
      <c r="C79" s="382"/>
      <c r="D79" s="382"/>
      <c r="E79" s="382"/>
      <c r="F79" s="382"/>
      <c r="G79" s="382"/>
      <c r="H79" s="382"/>
      <c r="I79" s="382"/>
      <c r="K79" s="382"/>
      <c r="L79" s="382"/>
      <c r="M79" s="386"/>
      <c r="N79" s="382"/>
      <c r="O79" s="382"/>
      <c r="P79" s="382"/>
      <c r="Q79" s="382"/>
      <c r="R79" s="382"/>
      <c r="S79" s="382"/>
      <c r="T79" s="775">
        <v>45175</v>
      </c>
      <c r="U79" s="775"/>
      <c r="V79" s="776" t="s">
        <v>276</v>
      </c>
      <c r="W79" s="776"/>
      <c r="X79" s="382"/>
      <c r="Y79" s="382"/>
      <c r="Z79" s="775">
        <v>45239</v>
      </c>
      <c r="AA79" s="775"/>
      <c r="AB79" s="776" t="s">
        <v>277</v>
      </c>
      <c r="AC79" s="776"/>
    </row>
    <row r="80" spans="1:29" ht="23.25" x14ac:dyDescent="0.35">
      <c r="K80" s="382"/>
      <c r="L80" s="387"/>
      <c r="M80" s="388"/>
      <c r="N80" s="382"/>
      <c r="O80" s="382"/>
      <c r="P80" s="382"/>
      <c r="Q80" s="382"/>
      <c r="R80" s="382"/>
      <c r="S80" s="382"/>
      <c r="T80" s="389" t="s">
        <v>278</v>
      </c>
      <c r="U80" s="390" t="s">
        <v>279</v>
      </c>
      <c r="X80" s="765" t="s">
        <v>280</v>
      </c>
      <c r="Y80" s="766"/>
      <c r="Z80" s="389" t="s">
        <v>281</v>
      </c>
      <c r="AA80" s="390" t="s">
        <v>279</v>
      </c>
    </row>
    <row r="81" spans="1:29" ht="33.75" x14ac:dyDescent="0.25">
      <c r="A81" s="767" t="s">
        <v>282</v>
      </c>
      <c r="B81" s="767"/>
      <c r="C81" s="767"/>
      <c r="D81" s="767"/>
      <c r="E81" s="767"/>
      <c r="F81" s="767"/>
      <c r="G81" s="767"/>
      <c r="H81" s="767"/>
      <c r="I81" s="767"/>
      <c r="J81" s="767"/>
      <c r="K81" s="767"/>
      <c r="L81" s="767"/>
      <c r="M81" s="767"/>
      <c r="N81" s="767"/>
      <c r="O81" s="767"/>
      <c r="P81" s="767"/>
      <c r="Q81" s="767"/>
      <c r="R81" s="382"/>
      <c r="S81" s="382"/>
      <c r="T81" s="391" t="s">
        <v>283</v>
      </c>
      <c r="U81" s="392" t="str">
        <f>IF(ISBLANK(U80)," ",IFERROR(VLOOKUP(U80,#REF!,13,0),""))</f>
        <v/>
      </c>
      <c r="V81" s="382"/>
      <c r="W81" s="382"/>
      <c r="X81" s="382"/>
      <c r="Y81" s="382"/>
      <c r="Z81" s="393" t="s">
        <v>283</v>
      </c>
      <c r="AA81" s="392" t="str">
        <f>IF(ISBLANK(AA80)," ",IFERROR(VLOOKUP(AA80,#REF!,13,0),""))</f>
        <v/>
      </c>
      <c r="AB81" s="394"/>
      <c r="AC81" s="394"/>
    </row>
    <row r="82" spans="1:29" ht="34.5" thickBot="1" x14ac:dyDescent="0.3">
      <c r="A82" s="395"/>
      <c r="B82" s="395"/>
      <c r="C82" s="395"/>
      <c r="D82" s="395"/>
      <c r="E82" s="395"/>
      <c r="F82" s="395"/>
      <c r="G82" s="395"/>
      <c r="H82" s="395"/>
      <c r="I82" s="395"/>
      <c r="J82" s="395"/>
      <c r="K82" s="395"/>
      <c r="L82" s="395"/>
      <c r="M82" s="395"/>
      <c r="N82" s="395"/>
      <c r="O82" s="395"/>
      <c r="P82" s="395"/>
      <c r="Q82" s="395"/>
      <c r="R82" s="382"/>
      <c r="S82" s="382"/>
      <c r="T82" s="396" t="s">
        <v>284</v>
      </c>
      <c r="U82" s="397" t="str">
        <f>IF(ISBLANK(U80)," ",IFERROR(VLOOKUP(U80,#REF!,4,0),""))</f>
        <v/>
      </c>
      <c r="V82" s="382"/>
      <c r="W82" s="382"/>
      <c r="X82" s="382"/>
      <c r="Y82" s="382"/>
      <c r="Z82" s="396" t="s">
        <v>284</v>
      </c>
      <c r="AA82" s="397" t="str">
        <f>IF(ISBLANK(AA80)," ",IFERROR(VLOOKUP(AA80,#REF!,4,0),""))</f>
        <v/>
      </c>
      <c r="AB82" s="394"/>
      <c r="AC82" s="394"/>
    </row>
    <row r="83" spans="1:29" ht="34.5" thickBot="1" x14ac:dyDescent="0.3">
      <c r="A83" s="395"/>
      <c r="B83" s="395"/>
      <c r="C83" s="395"/>
      <c r="D83" s="395"/>
      <c r="E83" s="768" t="s">
        <v>285</v>
      </c>
      <c r="F83" s="769"/>
      <c r="G83" s="769"/>
      <c r="H83" s="769"/>
      <c r="I83" s="770"/>
      <c r="J83" s="723">
        <f>SUM(F85,O85)</f>
        <v>173</v>
      </c>
      <c r="K83" s="724"/>
      <c r="L83" s="395"/>
      <c r="M83" s="395"/>
      <c r="N83" s="395"/>
      <c r="O83" s="395"/>
      <c r="P83" s="395"/>
      <c r="Q83" s="395"/>
      <c r="R83" s="382"/>
      <c r="S83" s="382"/>
      <c r="T83" s="398" t="s">
        <v>286</v>
      </c>
      <c r="U83" s="399" t="str">
        <f>IF(ISBLANK(U80)," ",IFERROR(VLOOKUP(U80,#REF!,14,0),""))</f>
        <v/>
      </c>
      <c r="X83" s="382"/>
      <c r="Y83" s="382"/>
      <c r="Z83" s="398" t="s">
        <v>286</v>
      </c>
      <c r="AA83" s="399" t="str">
        <f>IF(ISBLANK(AA80)," ",IFERROR(VLOOKUP(AA80,#REF!,14,0),""))</f>
        <v/>
      </c>
    </row>
    <row r="84" spans="1:29" ht="32.25" thickBot="1" x14ac:dyDescent="0.3">
      <c r="A84" s="400"/>
      <c r="B84" s="400"/>
      <c r="C84" s="400"/>
      <c r="D84" s="400"/>
      <c r="E84" s="400"/>
      <c r="F84" s="400"/>
      <c r="G84" s="400"/>
      <c r="H84" s="400"/>
      <c r="I84" s="400"/>
      <c r="J84" s="400"/>
      <c r="K84" s="400"/>
      <c r="L84" s="400"/>
      <c r="M84" s="400"/>
      <c r="N84" s="400"/>
      <c r="O84" s="400"/>
      <c r="P84" s="400"/>
      <c r="Q84" s="400"/>
      <c r="R84" s="382"/>
      <c r="S84" s="382"/>
      <c r="T84" s="401" t="s">
        <v>287</v>
      </c>
      <c r="U84" s="402" t="str">
        <f>IF(ISBLANK(U80)," ",IFERROR(VLOOKUP(U80,#REF!,11,0),""))</f>
        <v/>
      </c>
      <c r="Z84" s="401" t="s">
        <v>287</v>
      </c>
      <c r="AA84" s="402" t="str">
        <f>IF(ISBLANK(AA80)," ",IFERROR(VLOOKUP(AA80,#REF!,11,0),""))</f>
        <v/>
      </c>
    </row>
    <row r="85" spans="1:29" ht="21.75" thickBot="1" x14ac:dyDescent="0.4">
      <c r="A85" s="771" t="s">
        <v>288</v>
      </c>
      <c r="B85" s="772"/>
      <c r="C85" s="772"/>
      <c r="D85" s="772"/>
      <c r="E85" s="773"/>
      <c r="F85" s="723">
        <f>G179</f>
        <v>84</v>
      </c>
      <c r="G85" s="724"/>
      <c r="H85" s="382"/>
      <c r="I85" s="382"/>
      <c r="J85" s="771" t="s">
        <v>289</v>
      </c>
      <c r="K85" s="772"/>
      <c r="L85" s="772"/>
      <c r="M85" s="772"/>
      <c r="N85" s="773"/>
      <c r="O85" s="723">
        <f>P179</f>
        <v>89</v>
      </c>
      <c r="P85" s="724"/>
      <c r="Q85" s="382"/>
      <c r="R85" s="382"/>
      <c r="S85" s="382"/>
      <c r="T85" s="403" t="s">
        <v>290</v>
      </c>
      <c r="U85" s="404" t="str">
        <f>IF(ISBLANK(U80)," ",IFERROR(VLOOKUP(U80,#REF!,15,0),""))</f>
        <v/>
      </c>
      <c r="Z85" s="403" t="s">
        <v>290</v>
      </c>
      <c r="AA85" s="404" t="str">
        <f>IF(ISBLANK(AA80)," ",IFERROR(VLOOKUP(AA80,#REF!,15,0),""))</f>
        <v/>
      </c>
    </row>
    <row r="86" spans="1:29" ht="30" x14ac:dyDescent="0.3">
      <c r="R86" s="382"/>
      <c r="S86" s="382"/>
      <c r="T86" s="405" t="s">
        <v>291</v>
      </c>
      <c r="U86" s="406" t="str">
        <f>IF(ISBLANK(U80)," ",IFERROR(VLOOKUP(U80,#REF!,16,0),""))</f>
        <v/>
      </c>
      <c r="V86" s="407"/>
      <c r="W86" s="382"/>
      <c r="X86" s="382"/>
      <c r="Y86" s="386"/>
      <c r="Z86" s="405" t="s">
        <v>291</v>
      </c>
      <c r="AA86" s="406" t="str">
        <f>IF(ISBLANK(AA80)," ",IFERROR(VLOOKUP(AA80,#REF!,16,0),""))</f>
        <v/>
      </c>
      <c r="AB86" s="394"/>
      <c r="AC86" s="394"/>
    </row>
    <row r="87" spans="1:29" ht="17.25" x14ac:dyDescent="0.3">
      <c r="R87" s="382"/>
      <c r="S87" s="382"/>
      <c r="T87" s="408" t="s">
        <v>292</v>
      </c>
      <c r="U87" s="409" t="str">
        <f>IF(ISBLANK(U80)," ",IFERROR(VLOOKUP(U80,#REF!,17,0),""))</f>
        <v/>
      </c>
      <c r="V87" s="407"/>
      <c r="W87" s="382"/>
      <c r="X87" s="382"/>
      <c r="Y87" s="386"/>
      <c r="Z87" s="408" t="s">
        <v>292</v>
      </c>
      <c r="AA87" s="409" t="str">
        <f>IF(ISBLANK(AA80)," ",IFERROR(VLOOKUP(AA80,#REF!,17,0),""))</f>
        <v/>
      </c>
      <c r="AB87" s="394"/>
      <c r="AC87" s="394"/>
    </row>
    <row r="88" spans="1:29" ht="18" thickBot="1" x14ac:dyDescent="0.35">
      <c r="R88" s="382"/>
      <c r="S88" s="382"/>
      <c r="T88" s="410"/>
      <c r="U88" s="407"/>
      <c r="V88" s="407"/>
      <c r="W88" s="382"/>
      <c r="X88" s="382"/>
      <c r="Y88" s="386"/>
      <c r="Z88" s="387"/>
      <c r="AA88" s="388"/>
      <c r="AB88" s="394"/>
      <c r="AC88" s="394"/>
    </row>
    <row r="89" spans="1:29" ht="29.25" thickBot="1" x14ac:dyDescent="0.3">
      <c r="A89" s="743" t="s">
        <v>293</v>
      </c>
      <c r="B89" s="744"/>
      <c r="C89" s="744"/>
      <c r="D89" s="744"/>
      <c r="E89" s="744"/>
      <c r="F89" s="745"/>
      <c r="G89" s="411" t="s">
        <v>279</v>
      </c>
      <c r="J89" s="743" t="s">
        <v>293</v>
      </c>
      <c r="K89" s="744"/>
      <c r="L89" s="744"/>
      <c r="M89" s="744"/>
      <c r="N89" s="744"/>
      <c r="O89" s="745"/>
      <c r="P89" s="411" t="s">
        <v>279</v>
      </c>
      <c r="Q89" s="412" t="s">
        <v>294</v>
      </c>
      <c r="R89" s="382"/>
      <c r="S89" s="382"/>
      <c r="T89" s="746" t="s">
        <v>295</v>
      </c>
      <c r="U89" s="747"/>
      <c r="V89" s="747"/>
      <c r="W89" s="747"/>
      <c r="X89" s="747"/>
      <c r="Y89" s="747"/>
      <c r="Z89" s="747"/>
      <c r="AA89" s="747"/>
      <c r="AB89" s="747"/>
      <c r="AC89" s="748"/>
    </row>
    <row r="90" spans="1:29" ht="23.25" x14ac:dyDescent="0.25">
      <c r="A90" s="735" t="s">
        <v>22</v>
      </c>
      <c r="B90" s="736"/>
      <c r="C90" s="736"/>
      <c r="D90" s="415" t="s">
        <v>296</v>
      </c>
      <c r="E90" s="416"/>
      <c r="F90" s="203" t="s">
        <v>23</v>
      </c>
      <c r="G90" s="417">
        <f>COUNTIF($T$3:$BU$30,F90)+COUNTIF($C$49,F90)+COUNTIF($D$49,F90)</f>
        <v>2</v>
      </c>
      <c r="J90" s="735" t="s">
        <v>22</v>
      </c>
      <c r="K90" s="736"/>
      <c r="L90" s="736"/>
      <c r="M90" s="415" t="s">
        <v>296</v>
      </c>
      <c r="N90" s="416"/>
      <c r="O90" s="203" t="s">
        <v>23</v>
      </c>
      <c r="P90" s="417">
        <f>COUNTIF($A$3:$S$48,O90)+COUNTIF($T$31:$BU$48,O90)+COUNTIF($BV$3:$CN$44,O90)</f>
        <v>2</v>
      </c>
      <c r="Q90" s="418">
        <f t="shared" ref="Q90:Q178" si="0">G90+P90</f>
        <v>4</v>
      </c>
      <c r="R90" s="382"/>
      <c r="S90" s="382"/>
      <c r="T90" s="749"/>
      <c r="U90" s="750"/>
      <c r="V90" s="750"/>
      <c r="W90" s="750"/>
      <c r="X90" s="750"/>
      <c r="Y90" s="750"/>
      <c r="Z90" s="750"/>
      <c r="AA90" s="750"/>
      <c r="AB90" s="750"/>
      <c r="AC90" s="751"/>
    </row>
    <row r="91" spans="1:29" ht="23.25" x14ac:dyDescent="0.25">
      <c r="A91" s="735" t="s">
        <v>60</v>
      </c>
      <c r="B91" s="736"/>
      <c r="C91" s="736"/>
      <c r="D91" s="415" t="s">
        <v>296</v>
      </c>
      <c r="E91" s="416"/>
      <c r="F91" s="419" t="s">
        <v>61</v>
      </c>
      <c r="G91" s="417">
        <f>COUNTIF($T$3:$BU$30,F91)+COUNTIF($C$49,F91)+COUNTIF($D$49,F91)</f>
        <v>0</v>
      </c>
      <c r="J91" s="735" t="s">
        <v>60</v>
      </c>
      <c r="K91" s="736"/>
      <c r="L91" s="736"/>
      <c r="M91" s="415" t="s">
        <v>296</v>
      </c>
      <c r="N91" s="416"/>
      <c r="O91" s="419" t="s">
        <v>61</v>
      </c>
      <c r="P91" s="417">
        <f>COUNTIF($A$3:$S$48,O91)+COUNTIF($T$31:$BU$48,O91)+COUNTIF($BV$3:$CN$44,O91)</f>
        <v>3</v>
      </c>
      <c r="Q91" s="420">
        <f t="shared" si="0"/>
        <v>3</v>
      </c>
      <c r="R91" s="382"/>
      <c r="S91" s="382"/>
      <c r="T91" s="752"/>
      <c r="U91" s="753"/>
      <c r="V91" s="753"/>
      <c r="W91" s="753"/>
      <c r="X91" s="753"/>
      <c r="Y91" s="753"/>
      <c r="Z91" s="753"/>
      <c r="AA91" s="753"/>
      <c r="AB91" s="753"/>
      <c r="AC91" s="754"/>
    </row>
    <row r="92" spans="1:29" ht="23.25" x14ac:dyDescent="0.25">
      <c r="A92" s="735" t="s">
        <v>24</v>
      </c>
      <c r="B92" s="736"/>
      <c r="C92" s="736"/>
      <c r="D92" s="415" t="s">
        <v>296</v>
      </c>
      <c r="E92" s="416"/>
      <c r="F92" s="204" t="s">
        <v>25</v>
      </c>
      <c r="G92" s="417">
        <f>COUNTIF($T$3:$BU$30,F92)+COUNTIF($C$49,F92)+COUNTIF($D$49,F92)</f>
        <v>4</v>
      </c>
      <c r="J92" s="735" t="s">
        <v>24</v>
      </c>
      <c r="K92" s="736"/>
      <c r="L92" s="736"/>
      <c r="M92" s="415" t="s">
        <v>296</v>
      </c>
      <c r="N92" s="416"/>
      <c r="O92" s="204" t="s">
        <v>25</v>
      </c>
      <c r="P92" s="417">
        <f>COUNTIF($A$3:$S$48,O92)+COUNTIF($T$31:$BU$48,O92)+COUNTIF($BV$3:$CN$44,O92)</f>
        <v>1</v>
      </c>
      <c r="Q92" s="420">
        <f t="shared" si="0"/>
        <v>5</v>
      </c>
      <c r="R92" s="382"/>
      <c r="S92" s="382"/>
      <c r="T92" s="752"/>
      <c r="U92" s="753"/>
      <c r="V92" s="753"/>
      <c r="W92" s="753"/>
      <c r="X92" s="753"/>
      <c r="Y92" s="753"/>
      <c r="Z92" s="753"/>
      <c r="AA92" s="753"/>
      <c r="AB92" s="753"/>
      <c r="AC92" s="754"/>
    </row>
    <row r="93" spans="1:29" ht="23.25" x14ac:dyDescent="0.25">
      <c r="A93" s="413" t="s">
        <v>161</v>
      </c>
      <c r="B93" s="414"/>
      <c r="C93" s="414"/>
      <c r="D93" s="415"/>
      <c r="E93" s="416"/>
      <c r="F93" s="421" t="s">
        <v>159</v>
      </c>
      <c r="G93" s="417">
        <f>COUNTIF($T$3:$BU$30,F93)+COUNTIF($C$49,F93)+COUNTIF($D$49,F93)</f>
        <v>0</v>
      </c>
      <c r="J93" s="413" t="s">
        <v>161</v>
      </c>
      <c r="K93" s="414"/>
      <c r="L93" s="414"/>
      <c r="M93" s="415"/>
      <c r="N93" s="416"/>
      <c r="O93" s="421" t="s">
        <v>159</v>
      </c>
      <c r="P93" s="417">
        <f>COUNTIF($BH$45:$BI$63,O93)+COUNTIF($BJ$15:$CH$63,O93)</f>
        <v>6</v>
      </c>
      <c r="Q93" s="420">
        <f t="shared" si="0"/>
        <v>6</v>
      </c>
      <c r="R93" s="382"/>
      <c r="S93" s="382"/>
      <c r="T93" s="752"/>
      <c r="U93" s="753"/>
      <c r="V93" s="753"/>
      <c r="W93" s="753"/>
      <c r="X93" s="753"/>
      <c r="Y93" s="753"/>
      <c r="Z93" s="753"/>
      <c r="AA93" s="753"/>
      <c r="AB93" s="753"/>
      <c r="AC93" s="754"/>
    </row>
    <row r="94" spans="1:29" ht="23.25" x14ac:dyDescent="0.25">
      <c r="A94" s="735" t="s">
        <v>297</v>
      </c>
      <c r="B94" s="736"/>
      <c r="C94" s="736"/>
      <c r="D94" s="415" t="s">
        <v>298</v>
      </c>
      <c r="E94" s="416"/>
      <c r="F94" s="422" t="s">
        <v>158</v>
      </c>
      <c r="G94" s="417">
        <f>COUNTIF($T$3:$BU$30,F94)+COUNTIF($C$49,F94)+COUNTIF($D$49,F94)</f>
        <v>0</v>
      </c>
      <c r="J94" s="735" t="s">
        <v>297</v>
      </c>
      <c r="K94" s="736"/>
      <c r="L94" s="736"/>
      <c r="M94" s="415" t="s">
        <v>298</v>
      </c>
      <c r="N94" s="416"/>
      <c r="O94" s="422" t="s">
        <v>158</v>
      </c>
      <c r="P94" s="417">
        <f>COUNTIF($A$3:$S$48,O94)+COUNTIF($T$31:$BU$48,O94)+COUNTIF($BV$3:$CN$44,O94)</f>
        <v>0</v>
      </c>
      <c r="Q94" s="420">
        <f t="shared" si="0"/>
        <v>0</v>
      </c>
      <c r="R94" s="382"/>
      <c r="S94" s="382"/>
      <c r="T94" s="752"/>
      <c r="U94" s="753"/>
      <c r="V94" s="753"/>
      <c r="W94" s="753"/>
      <c r="X94" s="753"/>
      <c r="Y94" s="753"/>
      <c r="Z94" s="753"/>
      <c r="AA94" s="753"/>
      <c r="AB94" s="753"/>
      <c r="AC94" s="754"/>
    </row>
    <row r="95" spans="1:29" ht="18" x14ac:dyDescent="0.25">
      <c r="A95" s="740"/>
      <c r="B95" s="741"/>
      <c r="C95" s="741"/>
      <c r="D95" s="423"/>
      <c r="E95" s="424"/>
      <c r="F95" s="425"/>
      <c r="G95" s="426"/>
      <c r="J95" s="740"/>
      <c r="K95" s="741"/>
      <c r="L95" s="741"/>
      <c r="M95" s="423"/>
      <c r="N95" s="424"/>
      <c r="O95" s="425"/>
      <c r="P95" s="426"/>
      <c r="Q95" s="427"/>
      <c r="R95" s="382"/>
      <c r="S95" s="382"/>
      <c r="T95" s="752"/>
      <c r="U95" s="753"/>
      <c r="V95" s="753"/>
      <c r="W95" s="753"/>
      <c r="X95" s="753"/>
      <c r="Y95" s="753"/>
      <c r="Z95" s="753"/>
      <c r="AA95" s="753"/>
      <c r="AB95" s="753"/>
      <c r="AC95" s="754"/>
    </row>
    <row r="96" spans="1:29" ht="23.25" x14ac:dyDescent="0.25">
      <c r="A96" s="735" t="s">
        <v>26</v>
      </c>
      <c r="B96" s="736"/>
      <c r="C96" s="736"/>
      <c r="D96" s="415" t="s">
        <v>299</v>
      </c>
      <c r="E96" s="416"/>
      <c r="F96" s="102" t="s">
        <v>27</v>
      </c>
      <c r="G96" s="417">
        <f>COUNTIF($T$3:$BU$30,F96)+COUNTIF($C$49,F96)+COUNTIF($D$49,F96)</f>
        <v>3</v>
      </c>
      <c r="J96" s="735" t="s">
        <v>26</v>
      </c>
      <c r="K96" s="736"/>
      <c r="L96" s="736"/>
      <c r="M96" s="415" t="s">
        <v>299</v>
      </c>
      <c r="N96" s="416"/>
      <c r="O96" s="102" t="s">
        <v>27</v>
      </c>
      <c r="P96" s="417">
        <f>COUNTIF($A$3:$S$48,O96)+COUNTIF($T$31:$BU$48,O96)+COUNTIF($BV$3:$CN$44,O96)</f>
        <v>4</v>
      </c>
      <c r="Q96" s="420">
        <f t="shared" ref="Q96:Q98" si="1">G96+P96</f>
        <v>7</v>
      </c>
      <c r="R96" s="382"/>
      <c r="S96" s="382"/>
      <c r="T96" s="752"/>
      <c r="U96" s="753"/>
      <c r="V96" s="753"/>
      <c r="W96" s="753"/>
      <c r="X96" s="753"/>
      <c r="Y96" s="753"/>
      <c r="Z96" s="753"/>
      <c r="AA96" s="753"/>
      <c r="AB96" s="753"/>
      <c r="AC96" s="754"/>
    </row>
    <row r="97" spans="1:29" ht="23.25" x14ac:dyDescent="0.25">
      <c r="A97" s="735" t="s">
        <v>62</v>
      </c>
      <c r="B97" s="736"/>
      <c r="C97" s="736"/>
      <c r="D97" s="415" t="s">
        <v>300</v>
      </c>
      <c r="E97" s="416"/>
      <c r="F97" s="428" t="s">
        <v>63</v>
      </c>
      <c r="G97" s="417">
        <f>COUNTIF($T$3:$BU$30,F97)+COUNTIF($C$49,F97)+COUNTIF($D$49,F97)</f>
        <v>0</v>
      </c>
      <c r="J97" s="735" t="s">
        <v>62</v>
      </c>
      <c r="K97" s="736"/>
      <c r="L97" s="736"/>
      <c r="M97" s="415" t="s">
        <v>300</v>
      </c>
      <c r="N97" s="416"/>
      <c r="O97" s="428" t="s">
        <v>63</v>
      </c>
      <c r="P97" s="417">
        <f>COUNTIF($A$3:$S$48,O97)+COUNTIF($T$31:$BU$48,O97)+COUNTIF($BV$3:$CN$44,O97)</f>
        <v>0</v>
      </c>
      <c r="Q97" s="420">
        <f t="shared" si="1"/>
        <v>0</v>
      </c>
      <c r="R97" s="382"/>
      <c r="S97" s="382"/>
      <c r="T97" s="752"/>
      <c r="U97" s="753"/>
      <c r="V97" s="753"/>
      <c r="W97" s="753"/>
      <c r="X97" s="753"/>
      <c r="Y97" s="753"/>
      <c r="Z97" s="753"/>
      <c r="AA97" s="753"/>
      <c r="AB97" s="753"/>
      <c r="AC97" s="754"/>
    </row>
    <row r="98" spans="1:29" ht="23.25" x14ac:dyDescent="0.25">
      <c r="A98" s="735" t="s">
        <v>64</v>
      </c>
      <c r="B98" s="736"/>
      <c r="C98" s="736"/>
      <c r="D98" s="415" t="s">
        <v>296</v>
      </c>
      <c r="E98" s="416"/>
      <c r="F98" s="116" t="s">
        <v>65</v>
      </c>
      <c r="G98" s="417">
        <f>COUNTIF($T$3:$BU$30,F98)+COUNTIF($C$49,F98)+COUNTIF($D$49,F98)</f>
        <v>3</v>
      </c>
      <c r="J98" s="735" t="s">
        <v>64</v>
      </c>
      <c r="K98" s="736"/>
      <c r="L98" s="736"/>
      <c r="M98" s="415" t="s">
        <v>296</v>
      </c>
      <c r="N98" s="416"/>
      <c r="O98" s="116" t="s">
        <v>65</v>
      </c>
      <c r="P98" s="417">
        <f>COUNTIF($A$3:$S$48,O98)+COUNTIF($T$31:$BU$48,O98)+COUNTIF($BV$3:$CN$44,O98)</f>
        <v>0</v>
      </c>
      <c r="Q98" s="420">
        <f t="shared" si="1"/>
        <v>3</v>
      </c>
      <c r="R98" s="382"/>
      <c r="S98" s="382"/>
      <c r="T98" s="752"/>
      <c r="U98" s="753"/>
      <c r="V98" s="753"/>
      <c r="W98" s="753"/>
      <c r="X98" s="753"/>
      <c r="Y98" s="753"/>
      <c r="Z98" s="753"/>
      <c r="AA98" s="753"/>
      <c r="AB98" s="753"/>
      <c r="AC98" s="754"/>
    </row>
    <row r="99" spans="1:29" ht="18" x14ac:dyDescent="0.25">
      <c r="A99" s="740"/>
      <c r="B99" s="741"/>
      <c r="C99" s="741"/>
      <c r="D99" s="423"/>
      <c r="E99" s="424"/>
      <c r="F99" s="425"/>
      <c r="G99" s="426"/>
      <c r="J99" s="740"/>
      <c r="K99" s="741"/>
      <c r="L99" s="741"/>
      <c r="M99" s="423"/>
      <c r="N99" s="424"/>
      <c r="O99" s="425"/>
      <c r="P99" s="426"/>
      <c r="Q99" s="427"/>
      <c r="R99" s="382"/>
      <c r="S99" s="382"/>
      <c r="T99" s="752"/>
      <c r="U99" s="753"/>
      <c r="V99" s="753"/>
      <c r="W99" s="753"/>
      <c r="X99" s="753"/>
      <c r="Y99" s="753"/>
      <c r="Z99" s="753"/>
      <c r="AA99" s="753"/>
      <c r="AB99" s="753"/>
      <c r="AC99" s="754"/>
    </row>
    <row r="100" spans="1:29" ht="23.25" x14ac:dyDescent="0.25">
      <c r="A100" s="735" t="s">
        <v>105</v>
      </c>
      <c r="B100" s="736"/>
      <c r="C100" s="736"/>
      <c r="D100" s="415" t="s">
        <v>301</v>
      </c>
      <c r="E100" s="416"/>
      <c r="F100" s="429" t="s">
        <v>104</v>
      </c>
      <c r="G100" s="417">
        <f>COUNTIF($T$3:$BU$30,F100)+COUNTIF($C$49,F100)+COUNTIF($D$49,F100)</f>
        <v>0</v>
      </c>
      <c r="J100" s="735" t="s">
        <v>105</v>
      </c>
      <c r="K100" s="736"/>
      <c r="L100" s="736"/>
      <c r="M100" s="415" t="s">
        <v>301</v>
      </c>
      <c r="N100" s="416"/>
      <c r="O100" s="429" t="s">
        <v>104</v>
      </c>
      <c r="P100" s="417">
        <f>COUNTIF($A$3:$S$48,O100)+COUNTIF($T$31:$BU$48,O100)+COUNTIF($BV$3:$CN$44,O100)</f>
        <v>0</v>
      </c>
      <c r="Q100" s="420">
        <f t="shared" ref="Q100:Q103" si="2">G100+P100</f>
        <v>0</v>
      </c>
      <c r="R100" s="382"/>
      <c r="S100" s="382"/>
      <c r="T100" s="752"/>
      <c r="U100" s="753"/>
      <c r="V100" s="753"/>
      <c r="W100" s="753"/>
      <c r="X100" s="753"/>
      <c r="Y100" s="753"/>
      <c r="Z100" s="753"/>
      <c r="AA100" s="753"/>
      <c r="AB100" s="753"/>
      <c r="AC100" s="754"/>
    </row>
    <row r="101" spans="1:29" ht="23.25" x14ac:dyDescent="0.25">
      <c r="A101" s="735" t="s">
        <v>78</v>
      </c>
      <c r="B101" s="736"/>
      <c r="C101" s="736"/>
      <c r="D101" s="415" t="s">
        <v>301</v>
      </c>
      <c r="E101" s="416"/>
      <c r="F101" s="430" t="s">
        <v>77</v>
      </c>
      <c r="G101" s="417">
        <f>COUNTIF($T$3:$BU$30,F101)+COUNTIF($C$49,F101)+COUNTIF($D$49,F101)</f>
        <v>0</v>
      </c>
      <c r="J101" s="735" t="s">
        <v>78</v>
      </c>
      <c r="K101" s="736"/>
      <c r="L101" s="736"/>
      <c r="M101" s="415" t="s">
        <v>301</v>
      </c>
      <c r="N101" s="416"/>
      <c r="O101" s="430" t="s">
        <v>77</v>
      </c>
      <c r="P101" s="417">
        <f>COUNTIF($A$3:$S$48,O101)+COUNTIF($T$31:$BU$48,O101)+COUNTIF($BV$3:$CN$44,O101)</f>
        <v>0</v>
      </c>
      <c r="Q101" s="420">
        <f t="shared" si="2"/>
        <v>0</v>
      </c>
      <c r="R101" s="382"/>
      <c r="S101" s="382"/>
      <c r="T101" s="752"/>
      <c r="U101" s="753"/>
      <c r="V101" s="753"/>
      <c r="W101" s="753"/>
      <c r="X101" s="753"/>
      <c r="Y101" s="753"/>
      <c r="Z101" s="753"/>
      <c r="AA101" s="753"/>
      <c r="AB101" s="753"/>
      <c r="AC101" s="754"/>
    </row>
    <row r="102" spans="1:29" ht="23.25" x14ac:dyDescent="0.25">
      <c r="A102" s="735" t="s">
        <v>79</v>
      </c>
      <c r="B102" s="736"/>
      <c r="C102" s="736"/>
      <c r="D102" s="415" t="s">
        <v>301</v>
      </c>
      <c r="E102" s="416"/>
      <c r="F102" s="431" t="s">
        <v>76</v>
      </c>
      <c r="G102" s="417">
        <f>COUNTIF($T$3:$BU$30,F102)+COUNTIF($C$49,F102)+COUNTIF($D$49,F102)</f>
        <v>0</v>
      </c>
      <c r="J102" s="735" t="s">
        <v>79</v>
      </c>
      <c r="K102" s="736"/>
      <c r="L102" s="736"/>
      <c r="M102" s="415" t="s">
        <v>301</v>
      </c>
      <c r="N102" s="416"/>
      <c r="O102" s="431" t="s">
        <v>76</v>
      </c>
      <c r="P102" s="417">
        <f>COUNTIF($A$3:$S$48,O102)+COUNTIF($T$31:$BU$48,O102)+COUNTIF($BV$3:$CN$44,O102)</f>
        <v>0</v>
      </c>
      <c r="Q102" s="420">
        <f t="shared" si="2"/>
        <v>0</v>
      </c>
      <c r="R102" s="382"/>
      <c r="S102" s="382"/>
      <c r="T102" s="752"/>
      <c r="U102" s="753"/>
      <c r="V102" s="753"/>
      <c r="W102" s="753"/>
      <c r="X102" s="753"/>
      <c r="Y102" s="753"/>
      <c r="Z102" s="753"/>
      <c r="AA102" s="753"/>
      <c r="AB102" s="753"/>
      <c r="AC102" s="754"/>
    </row>
    <row r="103" spans="1:29" ht="23.25" x14ac:dyDescent="0.25">
      <c r="A103" s="735" t="s">
        <v>140</v>
      </c>
      <c r="B103" s="736"/>
      <c r="C103" s="736"/>
      <c r="D103" s="415" t="s">
        <v>301</v>
      </c>
      <c r="E103" s="416"/>
      <c r="F103" s="432" t="s">
        <v>106</v>
      </c>
      <c r="G103" s="417">
        <f>COUNTIF($T$3:$BU$30,F103)+COUNTIF($C$49,F103)+COUNTIF($D$49,F103)</f>
        <v>0</v>
      </c>
      <c r="J103" s="735" t="s">
        <v>140</v>
      </c>
      <c r="K103" s="736"/>
      <c r="L103" s="736"/>
      <c r="M103" s="415" t="s">
        <v>301</v>
      </c>
      <c r="N103" s="416"/>
      <c r="O103" s="432" t="s">
        <v>106</v>
      </c>
      <c r="P103" s="417">
        <f>COUNTIF($A$3:$S$48,O103)+COUNTIF($T$31:$BU$48,O103)+COUNTIF($BV$3:$CN$44,O103)</f>
        <v>0</v>
      </c>
      <c r="Q103" s="420">
        <f t="shared" si="2"/>
        <v>0</v>
      </c>
      <c r="R103" s="382"/>
      <c r="S103" s="382"/>
      <c r="T103" s="752"/>
      <c r="U103" s="753"/>
      <c r="V103" s="753"/>
      <c r="W103" s="753"/>
      <c r="X103" s="753"/>
      <c r="Y103" s="753"/>
      <c r="Z103" s="753"/>
      <c r="AA103" s="753"/>
      <c r="AB103" s="753"/>
      <c r="AC103" s="754"/>
    </row>
    <row r="104" spans="1:29" ht="18.75" thickBot="1" x14ac:dyDescent="0.3">
      <c r="A104" s="740"/>
      <c r="B104" s="741"/>
      <c r="C104" s="741"/>
      <c r="D104" s="423"/>
      <c r="E104" s="424"/>
      <c r="F104" s="425"/>
      <c r="G104" s="426"/>
      <c r="J104" s="740"/>
      <c r="K104" s="741"/>
      <c r="L104" s="741"/>
      <c r="M104" s="423"/>
      <c r="N104" s="424"/>
      <c r="O104" s="425"/>
      <c r="P104" s="426"/>
      <c r="Q104" s="427"/>
      <c r="R104" s="382"/>
      <c r="S104" s="382"/>
      <c r="T104" s="755"/>
      <c r="U104" s="756"/>
      <c r="V104" s="756"/>
      <c r="W104" s="756"/>
      <c r="X104" s="756"/>
      <c r="Y104" s="756"/>
      <c r="Z104" s="756"/>
      <c r="AA104" s="756"/>
      <c r="AB104" s="756"/>
      <c r="AC104" s="757"/>
    </row>
    <row r="105" spans="1:29" ht="23.25" x14ac:dyDescent="0.25">
      <c r="A105" s="735" t="s">
        <v>108</v>
      </c>
      <c r="B105" s="736"/>
      <c r="C105" s="736"/>
      <c r="D105" s="415"/>
      <c r="E105" s="416"/>
      <c r="F105" s="433" t="s">
        <v>107</v>
      </c>
      <c r="G105" s="417">
        <f t="shared" ref="G105:G118" si="3">COUNTIF($T$3:$BU$30,F105)+COUNTIF($C$49,F105)+COUNTIF($D$49,F105)</f>
        <v>0</v>
      </c>
      <c r="J105" s="735" t="s">
        <v>108</v>
      </c>
      <c r="K105" s="736"/>
      <c r="L105" s="736"/>
      <c r="M105" s="415"/>
      <c r="N105" s="416"/>
      <c r="O105" s="433" t="s">
        <v>107</v>
      </c>
      <c r="P105" s="417">
        <f t="shared" ref="P105:P118" si="4">COUNTIF($A$3:$S$48,O105)+COUNTIF($T$31:$BU$48,O105)+COUNTIF($BV$3:$CN$44,O105)</f>
        <v>0</v>
      </c>
      <c r="Q105" s="420">
        <f t="shared" ref="Q105:Q118" si="5">G105+P105</f>
        <v>0</v>
      </c>
      <c r="R105" s="382"/>
      <c r="S105" s="382"/>
      <c r="T105" s="382"/>
      <c r="U105" s="382"/>
      <c r="V105" s="382"/>
      <c r="W105" s="382"/>
      <c r="X105" s="382"/>
      <c r="Y105" s="382"/>
      <c r="Z105" s="382"/>
      <c r="AA105" s="382"/>
      <c r="AB105" s="394"/>
      <c r="AC105" s="394"/>
    </row>
    <row r="106" spans="1:29" ht="23.25" x14ac:dyDescent="0.25">
      <c r="A106" s="735" t="s">
        <v>81</v>
      </c>
      <c r="B106" s="742"/>
      <c r="C106" s="742"/>
      <c r="D106" s="415" t="s">
        <v>300</v>
      </c>
      <c r="E106" s="416"/>
      <c r="F106" s="434" t="s">
        <v>80</v>
      </c>
      <c r="G106" s="417">
        <f t="shared" si="3"/>
        <v>0</v>
      </c>
      <c r="J106" s="735" t="s">
        <v>81</v>
      </c>
      <c r="K106" s="742"/>
      <c r="L106" s="742"/>
      <c r="M106" s="415" t="s">
        <v>300</v>
      </c>
      <c r="N106" s="416"/>
      <c r="O106" s="434" t="s">
        <v>80</v>
      </c>
      <c r="P106" s="417">
        <f t="shared" si="4"/>
        <v>0</v>
      </c>
      <c r="Q106" s="420">
        <f t="shared" si="5"/>
        <v>0</v>
      </c>
      <c r="R106" s="382"/>
      <c r="S106" s="382"/>
      <c r="U106" s="382"/>
      <c r="V106" s="382"/>
      <c r="AC106" s="382"/>
    </row>
    <row r="107" spans="1:29" ht="23.25" x14ac:dyDescent="0.3">
      <c r="A107" s="735" t="s">
        <v>132</v>
      </c>
      <c r="B107" s="742"/>
      <c r="C107" s="742"/>
      <c r="D107" s="415" t="s">
        <v>298</v>
      </c>
      <c r="E107" s="416"/>
      <c r="F107" s="435" t="s">
        <v>133</v>
      </c>
      <c r="G107" s="417">
        <f t="shared" si="3"/>
        <v>6</v>
      </c>
      <c r="J107" s="735" t="s">
        <v>132</v>
      </c>
      <c r="K107" s="742"/>
      <c r="L107" s="742"/>
      <c r="M107" s="415" t="s">
        <v>298</v>
      </c>
      <c r="N107" s="416"/>
      <c r="O107" s="435" t="s">
        <v>133</v>
      </c>
      <c r="P107" s="417">
        <f t="shared" si="4"/>
        <v>8</v>
      </c>
      <c r="Q107" s="420">
        <f t="shared" si="5"/>
        <v>14</v>
      </c>
      <c r="R107" s="382"/>
      <c r="S107" s="410"/>
      <c r="AC107" s="382"/>
    </row>
    <row r="108" spans="1:29" ht="23.25" x14ac:dyDescent="0.3">
      <c r="A108" s="735" t="s">
        <v>141</v>
      </c>
      <c r="B108" s="742"/>
      <c r="C108" s="742"/>
      <c r="D108" s="415"/>
      <c r="E108" s="416"/>
      <c r="F108" s="436" t="s">
        <v>142</v>
      </c>
      <c r="G108" s="417">
        <f t="shared" si="3"/>
        <v>0</v>
      </c>
      <c r="J108" s="735" t="s">
        <v>141</v>
      </c>
      <c r="K108" s="742"/>
      <c r="L108" s="742"/>
      <c r="M108" s="415"/>
      <c r="N108" s="416"/>
      <c r="O108" s="436" t="s">
        <v>142</v>
      </c>
      <c r="P108" s="417">
        <f t="shared" si="4"/>
        <v>0</v>
      </c>
      <c r="Q108" s="420">
        <f t="shared" si="5"/>
        <v>0</v>
      </c>
      <c r="R108" s="382"/>
      <c r="S108" s="410"/>
      <c r="AC108" s="382"/>
    </row>
    <row r="109" spans="1:29" ht="23.25" x14ac:dyDescent="0.3">
      <c r="A109" s="735" t="s">
        <v>143</v>
      </c>
      <c r="B109" s="742"/>
      <c r="C109" s="742"/>
      <c r="D109" s="415"/>
      <c r="E109" s="416"/>
      <c r="F109" s="104" t="s">
        <v>144</v>
      </c>
      <c r="G109" s="417">
        <f t="shared" si="3"/>
        <v>6</v>
      </c>
      <c r="J109" s="735" t="s">
        <v>143</v>
      </c>
      <c r="K109" s="742"/>
      <c r="L109" s="742"/>
      <c r="M109" s="415"/>
      <c r="N109" s="416"/>
      <c r="O109" s="104" t="s">
        <v>144</v>
      </c>
      <c r="P109" s="417">
        <f t="shared" si="4"/>
        <v>0</v>
      </c>
      <c r="Q109" s="420">
        <f t="shared" si="5"/>
        <v>6</v>
      </c>
      <c r="R109" s="382"/>
      <c r="S109" s="410"/>
      <c r="AC109" s="382"/>
    </row>
    <row r="110" spans="1:29" ht="23.25" x14ac:dyDescent="0.3">
      <c r="A110" s="735" t="s">
        <v>145</v>
      </c>
      <c r="B110" s="742"/>
      <c r="C110" s="742"/>
      <c r="D110" s="415"/>
      <c r="E110" s="416"/>
      <c r="F110" s="171" t="s">
        <v>138</v>
      </c>
      <c r="G110" s="417">
        <f t="shared" si="3"/>
        <v>0</v>
      </c>
      <c r="J110" s="735" t="s">
        <v>145</v>
      </c>
      <c r="K110" s="742"/>
      <c r="L110" s="742"/>
      <c r="M110" s="415"/>
      <c r="N110" s="416"/>
      <c r="O110" s="171" t="s">
        <v>138</v>
      </c>
      <c r="P110" s="417">
        <f t="shared" si="4"/>
        <v>6</v>
      </c>
      <c r="Q110" s="420">
        <f t="shared" si="5"/>
        <v>6</v>
      </c>
      <c r="R110" s="382"/>
      <c r="S110" s="410"/>
      <c r="AC110" s="382"/>
    </row>
    <row r="111" spans="1:29" ht="23.25" x14ac:dyDescent="0.3">
      <c r="A111" s="735" t="s">
        <v>146</v>
      </c>
      <c r="B111" s="742"/>
      <c r="C111" s="742"/>
      <c r="D111" s="415" t="s">
        <v>298</v>
      </c>
      <c r="E111" s="416"/>
      <c r="F111" s="437" t="s">
        <v>109</v>
      </c>
      <c r="G111" s="417">
        <f t="shared" si="3"/>
        <v>0</v>
      </c>
      <c r="J111" s="735" t="s">
        <v>146</v>
      </c>
      <c r="K111" s="742"/>
      <c r="L111" s="742"/>
      <c r="M111" s="415" t="s">
        <v>298</v>
      </c>
      <c r="N111" s="416"/>
      <c r="O111" s="437" t="s">
        <v>109</v>
      </c>
      <c r="P111" s="417">
        <f t="shared" si="4"/>
        <v>0</v>
      </c>
      <c r="Q111" s="420">
        <f t="shared" si="5"/>
        <v>0</v>
      </c>
      <c r="R111" s="382"/>
      <c r="S111" s="410"/>
      <c r="AC111" s="382"/>
    </row>
    <row r="112" spans="1:29" ht="23.25" x14ac:dyDescent="0.3">
      <c r="A112" s="735" t="s">
        <v>147</v>
      </c>
      <c r="B112" s="742"/>
      <c r="C112" s="742"/>
      <c r="D112" s="415"/>
      <c r="E112" s="416"/>
      <c r="F112" s="438" t="s">
        <v>139</v>
      </c>
      <c r="G112" s="417">
        <f t="shared" si="3"/>
        <v>0</v>
      </c>
      <c r="J112" s="735" t="s">
        <v>147</v>
      </c>
      <c r="K112" s="742"/>
      <c r="L112" s="742"/>
      <c r="M112" s="415"/>
      <c r="N112" s="416"/>
      <c r="O112" s="438" t="s">
        <v>139</v>
      </c>
      <c r="P112" s="439">
        <f t="shared" si="4"/>
        <v>0</v>
      </c>
      <c r="Q112" s="420">
        <f t="shared" si="5"/>
        <v>0</v>
      </c>
      <c r="R112" s="382"/>
      <c r="S112" s="410"/>
      <c r="AC112" s="382"/>
    </row>
    <row r="113" spans="1:29" ht="23.25" x14ac:dyDescent="0.3">
      <c r="A113" s="735" t="s">
        <v>302</v>
      </c>
      <c r="B113" s="742"/>
      <c r="C113" s="742"/>
      <c r="D113" s="415" t="s">
        <v>296</v>
      </c>
      <c r="E113" s="416"/>
      <c r="F113" s="440" t="s">
        <v>303</v>
      </c>
      <c r="G113" s="417">
        <f t="shared" si="3"/>
        <v>0</v>
      </c>
      <c r="J113" s="735" t="s">
        <v>302</v>
      </c>
      <c r="K113" s="742"/>
      <c r="L113" s="742"/>
      <c r="M113" s="415" t="s">
        <v>296</v>
      </c>
      <c r="N113" s="416"/>
      <c r="O113" s="440" t="s">
        <v>303</v>
      </c>
      <c r="P113" s="439">
        <f t="shared" si="4"/>
        <v>0</v>
      </c>
      <c r="Q113" s="420">
        <f t="shared" si="5"/>
        <v>0</v>
      </c>
      <c r="R113" s="382"/>
      <c r="S113" s="410"/>
      <c r="AC113" s="382"/>
    </row>
    <row r="114" spans="1:29" ht="23.25" x14ac:dyDescent="0.3">
      <c r="A114" s="735" t="s">
        <v>83</v>
      </c>
      <c r="B114" s="742"/>
      <c r="C114" s="742"/>
      <c r="D114" s="415" t="s">
        <v>296</v>
      </c>
      <c r="E114" s="416"/>
      <c r="F114" s="441" t="s">
        <v>82</v>
      </c>
      <c r="G114" s="417">
        <f t="shared" si="3"/>
        <v>0</v>
      </c>
      <c r="J114" s="735" t="s">
        <v>83</v>
      </c>
      <c r="K114" s="742"/>
      <c r="L114" s="742"/>
      <c r="M114" s="415" t="s">
        <v>296</v>
      </c>
      <c r="N114" s="416"/>
      <c r="O114" s="441" t="s">
        <v>82</v>
      </c>
      <c r="P114" s="439">
        <f t="shared" si="4"/>
        <v>0</v>
      </c>
      <c r="Q114" s="420">
        <f t="shared" si="5"/>
        <v>0</v>
      </c>
      <c r="R114" s="382"/>
      <c r="S114" s="410"/>
      <c r="U114" s="382"/>
      <c r="V114" s="382"/>
      <c r="AC114" s="382"/>
    </row>
    <row r="115" spans="1:29" ht="23.25" x14ac:dyDescent="0.3">
      <c r="A115" s="735" t="s">
        <v>148</v>
      </c>
      <c r="B115" s="742"/>
      <c r="C115" s="742"/>
      <c r="D115" s="415"/>
      <c r="E115" s="416"/>
      <c r="F115" s="442" t="s">
        <v>149</v>
      </c>
      <c r="G115" s="417">
        <f t="shared" si="3"/>
        <v>0</v>
      </c>
      <c r="J115" s="735" t="s">
        <v>148</v>
      </c>
      <c r="K115" s="742"/>
      <c r="L115" s="742"/>
      <c r="M115" s="415"/>
      <c r="N115" s="416"/>
      <c r="O115" s="442" t="s">
        <v>149</v>
      </c>
      <c r="P115" s="439">
        <f t="shared" si="4"/>
        <v>0</v>
      </c>
      <c r="Q115" s="420">
        <f t="shared" si="5"/>
        <v>0</v>
      </c>
      <c r="R115" s="382"/>
      <c r="S115" s="410"/>
      <c r="U115" s="382"/>
      <c r="V115" s="382"/>
      <c r="AC115" s="382"/>
    </row>
    <row r="116" spans="1:29" ht="23.25" x14ac:dyDescent="0.3">
      <c r="A116" s="735" t="s">
        <v>111</v>
      </c>
      <c r="B116" s="742"/>
      <c r="C116" s="742"/>
      <c r="D116" s="415"/>
      <c r="E116" s="416"/>
      <c r="F116" s="443" t="s">
        <v>110</v>
      </c>
      <c r="G116" s="417">
        <f t="shared" si="3"/>
        <v>0</v>
      </c>
      <c r="J116" s="735" t="s">
        <v>111</v>
      </c>
      <c r="K116" s="742"/>
      <c r="L116" s="742"/>
      <c r="M116" s="415"/>
      <c r="N116" s="416"/>
      <c r="O116" s="443" t="s">
        <v>110</v>
      </c>
      <c r="P116" s="439">
        <f t="shared" si="4"/>
        <v>0</v>
      </c>
      <c r="Q116" s="420">
        <f t="shared" si="5"/>
        <v>0</v>
      </c>
      <c r="R116" s="382"/>
      <c r="S116" s="410"/>
      <c r="U116" s="382"/>
      <c r="V116" s="382"/>
      <c r="AC116" s="382"/>
    </row>
    <row r="117" spans="1:29" ht="23.25" x14ac:dyDescent="0.3">
      <c r="A117" s="735" t="s">
        <v>150</v>
      </c>
      <c r="B117" s="742"/>
      <c r="C117" s="742"/>
      <c r="D117" s="415" t="s">
        <v>298</v>
      </c>
      <c r="E117" s="416"/>
      <c r="F117" s="158" t="s">
        <v>123</v>
      </c>
      <c r="G117" s="417">
        <f t="shared" si="3"/>
        <v>2</v>
      </c>
      <c r="J117" s="735" t="s">
        <v>150</v>
      </c>
      <c r="K117" s="742"/>
      <c r="L117" s="742"/>
      <c r="M117" s="415" t="s">
        <v>298</v>
      </c>
      <c r="N117" s="416"/>
      <c r="O117" s="158" t="s">
        <v>123</v>
      </c>
      <c r="P117" s="439">
        <f t="shared" si="4"/>
        <v>1</v>
      </c>
      <c r="Q117" s="420">
        <f t="shared" si="5"/>
        <v>3</v>
      </c>
      <c r="R117" s="382"/>
      <c r="S117" s="410"/>
      <c r="U117" s="382"/>
      <c r="V117" s="382"/>
      <c r="AC117" s="382"/>
    </row>
    <row r="118" spans="1:29" ht="23.25" x14ac:dyDescent="0.3">
      <c r="A118" s="735" t="s">
        <v>85</v>
      </c>
      <c r="B118" s="742"/>
      <c r="C118" s="742"/>
      <c r="D118" s="415" t="s">
        <v>298</v>
      </c>
      <c r="E118" s="416"/>
      <c r="F118" s="36" t="s">
        <v>84</v>
      </c>
      <c r="G118" s="417">
        <f t="shared" si="3"/>
        <v>4</v>
      </c>
      <c r="J118" s="735" t="s">
        <v>85</v>
      </c>
      <c r="K118" s="742"/>
      <c r="L118" s="742"/>
      <c r="M118" s="415" t="s">
        <v>298</v>
      </c>
      <c r="N118" s="416"/>
      <c r="O118" s="36" t="s">
        <v>84</v>
      </c>
      <c r="P118" s="439">
        <f t="shared" si="4"/>
        <v>5</v>
      </c>
      <c r="Q118" s="420">
        <f t="shared" si="5"/>
        <v>9</v>
      </c>
      <c r="R118" s="382"/>
      <c r="S118" s="410"/>
      <c r="U118" s="382"/>
      <c r="V118" s="382"/>
      <c r="AC118" s="382"/>
    </row>
    <row r="119" spans="1:29" ht="18" x14ac:dyDescent="0.25">
      <c r="A119" s="740"/>
      <c r="B119" s="741"/>
      <c r="C119" s="741"/>
      <c r="D119" s="423"/>
      <c r="E119" s="424"/>
      <c r="F119" s="444"/>
      <c r="G119" s="426"/>
      <c r="J119" s="740"/>
      <c r="K119" s="741"/>
      <c r="L119" s="741"/>
      <c r="M119" s="423"/>
      <c r="N119" s="424"/>
      <c r="O119" s="425"/>
      <c r="P119" s="445"/>
      <c r="Q119" s="427"/>
      <c r="U119" s="382"/>
      <c r="V119" s="382"/>
      <c r="AC119" s="382"/>
    </row>
    <row r="120" spans="1:29" ht="23.25" x14ac:dyDescent="0.25">
      <c r="A120" s="735" t="s">
        <v>68</v>
      </c>
      <c r="B120" s="736"/>
      <c r="C120" s="736"/>
      <c r="D120" s="446"/>
      <c r="E120" s="447"/>
      <c r="F120" s="448" t="s">
        <v>69</v>
      </c>
      <c r="G120" s="417">
        <f>COUNTIF($T$3:$BU$30,F120)+COUNTIF($C$49,F120)+COUNTIF($D$49,F120)</f>
        <v>0</v>
      </c>
      <c r="J120" s="735" t="s">
        <v>68</v>
      </c>
      <c r="K120" s="736"/>
      <c r="L120" s="736"/>
      <c r="M120" s="446"/>
      <c r="N120" s="447"/>
      <c r="O120" s="448" t="s">
        <v>69</v>
      </c>
      <c r="P120" s="417">
        <f>COUNTIF($A$3:$S$48,O120)+COUNTIF($T$31:$BU$48,O120)+COUNTIF($BV$3:$CN$44,O120)</f>
        <v>0</v>
      </c>
      <c r="Q120" s="420">
        <f t="shared" ref="Q120:Q121" si="6">G120+P120</f>
        <v>0</v>
      </c>
      <c r="U120" s="382"/>
      <c r="V120" s="382"/>
      <c r="AC120" s="382"/>
    </row>
    <row r="121" spans="1:29" ht="23.25" x14ac:dyDescent="0.25">
      <c r="A121" s="735" t="s">
        <v>87</v>
      </c>
      <c r="B121" s="736"/>
      <c r="C121" s="736"/>
      <c r="D121" s="446" t="s">
        <v>299</v>
      </c>
      <c r="E121" s="447"/>
      <c r="F121" s="449" t="s">
        <v>86</v>
      </c>
      <c r="G121" s="417">
        <f>COUNTIF($T$3:$BU$30,F121)+COUNTIF($C$49,F121)+COUNTIF($D$49,F121)</f>
        <v>0</v>
      </c>
      <c r="J121" s="735" t="s">
        <v>87</v>
      </c>
      <c r="K121" s="736"/>
      <c r="L121" s="736"/>
      <c r="M121" s="446" t="s">
        <v>299</v>
      </c>
      <c r="N121" s="447"/>
      <c r="O121" s="449" t="s">
        <v>86</v>
      </c>
      <c r="P121" s="417">
        <f>COUNTIF($A$3:$S$48,O121)+COUNTIF($T$31:$BU$48,O121)+COUNTIF($BV$3:$CN$44,O121)</f>
        <v>0</v>
      </c>
      <c r="Q121" s="420">
        <f t="shared" si="6"/>
        <v>0</v>
      </c>
      <c r="U121" s="382"/>
      <c r="V121" s="382"/>
      <c r="AC121" s="382"/>
    </row>
    <row r="122" spans="1:29" ht="18" x14ac:dyDescent="0.25">
      <c r="A122" s="740"/>
      <c r="B122" s="741"/>
      <c r="C122" s="741"/>
      <c r="D122" s="423"/>
      <c r="E122" s="424"/>
      <c r="F122" s="425"/>
      <c r="G122" s="426"/>
      <c r="J122" s="740"/>
      <c r="K122" s="741"/>
      <c r="L122" s="741"/>
      <c r="M122" s="423"/>
      <c r="N122" s="424"/>
      <c r="O122" s="425"/>
      <c r="P122" s="426"/>
      <c r="Q122" s="427"/>
      <c r="U122" s="382"/>
      <c r="V122" s="382"/>
      <c r="AC122" s="382"/>
    </row>
    <row r="123" spans="1:29" ht="23.25" x14ac:dyDescent="0.25">
      <c r="A123" s="735" t="s">
        <v>89</v>
      </c>
      <c r="B123" s="736"/>
      <c r="C123" s="736"/>
      <c r="D123" s="415" t="s">
        <v>296</v>
      </c>
      <c r="E123" s="416"/>
      <c r="F123" s="450" t="s">
        <v>88</v>
      </c>
      <c r="G123" s="417">
        <f t="shared" ref="G123:G132" si="7">COUNTIF($T$3:$BU$30,F123)+COUNTIF($C$49,F123)+COUNTIF($D$49,F123)</f>
        <v>0</v>
      </c>
      <c r="J123" s="735" t="s">
        <v>89</v>
      </c>
      <c r="K123" s="736"/>
      <c r="L123" s="736"/>
      <c r="M123" s="415" t="s">
        <v>296</v>
      </c>
      <c r="N123" s="416"/>
      <c r="O123" s="450" t="s">
        <v>88</v>
      </c>
      <c r="P123" s="417">
        <f t="shared" ref="P123:P132" si="8">COUNTIF($A$3:$S$48,O123)+COUNTIF($T$31:$BU$48,O123)+COUNTIF($BV$3:$CN$44,O123)</f>
        <v>0</v>
      </c>
      <c r="Q123" s="420">
        <f t="shared" ref="Q123:Q132" si="9">G123+P123</f>
        <v>0</v>
      </c>
      <c r="U123" s="382"/>
      <c r="V123" s="382"/>
      <c r="AC123" s="382"/>
    </row>
    <row r="124" spans="1:29" ht="23.25" x14ac:dyDescent="0.25">
      <c r="A124" s="735" t="s">
        <v>91</v>
      </c>
      <c r="B124" s="736"/>
      <c r="C124" s="736"/>
      <c r="D124" s="415" t="s">
        <v>299</v>
      </c>
      <c r="E124" s="416"/>
      <c r="F124" s="451" t="s">
        <v>90</v>
      </c>
      <c r="G124" s="417">
        <f t="shared" si="7"/>
        <v>0</v>
      </c>
      <c r="J124" s="735" t="s">
        <v>91</v>
      </c>
      <c r="K124" s="736"/>
      <c r="L124" s="736"/>
      <c r="M124" s="415" t="s">
        <v>299</v>
      </c>
      <c r="N124" s="416"/>
      <c r="O124" s="451" t="s">
        <v>90</v>
      </c>
      <c r="P124" s="417">
        <f t="shared" si="8"/>
        <v>0</v>
      </c>
      <c r="Q124" s="420">
        <f t="shared" si="9"/>
        <v>0</v>
      </c>
      <c r="R124" s="382"/>
      <c r="S124" s="382"/>
      <c r="U124" s="382"/>
      <c r="V124" s="382"/>
      <c r="AC124" s="382"/>
    </row>
    <row r="125" spans="1:29" ht="23.25" x14ac:dyDescent="0.25">
      <c r="A125" s="735" t="s">
        <v>125</v>
      </c>
      <c r="B125" s="736"/>
      <c r="C125" s="736"/>
      <c r="D125" s="415"/>
      <c r="E125" s="416"/>
      <c r="F125" s="223" t="s">
        <v>124</v>
      </c>
      <c r="G125" s="417">
        <f t="shared" si="7"/>
        <v>6</v>
      </c>
      <c r="J125" s="735" t="s">
        <v>125</v>
      </c>
      <c r="K125" s="736"/>
      <c r="L125" s="736"/>
      <c r="M125" s="415"/>
      <c r="N125" s="416"/>
      <c r="O125" s="223" t="s">
        <v>124</v>
      </c>
      <c r="P125" s="417">
        <f t="shared" si="8"/>
        <v>0</v>
      </c>
      <c r="Q125" s="420">
        <f t="shared" si="9"/>
        <v>6</v>
      </c>
      <c r="U125" s="382"/>
      <c r="V125" s="382"/>
      <c r="AC125" s="382"/>
    </row>
    <row r="126" spans="1:29" ht="23.25" x14ac:dyDescent="0.25">
      <c r="A126" s="735" t="s">
        <v>93</v>
      </c>
      <c r="B126" s="736"/>
      <c r="C126" s="736"/>
      <c r="D126" s="415"/>
      <c r="E126" s="416"/>
      <c r="F126" s="452" t="s">
        <v>92</v>
      </c>
      <c r="G126" s="417">
        <f t="shared" si="7"/>
        <v>0</v>
      </c>
      <c r="J126" s="735" t="s">
        <v>93</v>
      </c>
      <c r="K126" s="736"/>
      <c r="L126" s="736"/>
      <c r="M126" s="415"/>
      <c r="N126" s="416"/>
      <c r="O126" s="452" t="s">
        <v>92</v>
      </c>
      <c r="P126" s="417">
        <f t="shared" si="8"/>
        <v>0</v>
      </c>
      <c r="Q126" s="420">
        <f t="shared" si="9"/>
        <v>0</v>
      </c>
      <c r="U126" s="382"/>
      <c r="V126" s="382"/>
      <c r="AC126" s="382"/>
    </row>
    <row r="127" spans="1:29" ht="23.25" x14ac:dyDescent="0.25">
      <c r="A127" s="735" t="s">
        <v>95</v>
      </c>
      <c r="B127" s="736"/>
      <c r="C127" s="736"/>
      <c r="D127" s="415"/>
      <c r="E127" s="447"/>
      <c r="F127" s="453" t="s">
        <v>94</v>
      </c>
      <c r="G127" s="417">
        <f t="shared" si="7"/>
        <v>0</v>
      </c>
      <c r="J127" s="735" t="s">
        <v>95</v>
      </c>
      <c r="K127" s="736"/>
      <c r="L127" s="736"/>
      <c r="M127" s="415"/>
      <c r="N127" s="447"/>
      <c r="O127" s="453" t="s">
        <v>94</v>
      </c>
      <c r="P127" s="417">
        <f t="shared" si="8"/>
        <v>0</v>
      </c>
      <c r="Q127" s="420">
        <f t="shared" si="9"/>
        <v>0</v>
      </c>
      <c r="U127" s="382"/>
      <c r="V127" s="382"/>
      <c r="AC127" s="382"/>
    </row>
    <row r="128" spans="1:29" ht="23.25" x14ac:dyDescent="0.25">
      <c r="A128" s="735" t="s">
        <v>97</v>
      </c>
      <c r="B128" s="736"/>
      <c r="C128" s="736"/>
      <c r="D128" s="415"/>
      <c r="E128" s="447"/>
      <c r="F128" s="454" t="s">
        <v>96</v>
      </c>
      <c r="G128" s="417">
        <f t="shared" si="7"/>
        <v>0</v>
      </c>
      <c r="J128" s="735" t="s">
        <v>97</v>
      </c>
      <c r="K128" s="736"/>
      <c r="L128" s="736"/>
      <c r="M128" s="415"/>
      <c r="N128" s="447"/>
      <c r="O128" s="454" t="s">
        <v>96</v>
      </c>
      <c r="P128" s="417">
        <f t="shared" si="8"/>
        <v>0</v>
      </c>
      <c r="Q128" s="420">
        <f t="shared" si="9"/>
        <v>0</v>
      </c>
      <c r="U128" s="382"/>
      <c r="V128" s="382"/>
      <c r="AC128" s="382"/>
    </row>
    <row r="129" spans="1:29" ht="23.25" x14ac:dyDescent="0.25">
      <c r="A129" s="735" t="s">
        <v>99</v>
      </c>
      <c r="B129" s="736"/>
      <c r="C129" s="736"/>
      <c r="D129" s="415"/>
      <c r="E129" s="447"/>
      <c r="F129" s="455" t="s">
        <v>98</v>
      </c>
      <c r="G129" s="417">
        <f t="shared" si="7"/>
        <v>0</v>
      </c>
      <c r="J129" s="735" t="s">
        <v>99</v>
      </c>
      <c r="K129" s="736"/>
      <c r="L129" s="736"/>
      <c r="M129" s="415"/>
      <c r="N129" s="447"/>
      <c r="O129" s="455" t="s">
        <v>98</v>
      </c>
      <c r="P129" s="417">
        <f t="shared" si="8"/>
        <v>0</v>
      </c>
      <c r="Q129" s="420">
        <f t="shared" si="9"/>
        <v>0</v>
      </c>
      <c r="U129" s="382"/>
      <c r="V129" s="382"/>
      <c r="AC129" s="382"/>
    </row>
    <row r="130" spans="1:29" ht="23.25" x14ac:dyDescent="0.25">
      <c r="A130" s="735" t="s">
        <v>101</v>
      </c>
      <c r="B130" s="736"/>
      <c r="C130" s="736"/>
      <c r="D130" s="415"/>
      <c r="E130" s="447"/>
      <c r="F130" s="456" t="s">
        <v>100</v>
      </c>
      <c r="G130" s="417">
        <f t="shared" si="7"/>
        <v>0</v>
      </c>
      <c r="J130" s="735" t="s">
        <v>101</v>
      </c>
      <c r="K130" s="736"/>
      <c r="L130" s="736"/>
      <c r="M130" s="415"/>
      <c r="N130" s="447"/>
      <c r="O130" s="456" t="s">
        <v>100</v>
      </c>
      <c r="P130" s="417">
        <f t="shared" si="8"/>
        <v>0</v>
      </c>
      <c r="Q130" s="420">
        <f t="shared" si="9"/>
        <v>0</v>
      </c>
      <c r="U130" s="382"/>
      <c r="V130" s="382"/>
      <c r="AC130" s="382"/>
    </row>
    <row r="131" spans="1:29" ht="23.25" x14ac:dyDescent="0.25">
      <c r="A131" s="735" t="s">
        <v>151</v>
      </c>
      <c r="B131" s="736"/>
      <c r="C131" s="736"/>
      <c r="D131" s="415" t="s">
        <v>296</v>
      </c>
      <c r="E131" s="416"/>
      <c r="F131" s="457" t="s">
        <v>112</v>
      </c>
      <c r="G131" s="417">
        <f t="shared" si="7"/>
        <v>13</v>
      </c>
      <c r="J131" s="735" t="s">
        <v>151</v>
      </c>
      <c r="K131" s="736"/>
      <c r="L131" s="736"/>
      <c r="M131" s="415" t="s">
        <v>296</v>
      </c>
      <c r="N131" s="416"/>
      <c r="O131" s="457" t="s">
        <v>112</v>
      </c>
      <c r="P131" s="417">
        <f t="shared" si="8"/>
        <v>21</v>
      </c>
      <c r="Q131" s="420">
        <f t="shared" si="9"/>
        <v>34</v>
      </c>
      <c r="U131" s="382"/>
      <c r="V131" s="382"/>
      <c r="AC131" s="382"/>
    </row>
    <row r="132" spans="1:29" ht="23.25" x14ac:dyDescent="0.25">
      <c r="A132" s="735" t="s">
        <v>152</v>
      </c>
      <c r="B132" s="736"/>
      <c r="C132" s="736"/>
      <c r="D132" s="415" t="s">
        <v>296</v>
      </c>
      <c r="E132" s="447"/>
      <c r="F132" s="172" t="s">
        <v>137</v>
      </c>
      <c r="G132" s="417">
        <f t="shared" si="7"/>
        <v>0</v>
      </c>
      <c r="J132" s="735" t="s">
        <v>152</v>
      </c>
      <c r="K132" s="736"/>
      <c r="L132" s="736"/>
      <c r="M132" s="415" t="s">
        <v>296</v>
      </c>
      <c r="N132" s="447"/>
      <c r="O132" s="172" t="s">
        <v>137</v>
      </c>
      <c r="P132" s="417">
        <f t="shared" si="8"/>
        <v>4</v>
      </c>
      <c r="Q132" s="420">
        <f t="shared" si="9"/>
        <v>4</v>
      </c>
      <c r="U132" s="382"/>
      <c r="V132" s="382"/>
      <c r="AC132" s="382"/>
    </row>
    <row r="133" spans="1:29" ht="18" x14ac:dyDescent="0.25">
      <c r="A133" s="740"/>
      <c r="B133" s="741"/>
      <c r="C133" s="741"/>
      <c r="D133" s="423"/>
      <c r="E133" s="424"/>
      <c r="F133" s="425"/>
      <c r="G133" s="426"/>
      <c r="J133" s="740"/>
      <c r="K133" s="741"/>
      <c r="L133" s="741"/>
      <c r="M133" s="423"/>
      <c r="N133" s="424"/>
      <c r="O133" s="425"/>
      <c r="P133" s="426"/>
      <c r="Q133" s="427"/>
      <c r="U133" s="382"/>
      <c r="V133" s="382"/>
      <c r="AC133" s="382"/>
    </row>
    <row r="134" spans="1:29" ht="23.25" x14ac:dyDescent="0.25">
      <c r="A134" s="735" t="s">
        <v>52</v>
      </c>
      <c r="B134" s="736"/>
      <c r="C134" s="736"/>
      <c r="D134" s="415" t="s">
        <v>304</v>
      </c>
      <c r="E134" s="416"/>
      <c r="F134" s="458" t="s">
        <v>53</v>
      </c>
      <c r="G134" s="417">
        <f>COUNTIF($T$3:$BU$30,F134)+COUNTIF($C$49,F134)+COUNTIF($D$49,F134)</f>
        <v>0</v>
      </c>
      <c r="J134" s="735" t="s">
        <v>52</v>
      </c>
      <c r="K134" s="736"/>
      <c r="L134" s="736"/>
      <c r="M134" s="415" t="s">
        <v>304</v>
      </c>
      <c r="N134" s="416"/>
      <c r="O134" s="458" t="s">
        <v>53</v>
      </c>
      <c r="P134" s="417">
        <f>COUNTIF($A$3:$S$48,O134)+COUNTIF($T$31:$BU$48,O134)+COUNTIF($BV$3:$CN$44,O134)</f>
        <v>0</v>
      </c>
      <c r="Q134" s="420">
        <f t="shared" ref="Q134" si="10">G134+P134</f>
        <v>0</v>
      </c>
      <c r="AC134" s="394"/>
    </row>
    <row r="135" spans="1:29" ht="23.25" x14ac:dyDescent="0.25">
      <c r="A135" s="735" t="s">
        <v>54</v>
      </c>
      <c r="B135" s="736"/>
      <c r="C135" s="736"/>
      <c r="D135" s="415" t="s">
        <v>304</v>
      </c>
      <c r="E135" s="447"/>
      <c r="F135" s="459" t="s">
        <v>55</v>
      </c>
      <c r="G135" s="417">
        <f>COUNTIF($T$3:$BU$30,F135)+COUNTIF($C$49,F135)+COUNTIF($D$49,F135)</f>
        <v>0</v>
      </c>
      <c r="J135" s="735" t="s">
        <v>54</v>
      </c>
      <c r="K135" s="736"/>
      <c r="L135" s="736"/>
      <c r="M135" s="415" t="s">
        <v>304</v>
      </c>
      <c r="N135" s="447"/>
      <c r="O135" s="459" t="s">
        <v>55</v>
      </c>
      <c r="P135" s="417">
        <f>COUNTIF($A$3:$S$48,O135)+COUNTIF($T$31:$BU$48,O135)+COUNTIF($BV$3:$CN$44,O135)</f>
        <v>0</v>
      </c>
      <c r="Q135" s="420">
        <f t="shared" si="0"/>
        <v>0</v>
      </c>
      <c r="AC135" s="394"/>
    </row>
    <row r="136" spans="1:29" ht="23.25" x14ac:dyDescent="0.25">
      <c r="A136" s="735" t="s">
        <v>56</v>
      </c>
      <c r="B136" s="736"/>
      <c r="C136" s="736"/>
      <c r="D136" s="415" t="s">
        <v>304</v>
      </c>
      <c r="E136" s="447"/>
      <c r="F136" s="460" t="s">
        <v>57</v>
      </c>
      <c r="G136" s="417">
        <f>COUNTIF($T$3:$BU$30,F136)+COUNTIF($C$49,F136)+COUNTIF($D$49,F136)</f>
        <v>0</v>
      </c>
      <c r="J136" s="735" t="s">
        <v>56</v>
      </c>
      <c r="K136" s="736"/>
      <c r="L136" s="736"/>
      <c r="M136" s="415" t="s">
        <v>304</v>
      </c>
      <c r="N136" s="447"/>
      <c r="O136" s="460" t="s">
        <v>57</v>
      </c>
      <c r="P136" s="417">
        <f>COUNTIF($A$3:$S$48,O136)+COUNTIF($T$31:$BU$48,O136)+COUNTIF($BV$3:$CN$44,O136)</f>
        <v>0</v>
      </c>
      <c r="Q136" s="420">
        <f t="shared" si="0"/>
        <v>0</v>
      </c>
      <c r="R136" s="382"/>
      <c r="AB136" s="394"/>
      <c r="AC136" s="394"/>
    </row>
    <row r="137" spans="1:29" ht="23.25" x14ac:dyDescent="0.25">
      <c r="A137" s="735" t="s">
        <v>19</v>
      </c>
      <c r="B137" s="736"/>
      <c r="C137" s="736"/>
      <c r="D137" s="415" t="s">
        <v>304</v>
      </c>
      <c r="E137" s="447"/>
      <c r="F137" s="461" t="s">
        <v>16</v>
      </c>
      <c r="G137" s="417">
        <f>COUNTIF($T$3:$BU$30,F137)+COUNTIF($C$49,F137)+COUNTIF($D$49,F137)</f>
        <v>7</v>
      </c>
      <c r="J137" s="735" t="s">
        <v>19</v>
      </c>
      <c r="K137" s="736"/>
      <c r="L137" s="736"/>
      <c r="M137" s="415" t="s">
        <v>304</v>
      </c>
      <c r="N137" s="447"/>
      <c r="O137" s="461" t="s">
        <v>16</v>
      </c>
      <c r="P137" s="417">
        <f>COUNTIF($A$3:$S$48,O137)+COUNTIF($T$31:$BU$48,O137)+COUNTIF($BV$3:$CN$44,O137)</f>
        <v>0</v>
      </c>
      <c r="Q137" s="420">
        <f t="shared" si="0"/>
        <v>7</v>
      </c>
      <c r="R137" s="382"/>
      <c r="AB137" s="394"/>
      <c r="AC137" s="394"/>
    </row>
    <row r="138" spans="1:29" ht="23.25" x14ac:dyDescent="0.25">
      <c r="A138" s="735" t="s">
        <v>58</v>
      </c>
      <c r="B138" s="736"/>
      <c r="C138" s="736"/>
      <c r="D138" s="415" t="s">
        <v>304</v>
      </c>
      <c r="E138" s="447"/>
      <c r="F138" s="462" t="s">
        <v>59</v>
      </c>
      <c r="G138" s="417">
        <f>COUNTIF($T$3:$BU$30,F138)+COUNTIF($C$49,F138)+COUNTIF($D$49,F138)</f>
        <v>0</v>
      </c>
      <c r="J138" s="735" t="s">
        <v>58</v>
      </c>
      <c r="K138" s="736"/>
      <c r="L138" s="736"/>
      <c r="M138" s="415" t="s">
        <v>304</v>
      </c>
      <c r="N138" s="447"/>
      <c r="O138" s="462" t="s">
        <v>59</v>
      </c>
      <c r="P138" s="417">
        <f>COUNTIF($A$3:$S$48,O138)+COUNTIF($T$31:$BU$48,O138)+COUNTIF($BV$3:$CN$44,O138)</f>
        <v>0</v>
      </c>
      <c r="Q138" s="420">
        <f t="shared" si="0"/>
        <v>0</v>
      </c>
      <c r="R138" s="382"/>
      <c r="AB138" s="394"/>
      <c r="AC138" s="394"/>
    </row>
    <row r="139" spans="1:29" ht="18" x14ac:dyDescent="0.25">
      <c r="A139" s="740"/>
      <c r="B139" s="741"/>
      <c r="C139" s="741"/>
      <c r="D139" s="423"/>
      <c r="E139" s="424"/>
      <c r="F139" s="425"/>
      <c r="G139" s="426"/>
      <c r="J139" s="740"/>
      <c r="K139" s="741"/>
      <c r="L139" s="741"/>
      <c r="M139" s="423"/>
      <c r="N139" s="424"/>
      <c r="O139" s="425"/>
      <c r="P139" s="426"/>
      <c r="Q139" s="427"/>
      <c r="R139" s="382"/>
      <c r="AB139" s="394"/>
      <c r="AC139" s="394"/>
    </row>
    <row r="140" spans="1:29" ht="23.25" x14ac:dyDescent="0.25">
      <c r="A140" s="735" t="s">
        <v>66</v>
      </c>
      <c r="B140" s="736"/>
      <c r="C140" s="736"/>
      <c r="D140" s="415"/>
      <c r="E140" s="416"/>
      <c r="F140" s="463" t="s">
        <v>67</v>
      </c>
      <c r="G140" s="417">
        <f t="shared" ref="G140:G178" si="11">COUNTIF($T$3:$BU$30,F140)+COUNTIF($C$49,F140)+COUNTIF($D$49,F140)</f>
        <v>0</v>
      </c>
      <c r="J140" s="735" t="s">
        <v>66</v>
      </c>
      <c r="K140" s="736"/>
      <c r="L140" s="736"/>
      <c r="M140" s="415"/>
      <c r="N140" s="416"/>
      <c r="O140" s="463" t="s">
        <v>67</v>
      </c>
      <c r="P140" s="417">
        <f t="shared" ref="P140:P178" si="12">COUNTIF($A$3:$S$48,O140)+COUNTIF($T$31:$BU$48,O140)+COUNTIF($BV$3:$CN$44,O140)</f>
        <v>0</v>
      </c>
      <c r="Q140" s="420">
        <f t="shared" ref="Q140" si="13">G140+P140</f>
        <v>0</v>
      </c>
      <c r="R140" s="382"/>
      <c r="AB140" s="394"/>
      <c r="AC140" s="394"/>
    </row>
    <row r="141" spans="1:29" ht="23.25" x14ac:dyDescent="0.25">
      <c r="A141" s="735" t="s">
        <v>20</v>
      </c>
      <c r="B141" s="736"/>
      <c r="C141" s="736"/>
      <c r="D141" s="415"/>
      <c r="E141" s="416"/>
      <c r="F141" s="464" t="s">
        <v>21</v>
      </c>
      <c r="G141" s="417">
        <f t="shared" si="11"/>
        <v>0</v>
      </c>
      <c r="J141" s="735" t="s">
        <v>20</v>
      </c>
      <c r="K141" s="736"/>
      <c r="L141" s="736"/>
      <c r="M141" s="415"/>
      <c r="N141" s="416"/>
      <c r="O141" s="464" t="s">
        <v>21</v>
      </c>
      <c r="P141" s="439">
        <f t="shared" si="12"/>
        <v>0</v>
      </c>
      <c r="Q141" s="420">
        <f t="shared" si="0"/>
        <v>0</v>
      </c>
      <c r="R141" s="382"/>
      <c r="AB141" s="394"/>
      <c r="AC141" s="394"/>
    </row>
    <row r="142" spans="1:29" ht="23.25" x14ac:dyDescent="0.25">
      <c r="A142" s="735" t="s">
        <v>126</v>
      </c>
      <c r="B142" s="736"/>
      <c r="C142" s="736"/>
      <c r="D142" s="415"/>
      <c r="E142" s="416"/>
      <c r="F142" s="465" t="s">
        <v>127</v>
      </c>
      <c r="G142" s="417">
        <f t="shared" si="11"/>
        <v>0</v>
      </c>
      <c r="J142" s="735" t="s">
        <v>126</v>
      </c>
      <c r="K142" s="736"/>
      <c r="L142" s="736"/>
      <c r="M142" s="415"/>
      <c r="N142" s="416"/>
      <c r="O142" s="465" t="s">
        <v>127</v>
      </c>
      <c r="P142" s="417">
        <f t="shared" si="12"/>
        <v>0</v>
      </c>
      <c r="Q142" s="420">
        <f t="shared" si="0"/>
        <v>0</v>
      </c>
      <c r="R142" s="382"/>
      <c r="AB142" s="394"/>
      <c r="AC142" s="394"/>
    </row>
    <row r="143" spans="1:29" ht="23.25" x14ac:dyDescent="0.25">
      <c r="A143" s="735" t="s">
        <v>14</v>
      </c>
      <c r="B143" s="736"/>
      <c r="C143" s="736"/>
      <c r="D143" s="415"/>
      <c r="E143" s="416"/>
      <c r="F143" s="466" t="s">
        <v>13</v>
      </c>
      <c r="G143" s="417">
        <f t="shared" si="11"/>
        <v>0</v>
      </c>
      <c r="J143" s="735" t="s">
        <v>14</v>
      </c>
      <c r="K143" s="736"/>
      <c r="L143" s="736"/>
      <c r="M143" s="415"/>
      <c r="N143" s="416"/>
      <c r="O143" s="466" t="s">
        <v>13</v>
      </c>
      <c r="P143" s="417">
        <f t="shared" si="12"/>
        <v>0</v>
      </c>
      <c r="Q143" s="420">
        <f t="shared" si="0"/>
        <v>0</v>
      </c>
      <c r="R143" s="382"/>
      <c r="AB143" s="394"/>
      <c r="AC143" s="394"/>
    </row>
    <row r="144" spans="1:29" ht="23.25" x14ac:dyDescent="0.25">
      <c r="A144" s="735" t="s">
        <v>28</v>
      </c>
      <c r="B144" s="736"/>
      <c r="C144" s="736"/>
      <c r="D144" s="415"/>
      <c r="E144" s="416"/>
      <c r="F144" s="467" t="s">
        <v>29</v>
      </c>
      <c r="G144" s="417">
        <f t="shared" si="11"/>
        <v>0</v>
      </c>
      <c r="J144" s="735" t="s">
        <v>28</v>
      </c>
      <c r="K144" s="736"/>
      <c r="L144" s="736"/>
      <c r="M144" s="415"/>
      <c r="N144" s="416"/>
      <c r="O144" s="467" t="s">
        <v>29</v>
      </c>
      <c r="P144" s="417">
        <f t="shared" si="12"/>
        <v>0</v>
      </c>
      <c r="Q144" s="420">
        <f t="shared" si="0"/>
        <v>0</v>
      </c>
      <c r="R144" s="382"/>
      <c r="AB144" s="394"/>
      <c r="AC144" s="394"/>
    </row>
    <row r="145" spans="1:29" ht="23.25" x14ac:dyDescent="0.25">
      <c r="A145" s="735" t="s">
        <v>153</v>
      </c>
      <c r="B145" s="736"/>
      <c r="C145" s="736"/>
      <c r="D145" s="415"/>
      <c r="E145" s="416"/>
      <c r="F145" s="468" t="s">
        <v>154</v>
      </c>
      <c r="G145" s="417">
        <f t="shared" si="11"/>
        <v>0</v>
      </c>
      <c r="J145" s="735" t="s">
        <v>153</v>
      </c>
      <c r="K145" s="736"/>
      <c r="L145" s="736"/>
      <c r="M145" s="415"/>
      <c r="N145" s="416"/>
      <c r="O145" s="468" t="s">
        <v>154</v>
      </c>
      <c r="P145" s="417">
        <f t="shared" si="12"/>
        <v>0</v>
      </c>
      <c r="Q145" s="420">
        <f t="shared" si="0"/>
        <v>0</v>
      </c>
      <c r="R145" s="382"/>
      <c r="AB145" s="394"/>
      <c r="AC145" s="394"/>
    </row>
    <row r="146" spans="1:29" ht="23.25" x14ac:dyDescent="0.25">
      <c r="A146" s="413" t="s">
        <v>114</v>
      </c>
      <c r="B146" s="414"/>
      <c r="C146" s="414"/>
      <c r="D146" s="415"/>
      <c r="E146" s="416"/>
      <c r="F146" s="469" t="s">
        <v>113</v>
      </c>
      <c r="G146" s="417">
        <f t="shared" si="11"/>
        <v>0</v>
      </c>
      <c r="J146" s="413" t="s">
        <v>114</v>
      </c>
      <c r="K146" s="414"/>
      <c r="L146" s="414"/>
      <c r="M146" s="415"/>
      <c r="N146" s="416"/>
      <c r="O146" s="469" t="s">
        <v>113</v>
      </c>
      <c r="P146" s="417">
        <f t="shared" si="12"/>
        <v>0</v>
      </c>
      <c r="Q146" s="420">
        <f t="shared" si="0"/>
        <v>0</v>
      </c>
      <c r="R146" s="382"/>
      <c r="AB146" s="394"/>
      <c r="AC146" s="394"/>
    </row>
    <row r="147" spans="1:29" ht="23.25" x14ac:dyDescent="0.25">
      <c r="A147" s="735" t="s">
        <v>116</v>
      </c>
      <c r="B147" s="736"/>
      <c r="C147" s="736"/>
      <c r="D147" s="415"/>
      <c r="E147" s="416"/>
      <c r="F147" s="470" t="s">
        <v>115</v>
      </c>
      <c r="G147" s="417">
        <f t="shared" si="11"/>
        <v>0</v>
      </c>
      <c r="J147" s="735" t="s">
        <v>116</v>
      </c>
      <c r="K147" s="736"/>
      <c r="L147" s="736"/>
      <c r="M147" s="415"/>
      <c r="N147" s="416"/>
      <c r="O147" s="470" t="s">
        <v>115</v>
      </c>
      <c r="P147" s="417">
        <f t="shared" si="12"/>
        <v>0</v>
      </c>
      <c r="Q147" s="420">
        <f t="shared" si="0"/>
        <v>0</v>
      </c>
      <c r="R147" s="382"/>
      <c r="AB147" s="394"/>
      <c r="AC147" s="394"/>
    </row>
    <row r="148" spans="1:29" ht="23.25" x14ac:dyDescent="0.25">
      <c r="A148" s="735" t="s">
        <v>30</v>
      </c>
      <c r="B148" s="736"/>
      <c r="C148" s="736"/>
      <c r="D148" s="446"/>
      <c r="E148" s="447"/>
      <c r="F148" s="471" t="s">
        <v>31</v>
      </c>
      <c r="G148" s="417">
        <f t="shared" si="11"/>
        <v>0</v>
      </c>
      <c r="J148" s="735" t="s">
        <v>30</v>
      </c>
      <c r="K148" s="736"/>
      <c r="L148" s="736"/>
      <c r="M148" s="446"/>
      <c r="N148" s="447"/>
      <c r="O148" s="471" t="s">
        <v>31</v>
      </c>
      <c r="P148" s="417">
        <f t="shared" si="12"/>
        <v>0</v>
      </c>
      <c r="Q148" s="420">
        <f t="shared" si="0"/>
        <v>0</v>
      </c>
      <c r="R148" s="382"/>
      <c r="AB148" s="394"/>
      <c r="AC148" s="394"/>
    </row>
    <row r="149" spans="1:29" ht="23.25" x14ac:dyDescent="0.25">
      <c r="A149" s="735" t="s">
        <v>32</v>
      </c>
      <c r="B149" s="736"/>
      <c r="C149" s="736"/>
      <c r="D149" s="446"/>
      <c r="E149" s="447"/>
      <c r="F149" s="472" t="s">
        <v>33</v>
      </c>
      <c r="G149" s="417">
        <f t="shared" si="11"/>
        <v>0</v>
      </c>
      <c r="J149" s="735" t="s">
        <v>32</v>
      </c>
      <c r="K149" s="736"/>
      <c r="L149" s="736"/>
      <c r="M149" s="446"/>
      <c r="N149" s="447"/>
      <c r="O149" s="472" t="s">
        <v>33</v>
      </c>
      <c r="P149" s="417">
        <f t="shared" si="12"/>
        <v>0</v>
      </c>
      <c r="Q149" s="420">
        <f t="shared" si="0"/>
        <v>0</v>
      </c>
      <c r="R149" s="382"/>
      <c r="AB149" s="394"/>
      <c r="AC149" s="394"/>
    </row>
    <row r="150" spans="1:29" ht="23.25" x14ac:dyDescent="0.25">
      <c r="A150" s="735" t="s">
        <v>34</v>
      </c>
      <c r="B150" s="736"/>
      <c r="C150" s="736"/>
      <c r="D150" s="446"/>
      <c r="E150" s="447"/>
      <c r="F150" s="473" t="s">
        <v>35</v>
      </c>
      <c r="G150" s="417">
        <f t="shared" si="11"/>
        <v>0</v>
      </c>
      <c r="J150" s="735" t="s">
        <v>34</v>
      </c>
      <c r="K150" s="736"/>
      <c r="L150" s="736"/>
      <c r="M150" s="446"/>
      <c r="N150" s="447"/>
      <c r="O150" s="473" t="s">
        <v>35</v>
      </c>
      <c r="P150" s="417">
        <f t="shared" si="12"/>
        <v>0</v>
      </c>
      <c r="Q150" s="420">
        <f t="shared" si="0"/>
        <v>0</v>
      </c>
      <c r="R150" s="382"/>
      <c r="AB150" s="394"/>
      <c r="AC150" s="394"/>
    </row>
    <row r="151" spans="1:29" ht="23.25" x14ac:dyDescent="0.25">
      <c r="A151" s="735" t="s">
        <v>36</v>
      </c>
      <c r="B151" s="736"/>
      <c r="C151" s="736"/>
      <c r="D151" s="446"/>
      <c r="E151" s="447"/>
      <c r="F151" s="474" t="s">
        <v>37</v>
      </c>
      <c r="G151" s="417">
        <f t="shared" si="11"/>
        <v>0</v>
      </c>
      <c r="J151" s="735" t="s">
        <v>36</v>
      </c>
      <c r="K151" s="736"/>
      <c r="L151" s="736"/>
      <c r="M151" s="446"/>
      <c r="N151" s="447"/>
      <c r="O151" s="474" t="s">
        <v>37</v>
      </c>
      <c r="P151" s="439">
        <f t="shared" si="12"/>
        <v>0</v>
      </c>
      <c r="Q151" s="420">
        <f t="shared" si="0"/>
        <v>0</v>
      </c>
      <c r="R151" s="382"/>
      <c r="AB151" s="394"/>
      <c r="AC151" s="394"/>
    </row>
    <row r="152" spans="1:29" ht="23.25" x14ac:dyDescent="0.25">
      <c r="A152" s="735" t="s">
        <v>6</v>
      </c>
      <c r="B152" s="736"/>
      <c r="C152" s="736"/>
      <c r="D152" s="446"/>
      <c r="E152" s="447"/>
      <c r="F152" s="475" t="s">
        <v>7</v>
      </c>
      <c r="G152" s="417">
        <f t="shared" si="11"/>
        <v>0</v>
      </c>
      <c r="J152" s="735" t="s">
        <v>6</v>
      </c>
      <c r="K152" s="736"/>
      <c r="L152" s="736"/>
      <c r="M152" s="446"/>
      <c r="N152" s="447"/>
      <c r="O152" s="475" t="s">
        <v>7</v>
      </c>
      <c r="P152" s="439">
        <f t="shared" si="12"/>
        <v>0</v>
      </c>
      <c r="Q152" s="420">
        <f t="shared" si="0"/>
        <v>0</v>
      </c>
      <c r="R152" s="382"/>
      <c r="AB152" s="394"/>
      <c r="AC152" s="394"/>
    </row>
    <row r="153" spans="1:29" ht="23.25" x14ac:dyDescent="0.25">
      <c r="A153" s="735" t="s">
        <v>70</v>
      </c>
      <c r="B153" s="736"/>
      <c r="C153" s="736"/>
      <c r="D153" s="446"/>
      <c r="E153" s="447"/>
      <c r="F153" s="476" t="s">
        <v>71</v>
      </c>
      <c r="G153" s="417">
        <f t="shared" si="11"/>
        <v>0</v>
      </c>
      <c r="J153" s="735" t="s">
        <v>70</v>
      </c>
      <c r="K153" s="736"/>
      <c r="L153" s="736"/>
      <c r="M153" s="446"/>
      <c r="N153" s="447"/>
      <c r="O153" s="476" t="s">
        <v>71</v>
      </c>
      <c r="P153" s="439">
        <f t="shared" si="12"/>
        <v>0</v>
      </c>
      <c r="Q153" s="420">
        <f t="shared" si="0"/>
        <v>0</v>
      </c>
      <c r="R153" s="382"/>
      <c r="AB153" s="394"/>
      <c r="AC153" s="394"/>
    </row>
    <row r="154" spans="1:29" ht="23.25" x14ac:dyDescent="0.25">
      <c r="A154" s="735" t="s">
        <v>118</v>
      </c>
      <c r="B154" s="736"/>
      <c r="C154" s="736"/>
      <c r="D154" s="446"/>
      <c r="E154" s="447"/>
      <c r="F154" s="161" t="s">
        <v>117</v>
      </c>
      <c r="G154" s="417">
        <f t="shared" si="11"/>
        <v>4</v>
      </c>
      <c r="J154" s="735" t="s">
        <v>118</v>
      </c>
      <c r="K154" s="736"/>
      <c r="L154" s="736"/>
      <c r="M154" s="446"/>
      <c r="N154" s="447"/>
      <c r="O154" s="161" t="s">
        <v>117</v>
      </c>
      <c r="P154" s="439">
        <f t="shared" si="12"/>
        <v>0</v>
      </c>
      <c r="Q154" s="420">
        <f t="shared" si="0"/>
        <v>4</v>
      </c>
      <c r="R154" s="382"/>
      <c r="AB154" s="394"/>
      <c r="AC154" s="394"/>
    </row>
    <row r="155" spans="1:29" ht="23.25" x14ac:dyDescent="0.25">
      <c r="A155" s="735" t="s">
        <v>155</v>
      </c>
      <c r="B155" s="736"/>
      <c r="C155" s="736"/>
      <c r="D155" s="446"/>
      <c r="E155" s="447"/>
      <c r="F155" s="477" t="s">
        <v>134</v>
      </c>
      <c r="G155" s="417">
        <f t="shared" si="11"/>
        <v>0</v>
      </c>
      <c r="J155" s="735" t="s">
        <v>155</v>
      </c>
      <c r="K155" s="736"/>
      <c r="L155" s="736"/>
      <c r="M155" s="446"/>
      <c r="N155" s="447"/>
      <c r="O155" s="477" t="s">
        <v>134</v>
      </c>
      <c r="P155" s="439">
        <f t="shared" si="12"/>
        <v>0</v>
      </c>
      <c r="Q155" s="420">
        <f t="shared" si="0"/>
        <v>0</v>
      </c>
      <c r="R155" s="382"/>
      <c r="AB155" s="394"/>
      <c r="AC155" s="394"/>
    </row>
    <row r="156" spans="1:29" ht="23.25" x14ac:dyDescent="0.25">
      <c r="A156" s="735" t="s">
        <v>72</v>
      </c>
      <c r="B156" s="736"/>
      <c r="C156" s="736"/>
      <c r="D156" s="446"/>
      <c r="E156" s="447"/>
      <c r="F156" s="478" t="s">
        <v>73</v>
      </c>
      <c r="G156" s="417">
        <f t="shared" si="11"/>
        <v>0</v>
      </c>
      <c r="J156" s="735" t="s">
        <v>72</v>
      </c>
      <c r="K156" s="736"/>
      <c r="L156" s="736"/>
      <c r="M156" s="446"/>
      <c r="N156" s="447"/>
      <c r="O156" s="478" t="s">
        <v>73</v>
      </c>
      <c r="P156" s="439">
        <f t="shared" si="12"/>
        <v>0</v>
      </c>
      <c r="Q156" s="420">
        <f t="shared" si="0"/>
        <v>0</v>
      </c>
      <c r="R156" s="382"/>
      <c r="AB156" s="394"/>
      <c r="AC156" s="394"/>
    </row>
    <row r="157" spans="1:29" ht="23.25" x14ac:dyDescent="0.25">
      <c r="A157" s="735" t="s">
        <v>8</v>
      </c>
      <c r="B157" s="736"/>
      <c r="C157" s="736"/>
      <c r="D157" s="446"/>
      <c r="E157" s="447"/>
      <c r="F157" s="452" t="s">
        <v>9</v>
      </c>
      <c r="G157" s="417">
        <f t="shared" si="11"/>
        <v>8</v>
      </c>
      <c r="J157" s="735" t="s">
        <v>8</v>
      </c>
      <c r="K157" s="736"/>
      <c r="L157" s="736"/>
      <c r="M157" s="446"/>
      <c r="N157" s="447"/>
      <c r="O157" s="452" t="s">
        <v>9</v>
      </c>
      <c r="P157" s="417">
        <f t="shared" si="12"/>
        <v>6</v>
      </c>
      <c r="Q157" s="420">
        <f t="shared" si="0"/>
        <v>14</v>
      </c>
      <c r="R157" s="382"/>
      <c r="AB157" s="394"/>
      <c r="AC157" s="394"/>
    </row>
    <row r="158" spans="1:29" ht="23.25" x14ac:dyDescent="0.25">
      <c r="A158" s="735" t="s">
        <v>38</v>
      </c>
      <c r="B158" s="736"/>
      <c r="C158" s="736"/>
      <c r="D158" s="446"/>
      <c r="E158" s="447"/>
      <c r="F158" s="479" t="s">
        <v>39</v>
      </c>
      <c r="G158" s="417">
        <f t="shared" si="11"/>
        <v>0</v>
      </c>
      <c r="J158" s="735" t="s">
        <v>38</v>
      </c>
      <c r="K158" s="736"/>
      <c r="L158" s="736"/>
      <c r="M158" s="446"/>
      <c r="N158" s="447"/>
      <c r="O158" s="479" t="s">
        <v>39</v>
      </c>
      <c r="P158" s="417">
        <f t="shared" si="12"/>
        <v>0</v>
      </c>
      <c r="Q158" s="420">
        <f t="shared" si="0"/>
        <v>0</v>
      </c>
      <c r="R158" s="382"/>
      <c r="AB158" s="394"/>
      <c r="AC158" s="394"/>
    </row>
    <row r="159" spans="1:29" ht="23.25" x14ac:dyDescent="0.25">
      <c r="A159" s="735" t="s">
        <v>128</v>
      </c>
      <c r="B159" s="736"/>
      <c r="C159" s="736"/>
      <c r="D159" s="446"/>
      <c r="E159" s="447"/>
      <c r="F159" s="480" t="s">
        <v>129</v>
      </c>
      <c r="G159" s="417">
        <f t="shared" si="11"/>
        <v>0</v>
      </c>
      <c r="J159" s="735" t="s">
        <v>128</v>
      </c>
      <c r="K159" s="736"/>
      <c r="L159" s="736"/>
      <c r="M159" s="446"/>
      <c r="N159" s="447"/>
      <c r="O159" s="480" t="s">
        <v>129</v>
      </c>
      <c r="P159" s="417">
        <f t="shared" si="12"/>
        <v>3</v>
      </c>
      <c r="Q159" s="420">
        <f>G159+P159</f>
        <v>3</v>
      </c>
      <c r="R159" s="382"/>
      <c r="AB159" s="394"/>
      <c r="AC159" s="394"/>
    </row>
    <row r="160" spans="1:29" ht="23.25" x14ac:dyDescent="0.25">
      <c r="A160" s="735" t="s">
        <v>10</v>
      </c>
      <c r="B160" s="736"/>
      <c r="C160" s="736"/>
      <c r="D160" s="446"/>
      <c r="E160" s="447"/>
      <c r="F160" s="201" t="s">
        <v>11</v>
      </c>
      <c r="G160" s="417">
        <f t="shared" si="11"/>
        <v>10</v>
      </c>
      <c r="J160" s="735" t="s">
        <v>10</v>
      </c>
      <c r="K160" s="736"/>
      <c r="L160" s="736"/>
      <c r="M160" s="446"/>
      <c r="N160" s="447"/>
      <c r="O160" s="201" t="s">
        <v>11</v>
      </c>
      <c r="P160" s="417">
        <f t="shared" si="12"/>
        <v>8</v>
      </c>
      <c r="Q160" s="420">
        <f t="shared" si="0"/>
        <v>18</v>
      </c>
      <c r="R160" s="382"/>
      <c r="AB160" s="394"/>
      <c r="AC160" s="394"/>
    </row>
    <row r="161" spans="1:29" ht="23.25" x14ac:dyDescent="0.25">
      <c r="A161" s="735" t="s">
        <v>40</v>
      </c>
      <c r="B161" s="736"/>
      <c r="C161" s="736"/>
      <c r="D161" s="446"/>
      <c r="E161" s="447"/>
      <c r="F161" s="481" t="s">
        <v>41</v>
      </c>
      <c r="G161" s="417">
        <f t="shared" si="11"/>
        <v>0</v>
      </c>
      <c r="J161" s="735" t="s">
        <v>40</v>
      </c>
      <c r="K161" s="736"/>
      <c r="L161" s="736"/>
      <c r="M161" s="446"/>
      <c r="N161" s="447"/>
      <c r="O161" s="481" t="s">
        <v>41</v>
      </c>
      <c r="P161" s="417">
        <f t="shared" si="12"/>
        <v>0</v>
      </c>
      <c r="Q161" s="420">
        <f t="shared" si="0"/>
        <v>0</v>
      </c>
      <c r="R161" s="382"/>
      <c r="AB161" s="394"/>
      <c r="AC161" s="394"/>
    </row>
    <row r="162" spans="1:29" ht="23.25" x14ac:dyDescent="0.25">
      <c r="A162" s="735" t="s">
        <v>130</v>
      </c>
      <c r="B162" s="736"/>
      <c r="C162" s="736"/>
      <c r="D162" s="446"/>
      <c r="E162" s="447"/>
      <c r="F162" s="482" t="s">
        <v>131</v>
      </c>
      <c r="G162" s="417">
        <f t="shared" si="11"/>
        <v>0</v>
      </c>
      <c r="J162" s="735" t="s">
        <v>130</v>
      </c>
      <c r="K162" s="736"/>
      <c r="L162" s="736"/>
      <c r="M162" s="446"/>
      <c r="N162" s="447"/>
      <c r="O162" s="482" t="s">
        <v>131</v>
      </c>
      <c r="P162" s="417">
        <f t="shared" si="12"/>
        <v>3</v>
      </c>
      <c r="Q162" s="420">
        <f t="shared" si="0"/>
        <v>3</v>
      </c>
      <c r="R162" s="382"/>
      <c r="AB162" s="394"/>
      <c r="AC162" s="394"/>
    </row>
    <row r="163" spans="1:29" ht="23.25" x14ac:dyDescent="0.25">
      <c r="A163" s="735" t="s">
        <v>74</v>
      </c>
      <c r="B163" s="736"/>
      <c r="C163" s="736"/>
      <c r="D163" s="415"/>
      <c r="E163" s="416"/>
      <c r="F163" s="483" t="s">
        <v>75</v>
      </c>
      <c r="G163" s="417">
        <f t="shared" si="11"/>
        <v>0</v>
      </c>
      <c r="J163" s="735" t="s">
        <v>74</v>
      </c>
      <c r="K163" s="736"/>
      <c r="L163" s="736"/>
      <c r="M163" s="415"/>
      <c r="N163" s="416"/>
      <c r="O163" s="483" t="s">
        <v>75</v>
      </c>
      <c r="P163" s="439">
        <f t="shared" si="12"/>
        <v>0</v>
      </c>
      <c r="Q163" s="420">
        <f t="shared" si="0"/>
        <v>0</v>
      </c>
      <c r="R163" s="382"/>
      <c r="AB163" s="394"/>
      <c r="AC163" s="394"/>
    </row>
    <row r="164" spans="1:29" ht="23.25" x14ac:dyDescent="0.25">
      <c r="A164" s="735" t="s">
        <v>156</v>
      </c>
      <c r="B164" s="736"/>
      <c r="C164" s="736"/>
      <c r="D164" s="415"/>
      <c r="E164" s="447"/>
      <c r="F164" s="220" t="s">
        <v>157</v>
      </c>
      <c r="G164" s="417">
        <f t="shared" si="11"/>
        <v>0</v>
      </c>
      <c r="J164" s="735" t="s">
        <v>156</v>
      </c>
      <c r="K164" s="736"/>
      <c r="L164" s="736"/>
      <c r="M164" s="415"/>
      <c r="N164" s="447"/>
      <c r="O164" s="220" t="s">
        <v>157</v>
      </c>
      <c r="P164" s="417">
        <f t="shared" si="12"/>
        <v>4</v>
      </c>
      <c r="Q164" s="420">
        <f t="shared" si="0"/>
        <v>4</v>
      </c>
      <c r="R164" s="382"/>
      <c r="AB164" s="394"/>
      <c r="AC164" s="394"/>
    </row>
    <row r="165" spans="1:29" ht="23.25" x14ac:dyDescent="0.25">
      <c r="A165" s="735" t="s">
        <v>1</v>
      </c>
      <c r="B165" s="736"/>
      <c r="C165" s="736"/>
      <c r="D165" s="415"/>
      <c r="E165" s="416"/>
      <c r="F165" s="484" t="s">
        <v>0</v>
      </c>
      <c r="G165" s="417">
        <f t="shared" si="11"/>
        <v>0</v>
      </c>
      <c r="J165" s="735" t="s">
        <v>1</v>
      </c>
      <c r="K165" s="736"/>
      <c r="L165" s="736"/>
      <c r="M165" s="415"/>
      <c r="N165" s="416"/>
      <c r="O165" s="484" t="s">
        <v>0</v>
      </c>
      <c r="P165" s="439">
        <f t="shared" si="12"/>
        <v>0</v>
      </c>
      <c r="Q165" s="420">
        <f t="shared" si="0"/>
        <v>0</v>
      </c>
      <c r="R165" s="382"/>
      <c r="AB165" s="394"/>
      <c r="AC165" s="394"/>
    </row>
    <row r="166" spans="1:29" ht="23.25" x14ac:dyDescent="0.25">
      <c r="A166" s="735" t="s">
        <v>3</v>
      </c>
      <c r="B166" s="736"/>
      <c r="C166" s="736"/>
      <c r="D166" s="415"/>
      <c r="E166" s="416"/>
      <c r="F166" s="485" t="s">
        <v>2</v>
      </c>
      <c r="G166" s="417">
        <f t="shared" si="11"/>
        <v>0</v>
      </c>
      <c r="J166" s="735" t="s">
        <v>3</v>
      </c>
      <c r="K166" s="736"/>
      <c r="L166" s="736"/>
      <c r="M166" s="415"/>
      <c r="N166" s="416"/>
      <c r="O166" s="485" t="s">
        <v>2</v>
      </c>
      <c r="P166" s="439">
        <f t="shared" si="12"/>
        <v>0</v>
      </c>
      <c r="Q166" s="420">
        <f t="shared" si="0"/>
        <v>0</v>
      </c>
      <c r="R166" s="382"/>
      <c r="AB166" s="394"/>
      <c r="AC166" s="394"/>
    </row>
    <row r="167" spans="1:29" ht="23.25" x14ac:dyDescent="0.25">
      <c r="A167" s="735" t="s">
        <v>42</v>
      </c>
      <c r="B167" s="736"/>
      <c r="C167" s="736"/>
      <c r="D167" s="415"/>
      <c r="E167" s="416"/>
      <c r="F167" s="486" t="s">
        <v>43</v>
      </c>
      <c r="G167" s="417">
        <f t="shared" si="11"/>
        <v>0</v>
      </c>
      <c r="J167" s="735" t="s">
        <v>42</v>
      </c>
      <c r="K167" s="736"/>
      <c r="L167" s="736"/>
      <c r="M167" s="415"/>
      <c r="N167" s="416"/>
      <c r="O167" s="486" t="s">
        <v>43</v>
      </c>
      <c r="P167" s="417">
        <f t="shared" si="12"/>
        <v>0</v>
      </c>
      <c r="Q167" s="420">
        <f t="shared" si="0"/>
        <v>0</v>
      </c>
      <c r="R167" s="382"/>
      <c r="AB167" s="394"/>
      <c r="AC167" s="394"/>
    </row>
    <row r="168" spans="1:29" ht="23.25" x14ac:dyDescent="0.25">
      <c r="A168" s="735" t="s">
        <v>44</v>
      </c>
      <c r="B168" s="736"/>
      <c r="C168" s="736"/>
      <c r="D168" s="415"/>
      <c r="E168" s="416"/>
      <c r="F168" s="486" t="s">
        <v>45</v>
      </c>
      <c r="G168" s="417">
        <f t="shared" si="11"/>
        <v>0</v>
      </c>
      <c r="J168" s="735" t="s">
        <v>44</v>
      </c>
      <c r="K168" s="736"/>
      <c r="L168" s="736"/>
      <c r="M168" s="415"/>
      <c r="N168" s="416"/>
      <c r="O168" s="486" t="s">
        <v>45</v>
      </c>
      <c r="P168" s="439">
        <f t="shared" si="12"/>
        <v>0</v>
      </c>
      <c r="Q168" s="420">
        <f t="shared" si="0"/>
        <v>0</v>
      </c>
      <c r="R168" s="382"/>
      <c r="AB168" s="394"/>
      <c r="AC168" s="394"/>
    </row>
    <row r="169" spans="1:29" ht="23.25" x14ac:dyDescent="0.25">
      <c r="A169" s="735" t="s">
        <v>46</v>
      </c>
      <c r="B169" s="736"/>
      <c r="C169" s="736"/>
      <c r="D169" s="415"/>
      <c r="E169" s="416"/>
      <c r="F169" s="486" t="s">
        <v>47</v>
      </c>
      <c r="G169" s="417">
        <f t="shared" si="11"/>
        <v>0</v>
      </c>
      <c r="J169" s="735" t="s">
        <v>46</v>
      </c>
      <c r="K169" s="736"/>
      <c r="L169" s="736"/>
      <c r="M169" s="415"/>
      <c r="N169" s="416"/>
      <c r="O169" s="486" t="s">
        <v>47</v>
      </c>
      <c r="P169" s="417">
        <f t="shared" si="12"/>
        <v>0</v>
      </c>
      <c r="Q169" s="420">
        <f t="shared" si="0"/>
        <v>0</v>
      </c>
      <c r="R169" s="382"/>
      <c r="AB169" s="394"/>
      <c r="AC169" s="394"/>
    </row>
    <row r="170" spans="1:29" ht="23.25" x14ac:dyDescent="0.25">
      <c r="A170" s="735" t="s">
        <v>5</v>
      </c>
      <c r="B170" s="736"/>
      <c r="C170" s="736"/>
      <c r="D170" s="415"/>
      <c r="E170" s="416"/>
      <c r="F170" s="487" t="s">
        <v>4</v>
      </c>
      <c r="G170" s="417">
        <f t="shared" si="11"/>
        <v>0</v>
      </c>
      <c r="J170" s="735" t="s">
        <v>5</v>
      </c>
      <c r="K170" s="736"/>
      <c r="L170" s="736"/>
      <c r="M170" s="415"/>
      <c r="N170" s="416"/>
      <c r="O170" s="487" t="s">
        <v>4</v>
      </c>
      <c r="P170" s="439">
        <f t="shared" si="12"/>
        <v>0</v>
      </c>
      <c r="Q170" s="420">
        <f t="shared" si="0"/>
        <v>0</v>
      </c>
      <c r="R170" s="382"/>
      <c r="AB170" s="394"/>
      <c r="AC170" s="394"/>
    </row>
    <row r="171" spans="1:29" ht="23.25" x14ac:dyDescent="0.25">
      <c r="A171" s="735" t="s">
        <v>17</v>
      </c>
      <c r="B171" s="736"/>
      <c r="C171" s="736"/>
      <c r="D171" s="415"/>
      <c r="E171" s="416"/>
      <c r="F171" s="432" t="s">
        <v>18</v>
      </c>
      <c r="G171" s="417">
        <f t="shared" si="11"/>
        <v>0</v>
      </c>
      <c r="J171" s="735" t="s">
        <v>17</v>
      </c>
      <c r="K171" s="736"/>
      <c r="L171" s="736"/>
      <c r="M171" s="415"/>
      <c r="N171" s="416"/>
      <c r="O171" s="432" t="s">
        <v>18</v>
      </c>
      <c r="P171" s="439">
        <f t="shared" si="12"/>
        <v>0</v>
      </c>
      <c r="Q171" s="420">
        <f t="shared" si="0"/>
        <v>0</v>
      </c>
      <c r="R171" s="382"/>
      <c r="AB171" s="394"/>
      <c r="AC171" s="394"/>
    </row>
    <row r="172" spans="1:29" ht="23.25" x14ac:dyDescent="0.25">
      <c r="A172" s="413" t="s">
        <v>120</v>
      </c>
      <c r="B172" s="414"/>
      <c r="C172" s="414"/>
      <c r="D172" s="415"/>
      <c r="E172" s="447"/>
      <c r="F172" s="488" t="s">
        <v>119</v>
      </c>
      <c r="G172" s="417">
        <f t="shared" si="11"/>
        <v>0</v>
      </c>
      <c r="J172" s="413" t="s">
        <v>120</v>
      </c>
      <c r="K172" s="414"/>
      <c r="L172" s="414"/>
      <c r="M172" s="415"/>
      <c r="N172" s="447"/>
      <c r="O172" s="488" t="s">
        <v>119</v>
      </c>
      <c r="P172" s="439">
        <f t="shared" si="12"/>
        <v>0</v>
      </c>
      <c r="Q172" s="420">
        <f t="shared" si="0"/>
        <v>0</v>
      </c>
      <c r="R172" s="382"/>
      <c r="AB172" s="394"/>
      <c r="AC172" s="394"/>
    </row>
    <row r="173" spans="1:29" ht="23.25" x14ac:dyDescent="0.25">
      <c r="A173" s="735" t="s">
        <v>136</v>
      </c>
      <c r="B173" s="736"/>
      <c r="C173" s="736"/>
      <c r="D173" s="415"/>
      <c r="E173" s="416"/>
      <c r="F173" s="489" t="s">
        <v>135</v>
      </c>
      <c r="G173" s="417">
        <f t="shared" si="11"/>
        <v>0</v>
      </c>
      <c r="J173" s="735" t="s">
        <v>136</v>
      </c>
      <c r="K173" s="736"/>
      <c r="L173" s="736"/>
      <c r="M173" s="415"/>
      <c r="N173" s="416"/>
      <c r="O173" s="489" t="s">
        <v>135</v>
      </c>
      <c r="P173" s="439">
        <f t="shared" si="12"/>
        <v>0</v>
      </c>
      <c r="Q173" s="420">
        <f t="shared" si="0"/>
        <v>0</v>
      </c>
      <c r="R173" s="382"/>
      <c r="AB173" s="394"/>
      <c r="AC173" s="394"/>
    </row>
    <row r="174" spans="1:29" ht="23.25" x14ac:dyDescent="0.25">
      <c r="A174" s="413" t="s">
        <v>103</v>
      </c>
      <c r="B174" s="414"/>
      <c r="C174" s="414"/>
      <c r="D174" s="415"/>
      <c r="E174" s="447"/>
      <c r="F174" s="100" t="s">
        <v>102</v>
      </c>
      <c r="G174" s="417">
        <f t="shared" si="11"/>
        <v>6</v>
      </c>
      <c r="J174" s="413" t="s">
        <v>103</v>
      </c>
      <c r="K174" s="414"/>
      <c r="L174" s="414"/>
      <c r="M174" s="415"/>
      <c r="N174" s="447"/>
      <c r="O174" s="100" t="s">
        <v>102</v>
      </c>
      <c r="P174" s="439">
        <f t="shared" si="12"/>
        <v>4</v>
      </c>
      <c r="Q174" s="420">
        <f t="shared" si="0"/>
        <v>10</v>
      </c>
      <c r="R174" s="382"/>
      <c r="AB174" s="394"/>
      <c r="AC174" s="394"/>
    </row>
    <row r="175" spans="1:29" ht="23.25" x14ac:dyDescent="0.25">
      <c r="A175" s="735" t="s">
        <v>48</v>
      </c>
      <c r="B175" s="736"/>
      <c r="C175" s="736"/>
      <c r="D175" s="446"/>
      <c r="E175" s="447"/>
      <c r="F175" s="490" t="s">
        <v>49</v>
      </c>
      <c r="G175" s="417">
        <f t="shared" si="11"/>
        <v>0</v>
      </c>
      <c r="J175" s="735" t="s">
        <v>48</v>
      </c>
      <c r="K175" s="736"/>
      <c r="L175" s="736"/>
      <c r="M175" s="446"/>
      <c r="N175" s="447"/>
      <c r="O175" s="490" t="s">
        <v>49</v>
      </c>
      <c r="P175" s="439">
        <f t="shared" si="12"/>
        <v>0</v>
      </c>
      <c r="Q175" s="420">
        <f t="shared" si="0"/>
        <v>0</v>
      </c>
      <c r="R175" s="382"/>
      <c r="AB175" s="394"/>
      <c r="AC175" s="394"/>
    </row>
    <row r="176" spans="1:29" ht="23.25" x14ac:dyDescent="0.25">
      <c r="A176" s="735" t="s">
        <v>50</v>
      </c>
      <c r="B176" s="736"/>
      <c r="C176" s="736"/>
      <c r="D176" s="446"/>
      <c r="E176" s="447"/>
      <c r="F176" s="491" t="s">
        <v>51</v>
      </c>
      <c r="G176" s="417">
        <f t="shared" si="11"/>
        <v>0</v>
      </c>
      <c r="J176" s="735" t="s">
        <v>50</v>
      </c>
      <c r="K176" s="736"/>
      <c r="L176" s="736"/>
      <c r="M176" s="446"/>
      <c r="N176" s="447"/>
      <c r="O176" s="491" t="s">
        <v>51</v>
      </c>
      <c r="P176" s="439">
        <f t="shared" si="12"/>
        <v>0</v>
      </c>
      <c r="Q176" s="420">
        <f t="shared" si="0"/>
        <v>0</v>
      </c>
      <c r="R176" s="382"/>
      <c r="AB176" s="394"/>
      <c r="AC176" s="394"/>
    </row>
    <row r="177" spans="1:29" ht="23.25" x14ac:dyDescent="0.25">
      <c r="A177" s="735" t="s">
        <v>15</v>
      </c>
      <c r="B177" s="736"/>
      <c r="C177" s="736"/>
      <c r="D177" s="446"/>
      <c r="E177" s="447"/>
      <c r="F177" s="468" t="s">
        <v>12</v>
      </c>
      <c r="G177" s="417">
        <f t="shared" si="11"/>
        <v>0</v>
      </c>
      <c r="J177" s="735" t="s">
        <v>15</v>
      </c>
      <c r="K177" s="736"/>
      <c r="L177" s="736"/>
      <c r="M177" s="446"/>
      <c r="N177" s="447"/>
      <c r="O177" s="468" t="s">
        <v>12</v>
      </c>
      <c r="P177" s="439">
        <f t="shared" si="12"/>
        <v>0</v>
      </c>
      <c r="Q177" s="420">
        <f t="shared" si="0"/>
        <v>0</v>
      </c>
      <c r="R177" s="382"/>
      <c r="AB177" s="394"/>
      <c r="AC177" s="394"/>
    </row>
    <row r="178" spans="1:29" ht="23.25" x14ac:dyDescent="0.25">
      <c r="A178" s="735" t="s">
        <v>122</v>
      </c>
      <c r="B178" s="736"/>
      <c r="C178" s="736"/>
      <c r="D178" s="446"/>
      <c r="E178" s="447"/>
      <c r="F178" s="492" t="s">
        <v>121</v>
      </c>
      <c r="G178" s="417">
        <f t="shared" si="11"/>
        <v>0</v>
      </c>
      <c r="J178" s="735" t="s">
        <v>122</v>
      </c>
      <c r="K178" s="736"/>
      <c r="L178" s="736"/>
      <c r="M178" s="446"/>
      <c r="N178" s="447"/>
      <c r="O178" s="492" t="s">
        <v>121</v>
      </c>
      <c r="P178" s="439">
        <f t="shared" si="12"/>
        <v>0</v>
      </c>
      <c r="Q178" s="420">
        <f t="shared" si="0"/>
        <v>0</v>
      </c>
      <c r="R178" s="382"/>
      <c r="AB178" s="394"/>
      <c r="AC178" s="394"/>
    </row>
    <row r="179" spans="1:29" ht="18" x14ac:dyDescent="0.25">
      <c r="A179" s="737" t="s">
        <v>279</v>
      </c>
      <c r="B179" s="738"/>
      <c r="C179" s="739"/>
      <c r="D179" s="493"/>
      <c r="E179" s="416"/>
      <c r="F179" s="494"/>
      <c r="G179" s="420">
        <f>SUM(G90:G178)</f>
        <v>84</v>
      </c>
      <c r="J179" s="737" t="s">
        <v>279</v>
      </c>
      <c r="K179" s="738"/>
      <c r="L179" s="738"/>
      <c r="M179" s="493"/>
      <c r="N179" s="416"/>
      <c r="O179" s="495"/>
      <c r="P179" s="420">
        <f>SUM(P90:P178)</f>
        <v>89</v>
      </c>
      <c r="Q179" s="420">
        <f>SUM(Q90:Q178)</f>
        <v>173</v>
      </c>
      <c r="R179" s="382"/>
      <c r="AB179" s="394"/>
      <c r="AC179" s="394"/>
    </row>
    <row r="180" spans="1:29" ht="15" x14ac:dyDescent="0.25">
      <c r="R180" s="382"/>
      <c r="AB180" s="394"/>
      <c r="AC180" s="394"/>
    </row>
    <row r="181" spans="1:29" ht="15" x14ac:dyDescent="0.25">
      <c r="A181" s="733" t="s">
        <v>305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382"/>
      <c r="AB181" s="394"/>
      <c r="AC181" s="394"/>
    </row>
    <row r="182" spans="1:29" ht="15" x14ac:dyDescent="0.25">
      <c r="A182" s="733"/>
      <c r="B182" s="733"/>
      <c r="C182" s="733"/>
      <c r="D182" s="733"/>
      <c r="E182" s="733"/>
      <c r="F182" s="733"/>
      <c r="G182" s="733"/>
      <c r="H182" s="733"/>
      <c r="I182" s="733"/>
      <c r="J182" s="733"/>
      <c r="K182" s="733"/>
      <c r="L182" s="733"/>
      <c r="M182" s="733"/>
      <c r="N182" s="733"/>
      <c r="O182" s="733"/>
      <c r="P182" s="733"/>
      <c r="Q182" s="733"/>
      <c r="R182" s="382"/>
      <c r="AB182" s="394"/>
      <c r="AC182" s="394"/>
    </row>
    <row r="183" spans="1:29" ht="15" x14ac:dyDescent="0.25">
      <c r="R183" s="382"/>
      <c r="AB183" s="394"/>
      <c r="AC183" s="394"/>
    </row>
    <row r="184" spans="1:29" ht="15" x14ac:dyDescent="0.25">
      <c r="R184" s="382"/>
      <c r="AB184" s="394"/>
      <c r="AC184" s="394"/>
    </row>
    <row r="185" spans="1:29" ht="15" x14ac:dyDescent="0.25">
      <c r="A185" s="734" t="s">
        <v>306</v>
      </c>
      <c r="B185" s="734"/>
      <c r="C185" s="734"/>
      <c r="D185" s="734"/>
      <c r="E185" s="734"/>
      <c r="F185" s="734"/>
      <c r="G185" s="734"/>
      <c r="H185" s="734"/>
      <c r="I185" s="734"/>
      <c r="J185" s="734"/>
      <c r="K185" s="734"/>
      <c r="L185" s="734"/>
      <c r="M185" s="734"/>
      <c r="N185" s="734"/>
      <c r="O185" s="734"/>
      <c r="P185" s="734"/>
      <c r="Q185" s="734"/>
      <c r="R185" s="382"/>
      <c r="AB185" s="394"/>
      <c r="AC185" s="394"/>
    </row>
    <row r="186" spans="1:29" ht="15" x14ac:dyDescent="0.25">
      <c r="A186" s="734"/>
      <c r="B186" s="734"/>
      <c r="C186" s="734"/>
      <c r="D186" s="734"/>
      <c r="E186" s="734"/>
      <c r="F186" s="734"/>
      <c r="G186" s="734"/>
      <c r="H186" s="734"/>
      <c r="I186" s="734"/>
      <c r="J186" s="734"/>
      <c r="K186" s="734"/>
      <c r="L186" s="734"/>
      <c r="M186" s="734"/>
      <c r="N186" s="734"/>
      <c r="O186" s="734"/>
      <c r="P186" s="734"/>
      <c r="Q186" s="734"/>
      <c r="R186" s="382"/>
      <c r="AB186" s="394"/>
      <c r="AC186" s="394"/>
    </row>
    <row r="187" spans="1:29" ht="15" x14ac:dyDescent="0.25">
      <c r="Q187" s="382"/>
      <c r="R187" s="382"/>
      <c r="AB187" s="394"/>
      <c r="AC187" s="394"/>
    </row>
    <row r="188" spans="1:29" ht="15" x14ac:dyDescent="0.25">
      <c r="R188" s="382"/>
      <c r="AB188" s="394"/>
      <c r="AC188" s="394"/>
    </row>
    <row r="189" spans="1:29" ht="15.75" thickBot="1" x14ac:dyDescent="0.3">
      <c r="R189" s="382"/>
      <c r="AB189" s="394"/>
      <c r="AC189" s="394"/>
    </row>
    <row r="190" spans="1:29" ht="21.75" thickBot="1" x14ac:dyDescent="0.4">
      <c r="A190" s="720" t="s">
        <v>307</v>
      </c>
      <c r="B190" s="721"/>
      <c r="C190" s="721"/>
      <c r="D190" s="721"/>
      <c r="E190" s="722"/>
      <c r="F190" s="723">
        <f>SUM(F192,F194)</f>
        <v>123</v>
      </c>
      <c r="G190" s="724"/>
      <c r="J190" s="720" t="s">
        <v>308</v>
      </c>
      <c r="K190" s="721"/>
      <c r="L190" s="721"/>
      <c r="M190" s="721"/>
      <c r="N190" s="722"/>
      <c r="O190" s="723">
        <f>SUM(O192,O194)</f>
        <v>86</v>
      </c>
      <c r="P190" s="724"/>
      <c r="R190" s="382"/>
      <c r="AB190" s="394"/>
      <c r="AC190" s="394"/>
    </row>
    <row r="191" spans="1:29" ht="21.75" thickBot="1" x14ac:dyDescent="0.4">
      <c r="A191" s="498"/>
      <c r="B191" s="498"/>
      <c r="C191" s="498"/>
      <c r="D191" s="498"/>
      <c r="E191" s="498"/>
      <c r="F191" s="499"/>
      <c r="G191" s="499"/>
      <c r="J191" s="498"/>
      <c r="K191" s="498"/>
      <c r="L191" s="498"/>
      <c r="M191" s="498"/>
      <c r="N191" s="498"/>
      <c r="O191" s="499"/>
      <c r="P191" s="499"/>
      <c r="R191" s="382"/>
      <c r="AB191" s="394"/>
      <c r="AC191" s="394"/>
    </row>
    <row r="192" spans="1:29" ht="21.75" thickBot="1" x14ac:dyDescent="0.4">
      <c r="A192" s="720" t="s">
        <v>309</v>
      </c>
      <c r="B192" s="721"/>
      <c r="C192" s="721"/>
      <c r="D192" s="721"/>
      <c r="E192" s="722"/>
      <c r="F192" s="723">
        <f>SUM(D200:D223)</f>
        <v>67</v>
      </c>
      <c r="G192" s="724"/>
      <c r="J192" s="720" t="s">
        <v>310</v>
      </c>
      <c r="K192" s="721"/>
      <c r="L192" s="721"/>
      <c r="M192" s="721"/>
      <c r="N192" s="722"/>
      <c r="O192" s="723">
        <f>SUM(M200:M223)</f>
        <v>32</v>
      </c>
      <c r="P192" s="724"/>
      <c r="R192" s="382"/>
    </row>
    <row r="193" spans="1:18" ht="21.75" thickBot="1" x14ac:dyDescent="0.4">
      <c r="A193" s="498"/>
      <c r="B193" s="498"/>
      <c r="C193" s="498"/>
      <c r="D193" s="498"/>
      <c r="E193" s="498"/>
      <c r="F193" s="499"/>
      <c r="G193" s="499"/>
      <c r="J193" s="498"/>
      <c r="K193" s="498"/>
      <c r="L193" s="498"/>
      <c r="M193" s="498"/>
      <c r="N193" s="498"/>
      <c r="O193" s="499"/>
      <c r="P193" s="499"/>
      <c r="R193" s="382"/>
    </row>
    <row r="194" spans="1:18" ht="21.75" thickBot="1" x14ac:dyDescent="0.4">
      <c r="A194" s="720" t="s">
        <v>311</v>
      </c>
      <c r="B194" s="721"/>
      <c r="C194" s="721"/>
      <c r="D194" s="721"/>
      <c r="E194" s="722"/>
      <c r="F194" s="723">
        <f>SUM(D225:D296)</f>
        <v>56</v>
      </c>
      <c r="G194" s="724"/>
      <c r="J194" s="720" t="s">
        <v>312</v>
      </c>
      <c r="K194" s="721"/>
      <c r="L194" s="721"/>
      <c r="M194" s="721"/>
      <c r="N194" s="722"/>
      <c r="O194" s="723">
        <f>SUM(M225:M296)</f>
        <v>54</v>
      </c>
      <c r="P194" s="724"/>
      <c r="R194" s="382"/>
    </row>
    <row r="195" spans="1:18" ht="15" x14ac:dyDescent="0.25">
      <c r="A195" s="382"/>
      <c r="B195" s="382"/>
      <c r="C195" s="382"/>
      <c r="D195" s="382"/>
      <c r="E195" s="382"/>
      <c r="F195" s="382"/>
      <c r="G195" s="382"/>
      <c r="I195" s="382"/>
      <c r="J195" s="382"/>
      <c r="K195" s="382"/>
      <c r="L195" s="382"/>
      <c r="M195" s="386"/>
      <c r="N195" s="382"/>
      <c r="O195" s="382"/>
      <c r="P195" s="382"/>
      <c r="Q195" s="382"/>
      <c r="R195" s="382"/>
    </row>
    <row r="196" spans="1:18" ht="21.75" thickBot="1" x14ac:dyDescent="0.4">
      <c r="A196" s="498"/>
      <c r="B196" s="498"/>
      <c r="C196" s="498"/>
      <c r="D196" s="498"/>
      <c r="E196" s="498"/>
      <c r="F196" s="499"/>
      <c r="G196" s="499"/>
      <c r="J196" s="498"/>
      <c r="K196" s="498"/>
      <c r="L196" s="498"/>
      <c r="M196" s="498"/>
      <c r="N196" s="498"/>
      <c r="O196" s="499"/>
      <c r="P196" s="499"/>
    </row>
    <row r="197" spans="1:18" ht="20.25" thickTop="1" thickBot="1" x14ac:dyDescent="0.3">
      <c r="O197" s="382"/>
      <c r="P197" s="781" t="s">
        <v>313</v>
      </c>
      <c r="Q197" s="782"/>
    </row>
    <row r="198" spans="1:18" ht="20.25" thickTop="1" thickBot="1" x14ac:dyDescent="0.35">
      <c r="A198" s="783" t="s">
        <v>314</v>
      </c>
      <c r="B198" s="784"/>
      <c r="C198" s="784"/>
      <c r="D198" s="500" t="s">
        <v>315</v>
      </c>
      <c r="E198" s="785" t="s">
        <v>279</v>
      </c>
      <c r="F198" s="786"/>
      <c r="J198" s="783" t="s">
        <v>314</v>
      </c>
      <c r="K198" s="784"/>
      <c r="L198" s="784"/>
      <c r="M198" s="500" t="s">
        <v>315</v>
      </c>
      <c r="N198" s="785" t="s">
        <v>279</v>
      </c>
      <c r="O198" s="786"/>
      <c r="P198" s="501" t="s">
        <v>315</v>
      </c>
      <c r="Q198" s="502" t="s">
        <v>316</v>
      </c>
    </row>
    <row r="199" spans="1:18" ht="21.75" thickBot="1" x14ac:dyDescent="0.3">
      <c r="A199" s="731" t="s">
        <v>317</v>
      </c>
      <c r="B199" s="731"/>
      <c r="C199" s="732"/>
      <c r="D199" s="731"/>
      <c r="E199" s="723">
        <f>SUM(D200:D223)</f>
        <v>67</v>
      </c>
      <c r="F199" s="724"/>
      <c r="J199" s="731" t="s">
        <v>317</v>
      </c>
      <c r="K199" s="731"/>
      <c r="L199" s="732"/>
      <c r="M199" s="731"/>
      <c r="N199" s="723">
        <f>SUM(M200:M223)</f>
        <v>32</v>
      </c>
      <c r="O199" s="724"/>
      <c r="P199" s="725" t="s">
        <v>318</v>
      </c>
      <c r="Q199" s="726"/>
    </row>
    <row r="200" spans="1:18" ht="18" x14ac:dyDescent="0.25">
      <c r="A200" s="729" t="s">
        <v>319</v>
      </c>
      <c r="B200" s="730"/>
      <c r="C200" s="25" t="s">
        <v>167</v>
      </c>
      <c r="D200" s="417">
        <f t="shared" ref="D200:D223" si="14">COUNTIF($T$3:$BU$30,C200)+COUNTIF($C$49,C200)+COUNTIF($D$49,C200)</f>
        <v>50</v>
      </c>
      <c r="J200" s="729" t="s">
        <v>319</v>
      </c>
      <c r="K200" s="730"/>
      <c r="L200" s="25" t="s">
        <v>167</v>
      </c>
      <c r="M200" s="417">
        <f t="shared" ref="M200:M223" si="15">COUNTIF($A$3:$S$48,L200)+COUNTIF($T$31:$BU$48,L200)+COUNTIF($BV$3:$CN$44,L200)</f>
        <v>24</v>
      </c>
      <c r="N200" s="382"/>
      <c r="O200" s="382"/>
      <c r="P200" s="503">
        <f>D200+M200</f>
        <v>74</v>
      </c>
      <c r="Q200" s="504" t="str">
        <f>IFERROR(P200/$J$4,"")</f>
        <v/>
      </c>
    </row>
    <row r="201" spans="1:18" ht="15.75" x14ac:dyDescent="0.25">
      <c r="A201" s="714" t="s">
        <v>168</v>
      </c>
      <c r="B201" s="715"/>
      <c r="C201" s="505" t="s">
        <v>168</v>
      </c>
      <c r="D201" s="439">
        <f t="shared" si="14"/>
        <v>11</v>
      </c>
      <c r="J201" s="714" t="s">
        <v>168</v>
      </c>
      <c r="K201" s="715"/>
      <c r="L201" s="505" t="s">
        <v>168</v>
      </c>
      <c r="M201" s="439">
        <f t="shared" si="15"/>
        <v>0</v>
      </c>
      <c r="N201" s="382"/>
      <c r="O201" s="382"/>
      <c r="P201" s="503">
        <f t="shared" ref="P201:P223" si="16">D201+M201</f>
        <v>11</v>
      </c>
      <c r="Q201" s="504" t="str">
        <f t="shared" ref="Q201:Q268" si="17">IFERROR(P201/$J$4,"")</f>
        <v/>
      </c>
    </row>
    <row r="202" spans="1:18" ht="15.75" x14ac:dyDescent="0.25">
      <c r="A202" s="714" t="s">
        <v>320</v>
      </c>
      <c r="B202" s="715" t="s">
        <v>320</v>
      </c>
      <c r="C202" s="506" t="s">
        <v>321</v>
      </c>
      <c r="D202" s="439">
        <f t="shared" si="14"/>
        <v>0</v>
      </c>
      <c r="J202" s="714" t="s">
        <v>320</v>
      </c>
      <c r="K202" s="715" t="s">
        <v>320</v>
      </c>
      <c r="L202" s="506" t="s">
        <v>321</v>
      </c>
      <c r="M202" s="439">
        <f t="shared" si="15"/>
        <v>0</v>
      </c>
      <c r="N202" s="382"/>
      <c r="O202" s="382"/>
      <c r="P202" s="503">
        <f t="shared" si="16"/>
        <v>0</v>
      </c>
      <c r="Q202" s="504" t="str">
        <f t="shared" si="17"/>
        <v/>
      </c>
    </row>
    <row r="203" spans="1:18" ht="15.75" x14ac:dyDescent="0.25">
      <c r="A203" s="714" t="s">
        <v>322</v>
      </c>
      <c r="B203" s="715" t="s">
        <v>322</v>
      </c>
      <c r="C203" s="507" t="s">
        <v>323</v>
      </c>
      <c r="D203" s="439">
        <f t="shared" si="14"/>
        <v>0</v>
      </c>
      <c r="J203" s="714" t="s">
        <v>322</v>
      </c>
      <c r="K203" s="715" t="s">
        <v>322</v>
      </c>
      <c r="L203" s="507" t="s">
        <v>323</v>
      </c>
      <c r="M203" s="439">
        <f t="shared" si="15"/>
        <v>0</v>
      </c>
      <c r="N203" s="382"/>
      <c r="O203" s="382"/>
      <c r="P203" s="503">
        <f t="shared" si="16"/>
        <v>0</v>
      </c>
      <c r="Q203" s="504" t="str">
        <f t="shared" si="17"/>
        <v/>
      </c>
    </row>
    <row r="204" spans="1:18" ht="15.75" x14ac:dyDescent="0.25">
      <c r="A204" s="714" t="s">
        <v>324</v>
      </c>
      <c r="B204" s="715" t="s">
        <v>324</v>
      </c>
      <c r="C204" s="508" t="s">
        <v>325</v>
      </c>
      <c r="D204" s="439">
        <f t="shared" si="14"/>
        <v>0</v>
      </c>
      <c r="J204" s="714" t="s">
        <v>324</v>
      </c>
      <c r="K204" s="715" t="s">
        <v>324</v>
      </c>
      <c r="L204" s="508" t="s">
        <v>325</v>
      </c>
      <c r="M204" s="439">
        <f t="shared" si="15"/>
        <v>0</v>
      </c>
      <c r="N204" s="382"/>
      <c r="O204" s="382"/>
      <c r="P204" s="503">
        <f t="shared" si="16"/>
        <v>0</v>
      </c>
      <c r="Q204" s="504" t="str">
        <f t="shared" si="17"/>
        <v/>
      </c>
    </row>
    <row r="205" spans="1:18" ht="15.75" x14ac:dyDescent="0.25">
      <c r="A205" s="714" t="s">
        <v>326</v>
      </c>
      <c r="B205" s="715" t="s">
        <v>326</v>
      </c>
      <c r="C205" s="509" t="s">
        <v>326</v>
      </c>
      <c r="D205" s="439">
        <f t="shared" si="14"/>
        <v>0</v>
      </c>
      <c r="J205" s="714" t="s">
        <v>326</v>
      </c>
      <c r="K205" s="715" t="s">
        <v>326</v>
      </c>
      <c r="L205" s="509" t="s">
        <v>326</v>
      </c>
      <c r="M205" s="439">
        <f t="shared" si="15"/>
        <v>0</v>
      </c>
      <c r="N205" s="382"/>
      <c r="O205" s="382"/>
      <c r="P205" s="503">
        <f t="shared" si="16"/>
        <v>0</v>
      </c>
      <c r="Q205" s="504" t="str">
        <f t="shared" si="17"/>
        <v/>
      </c>
    </row>
    <row r="206" spans="1:18" ht="15.75" x14ac:dyDescent="0.25">
      <c r="A206" s="714" t="s">
        <v>327</v>
      </c>
      <c r="B206" s="715" t="s">
        <v>327</v>
      </c>
      <c r="C206" s="510" t="s">
        <v>327</v>
      </c>
      <c r="D206" s="439">
        <f t="shared" si="14"/>
        <v>0</v>
      </c>
      <c r="J206" s="714" t="s">
        <v>327</v>
      </c>
      <c r="K206" s="715" t="s">
        <v>327</v>
      </c>
      <c r="L206" s="510" t="s">
        <v>327</v>
      </c>
      <c r="M206" s="439">
        <f t="shared" si="15"/>
        <v>0</v>
      </c>
      <c r="N206" s="382"/>
      <c r="O206" s="382"/>
      <c r="P206" s="503">
        <f t="shared" si="16"/>
        <v>0</v>
      </c>
      <c r="Q206" s="504" t="str">
        <f t="shared" si="17"/>
        <v/>
      </c>
    </row>
    <row r="207" spans="1:18" ht="15.75" x14ac:dyDescent="0.25">
      <c r="A207" s="714" t="s">
        <v>328</v>
      </c>
      <c r="B207" s="715" t="s">
        <v>328</v>
      </c>
      <c r="C207" s="511" t="s">
        <v>329</v>
      </c>
      <c r="D207" s="439">
        <f t="shared" si="14"/>
        <v>0</v>
      </c>
      <c r="J207" s="714" t="s">
        <v>328</v>
      </c>
      <c r="K207" s="715" t="s">
        <v>328</v>
      </c>
      <c r="L207" s="511" t="s">
        <v>329</v>
      </c>
      <c r="M207" s="439">
        <f t="shared" si="15"/>
        <v>0</v>
      </c>
      <c r="N207" s="382"/>
      <c r="O207" s="382"/>
      <c r="P207" s="503">
        <f t="shared" si="16"/>
        <v>0</v>
      </c>
      <c r="Q207" s="504" t="str">
        <f t="shared" si="17"/>
        <v/>
      </c>
    </row>
    <row r="208" spans="1:18" ht="15.75" x14ac:dyDescent="0.25">
      <c r="A208" s="714" t="s">
        <v>330</v>
      </c>
      <c r="B208" s="715" t="s">
        <v>330</v>
      </c>
      <c r="C208" s="512" t="s">
        <v>331</v>
      </c>
      <c r="D208" s="439">
        <f t="shared" si="14"/>
        <v>0</v>
      </c>
      <c r="J208" s="714" t="s">
        <v>330</v>
      </c>
      <c r="K208" s="715" t="s">
        <v>330</v>
      </c>
      <c r="L208" s="512" t="s">
        <v>331</v>
      </c>
      <c r="M208" s="439">
        <f t="shared" si="15"/>
        <v>0</v>
      </c>
      <c r="N208" s="382"/>
      <c r="O208" s="382"/>
      <c r="P208" s="503">
        <f t="shared" si="16"/>
        <v>0</v>
      </c>
      <c r="Q208" s="504" t="str">
        <f t="shared" si="17"/>
        <v/>
      </c>
    </row>
    <row r="209" spans="1:17" ht="15.75" x14ac:dyDescent="0.25">
      <c r="A209" s="714" t="s">
        <v>332</v>
      </c>
      <c r="B209" s="715" t="s">
        <v>332</v>
      </c>
      <c r="C209" s="99" t="s">
        <v>333</v>
      </c>
      <c r="D209" s="439">
        <f t="shared" si="14"/>
        <v>0</v>
      </c>
      <c r="J209" s="714" t="s">
        <v>332</v>
      </c>
      <c r="K209" s="715" t="s">
        <v>332</v>
      </c>
      <c r="L209" s="99" t="s">
        <v>333</v>
      </c>
      <c r="M209" s="439">
        <f t="shared" si="15"/>
        <v>0</v>
      </c>
      <c r="N209" s="382"/>
      <c r="O209" s="382"/>
      <c r="P209" s="503">
        <f t="shared" si="16"/>
        <v>0</v>
      </c>
      <c r="Q209" s="504" t="str">
        <f t="shared" si="17"/>
        <v/>
      </c>
    </row>
    <row r="210" spans="1:17" ht="15.75" x14ac:dyDescent="0.25">
      <c r="A210" s="714" t="s">
        <v>334</v>
      </c>
      <c r="B210" s="715" t="s">
        <v>334</v>
      </c>
      <c r="C210" s="513" t="s">
        <v>335</v>
      </c>
      <c r="D210" s="439">
        <f t="shared" si="14"/>
        <v>0</v>
      </c>
      <c r="J210" s="714" t="s">
        <v>334</v>
      </c>
      <c r="K210" s="715" t="s">
        <v>334</v>
      </c>
      <c r="L210" s="513" t="s">
        <v>335</v>
      </c>
      <c r="M210" s="439">
        <f t="shared" si="15"/>
        <v>0</v>
      </c>
      <c r="N210" s="382"/>
      <c r="O210" s="382"/>
      <c r="P210" s="503">
        <f t="shared" si="16"/>
        <v>0</v>
      </c>
      <c r="Q210" s="504" t="str">
        <f t="shared" si="17"/>
        <v/>
      </c>
    </row>
    <row r="211" spans="1:17" ht="15.75" x14ac:dyDescent="0.25">
      <c r="A211" s="714" t="s">
        <v>336</v>
      </c>
      <c r="B211" s="715" t="s">
        <v>336</v>
      </c>
      <c r="C211" s="514" t="s">
        <v>336</v>
      </c>
      <c r="D211" s="439">
        <f t="shared" si="14"/>
        <v>0</v>
      </c>
      <c r="J211" s="714" t="s">
        <v>336</v>
      </c>
      <c r="K211" s="715" t="s">
        <v>336</v>
      </c>
      <c r="L211" s="514" t="s">
        <v>336</v>
      </c>
      <c r="M211" s="439">
        <f t="shared" si="15"/>
        <v>0</v>
      </c>
      <c r="N211" s="382"/>
      <c r="O211" s="382"/>
      <c r="P211" s="503">
        <f t="shared" si="16"/>
        <v>0</v>
      </c>
      <c r="Q211" s="504" t="str">
        <f t="shared" si="17"/>
        <v/>
      </c>
    </row>
    <row r="212" spans="1:17" ht="15.75" x14ac:dyDescent="0.25">
      <c r="A212" s="714" t="s">
        <v>337</v>
      </c>
      <c r="B212" s="715" t="s">
        <v>337</v>
      </c>
      <c r="C212" s="515" t="s">
        <v>338</v>
      </c>
      <c r="D212" s="439">
        <f t="shared" si="14"/>
        <v>0</v>
      </c>
      <c r="J212" s="714" t="s">
        <v>337</v>
      </c>
      <c r="K212" s="715" t="s">
        <v>337</v>
      </c>
      <c r="L212" s="515" t="s">
        <v>338</v>
      </c>
      <c r="M212" s="439">
        <f t="shared" si="15"/>
        <v>0</v>
      </c>
      <c r="N212" s="382"/>
      <c r="O212" s="382"/>
      <c r="P212" s="503">
        <f t="shared" si="16"/>
        <v>0</v>
      </c>
      <c r="Q212" s="504" t="str">
        <f t="shared" si="17"/>
        <v/>
      </c>
    </row>
    <row r="213" spans="1:17" ht="15.75" x14ac:dyDescent="0.25">
      <c r="A213" s="714" t="s">
        <v>339</v>
      </c>
      <c r="B213" s="715" t="s">
        <v>339</v>
      </c>
      <c r="C213" s="516" t="s">
        <v>340</v>
      </c>
      <c r="D213" s="439">
        <f t="shared" si="14"/>
        <v>0</v>
      </c>
      <c r="J213" s="714" t="s">
        <v>339</v>
      </c>
      <c r="K213" s="715" t="s">
        <v>339</v>
      </c>
      <c r="L213" s="516" t="s">
        <v>340</v>
      </c>
      <c r="M213" s="439">
        <f t="shared" si="15"/>
        <v>0</v>
      </c>
      <c r="N213" s="382"/>
      <c r="O213" s="382"/>
      <c r="P213" s="503">
        <f t="shared" si="16"/>
        <v>0</v>
      </c>
      <c r="Q213" s="504" t="str">
        <f t="shared" si="17"/>
        <v/>
      </c>
    </row>
    <row r="214" spans="1:17" ht="15.75" x14ac:dyDescent="0.25">
      <c r="A214" s="714" t="s">
        <v>341</v>
      </c>
      <c r="B214" s="715" t="s">
        <v>341</v>
      </c>
      <c r="C214" s="517" t="s">
        <v>342</v>
      </c>
      <c r="D214" s="439">
        <f t="shared" si="14"/>
        <v>0</v>
      </c>
      <c r="J214" s="714" t="s">
        <v>341</v>
      </c>
      <c r="K214" s="715" t="s">
        <v>341</v>
      </c>
      <c r="L214" s="517" t="s">
        <v>342</v>
      </c>
      <c r="M214" s="439">
        <f t="shared" si="15"/>
        <v>0</v>
      </c>
      <c r="N214" s="382"/>
      <c r="O214" s="382"/>
      <c r="P214" s="503">
        <f t="shared" si="16"/>
        <v>0</v>
      </c>
      <c r="Q214" s="504" t="str">
        <f t="shared" si="17"/>
        <v/>
      </c>
    </row>
    <row r="215" spans="1:17" ht="15.75" x14ac:dyDescent="0.25">
      <c r="A215" s="714" t="s">
        <v>343</v>
      </c>
      <c r="B215" s="715" t="s">
        <v>343</v>
      </c>
      <c r="C215" s="518" t="s">
        <v>344</v>
      </c>
      <c r="D215" s="439">
        <f t="shared" si="14"/>
        <v>0</v>
      </c>
      <c r="J215" s="714" t="s">
        <v>343</v>
      </c>
      <c r="K215" s="715" t="s">
        <v>343</v>
      </c>
      <c r="L215" s="518" t="s">
        <v>344</v>
      </c>
      <c r="M215" s="439">
        <f t="shared" si="15"/>
        <v>0</v>
      </c>
      <c r="N215" s="382"/>
      <c r="O215" s="382"/>
      <c r="P215" s="503">
        <f t="shared" si="16"/>
        <v>0</v>
      </c>
      <c r="Q215" s="504" t="str">
        <f t="shared" si="17"/>
        <v/>
      </c>
    </row>
    <row r="216" spans="1:17" ht="15.75" x14ac:dyDescent="0.25">
      <c r="A216" s="714" t="s">
        <v>345</v>
      </c>
      <c r="B216" s="715"/>
      <c r="C216" s="106" t="s">
        <v>193</v>
      </c>
      <c r="D216" s="439">
        <f t="shared" si="14"/>
        <v>6</v>
      </c>
      <c r="J216" s="714" t="s">
        <v>345</v>
      </c>
      <c r="K216" s="715"/>
      <c r="L216" s="106" t="s">
        <v>193</v>
      </c>
      <c r="M216" s="439">
        <f t="shared" si="15"/>
        <v>8</v>
      </c>
      <c r="N216" s="382"/>
      <c r="O216" s="382"/>
      <c r="P216" s="503">
        <f t="shared" si="16"/>
        <v>14</v>
      </c>
      <c r="Q216" s="504" t="str">
        <f t="shared" si="17"/>
        <v/>
      </c>
    </row>
    <row r="217" spans="1:17" ht="15.75" x14ac:dyDescent="0.25">
      <c r="A217" s="714" t="s">
        <v>206</v>
      </c>
      <c r="B217" s="715" t="s">
        <v>206</v>
      </c>
      <c r="C217" s="519" t="s">
        <v>346</v>
      </c>
      <c r="D217" s="439">
        <f t="shared" si="14"/>
        <v>0</v>
      </c>
      <c r="J217" s="714" t="s">
        <v>206</v>
      </c>
      <c r="K217" s="715" t="s">
        <v>206</v>
      </c>
      <c r="L217" s="519" t="s">
        <v>346</v>
      </c>
      <c r="M217" s="439">
        <f t="shared" si="15"/>
        <v>0</v>
      </c>
      <c r="N217" s="382"/>
      <c r="O217" s="382"/>
      <c r="P217" s="503">
        <f t="shared" si="16"/>
        <v>0</v>
      </c>
      <c r="Q217" s="504" t="str">
        <f t="shared" si="17"/>
        <v/>
      </c>
    </row>
    <row r="218" spans="1:17" ht="15.75" x14ac:dyDescent="0.25">
      <c r="A218" s="714" t="s">
        <v>347</v>
      </c>
      <c r="B218" s="715" t="s">
        <v>347</v>
      </c>
      <c r="C218" s="520" t="s">
        <v>348</v>
      </c>
      <c r="D218" s="439">
        <f t="shared" si="14"/>
        <v>0</v>
      </c>
      <c r="J218" s="714" t="s">
        <v>347</v>
      </c>
      <c r="K218" s="715" t="s">
        <v>347</v>
      </c>
      <c r="L218" s="520" t="s">
        <v>348</v>
      </c>
      <c r="M218" s="439">
        <f t="shared" si="15"/>
        <v>0</v>
      </c>
      <c r="N218" s="382"/>
      <c r="O218" s="382"/>
      <c r="P218" s="503">
        <f t="shared" si="16"/>
        <v>0</v>
      </c>
      <c r="Q218" s="504" t="str">
        <f t="shared" si="17"/>
        <v/>
      </c>
    </row>
    <row r="219" spans="1:17" ht="15.75" x14ac:dyDescent="0.25">
      <c r="A219" s="714" t="s">
        <v>349</v>
      </c>
      <c r="B219" s="715"/>
      <c r="C219" s="521" t="s">
        <v>350</v>
      </c>
      <c r="D219" s="439">
        <f t="shared" si="14"/>
        <v>0</v>
      </c>
      <c r="J219" s="714" t="s">
        <v>349</v>
      </c>
      <c r="K219" s="715"/>
      <c r="L219" s="521" t="s">
        <v>350</v>
      </c>
      <c r="M219" s="439">
        <f t="shared" si="15"/>
        <v>0</v>
      </c>
      <c r="N219" s="382"/>
      <c r="O219" s="382"/>
      <c r="P219" s="503">
        <f t="shared" si="16"/>
        <v>0</v>
      </c>
      <c r="Q219" s="504" t="str">
        <f t="shared" si="17"/>
        <v/>
      </c>
    </row>
    <row r="220" spans="1:17" ht="15.75" x14ac:dyDescent="0.25">
      <c r="A220" s="714" t="s">
        <v>351</v>
      </c>
      <c r="B220" s="715" t="s">
        <v>351</v>
      </c>
      <c r="C220" s="522" t="s">
        <v>352</v>
      </c>
      <c r="D220" s="439">
        <f t="shared" si="14"/>
        <v>0</v>
      </c>
      <c r="J220" s="714" t="s">
        <v>351</v>
      </c>
      <c r="K220" s="715" t="s">
        <v>351</v>
      </c>
      <c r="L220" s="522" t="s">
        <v>352</v>
      </c>
      <c r="M220" s="439">
        <f t="shared" si="15"/>
        <v>0</v>
      </c>
      <c r="N220" s="382"/>
      <c r="O220" s="382"/>
      <c r="P220" s="503">
        <f t="shared" si="16"/>
        <v>0</v>
      </c>
      <c r="Q220" s="504" t="str">
        <f t="shared" si="17"/>
        <v/>
      </c>
    </row>
    <row r="221" spans="1:17" ht="15.75" x14ac:dyDescent="0.25">
      <c r="A221" s="714" t="s">
        <v>353</v>
      </c>
      <c r="B221" s="715" t="s">
        <v>354</v>
      </c>
      <c r="C221" s="523" t="s">
        <v>355</v>
      </c>
      <c r="D221" s="439">
        <f t="shared" si="14"/>
        <v>0</v>
      </c>
      <c r="J221" s="714" t="s">
        <v>353</v>
      </c>
      <c r="K221" s="715" t="s">
        <v>354</v>
      </c>
      <c r="L221" s="523" t="s">
        <v>355</v>
      </c>
      <c r="M221" s="439">
        <f t="shared" si="15"/>
        <v>0</v>
      </c>
      <c r="N221" s="382"/>
      <c r="O221" s="382"/>
      <c r="P221" s="503">
        <f t="shared" si="16"/>
        <v>0</v>
      </c>
      <c r="Q221" s="504" t="str">
        <f t="shared" si="17"/>
        <v/>
      </c>
    </row>
    <row r="222" spans="1:17" ht="15.75" x14ac:dyDescent="0.25">
      <c r="A222" s="714" t="s">
        <v>356</v>
      </c>
      <c r="B222" s="715" t="s">
        <v>357</v>
      </c>
      <c r="C222" s="524" t="s">
        <v>358</v>
      </c>
      <c r="D222" s="439">
        <f t="shared" si="14"/>
        <v>0</v>
      </c>
      <c r="J222" s="714" t="s">
        <v>356</v>
      </c>
      <c r="K222" s="715"/>
      <c r="L222" s="524" t="s">
        <v>358</v>
      </c>
      <c r="M222" s="439">
        <f t="shared" si="15"/>
        <v>0</v>
      </c>
      <c r="N222" s="382"/>
      <c r="O222" s="382"/>
      <c r="P222" s="503">
        <f t="shared" si="16"/>
        <v>0</v>
      </c>
      <c r="Q222" s="504" t="str">
        <f t="shared" si="17"/>
        <v/>
      </c>
    </row>
    <row r="223" spans="1:17" ht="16.5" thickBot="1" x14ac:dyDescent="0.3">
      <c r="A223" s="714" t="s">
        <v>359</v>
      </c>
      <c r="B223" s="715" t="s">
        <v>357</v>
      </c>
      <c r="C223" s="523" t="s">
        <v>360</v>
      </c>
      <c r="D223" s="439">
        <f t="shared" si="14"/>
        <v>0</v>
      </c>
      <c r="J223" s="714" t="s">
        <v>359</v>
      </c>
      <c r="K223" s="715" t="s">
        <v>357</v>
      </c>
      <c r="L223" s="523" t="s">
        <v>360</v>
      </c>
      <c r="M223" s="439">
        <f t="shared" si="15"/>
        <v>0</v>
      </c>
      <c r="N223" s="382"/>
      <c r="O223" s="382"/>
      <c r="P223" s="503">
        <f t="shared" si="16"/>
        <v>0</v>
      </c>
      <c r="Q223" s="504" t="str">
        <f t="shared" si="17"/>
        <v/>
      </c>
    </row>
    <row r="224" spans="1:17" ht="21.75" thickBot="1" x14ac:dyDescent="0.3">
      <c r="A224" s="727" t="s">
        <v>361</v>
      </c>
      <c r="B224" s="727"/>
      <c r="C224" s="727"/>
      <c r="D224" s="727"/>
      <c r="E224" s="723">
        <f>SUM(D225:D292)</f>
        <v>52</v>
      </c>
      <c r="F224" s="724"/>
      <c r="J224" s="727" t="s">
        <v>361</v>
      </c>
      <c r="K224" s="727"/>
      <c r="L224" s="727"/>
      <c r="M224" s="728"/>
      <c r="N224" s="723">
        <f>SUM(M225:M292)</f>
        <v>50</v>
      </c>
      <c r="O224" s="724"/>
      <c r="P224" s="725" t="s">
        <v>362</v>
      </c>
      <c r="Q224" s="726"/>
    </row>
    <row r="225" spans="1:17" ht="15.75" x14ac:dyDescent="0.25">
      <c r="A225" s="714" t="s">
        <v>363</v>
      </c>
      <c r="B225" s="715"/>
      <c r="C225" s="227" t="s">
        <v>236</v>
      </c>
      <c r="D225" s="439">
        <f t="shared" ref="D225:D288" si="18">COUNTIF($T$3:$BU$30,C225)+COUNTIF($C$49,C225)+COUNTIF($D$49,C225)</f>
        <v>6</v>
      </c>
      <c r="J225" s="714" t="s">
        <v>363</v>
      </c>
      <c r="K225" s="715"/>
      <c r="L225" s="227" t="s">
        <v>236</v>
      </c>
      <c r="M225" s="439">
        <f t="shared" ref="M225:M288" si="19">COUNTIF($A$3:$S$48,L225)+COUNTIF($T$31:$BU$48,L225)+COUNTIF($BV$3:$CN$44,L225)</f>
        <v>8</v>
      </c>
      <c r="N225" s="382"/>
      <c r="O225" s="382"/>
      <c r="P225" s="503">
        <f t="shared" ref="P225:P288" si="20">D225+M225</f>
        <v>14</v>
      </c>
      <c r="Q225" s="504" t="str">
        <f t="shared" si="17"/>
        <v/>
      </c>
    </row>
    <row r="226" spans="1:17" ht="15.75" x14ac:dyDescent="0.25">
      <c r="A226" s="714" t="s">
        <v>364</v>
      </c>
      <c r="B226" s="715"/>
      <c r="C226" s="525" t="s">
        <v>365</v>
      </c>
      <c r="D226" s="439">
        <f t="shared" si="18"/>
        <v>0</v>
      </c>
      <c r="J226" s="714" t="s">
        <v>364</v>
      </c>
      <c r="K226" s="715"/>
      <c r="L226" s="525" t="s">
        <v>365</v>
      </c>
      <c r="M226" s="439">
        <f t="shared" si="19"/>
        <v>0</v>
      </c>
      <c r="N226" s="382"/>
      <c r="O226" s="382"/>
      <c r="P226" s="503">
        <f t="shared" si="20"/>
        <v>0</v>
      </c>
      <c r="Q226" s="504" t="str">
        <f t="shared" si="17"/>
        <v/>
      </c>
    </row>
    <row r="227" spans="1:17" ht="15.75" x14ac:dyDescent="0.25">
      <c r="A227" s="714" t="s">
        <v>366</v>
      </c>
      <c r="B227" s="715"/>
      <c r="C227" s="526" t="s">
        <v>367</v>
      </c>
      <c r="D227" s="439">
        <f t="shared" si="18"/>
        <v>0</v>
      </c>
      <c r="J227" s="714" t="s">
        <v>366</v>
      </c>
      <c r="K227" s="715"/>
      <c r="L227" s="526" t="s">
        <v>367</v>
      </c>
      <c r="M227" s="439">
        <f t="shared" si="19"/>
        <v>0</v>
      </c>
      <c r="N227" s="382"/>
      <c r="O227" s="382"/>
      <c r="P227" s="503">
        <f t="shared" si="20"/>
        <v>0</v>
      </c>
      <c r="Q227" s="504" t="str">
        <f t="shared" si="17"/>
        <v/>
      </c>
    </row>
    <row r="228" spans="1:17" ht="15.75" x14ac:dyDescent="0.25">
      <c r="A228" s="714" t="s">
        <v>368</v>
      </c>
      <c r="B228" s="715"/>
      <c r="C228" s="527" t="s">
        <v>369</v>
      </c>
      <c r="D228" s="439">
        <f t="shared" si="18"/>
        <v>0</v>
      </c>
      <c r="J228" s="714" t="s">
        <v>368</v>
      </c>
      <c r="K228" s="715"/>
      <c r="L228" s="527" t="s">
        <v>369</v>
      </c>
      <c r="M228" s="439">
        <f t="shared" si="19"/>
        <v>0</v>
      </c>
      <c r="N228" s="382"/>
      <c r="O228" s="382"/>
      <c r="P228" s="503">
        <f t="shared" si="20"/>
        <v>0</v>
      </c>
      <c r="Q228" s="504" t="str">
        <f t="shared" si="17"/>
        <v/>
      </c>
    </row>
    <row r="229" spans="1:17" ht="15.75" x14ac:dyDescent="0.25">
      <c r="A229" s="714" t="s">
        <v>206</v>
      </c>
      <c r="B229" s="715"/>
      <c r="C229" s="519" t="s">
        <v>206</v>
      </c>
      <c r="D229" s="439">
        <f t="shared" si="18"/>
        <v>0</v>
      </c>
      <c r="J229" s="714" t="s">
        <v>206</v>
      </c>
      <c r="K229" s="715"/>
      <c r="L229" s="519" t="s">
        <v>206</v>
      </c>
      <c r="M229" s="439">
        <f t="shared" si="19"/>
        <v>12</v>
      </c>
      <c r="N229" s="382"/>
      <c r="O229" s="382"/>
      <c r="P229" s="503">
        <f t="shared" si="20"/>
        <v>12</v>
      </c>
      <c r="Q229" s="504" t="str">
        <f t="shared" si="17"/>
        <v/>
      </c>
    </row>
    <row r="230" spans="1:17" ht="15.75" x14ac:dyDescent="0.25">
      <c r="A230" s="714" t="s">
        <v>370</v>
      </c>
      <c r="B230" s="715"/>
      <c r="C230" s="528" t="s">
        <v>371</v>
      </c>
      <c r="D230" s="439">
        <f t="shared" si="18"/>
        <v>0</v>
      </c>
      <c r="J230" s="714" t="s">
        <v>370</v>
      </c>
      <c r="K230" s="715"/>
      <c r="L230" s="528" t="s">
        <v>371</v>
      </c>
      <c r="M230" s="439">
        <f t="shared" si="19"/>
        <v>0</v>
      </c>
      <c r="N230" s="382"/>
      <c r="O230" s="382"/>
      <c r="P230" s="503">
        <f t="shared" si="20"/>
        <v>0</v>
      </c>
      <c r="Q230" s="504" t="str">
        <f t="shared" si="17"/>
        <v/>
      </c>
    </row>
    <row r="231" spans="1:17" ht="15.75" x14ac:dyDescent="0.25">
      <c r="A231" s="714" t="s">
        <v>372</v>
      </c>
      <c r="B231" s="715"/>
      <c r="C231" s="529" t="s">
        <v>373</v>
      </c>
      <c r="D231" s="439">
        <f t="shared" si="18"/>
        <v>0</v>
      </c>
      <c r="J231" s="714" t="s">
        <v>372</v>
      </c>
      <c r="K231" s="715"/>
      <c r="L231" s="529" t="s">
        <v>373</v>
      </c>
      <c r="M231" s="439">
        <f t="shared" si="19"/>
        <v>0</v>
      </c>
      <c r="N231" s="382"/>
      <c r="O231" s="382"/>
      <c r="P231" s="503">
        <f t="shared" si="20"/>
        <v>0</v>
      </c>
      <c r="Q231" s="504" t="str">
        <f t="shared" si="17"/>
        <v/>
      </c>
    </row>
    <row r="232" spans="1:17" ht="15.75" x14ac:dyDescent="0.25">
      <c r="A232" s="714" t="s">
        <v>191</v>
      </c>
      <c r="B232" s="715"/>
      <c r="C232" s="103" t="s">
        <v>191</v>
      </c>
      <c r="D232" s="439">
        <f t="shared" si="18"/>
        <v>8</v>
      </c>
      <c r="J232" s="714" t="s">
        <v>191</v>
      </c>
      <c r="K232" s="715"/>
      <c r="L232" s="103" t="s">
        <v>191</v>
      </c>
      <c r="M232" s="439">
        <f t="shared" si="19"/>
        <v>0</v>
      </c>
      <c r="N232" s="382"/>
      <c r="O232" s="382"/>
      <c r="P232" s="503">
        <f t="shared" si="20"/>
        <v>8</v>
      </c>
      <c r="Q232" s="504" t="str">
        <f t="shared" si="17"/>
        <v/>
      </c>
    </row>
    <row r="233" spans="1:17" ht="15.75" x14ac:dyDescent="0.25">
      <c r="A233" s="714" t="s">
        <v>374</v>
      </c>
      <c r="B233" s="715"/>
      <c r="C233" s="160" t="s">
        <v>207</v>
      </c>
      <c r="D233" s="439">
        <f t="shared" si="18"/>
        <v>12</v>
      </c>
      <c r="J233" s="714" t="s">
        <v>374</v>
      </c>
      <c r="K233" s="715"/>
      <c r="L233" s="160" t="s">
        <v>207</v>
      </c>
      <c r="M233" s="439">
        <f t="shared" si="19"/>
        <v>12</v>
      </c>
      <c r="N233" s="382"/>
      <c r="O233" s="382"/>
      <c r="P233" s="503">
        <f t="shared" si="20"/>
        <v>24</v>
      </c>
      <c r="Q233" s="504" t="str">
        <f t="shared" si="17"/>
        <v/>
      </c>
    </row>
    <row r="234" spans="1:17" ht="15.75" x14ac:dyDescent="0.25">
      <c r="A234" s="714" t="s">
        <v>375</v>
      </c>
      <c r="B234" s="715"/>
      <c r="C234" s="530" t="s">
        <v>376</v>
      </c>
      <c r="D234" s="439">
        <f t="shared" si="18"/>
        <v>0</v>
      </c>
      <c r="J234" s="714" t="s">
        <v>375</v>
      </c>
      <c r="K234" s="715"/>
      <c r="L234" s="530" t="s">
        <v>376</v>
      </c>
      <c r="M234" s="439">
        <f t="shared" si="19"/>
        <v>0</v>
      </c>
      <c r="N234" s="382"/>
      <c r="O234" s="382"/>
      <c r="P234" s="503">
        <f t="shared" si="20"/>
        <v>0</v>
      </c>
      <c r="Q234" s="504" t="str">
        <f t="shared" si="17"/>
        <v/>
      </c>
    </row>
    <row r="235" spans="1:17" ht="15.75" x14ac:dyDescent="0.25">
      <c r="A235" s="714" t="s">
        <v>377</v>
      </c>
      <c r="B235" s="715"/>
      <c r="C235" s="531" t="s">
        <v>377</v>
      </c>
      <c r="D235" s="439">
        <f t="shared" si="18"/>
        <v>0</v>
      </c>
      <c r="J235" s="714" t="s">
        <v>377</v>
      </c>
      <c r="K235" s="715"/>
      <c r="L235" s="531" t="s">
        <v>377</v>
      </c>
      <c r="M235" s="439">
        <f t="shared" si="19"/>
        <v>0</v>
      </c>
      <c r="N235" s="382"/>
      <c r="O235" s="382"/>
      <c r="P235" s="503">
        <f t="shared" si="20"/>
        <v>0</v>
      </c>
      <c r="Q235" s="504" t="str">
        <f t="shared" si="17"/>
        <v/>
      </c>
    </row>
    <row r="236" spans="1:17" ht="15.75" x14ac:dyDescent="0.25">
      <c r="A236" s="714" t="s">
        <v>378</v>
      </c>
      <c r="B236" s="715"/>
      <c r="C236" s="532" t="s">
        <v>379</v>
      </c>
      <c r="D236" s="439">
        <f t="shared" si="18"/>
        <v>0</v>
      </c>
      <c r="J236" s="714" t="s">
        <v>378</v>
      </c>
      <c r="K236" s="715"/>
      <c r="L236" s="532" t="s">
        <v>379</v>
      </c>
      <c r="M236" s="439">
        <f t="shared" si="19"/>
        <v>0</v>
      </c>
      <c r="N236" s="382"/>
      <c r="O236" s="382"/>
      <c r="P236" s="503">
        <f t="shared" si="20"/>
        <v>0</v>
      </c>
      <c r="Q236" s="504" t="str">
        <f t="shared" si="17"/>
        <v/>
      </c>
    </row>
    <row r="237" spans="1:17" ht="15.75" x14ac:dyDescent="0.25">
      <c r="A237" s="714" t="s">
        <v>380</v>
      </c>
      <c r="B237" s="715"/>
      <c r="C237" s="294" t="s">
        <v>250</v>
      </c>
      <c r="D237" s="439">
        <f t="shared" si="18"/>
        <v>0</v>
      </c>
      <c r="J237" s="714" t="s">
        <v>380</v>
      </c>
      <c r="K237" s="715"/>
      <c r="L237" s="294" t="s">
        <v>250</v>
      </c>
      <c r="M237" s="439">
        <f t="shared" si="19"/>
        <v>6</v>
      </c>
      <c r="N237" s="382"/>
      <c r="O237" s="382"/>
      <c r="P237" s="503">
        <f t="shared" si="20"/>
        <v>6</v>
      </c>
      <c r="Q237" s="504" t="str">
        <f t="shared" si="17"/>
        <v/>
      </c>
    </row>
    <row r="238" spans="1:17" ht="15.75" x14ac:dyDescent="0.25">
      <c r="A238" s="714" t="s">
        <v>381</v>
      </c>
      <c r="B238" s="715"/>
      <c r="C238" s="525" t="s">
        <v>382</v>
      </c>
      <c r="D238" s="439">
        <f t="shared" si="18"/>
        <v>0</v>
      </c>
      <c r="J238" s="714" t="s">
        <v>381</v>
      </c>
      <c r="K238" s="715"/>
      <c r="L238" s="525" t="s">
        <v>382</v>
      </c>
      <c r="M238" s="439">
        <f t="shared" si="19"/>
        <v>0</v>
      </c>
      <c r="N238" s="382"/>
      <c r="O238" s="382"/>
      <c r="P238" s="503">
        <f t="shared" si="20"/>
        <v>0</v>
      </c>
      <c r="Q238" s="504"/>
    </row>
    <row r="239" spans="1:17" ht="15.75" x14ac:dyDescent="0.25">
      <c r="A239" s="714" t="s">
        <v>383</v>
      </c>
      <c r="B239" s="715"/>
      <c r="C239" s="533" t="s">
        <v>384</v>
      </c>
      <c r="D239" s="439">
        <f t="shared" si="18"/>
        <v>0</v>
      </c>
      <c r="J239" s="714" t="s">
        <v>383</v>
      </c>
      <c r="K239" s="715"/>
      <c r="L239" s="533" t="s">
        <v>384</v>
      </c>
      <c r="M239" s="439">
        <f t="shared" si="19"/>
        <v>0</v>
      </c>
      <c r="N239" s="382"/>
      <c r="O239" s="382"/>
      <c r="P239" s="503">
        <f t="shared" si="20"/>
        <v>0</v>
      </c>
      <c r="Q239" s="504" t="str">
        <f t="shared" si="17"/>
        <v/>
      </c>
    </row>
    <row r="240" spans="1:17" ht="15.75" x14ac:dyDescent="0.25">
      <c r="A240" s="714" t="s">
        <v>385</v>
      </c>
      <c r="B240" s="715"/>
      <c r="C240" s="516" t="s">
        <v>386</v>
      </c>
      <c r="D240" s="439">
        <f t="shared" si="18"/>
        <v>0</v>
      </c>
      <c r="J240" s="714" t="s">
        <v>385</v>
      </c>
      <c r="K240" s="715"/>
      <c r="L240" s="516" t="s">
        <v>386</v>
      </c>
      <c r="M240" s="439">
        <f t="shared" si="19"/>
        <v>0</v>
      </c>
      <c r="N240" s="382"/>
      <c r="O240" s="382"/>
      <c r="P240" s="503">
        <f t="shared" si="20"/>
        <v>0</v>
      </c>
      <c r="Q240" s="504" t="str">
        <f t="shared" si="17"/>
        <v/>
      </c>
    </row>
    <row r="241" spans="1:17" ht="15.75" x14ac:dyDescent="0.25">
      <c r="A241" s="714" t="s">
        <v>337</v>
      </c>
      <c r="B241" s="715"/>
      <c r="C241" s="534" t="s">
        <v>387</v>
      </c>
      <c r="D241" s="439">
        <f t="shared" si="18"/>
        <v>0</v>
      </c>
      <c r="J241" s="714" t="s">
        <v>337</v>
      </c>
      <c r="K241" s="715"/>
      <c r="L241" s="534" t="s">
        <v>387</v>
      </c>
      <c r="M241" s="439">
        <f t="shared" si="19"/>
        <v>0</v>
      </c>
      <c r="N241" s="382"/>
      <c r="O241" s="382"/>
      <c r="P241" s="503">
        <f t="shared" si="20"/>
        <v>0</v>
      </c>
      <c r="Q241" s="504" t="str">
        <f t="shared" si="17"/>
        <v/>
      </c>
    </row>
    <row r="242" spans="1:17" ht="15.75" x14ac:dyDescent="0.25">
      <c r="A242" s="714" t="s">
        <v>388</v>
      </c>
      <c r="B242" s="715"/>
      <c r="C242" s="535" t="s">
        <v>389</v>
      </c>
      <c r="D242" s="439">
        <f t="shared" si="18"/>
        <v>0</v>
      </c>
      <c r="J242" s="714" t="s">
        <v>388</v>
      </c>
      <c r="K242" s="715"/>
      <c r="L242" s="535" t="s">
        <v>389</v>
      </c>
      <c r="M242" s="439">
        <f t="shared" si="19"/>
        <v>0</v>
      </c>
      <c r="N242" s="382"/>
      <c r="O242" s="382"/>
      <c r="P242" s="503">
        <f t="shared" si="20"/>
        <v>0</v>
      </c>
      <c r="Q242" s="504" t="str">
        <f t="shared" si="17"/>
        <v/>
      </c>
    </row>
    <row r="243" spans="1:17" ht="15.75" x14ac:dyDescent="0.25">
      <c r="A243" s="714" t="s">
        <v>390</v>
      </c>
      <c r="B243" s="715"/>
      <c r="C243" s="536" t="s">
        <v>391</v>
      </c>
      <c r="D243" s="439">
        <f t="shared" si="18"/>
        <v>0</v>
      </c>
      <c r="J243" s="714" t="s">
        <v>390</v>
      </c>
      <c r="K243" s="715"/>
      <c r="L243" s="536" t="s">
        <v>391</v>
      </c>
      <c r="M243" s="439">
        <f t="shared" si="19"/>
        <v>0</v>
      </c>
      <c r="N243" s="382"/>
      <c r="O243" s="382"/>
      <c r="P243" s="503">
        <f t="shared" si="20"/>
        <v>0</v>
      </c>
      <c r="Q243" s="504" t="str">
        <f t="shared" si="17"/>
        <v/>
      </c>
    </row>
    <row r="244" spans="1:17" ht="15.75" x14ac:dyDescent="0.25">
      <c r="A244" s="714" t="s">
        <v>392</v>
      </c>
      <c r="B244" s="715"/>
      <c r="C244" s="537" t="s">
        <v>393</v>
      </c>
      <c r="D244" s="439">
        <f t="shared" si="18"/>
        <v>0</v>
      </c>
      <c r="J244" s="714" t="s">
        <v>392</v>
      </c>
      <c r="K244" s="715"/>
      <c r="L244" s="537" t="s">
        <v>393</v>
      </c>
      <c r="M244" s="439">
        <f t="shared" si="19"/>
        <v>0</v>
      </c>
      <c r="N244" s="382"/>
      <c r="O244" s="382"/>
      <c r="P244" s="503">
        <f t="shared" si="20"/>
        <v>0</v>
      </c>
      <c r="Q244" s="504" t="str">
        <f t="shared" si="17"/>
        <v/>
      </c>
    </row>
    <row r="245" spans="1:17" ht="15.75" x14ac:dyDescent="0.25">
      <c r="A245" s="714" t="s">
        <v>394</v>
      </c>
      <c r="B245" s="715"/>
      <c r="C245" s="538" t="s">
        <v>395</v>
      </c>
      <c r="D245" s="439">
        <f t="shared" si="18"/>
        <v>0</v>
      </c>
      <c r="J245" s="714" t="s">
        <v>394</v>
      </c>
      <c r="K245" s="715"/>
      <c r="L245" s="538" t="s">
        <v>395</v>
      </c>
      <c r="M245" s="439">
        <f t="shared" si="19"/>
        <v>0</v>
      </c>
      <c r="N245" s="382"/>
      <c r="O245" s="382"/>
      <c r="P245" s="503">
        <f t="shared" si="20"/>
        <v>0</v>
      </c>
      <c r="Q245" s="504" t="str">
        <f t="shared" si="17"/>
        <v/>
      </c>
    </row>
    <row r="246" spans="1:17" ht="15.75" x14ac:dyDescent="0.25">
      <c r="A246" s="714" t="s">
        <v>396</v>
      </c>
      <c r="B246" s="715"/>
      <c r="C246" s="539" t="s">
        <v>397</v>
      </c>
      <c r="D246" s="439">
        <f t="shared" si="18"/>
        <v>0</v>
      </c>
      <c r="J246" s="714" t="s">
        <v>396</v>
      </c>
      <c r="K246" s="715"/>
      <c r="L246" s="539" t="s">
        <v>397</v>
      </c>
      <c r="M246" s="439">
        <f t="shared" si="19"/>
        <v>0</v>
      </c>
      <c r="N246" s="382"/>
      <c r="O246" s="382"/>
      <c r="P246" s="503">
        <f t="shared" si="20"/>
        <v>0</v>
      </c>
      <c r="Q246" s="504" t="str">
        <f t="shared" si="17"/>
        <v/>
      </c>
    </row>
    <row r="247" spans="1:17" ht="15.75" x14ac:dyDescent="0.25">
      <c r="A247" s="714" t="s">
        <v>398</v>
      </c>
      <c r="B247" s="715"/>
      <c r="C247" s="540" t="s">
        <v>398</v>
      </c>
      <c r="D247" s="439">
        <f t="shared" si="18"/>
        <v>0</v>
      </c>
      <c r="J247" s="714" t="s">
        <v>398</v>
      </c>
      <c r="K247" s="715"/>
      <c r="L247" s="540" t="s">
        <v>398</v>
      </c>
      <c r="M247" s="439">
        <f t="shared" si="19"/>
        <v>0</v>
      </c>
      <c r="N247" s="382"/>
      <c r="O247" s="382"/>
      <c r="P247" s="503">
        <f t="shared" si="20"/>
        <v>0</v>
      </c>
      <c r="Q247" s="504" t="str">
        <f t="shared" si="17"/>
        <v/>
      </c>
    </row>
    <row r="248" spans="1:17" ht="15.75" x14ac:dyDescent="0.25">
      <c r="A248" s="714" t="s">
        <v>399</v>
      </c>
      <c r="B248" s="715"/>
      <c r="C248" s="541" t="s">
        <v>400</v>
      </c>
      <c r="D248" s="439">
        <f t="shared" si="18"/>
        <v>0</v>
      </c>
      <c r="J248" s="714" t="s">
        <v>399</v>
      </c>
      <c r="K248" s="715"/>
      <c r="L248" s="541" t="s">
        <v>400</v>
      </c>
      <c r="M248" s="439">
        <f t="shared" si="19"/>
        <v>0</v>
      </c>
      <c r="N248" s="382"/>
      <c r="O248" s="382"/>
      <c r="P248" s="503">
        <f t="shared" si="20"/>
        <v>0</v>
      </c>
      <c r="Q248" s="504" t="str">
        <f t="shared" si="17"/>
        <v/>
      </c>
    </row>
    <row r="249" spans="1:17" ht="15.75" x14ac:dyDescent="0.25">
      <c r="A249" s="714" t="s">
        <v>401</v>
      </c>
      <c r="B249" s="715"/>
      <c r="C249" s="542" t="s">
        <v>402</v>
      </c>
      <c r="D249" s="439">
        <f t="shared" si="18"/>
        <v>0</v>
      </c>
      <c r="J249" s="714" t="s">
        <v>401</v>
      </c>
      <c r="K249" s="715"/>
      <c r="L249" s="542" t="s">
        <v>402</v>
      </c>
      <c r="M249" s="439">
        <f t="shared" si="19"/>
        <v>0</v>
      </c>
      <c r="N249" s="382"/>
      <c r="O249" s="382"/>
      <c r="P249" s="503">
        <f t="shared" si="20"/>
        <v>0</v>
      </c>
      <c r="Q249" s="504" t="str">
        <f t="shared" si="17"/>
        <v/>
      </c>
    </row>
    <row r="250" spans="1:17" ht="15.75" x14ac:dyDescent="0.25">
      <c r="A250" s="714" t="s">
        <v>403</v>
      </c>
      <c r="B250" s="715"/>
      <c r="C250" s="543" t="s">
        <v>404</v>
      </c>
      <c r="D250" s="439">
        <f t="shared" si="18"/>
        <v>0</v>
      </c>
      <c r="J250" s="714" t="s">
        <v>403</v>
      </c>
      <c r="K250" s="715"/>
      <c r="L250" s="543" t="s">
        <v>404</v>
      </c>
      <c r="M250" s="439">
        <f t="shared" si="19"/>
        <v>0</v>
      </c>
      <c r="N250" s="382"/>
      <c r="O250" s="382"/>
      <c r="P250" s="503">
        <f t="shared" si="20"/>
        <v>0</v>
      </c>
      <c r="Q250" s="504"/>
    </row>
    <row r="251" spans="1:17" ht="15.75" x14ac:dyDescent="0.25">
      <c r="A251" s="714" t="s">
        <v>405</v>
      </c>
      <c r="B251" s="715"/>
      <c r="C251" s="544" t="s">
        <v>406</v>
      </c>
      <c r="D251" s="439">
        <f t="shared" si="18"/>
        <v>0</v>
      </c>
      <c r="J251" s="714" t="s">
        <v>405</v>
      </c>
      <c r="K251" s="715"/>
      <c r="L251" s="544" t="s">
        <v>406</v>
      </c>
      <c r="M251" s="439">
        <f t="shared" si="19"/>
        <v>0</v>
      </c>
      <c r="N251" s="382"/>
      <c r="O251" s="382"/>
      <c r="P251" s="503">
        <f t="shared" si="20"/>
        <v>0</v>
      </c>
      <c r="Q251" s="504" t="str">
        <f t="shared" ref="Q251" si="21">IFERROR(P251/$J$4,"")</f>
        <v/>
      </c>
    </row>
    <row r="252" spans="1:17" ht="15.75" x14ac:dyDescent="0.25">
      <c r="A252" s="714" t="s">
        <v>407</v>
      </c>
      <c r="B252" s="715"/>
      <c r="C252" s="545" t="s">
        <v>408</v>
      </c>
      <c r="D252" s="439">
        <f t="shared" si="18"/>
        <v>0</v>
      </c>
      <c r="J252" s="714" t="s">
        <v>407</v>
      </c>
      <c r="K252" s="715"/>
      <c r="L252" s="545" t="s">
        <v>408</v>
      </c>
      <c r="M252" s="439">
        <f t="shared" si="19"/>
        <v>0</v>
      </c>
      <c r="N252" s="382"/>
      <c r="O252" s="382"/>
      <c r="P252" s="503">
        <f t="shared" si="20"/>
        <v>0</v>
      </c>
      <c r="Q252" s="504" t="str">
        <f t="shared" si="17"/>
        <v/>
      </c>
    </row>
    <row r="253" spans="1:17" ht="15.75" x14ac:dyDescent="0.25">
      <c r="A253" s="714" t="s">
        <v>409</v>
      </c>
      <c r="B253" s="715"/>
      <c r="C253" s="546" t="s">
        <v>410</v>
      </c>
      <c r="D253" s="439">
        <f t="shared" si="18"/>
        <v>0</v>
      </c>
      <c r="J253" s="714" t="s">
        <v>409</v>
      </c>
      <c r="K253" s="715"/>
      <c r="L253" s="546" t="s">
        <v>410</v>
      </c>
      <c r="M253" s="439">
        <f t="shared" si="19"/>
        <v>0</v>
      </c>
      <c r="N253" s="382"/>
      <c r="O253" s="382"/>
      <c r="P253" s="503">
        <f t="shared" si="20"/>
        <v>0</v>
      </c>
      <c r="Q253" s="504" t="str">
        <f t="shared" si="17"/>
        <v/>
      </c>
    </row>
    <row r="254" spans="1:17" ht="15.75" x14ac:dyDescent="0.25">
      <c r="A254" s="714" t="s">
        <v>240</v>
      </c>
      <c r="B254" s="715"/>
      <c r="C254" s="547" t="s">
        <v>240</v>
      </c>
      <c r="D254" s="439">
        <f t="shared" si="18"/>
        <v>0</v>
      </c>
      <c r="J254" s="714" t="s">
        <v>240</v>
      </c>
      <c r="K254" s="715"/>
      <c r="L254" s="547" t="s">
        <v>240</v>
      </c>
      <c r="M254" s="439">
        <f t="shared" si="19"/>
        <v>6</v>
      </c>
      <c r="N254" s="382"/>
      <c r="O254" s="382"/>
      <c r="P254" s="503">
        <f t="shared" si="20"/>
        <v>6</v>
      </c>
      <c r="Q254" s="504" t="str">
        <f t="shared" si="17"/>
        <v/>
      </c>
    </row>
    <row r="255" spans="1:17" ht="15.75" x14ac:dyDescent="0.25">
      <c r="A255" s="714" t="s">
        <v>411</v>
      </c>
      <c r="B255" s="715"/>
      <c r="C255" s="548" t="s">
        <v>412</v>
      </c>
      <c r="D255" s="439">
        <f t="shared" si="18"/>
        <v>0</v>
      </c>
      <c r="J255" s="714" t="s">
        <v>411</v>
      </c>
      <c r="K255" s="715"/>
      <c r="L255" s="548" t="s">
        <v>412</v>
      </c>
      <c r="M255" s="439">
        <f t="shared" si="19"/>
        <v>0</v>
      </c>
      <c r="N255" s="382"/>
      <c r="O255" s="382"/>
      <c r="P255" s="503">
        <f t="shared" si="20"/>
        <v>0</v>
      </c>
      <c r="Q255" s="504" t="str">
        <f t="shared" si="17"/>
        <v/>
      </c>
    </row>
    <row r="256" spans="1:17" ht="15.75" x14ac:dyDescent="0.25">
      <c r="A256" s="714" t="s">
        <v>413</v>
      </c>
      <c r="B256" s="715"/>
      <c r="C256" s="549" t="s">
        <v>414</v>
      </c>
      <c r="D256" s="439">
        <f t="shared" si="18"/>
        <v>0</v>
      </c>
      <c r="J256" s="714" t="s">
        <v>413</v>
      </c>
      <c r="K256" s="715"/>
      <c r="L256" s="549" t="s">
        <v>414</v>
      </c>
      <c r="M256" s="439">
        <f t="shared" si="19"/>
        <v>0</v>
      </c>
      <c r="N256" s="382"/>
      <c r="O256" s="382"/>
      <c r="P256" s="503">
        <f t="shared" si="20"/>
        <v>0</v>
      </c>
      <c r="Q256" s="504" t="str">
        <f t="shared" si="17"/>
        <v/>
      </c>
    </row>
    <row r="257" spans="1:17" ht="15.75" x14ac:dyDescent="0.25">
      <c r="A257" s="714" t="s">
        <v>415</v>
      </c>
      <c r="B257" s="715"/>
      <c r="C257" s="550" t="s">
        <v>416</v>
      </c>
      <c r="D257" s="439">
        <f t="shared" si="18"/>
        <v>0</v>
      </c>
      <c r="J257" s="714" t="s">
        <v>415</v>
      </c>
      <c r="K257" s="715"/>
      <c r="L257" s="550" t="s">
        <v>416</v>
      </c>
      <c r="M257" s="439">
        <f t="shared" si="19"/>
        <v>0</v>
      </c>
      <c r="N257" s="382"/>
      <c r="O257" s="382"/>
      <c r="P257" s="503">
        <f t="shared" si="20"/>
        <v>0</v>
      </c>
      <c r="Q257" s="504" t="str">
        <f t="shared" si="17"/>
        <v/>
      </c>
    </row>
    <row r="258" spans="1:17" ht="15.75" x14ac:dyDescent="0.25">
      <c r="A258" s="714" t="s">
        <v>417</v>
      </c>
      <c r="B258" s="715"/>
      <c r="C258" s="550" t="s">
        <v>418</v>
      </c>
      <c r="D258" s="439">
        <f t="shared" si="18"/>
        <v>0</v>
      </c>
      <c r="J258" s="714" t="s">
        <v>417</v>
      </c>
      <c r="K258" s="715"/>
      <c r="L258" s="550" t="s">
        <v>418</v>
      </c>
      <c r="M258" s="439">
        <f t="shared" si="19"/>
        <v>0</v>
      </c>
      <c r="N258" s="382"/>
      <c r="O258" s="382"/>
      <c r="P258" s="503">
        <f t="shared" si="20"/>
        <v>0</v>
      </c>
      <c r="Q258" s="504" t="str">
        <f t="shared" si="17"/>
        <v/>
      </c>
    </row>
    <row r="259" spans="1:17" ht="15.75" x14ac:dyDescent="0.25">
      <c r="A259" s="714" t="s">
        <v>419</v>
      </c>
      <c r="B259" s="715"/>
      <c r="C259" s="551" t="s">
        <v>420</v>
      </c>
      <c r="D259" s="439">
        <f t="shared" si="18"/>
        <v>0</v>
      </c>
      <c r="J259" s="714" t="s">
        <v>419</v>
      </c>
      <c r="K259" s="715"/>
      <c r="L259" s="551" t="s">
        <v>420</v>
      </c>
      <c r="M259" s="439">
        <f t="shared" si="19"/>
        <v>0</v>
      </c>
      <c r="N259" s="382"/>
      <c r="O259" s="382"/>
      <c r="P259" s="503">
        <f t="shared" si="20"/>
        <v>0</v>
      </c>
      <c r="Q259" s="504" t="str">
        <f t="shared" si="17"/>
        <v/>
      </c>
    </row>
    <row r="260" spans="1:17" ht="15.75" x14ac:dyDescent="0.25">
      <c r="A260" s="714" t="s">
        <v>421</v>
      </c>
      <c r="B260" s="715"/>
      <c r="C260" s="552" t="s">
        <v>422</v>
      </c>
      <c r="D260" s="439">
        <f t="shared" si="18"/>
        <v>0</v>
      </c>
      <c r="J260" s="714" t="s">
        <v>421</v>
      </c>
      <c r="K260" s="715"/>
      <c r="L260" s="552" t="s">
        <v>422</v>
      </c>
      <c r="M260" s="439">
        <f t="shared" si="19"/>
        <v>0</v>
      </c>
      <c r="N260" s="382"/>
      <c r="O260" s="382"/>
      <c r="P260" s="503">
        <f t="shared" si="20"/>
        <v>0</v>
      </c>
      <c r="Q260" s="504" t="str">
        <f t="shared" si="17"/>
        <v/>
      </c>
    </row>
    <row r="261" spans="1:17" ht="15.75" x14ac:dyDescent="0.25">
      <c r="A261" s="714" t="s">
        <v>423</v>
      </c>
      <c r="B261" s="715"/>
      <c r="C261" s="552" t="s">
        <v>424</v>
      </c>
      <c r="D261" s="439">
        <f t="shared" si="18"/>
        <v>0</v>
      </c>
      <c r="J261" s="714" t="s">
        <v>423</v>
      </c>
      <c r="K261" s="715"/>
      <c r="L261" s="552" t="s">
        <v>424</v>
      </c>
      <c r="M261" s="439">
        <f t="shared" si="19"/>
        <v>0</v>
      </c>
      <c r="N261" s="382"/>
      <c r="O261" s="382"/>
      <c r="P261" s="503">
        <f t="shared" si="20"/>
        <v>0</v>
      </c>
      <c r="Q261" s="504" t="str">
        <f t="shared" si="17"/>
        <v/>
      </c>
    </row>
    <row r="262" spans="1:17" ht="15.75" x14ac:dyDescent="0.25">
      <c r="A262" s="714" t="s">
        <v>425</v>
      </c>
      <c r="B262" s="715"/>
      <c r="C262" s="553" t="s">
        <v>426</v>
      </c>
      <c r="D262" s="439">
        <f t="shared" si="18"/>
        <v>0</v>
      </c>
      <c r="J262" s="714" t="s">
        <v>425</v>
      </c>
      <c r="K262" s="715"/>
      <c r="L262" s="553" t="s">
        <v>426</v>
      </c>
      <c r="M262" s="439">
        <f t="shared" si="19"/>
        <v>0</v>
      </c>
      <c r="N262" s="382"/>
      <c r="O262" s="382"/>
      <c r="P262" s="503">
        <f t="shared" si="20"/>
        <v>0</v>
      </c>
      <c r="Q262" s="504" t="str">
        <f t="shared" si="17"/>
        <v/>
      </c>
    </row>
    <row r="263" spans="1:17" ht="15.75" x14ac:dyDescent="0.25">
      <c r="A263" s="714" t="s">
        <v>427</v>
      </c>
      <c r="B263" s="715"/>
      <c r="C263" s="554" t="s">
        <v>428</v>
      </c>
      <c r="D263" s="439">
        <f t="shared" si="18"/>
        <v>0</v>
      </c>
      <c r="J263" s="714" t="s">
        <v>427</v>
      </c>
      <c r="K263" s="715"/>
      <c r="L263" s="554" t="s">
        <v>428</v>
      </c>
      <c r="M263" s="439">
        <f t="shared" si="19"/>
        <v>0</v>
      </c>
      <c r="N263" s="382"/>
      <c r="O263" s="382"/>
      <c r="P263" s="503">
        <f t="shared" si="20"/>
        <v>0</v>
      </c>
      <c r="Q263" s="504" t="str">
        <f t="shared" si="17"/>
        <v/>
      </c>
    </row>
    <row r="264" spans="1:17" ht="15.75" x14ac:dyDescent="0.25">
      <c r="A264" s="714" t="s">
        <v>429</v>
      </c>
      <c r="B264" s="715"/>
      <c r="C264" s="555" t="s">
        <v>430</v>
      </c>
      <c r="D264" s="439">
        <f t="shared" si="18"/>
        <v>0</v>
      </c>
      <c r="J264" s="714" t="s">
        <v>429</v>
      </c>
      <c r="K264" s="715"/>
      <c r="L264" s="555" t="s">
        <v>430</v>
      </c>
      <c r="M264" s="439">
        <f t="shared" si="19"/>
        <v>0</v>
      </c>
      <c r="N264" s="382"/>
      <c r="O264" s="382"/>
      <c r="P264" s="503">
        <f t="shared" si="20"/>
        <v>0</v>
      </c>
      <c r="Q264" s="504" t="str">
        <f t="shared" si="17"/>
        <v/>
      </c>
    </row>
    <row r="265" spans="1:17" ht="15.75" x14ac:dyDescent="0.25">
      <c r="A265" s="714" t="s">
        <v>190</v>
      </c>
      <c r="B265" s="715"/>
      <c r="C265" s="556" t="s">
        <v>190</v>
      </c>
      <c r="D265" s="439">
        <f t="shared" si="18"/>
        <v>26</v>
      </c>
      <c r="J265" s="714" t="s">
        <v>190</v>
      </c>
      <c r="K265" s="715"/>
      <c r="L265" s="556" t="s">
        <v>190</v>
      </c>
      <c r="M265" s="439">
        <f t="shared" si="19"/>
        <v>0</v>
      </c>
      <c r="N265" s="382"/>
      <c r="O265" s="382"/>
      <c r="P265" s="503">
        <f t="shared" si="20"/>
        <v>26</v>
      </c>
      <c r="Q265" s="504" t="str">
        <f t="shared" si="17"/>
        <v/>
      </c>
    </row>
    <row r="266" spans="1:17" ht="15.75" x14ac:dyDescent="0.25">
      <c r="A266" s="714" t="s">
        <v>431</v>
      </c>
      <c r="B266" s="715"/>
      <c r="C266" s="557" t="s">
        <v>432</v>
      </c>
      <c r="D266" s="439">
        <f t="shared" si="18"/>
        <v>0</v>
      </c>
      <c r="J266" s="714" t="s">
        <v>431</v>
      </c>
      <c r="K266" s="715"/>
      <c r="L266" s="557" t="s">
        <v>432</v>
      </c>
      <c r="M266" s="439">
        <f t="shared" si="19"/>
        <v>0</v>
      </c>
      <c r="N266" s="382"/>
      <c r="O266" s="382"/>
      <c r="P266" s="503">
        <f t="shared" si="20"/>
        <v>0</v>
      </c>
      <c r="Q266" s="504" t="str">
        <f t="shared" si="17"/>
        <v/>
      </c>
    </row>
    <row r="267" spans="1:17" ht="15.75" x14ac:dyDescent="0.25">
      <c r="A267" s="714" t="s">
        <v>433</v>
      </c>
      <c r="B267" s="715"/>
      <c r="C267" s="558" t="s">
        <v>434</v>
      </c>
      <c r="D267" s="439">
        <f t="shared" si="18"/>
        <v>0</v>
      </c>
      <c r="J267" s="714" t="s">
        <v>433</v>
      </c>
      <c r="K267" s="715"/>
      <c r="L267" s="558" t="s">
        <v>434</v>
      </c>
      <c r="M267" s="439">
        <f t="shared" si="19"/>
        <v>0</v>
      </c>
      <c r="N267" s="382"/>
      <c r="O267" s="382"/>
      <c r="P267" s="503">
        <f t="shared" si="20"/>
        <v>0</v>
      </c>
      <c r="Q267" s="504" t="str">
        <f t="shared" si="17"/>
        <v/>
      </c>
    </row>
    <row r="268" spans="1:17" ht="15.75" x14ac:dyDescent="0.25">
      <c r="A268" s="714" t="s">
        <v>435</v>
      </c>
      <c r="B268" s="715"/>
      <c r="C268" s="524" t="s">
        <v>436</v>
      </c>
      <c r="D268" s="439">
        <f t="shared" si="18"/>
        <v>0</v>
      </c>
      <c r="J268" s="714" t="s">
        <v>435</v>
      </c>
      <c r="K268" s="715"/>
      <c r="L268" s="524" t="s">
        <v>436</v>
      </c>
      <c r="M268" s="439">
        <f t="shared" si="19"/>
        <v>0</v>
      </c>
      <c r="N268" s="382"/>
      <c r="O268" s="382"/>
      <c r="P268" s="503">
        <f t="shared" si="20"/>
        <v>0</v>
      </c>
      <c r="Q268" s="504" t="str">
        <f t="shared" si="17"/>
        <v/>
      </c>
    </row>
    <row r="269" spans="1:17" ht="15.75" x14ac:dyDescent="0.25">
      <c r="A269" s="714" t="s">
        <v>357</v>
      </c>
      <c r="B269" s="715"/>
      <c r="C269" s="524" t="s">
        <v>437</v>
      </c>
      <c r="D269" s="439">
        <f t="shared" si="18"/>
        <v>0</v>
      </c>
      <c r="J269" s="714" t="s">
        <v>357</v>
      </c>
      <c r="K269" s="715"/>
      <c r="L269" s="524" t="s">
        <v>437</v>
      </c>
      <c r="M269" s="439">
        <f t="shared" si="19"/>
        <v>0</v>
      </c>
      <c r="N269" s="382"/>
      <c r="O269" s="382"/>
      <c r="P269" s="503">
        <f t="shared" si="20"/>
        <v>0</v>
      </c>
      <c r="Q269" s="504" t="str">
        <f t="shared" ref="Q269:Q296" si="22">IFERROR(P269/$J$4,"")</f>
        <v/>
      </c>
    </row>
    <row r="270" spans="1:17" ht="15.75" x14ac:dyDescent="0.25">
      <c r="A270" s="714" t="s">
        <v>438</v>
      </c>
      <c r="B270" s="715"/>
      <c r="C270" s="524" t="s">
        <v>439</v>
      </c>
      <c r="D270" s="439">
        <f t="shared" si="18"/>
        <v>0</v>
      </c>
      <c r="J270" s="714" t="s">
        <v>438</v>
      </c>
      <c r="K270" s="715"/>
      <c r="L270" s="524" t="s">
        <v>439</v>
      </c>
      <c r="M270" s="439">
        <f t="shared" si="19"/>
        <v>0</v>
      </c>
      <c r="N270" s="382"/>
      <c r="O270" s="382"/>
      <c r="P270" s="503">
        <f t="shared" si="20"/>
        <v>0</v>
      </c>
      <c r="Q270" s="504" t="str">
        <f t="shared" si="22"/>
        <v/>
      </c>
    </row>
    <row r="271" spans="1:17" ht="15.75" x14ac:dyDescent="0.25">
      <c r="A271" s="714" t="s">
        <v>440</v>
      </c>
      <c r="B271" s="715"/>
      <c r="C271" s="559" t="s">
        <v>441</v>
      </c>
      <c r="D271" s="439">
        <f t="shared" si="18"/>
        <v>0</v>
      </c>
      <c r="J271" s="714" t="s">
        <v>440</v>
      </c>
      <c r="K271" s="715"/>
      <c r="L271" s="559" t="s">
        <v>441</v>
      </c>
      <c r="M271" s="439">
        <f t="shared" si="19"/>
        <v>0</v>
      </c>
      <c r="N271" s="382"/>
      <c r="O271" s="382"/>
      <c r="P271" s="503">
        <f t="shared" si="20"/>
        <v>0</v>
      </c>
      <c r="Q271" s="504" t="str">
        <f t="shared" si="22"/>
        <v/>
      </c>
    </row>
    <row r="272" spans="1:17" ht="15.75" x14ac:dyDescent="0.25">
      <c r="A272" s="714" t="s">
        <v>442</v>
      </c>
      <c r="B272" s="715"/>
      <c r="C272" s="560" t="s">
        <v>442</v>
      </c>
      <c r="D272" s="439">
        <f t="shared" si="18"/>
        <v>0</v>
      </c>
      <c r="J272" s="714" t="s">
        <v>442</v>
      </c>
      <c r="K272" s="715"/>
      <c r="L272" s="560" t="s">
        <v>442</v>
      </c>
      <c r="M272" s="439">
        <f t="shared" si="19"/>
        <v>0</v>
      </c>
      <c r="N272" s="382"/>
      <c r="O272" s="382"/>
      <c r="P272" s="503">
        <f t="shared" si="20"/>
        <v>0</v>
      </c>
      <c r="Q272" s="504" t="str">
        <f t="shared" si="22"/>
        <v/>
      </c>
    </row>
    <row r="273" spans="1:17" ht="15.75" x14ac:dyDescent="0.25">
      <c r="A273" s="714" t="s">
        <v>443</v>
      </c>
      <c r="B273" s="715"/>
      <c r="C273" s="512" t="s">
        <v>444</v>
      </c>
      <c r="D273" s="439">
        <f t="shared" si="18"/>
        <v>0</v>
      </c>
      <c r="J273" s="714" t="s">
        <v>443</v>
      </c>
      <c r="K273" s="715"/>
      <c r="L273" s="512" t="s">
        <v>444</v>
      </c>
      <c r="M273" s="439">
        <f t="shared" si="19"/>
        <v>0</v>
      </c>
      <c r="N273" s="382"/>
      <c r="O273" s="382"/>
      <c r="P273" s="503">
        <f t="shared" si="20"/>
        <v>0</v>
      </c>
      <c r="Q273" s="504" t="str">
        <f t="shared" si="22"/>
        <v/>
      </c>
    </row>
    <row r="274" spans="1:17" ht="15.75" x14ac:dyDescent="0.25">
      <c r="A274" s="714" t="s">
        <v>445</v>
      </c>
      <c r="B274" s="715"/>
      <c r="C274" s="561" t="s">
        <v>446</v>
      </c>
      <c r="D274" s="439">
        <f t="shared" si="18"/>
        <v>0</v>
      </c>
      <c r="J274" s="714" t="s">
        <v>445</v>
      </c>
      <c r="K274" s="715"/>
      <c r="L274" s="561" t="s">
        <v>446</v>
      </c>
      <c r="M274" s="439">
        <f t="shared" si="19"/>
        <v>0</v>
      </c>
      <c r="N274" s="382"/>
      <c r="O274" s="382"/>
      <c r="P274" s="503">
        <f t="shared" si="20"/>
        <v>0</v>
      </c>
      <c r="Q274" s="504" t="str">
        <f t="shared" si="22"/>
        <v/>
      </c>
    </row>
    <row r="275" spans="1:17" ht="15.75" x14ac:dyDescent="0.25">
      <c r="A275" s="714" t="s">
        <v>447</v>
      </c>
      <c r="B275" s="715"/>
      <c r="C275" s="562" t="s">
        <v>448</v>
      </c>
      <c r="D275" s="439">
        <f t="shared" si="18"/>
        <v>0</v>
      </c>
      <c r="J275" s="714" t="s">
        <v>447</v>
      </c>
      <c r="K275" s="715"/>
      <c r="L275" s="562" t="s">
        <v>448</v>
      </c>
      <c r="M275" s="439">
        <f t="shared" si="19"/>
        <v>0</v>
      </c>
      <c r="N275" s="382"/>
      <c r="O275" s="382"/>
      <c r="P275" s="503">
        <f t="shared" si="20"/>
        <v>0</v>
      </c>
      <c r="Q275" s="504" t="str">
        <f t="shared" si="22"/>
        <v/>
      </c>
    </row>
    <row r="276" spans="1:17" ht="15.75" x14ac:dyDescent="0.25">
      <c r="A276" s="714" t="s">
        <v>449</v>
      </c>
      <c r="B276" s="715"/>
      <c r="C276" s="563" t="s">
        <v>450</v>
      </c>
      <c r="D276" s="439">
        <f t="shared" si="18"/>
        <v>0</v>
      </c>
      <c r="J276" s="714" t="s">
        <v>449</v>
      </c>
      <c r="K276" s="715"/>
      <c r="L276" s="563" t="s">
        <v>450</v>
      </c>
      <c r="M276" s="439">
        <f t="shared" si="19"/>
        <v>0</v>
      </c>
      <c r="N276" s="382"/>
      <c r="O276" s="382"/>
      <c r="P276" s="503">
        <f t="shared" si="20"/>
        <v>0</v>
      </c>
      <c r="Q276" s="504" t="str">
        <f t="shared" si="22"/>
        <v/>
      </c>
    </row>
    <row r="277" spans="1:17" ht="15.75" x14ac:dyDescent="0.25">
      <c r="A277" s="714" t="s">
        <v>451</v>
      </c>
      <c r="B277" s="715"/>
      <c r="C277" s="564" t="s">
        <v>452</v>
      </c>
      <c r="D277" s="439">
        <f t="shared" si="18"/>
        <v>0</v>
      </c>
      <c r="J277" s="714" t="s">
        <v>451</v>
      </c>
      <c r="K277" s="715"/>
      <c r="L277" s="564" t="s">
        <v>452</v>
      </c>
      <c r="M277" s="439">
        <f t="shared" si="19"/>
        <v>0</v>
      </c>
      <c r="N277" s="382"/>
      <c r="O277" s="382"/>
      <c r="P277" s="503">
        <f t="shared" si="20"/>
        <v>0</v>
      </c>
      <c r="Q277" s="504" t="str">
        <f t="shared" si="22"/>
        <v/>
      </c>
    </row>
    <row r="278" spans="1:17" ht="15.75" x14ac:dyDescent="0.25">
      <c r="A278" s="714" t="s">
        <v>453</v>
      </c>
      <c r="B278" s="715"/>
      <c r="C278" s="561" t="s">
        <v>454</v>
      </c>
      <c r="D278" s="439">
        <f t="shared" si="18"/>
        <v>0</v>
      </c>
      <c r="J278" s="714" t="s">
        <v>453</v>
      </c>
      <c r="K278" s="715"/>
      <c r="L278" s="561" t="s">
        <v>454</v>
      </c>
      <c r="M278" s="439">
        <f t="shared" si="19"/>
        <v>0</v>
      </c>
      <c r="N278" s="382"/>
      <c r="O278" s="382"/>
      <c r="P278" s="503">
        <f t="shared" si="20"/>
        <v>0</v>
      </c>
      <c r="Q278" s="504" t="str">
        <f t="shared" si="22"/>
        <v/>
      </c>
    </row>
    <row r="279" spans="1:17" ht="15.75" x14ac:dyDescent="0.25">
      <c r="A279" s="714" t="s">
        <v>455</v>
      </c>
      <c r="B279" s="715"/>
      <c r="C279" s="565" t="s">
        <v>456</v>
      </c>
      <c r="D279" s="439">
        <f t="shared" si="18"/>
        <v>0</v>
      </c>
      <c r="J279" s="714" t="s">
        <v>455</v>
      </c>
      <c r="K279" s="715"/>
      <c r="L279" s="565" t="s">
        <v>456</v>
      </c>
      <c r="M279" s="439">
        <f t="shared" si="19"/>
        <v>0</v>
      </c>
      <c r="N279" s="382"/>
      <c r="O279" s="382"/>
      <c r="P279" s="503">
        <f t="shared" si="20"/>
        <v>0</v>
      </c>
      <c r="Q279" s="504" t="str">
        <f t="shared" si="22"/>
        <v/>
      </c>
    </row>
    <row r="280" spans="1:17" ht="15.75" x14ac:dyDescent="0.25">
      <c r="A280" s="714" t="s">
        <v>457</v>
      </c>
      <c r="B280" s="715"/>
      <c r="C280" s="566" t="s">
        <v>458</v>
      </c>
      <c r="D280" s="439">
        <f t="shared" si="18"/>
        <v>0</v>
      </c>
      <c r="J280" s="714" t="s">
        <v>457</v>
      </c>
      <c r="K280" s="715"/>
      <c r="L280" s="566" t="s">
        <v>458</v>
      </c>
      <c r="M280" s="439">
        <f t="shared" si="19"/>
        <v>0</v>
      </c>
      <c r="N280" s="382"/>
      <c r="O280" s="382"/>
      <c r="P280" s="503">
        <f t="shared" si="20"/>
        <v>0</v>
      </c>
      <c r="Q280" s="504" t="str">
        <f t="shared" si="22"/>
        <v/>
      </c>
    </row>
    <row r="281" spans="1:17" ht="15.75" x14ac:dyDescent="0.25">
      <c r="A281" s="714" t="s">
        <v>459</v>
      </c>
      <c r="B281" s="715"/>
      <c r="C281" s="567" t="s">
        <v>460</v>
      </c>
      <c r="D281" s="439">
        <f t="shared" si="18"/>
        <v>0</v>
      </c>
      <c r="J281" s="714" t="s">
        <v>459</v>
      </c>
      <c r="K281" s="715"/>
      <c r="L281" s="567" t="s">
        <v>460</v>
      </c>
      <c r="M281" s="439">
        <f t="shared" si="19"/>
        <v>0</v>
      </c>
      <c r="N281" s="382"/>
      <c r="O281" s="382"/>
      <c r="P281" s="503">
        <f t="shared" si="20"/>
        <v>0</v>
      </c>
      <c r="Q281" s="504" t="str">
        <f t="shared" si="22"/>
        <v/>
      </c>
    </row>
    <row r="282" spans="1:17" ht="15.75" x14ac:dyDescent="0.25">
      <c r="A282" s="714" t="s">
        <v>461</v>
      </c>
      <c r="B282" s="715"/>
      <c r="C282" s="568" t="s">
        <v>462</v>
      </c>
      <c r="D282" s="439">
        <f t="shared" si="18"/>
        <v>0</v>
      </c>
      <c r="J282" s="714" t="s">
        <v>461</v>
      </c>
      <c r="K282" s="715"/>
      <c r="L282" s="568" t="s">
        <v>462</v>
      </c>
      <c r="M282" s="439">
        <f t="shared" si="19"/>
        <v>0</v>
      </c>
      <c r="N282" s="382"/>
      <c r="O282" s="382"/>
      <c r="P282" s="503">
        <f t="shared" si="20"/>
        <v>0</v>
      </c>
      <c r="Q282" s="504" t="str">
        <f t="shared" si="22"/>
        <v/>
      </c>
    </row>
    <row r="283" spans="1:17" ht="15.75" x14ac:dyDescent="0.25">
      <c r="A283" s="714" t="s">
        <v>354</v>
      </c>
      <c r="B283" s="715"/>
      <c r="C283" s="568" t="s">
        <v>354</v>
      </c>
      <c r="D283" s="439">
        <f t="shared" si="18"/>
        <v>0</v>
      </c>
      <c r="J283" s="714" t="s">
        <v>354</v>
      </c>
      <c r="K283" s="715"/>
      <c r="L283" s="568" t="s">
        <v>354</v>
      </c>
      <c r="M283" s="439">
        <f t="shared" si="19"/>
        <v>0</v>
      </c>
      <c r="N283" s="382"/>
      <c r="O283" s="382"/>
      <c r="P283" s="503">
        <f t="shared" si="20"/>
        <v>0</v>
      </c>
      <c r="Q283" s="504" t="str">
        <f t="shared" si="22"/>
        <v/>
      </c>
    </row>
    <row r="284" spans="1:17" ht="15.75" x14ac:dyDescent="0.25">
      <c r="A284" s="714" t="s">
        <v>324</v>
      </c>
      <c r="B284" s="715"/>
      <c r="C284" s="569" t="s">
        <v>463</v>
      </c>
      <c r="D284" s="439">
        <f t="shared" si="18"/>
        <v>0</v>
      </c>
      <c r="J284" s="714" t="s">
        <v>324</v>
      </c>
      <c r="K284" s="715"/>
      <c r="L284" s="569" t="s">
        <v>463</v>
      </c>
      <c r="M284" s="439">
        <f t="shared" si="19"/>
        <v>0</v>
      </c>
      <c r="N284" s="382"/>
      <c r="O284" s="382"/>
      <c r="P284" s="503">
        <f t="shared" si="20"/>
        <v>0</v>
      </c>
      <c r="Q284" s="504" t="str">
        <f t="shared" si="22"/>
        <v/>
      </c>
    </row>
    <row r="285" spans="1:17" ht="15.75" x14ac:dyDescent="0.25">
      <c r="A285" s="714" t="s">
        <v>464</v>
      </c>
      <c r="B285" s="715"/>
      <c r="C285" s="295" t="s">
        <v>251</v>
      </c>
      <c r="D285" s="439">
        <f t="shared" si="18"/>
        <v>0</v>
      </c>
      <c r="J285" s="714" t="s">
        <v>464</v>
      </c>
      <c r="K285" s="715"/>
      <c r="L285" s="295" t="s">
        <v>251</v>
      </c>
      <c r="M285" s="439">
        <f t="shared" si="19"/>
        <v>6</v>
      </c>
      <c r="N285" s="382"/>
      <c r="O285" s="382"/>
      <c r="P285" s="503">
        <f t="shared" si="20"/>
        <v>6</v>
      </c>
      <c r="Q285" s="504" t="str">
        <f t="shared" si="22"/>
        <v/>
      </c>
    </row>
    <row r="286" spans="1:17" ht="15.75" x14ac:dyDescent="0.25">
      <c r="A286" s="714" t="s">
        <v>465</v>
      </c>
      <c r="B286" s="715"/>
      <c r="C286" s="570" t="s">
        <v>466</v>
      </c>
      <c r="D286" s="439">
        <f t="shared" si="18"/>
        <v>0</v>
      </c>
      <c r="J286" s="714" t="s">
        <v>465</v>
      </c>
      <c r="K286" s="715"/>
      <c r="L286" s="570" t="s">
        <v>466</v>
      </c>
      <c r="M286" s="439">
        <f t="shared" si="19"/>
        <v>0</v>
      </c>
      <c r="N286" s="382"/>
      <c r="O286" s="382"/>
      <c r="P286" s="503">
        <f t="shared" si="20"/>
        <v>0</v>
      </c>
      <c r="Q286" s="504" t="str">
        <f t="shared" si="22"/>
        <v/>
      </c>
    </row>
    <row r="287" spans="1:17" ht="15.75" x14ac:dyDescent="0.25">
      <c r="A287" s="714" t="s">
        <v>467</v>
      </c>
      <c r="B287" s="715"/>
      <c r="C287" s="571" t="s">
        <v>468</v>
      </c>
      <c r="D287" s="439">
        <f t="shared" si="18"/>
        <v>0</v>
      </c>
      <c r="J287" s="714" t="s">
        <v>467</v>
      </c>
      <c r="K287" s="715"/>
      <c r="L287" s="571" t="s">
        <v>468</v>
      </c>
      <c r="M287" s="439">
        <f t="shared" si="19"/>
        <v>0</v>
      </c>
      <c r="N287" s="382"/>
      <c r="O287" s="382"/>
      <c r="P287" s="503">
        <f t="shared" si="20"/>
        <v>0</v>
      </c>
      <c r="Q287" s="504" t="str">
        <f t="shared" si="22"/>
        <v/>
      </c>
    </row>
    <row r="288" spans="1:17" ht="15.75" x14ac:dyDescent="0.25">
      <c r="A288" s="714" t="s">
        <v>469</v>
      </c>
      <c r="B288" s="715"/>
      <c r="C288" s="571" t="s">
        <v>470</v>
      </c>
      <c r="D288" s="439">
        <f t="shared" si="18"/>
        <v>0</v>
      </c>
      <c r="J288" s="714" t="s">
        <v>469</v>
      </c>
      <c r="K288" s="715"/>
      <c r="L288" s="571" t="s">
        <v>470</v>
      </c>
      <c r="M288" s="439">
        <f t="shared" si="19"/>
        <v>0</v>
      </c>
      <c r="N288" s="382"/>
      <c r="O288" s="382"/>
      <c r="P288" s="503">
        <f t="shared" si="20"/>
        <v>0</v>
      </c>
      <c r="Q288" s="504" t="str">
        <f t="shared" si="22"/>
        <v/>
      </c>
    </row>
    <row r="289" spans="1:17" ht="15.75" x14ac:dyDescent="0.25">
      <c r="A289" s="714" t="s">
        <v>471</v>
      </c>
      <c r="B289" s="715"/>
      <c r="C289" s="572" t="s">
        <v>472</v>
      </c>
      <c r="D289" s="439">
        <f t="shared" ref="D289:D296" si="23">COUNTIF($T$3:$BU$30,C289)+COUNTIF($C$49,C289)+COUNTIF($D$49,C289)</f>
        <v>0</v>
      </c>
      <c r="J289" s="714" t="s">
        <v>471</v>
      </c>
      <c r="K289" s="715"/>
      <c r="L289" s="572" t="s">
        <v>472</v>
      </c>
      <c r="M289" s="439">
        <f t="shared" ref="M289:M296" si="24">COUNTIF($A$3:$S$48,L289)+COUNTIF($T$31:$BU$48,L289)+COUNTIF($BV$3:$CN$44,L289)</f>
        <v>0</v>
      </c>
      <c r="N289" s="382"/>
      <c r="O289" s="382"/>
      <c r="P289" s="503">
        <f t="shared" ref="P289:P296" si="25">D289+M289</f>
        <v>0</v>
      </c>
      <c r="Q289" s="504" t="str">
        <f t="shared" si="22"/>
        <v/>
      </c>
    </row>
    <row r="290" spans="1:17" ht="15.75" x14ac:dyDescent="0.25">
      <c r="A290" s="714" t="s">
        <v>473</v>
      </c>
      <c r="B290" s="715"/>
      <c r="C290" s="564" t="s">
        <v>474</v>
      </c>
      <c r="D290" s="439">
        <f t="shared" si="23"/>
        <v>0</v>
      </c>
      <c r="J290" s="714" t="s">
        <v>473</v>
      </c>
      <c r="K290" s="715"/>
      <c r="L290" s="564" t="s">
        <v>474</v>
      </c>
      <c r="M290" s="439">
        <f t="shared" si="24"/>
        <v>0</v>
      </c>
      <c r="N290" s="382"/>
      <c r="O290" s="382"/>
      <c r="P290" s="503">
        <f t="shared" si="25"/>
        <v>0</v>
      </c>
      <c r="Q290" s="504" t="str">
        <f t="shared" si="22"/>
        <v/>
      </c>
    </row>
    <row r="291" spans="1:17" ht="15.75" x14ac:dyDescent="0.25">
      <c r="A291" s="714" t="s">
        <v>475</v>
      </c>
      <c r="B291" s="715"/>
      <c r="C291" s="570" t="s">
        <v>476</v>
      </c>
      <c r="D291" s="439">
        <f t="shared" si="23"/>
        <v>0</v>
      </c>
      <c r="J291" s="714" t="s">
        <v>475</v>
      </c>
      <c r="K291" s="715"/>
      <c r="L291" s="570" t="s">
        <v>476</v>
      </c>
      <c r="M291" s="439">
        <f t="shared" si="24"/>
        <v>0</v>
      </c>
      <c r="N291" s="382"/>
      <c r="O291" s="382"/>
      <c r="P291" s="503">
        <f t="shared" si="25"/>
        <v>0</v>
      </c>
      <c r="Q291" s="504" t="str">
        <f t="shared" si="22"/>
        <v/>
      </c>
    </row>
    <row r="292" spans="1:17" ht="15.75" x14ac:dyDescent="0.25">
      <c r="A292" s="714" t="s">
        <v>477</v>
      </c>
      <c r="B292" s="715"/>
      <c r="C292" s="573" t="s">
        <v>478</v>
      </c>
      <c r="D292" s="439">
        <f t="shared" si="23"/>
        <v>0</v>
      </c>
      <c r="J292" s="714" t="s">
        <v>477</v>
      </c>
      <c r="K292" s="715"/>
      <c r="L292" s="573" t="s">
        <v>478</v>
      </c>
      <c r="M292" s="439">
        <f t="shared" si="24"/>
        <v>0</v>
      </c>
      <c r="P292" s="503">
        <f t="shared" si="25"/>
        <v>0</v>
      </c>
      <c r="Q292" s="504" t="str">
        <f t="shared" si="22"/>
        <v/>
      </c>
    </row>
    <row r="293" spans="1:17" ht="15.75" x14ac:dyDescent="0.25">
      <c r="A293" s="714" t="s">
        <v>479</v>
      </c>
      <c r="B293" s="715"/>
      <c r="C293" s="574" t="s">
        <v>479</v>
      </c>
      <c r="D293" s="439">
        <f t="shared" si="23"/>
        <v>0</v>
      </c>
      <c r="J293" s="714" t="s">
        <v>479</v>
      </c>
      <c r="K293" s="715"/>
      <c r="L293" s="574" t="s">
        <v>479</v>
      </c>
      <c r="M293" s="439">
        <f t="shared" si="24"/>
        <v>0</v>
      </c>
      <c r="P293" s="503">
        <f t="shared" si="25"/>
        <v>0</v>
      </c>
      <c r="Q293" s="504" t="str">
        <f t="shared" si="22"/>
        <v/>
      </c>
    </row>
    <row r="294" spans="1:17" ht="15.75" x14ac:dyDescent="0.25">
      <c r="A294" s="714" t="s">
        <v>480</v>
      </c>
      <c r="B294" s="715"/>
      <c r="C294" s="99" t="s">
        <v>189</v>
      </c>
      <c r="D294" s="439">
        <f t="shared" si="23"/>
        <v>4</v>
      </c>
      <c r="J294" s="714" t="s">
        <v>480</v>
      </c>
      <c r="K294" s="715"/>
      <c r="L294" s="99" t="s">
        <v>189</v>
      </c>
      <c r="M294" s="439">
        <f t="shared" si="24"/>
        <v>4</v>
      </c>
      <c r="P294" s="503">
        <f t="shared" si="25"/>
        <v>8</v>
      </c>
      <c r="Q294" s="504" t="str">
        <f t="shared" si="22"/>
        <v/>
      </c>
    </row>
    <row r="295" spans="1:17" ht="15.75" x14ac:dyDescent="0.25">
      <c r="A295" s="714" t="s">
        <v>481</v>
      </c>
      <c r="B295" s="715"/>
      <c r="C295" s="551" t="s">
        <v>482</v>
      </c>
      <c r="D295" s="439">
        <f t="shared" si="23"/>
        <v>0</v>
      </c>
      <c r="J295" s="714" t="s">
        <v>481</v>
      </c>
      <c r="K295" s="715"/>
      <c r="L295" s="551" t="s">
        <v>482</v>
      </c>
      <c r="M295" s="439">
        <f t="shared" si="24"/>
        <v>0</v>
      </c>
      <c r="P295" s="503">
        <f t="shared" si="25"/>
        <v>0</v>
      </c>
      <c r="Q295" s="504" t="str">
        <f t="shared" si="22"/>
        <v/>
      </c>
    </row>
    <row r="296" spans="1:17" ht="16.5" thickBot="1" x14ac:dyDescent="0.3">
      <c r="A296" s="714" t="s">
        <v>483</v>
      </c>
      <c r="B296" s="715"/>
      <c r="C296" s="575" t="s">
        <v>484</v>
      </c>
      <c r="D296" s="439">
        <f t="shared" si="23"/>
        <v>0</v>
      </c>
      <c r="J296" s="714" t="s">
        <v>483</v>
      </c>
      <c r="K296" s="715"/>
      <c r="L296" s="575" t="s">
        <v>484</v>
      </c>
      <c r="M296" s="439">
        <f t="shared" si="24"/>
        <v>0</v>
      </c>
      <c r="P296" s="503">
        <f t="shared" si="25"/>
        <v>0</v>
      </c>
      <c r="Q296" s="576" t="str">
        <f t="shared" si="22"/>
        <v/>
      </c>
    </row>
    <row r="297" spans="1:17" ht="13.5" thickTop="1" x14ac:dyDescent="0.25"/>
    <row r="302" spans="1:17" x14ac:dyDescent="0.25">
      <c r="A302" s="716" t="s">
        <v>485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</row>
    <row r="303" spans="1:17" x14ac:dyDescent="0.25">
      <c r="A303" s="716"/>
      <c r="B303" s="716"/>
      <c r="C303" s="716"/>
      <c r="D303" s="716"/>
      <c r="E303" s="716"/>
      <c r="F303" s="716"/>
      <c r="G303" s="716"/>
      <c r="H303" s="716"/>
      <c r="I303" s="716"/>
      <c r="J303" s="716"/>
      <c r="K303" s="716"/>
      <c r="L303" s="716"/>
      <c r="M303" s="716"/>
      <c r="N303" s="716"/>
      <c r="O303" s="716"/>
      <c r="P303" s="716"/>
      <c r="Q303" s="716"/>
    </row>
    <row r="304" spans="1:17" ht="13.5" thickBot="1" x14ac:dyDescent="0.3"/>
    <row r="305" spans="1:17" ht="27" thickBot="1" x14ac:dyDescent="0.3">
      <c r="A305" s="717" t="s">
        <v>486</v>
      </c>
      <c r="B305" s="718"/>
      <c r="C305" s="718"/>
      <c r="D305" s="719"/>
      <c r="E305" s="577">
        <f>F307+O307</f>
        <v>10</v>
      </c>
    </row>
    <row r="306" spans="1:17" ht="13.5" thickBot="1" x14ac:dyDescent="0.3"/>
    <row r="307" spans="1:17" ht="21.75" thickBot="1" x14ac:dyDescent="0.4">
      <c r="A307" s="720" t="s">
        <v>487</v>
      </c>
      <c r="B307" s="721"/>
      <c r="C307" s="721"/>
      <c r="D307" s="721"/>
      <c r="E307" s="722"/>
      <c r="F307" s="723">
        <f>SUM(E421,E338,E450,E458,E464,E478,E490)</f>
        <v>4</v>
      </c>
      <c r="G307" s="724"/>
      <c r="J307" s="720" t="s">
        <v>488</v>
      </c>
      <c r="K307" s="721"/>
      <c r="L307" s="721"/>
      <c r="M307" s="721"/>
      <c r="N307" s="722"/>
      <c r="O307" s="723">
        <f>SUM(N338,N421,N450,N458,N464,N478,N490)</f>
        <v>6</v>
      </c>
      <c r="P307" s="724"/>
    </row>
    <row r="308" spans="1:17" ht="21.75" thickBot="1" x14ac:dyDescent="0.4">
      <c r="A308" s="496"/>
      <c r="B308" s="497"/>
      <c r="C308" s="497"/>
      <c r="D308" s="497"/>
      <c r="E308" s="498"/>
      <c r="F308" s="498"/>
      <c r="G308" s="498"/>
      <c r="J308" s="498"/>
      <c r="K308" s="498"/>
      <c r="L308" s="498"/>
      <c r="M308" s="498"/>
      <c r="N308" s="498"/>
      <c r="O308" s="498"/>
      <c r="P308" s="498"/>
      <c r="Q308" s="498"/>
    </row>
    <row r="309" spans="1:17" ht="18.75" thickBot="1" x14ac:dyDescent="0.3">
      <c r="A309" s="708" t="s">
        <v>489</v>
      </c>
      <c r="B309" s="709"/>
      <c r="C309" s="709"/>
      <c r="D309" s="710"/>
      <c r="J309" s="708" t="s">
        <v>489</v>
      </c>
      <c r="K309" s="709"/>
      <c r="L309" s="709"/>
      <c r="M309" s="710"/>
    </row>
    <row r="310" spans="1:17" ht="15.75" x14ac:dyDescent="0.25">
      <c r="A310" s="705" t="s">
        <v>490</v>
      </c>
      <c r="B310" s="706"/>
      <c r="C310" s="707"/>
      <c r="D310" s="215" t="s">
        <v>491</v>
      </c>
      <c r="E310" s="439">
        <f t="shared" ref="E310:E337" si="26">COUNTIF($T$3:$BU$30,D310)+COUNTIF($C$49,D310)+COUNTIF($D$49,D310)</f>
        <v>0</v>
      </c>
      <c r="J310" s="705" t="s">
        <v>490</v>
      </c>
      <c r="K310" s="706"/>
      <c r="L310" s="707"/>
      <c r="M310" s="215" t="s">
        <v>491</v>
      </c>
      <c r="N310" s="439">
        <f t="shared" ref="N310:N337" si="27">COUNTIF($A$3:$S$48,M310)+COUNTIF($T$31:$BU$48,M310)+COUNTIF($BV$3:$CN$44,M310)</f>
        <v>0</v>
      </c>
    </row>
    <row r="311" spans="1:17" ht="15.75" x14ac:dyDescent="0.25">
      <c r="A311" s="705" t="s">
        <v>492</v>
      </c>
      <c r="B311" s="706"/>
      <c r="C311" s="707"/>
      <c r="D311" s="215" t="s">
        <v>493</v>
      </c>
      <c r="E311" s="439">
        <f t="shared" si="26"/>
        <v>0</v>
      </c>
      <c r="J311" s="705" t="s">
        <v>492</v>
      </c>
      <c r="K311" s="706"/>
      <c r="L311" s="707"/>
      <c r="M311" s="215" t="s">
        <v>493</v>
      </c>
      <c r="N311" s="439">
        <f t="shared" si="27"/>
        <v>0</v>
      </c>
    </row>
    <row r="312" spans="1:17" ht="15.75" x14ac:dyDescent="0.25">
      <c r="A312" s="705" t="s">
        <v>494</v>
      </c>
      <c r="B312" s="706"/>
      <c r="C312" s="707"/>
      <c r="D312" s="215" t="s">
        <v>495</v>
      </c>
      <c r="E312" s="439">
        <f t="shared" si="26"/>
        <v>0</v>
      </c>
      <c r="J312" s="705" t="s">
        <v>494</v>
      </c>
      <c r="K312" s="706"/>
      <c r="L312" s="707"/>
      <c r="M312" s="215" t="s">
        <v>495</v>
      </c>
      <c r="N312" s="439">
        <f t="shared" si="27"/>
        <v>0</v>
      </c>
    </row>
    <row r="313" spans="1:17" ht="15.75" x14ac:dyDescent="0.25">
      <c r="A313" s="705" t="s">
        <v>496</v>
      </c>
      <c r="B313" s="706"/>
      <c r="C313" s="707"/>
      <c r="D313" s="215" t="s">
        <v>497</v>
      </c>
      <c r="E313" s="439">
        <f t="shared" si="26"/>
        <v>0</v>
      </c>
      <c r="J313" s="705" t="s">
        <v>496</v>
      </c>
      <c r="K313" s="706"/>
      <c r="L313" s="707"/>
      <c r="M313" s="215" t="s">
        <v>497</v>
      </c>
      <c r="N313" s="439">
        <f t="shared" si="27"/>
        <v>0</v>
      </c>
    </row>
    <row r="314" spans="1:17" ht="15.75" x14ac:dyDescent="0.25">
      <c r="A314" s="705" t="s">
        <v>498</v>
      </c>
      <c r="B314" s="706"/>
      <c r="C314" s="707"/>
      <c r="D314" s="215" t="s">
        <v>499</v>
      </c>
      <c r="E314" s="439">
        <f t="shared" si="26"/>
        <v>0</v>
      </c>
      <c r="J314" s="705" t="s">
        <v>498</v>
      </c>
      <c r="K314" s="706"/>
      <c r="L314" s="707"/>
      <c r="M314" s="215" t="s">
        <v>499</v>
      </c>
      <c r="N314" s="439">
        <f t="shared" si="27"/>
        <v>0</v>
      </c>
    </row>
    <row r="315" spans="1:17" ht="15.75" x14ac:dyDescent="0.25">
      <c r="A315" s="705" t="s">
        <v>500</v>
      </c>
      <c r="B315" s="706"/>
      <c r="C315" s="707"/>
      <c r="D315" s="215" t="s">
        <v>501</v>
      </c>
      <c r="E315" s="439">
        <f t="shared" si="26"/>
        <v>0</v>
      </c>
      <c r="J315" s="705" t="s">
        <v>500</v>
      </c>
      <c r="K315" s="706"/>
      <c r="L315" s="707"/>
      <c r="M315" s="215" t="s">
        <v>501</v>
      </c>
      <c r="N315" s="439">
        <f t="shared" si="27"/>
        <v>0</v>
      </c>
    </row>
    <row r="316" spans="1:17" ht="15.75" x14ac:dyDescent="0.25">
      <c r="A316" s="705" t="s">
        <v>502</v>
      </c>
      <c r="B316" s="706"/>
      <c r="C316" s="707"/>
      <c r="D316" s="215" t="s">
        <v>503</v>
      </c>
      <c r="E316" s="439">
        <f t="shared" si="26"/>
        <v>0</v>
      </c>
      <c r="J316" s="705" t="s">
        <v>502</v>
      </c>
      <c r="K316" s="706"/>
      <c r="L316" s="707"/>
      <c r="M316" s="215" t="s">
        <v>503</v>
      </c>
      <c r="N316" s="439">
        <f t="shared" si="27"/>
        <v>0</v>
      </c>
    </row>
    <row r="317" spans="1:17" ht="15.75" x14ac:dyDescent="0.25">
      <c r="A317" s="705" t="s">
        <v>504</v>
      </c>
      <c r="B317" s="706"/>
      <c r="C317" s="707"/>
      <c r="D317" s="215" t="s">
        <v>505</v>
      </c>
      <c r="E317" s="439">
        <f t="shared" si="26"/>
        <v>0</v>
      </c>
      <c r="J317" s="705" t="s">
        <v>504</v>
      </c>
      <c r="K317" s="706"/>
      <c r="L317" s="707"/>
      <c r="M317" s="215" t="s">
        <v>505</v>
      </c>
      <c r="N317" s="439">
        <f t="shared" si="27"/>
        <v>0</v>
      </c>
    </row>
    <row r="318" spans="1:17" ht="15.75" x14ac:dyDescent="0.25">
      <c r="A318" s="705" t="s">
        <v>506</v>
      </c>
      <c r="B318" s="706"/>
      <c r="C318" s="707"/>
      <c r="D318" s="215" t="s">
        <v>507</v>
      </c>
      <c r="E318" s="439">
        <f t="shared" si="26"/>
        <v>0</v>
      </c>
      <c r="J318" s="705" t="s">
        <v>506</v>
      </c>
      <c r="K318" s="706"/>
      <c r="L318" s="707"/>
      <c r="M318" s="215" t="s">
        <v>507</v>
      </c>
      <c r="N318" s="439">
        <f t="shared" si="27"/>
        <v>0</v>
      </c>
    </row>
    <row r="319" spans="1:17" ht="15.75" x14ac:dyDescent="0.25">
      <c r="A319" s="705" t="s">
        <v>508</v>
      </c>
      <c r="B319" s="706"/>
      <c r="C319" s="707"/>
      <c r="D319" s="215" t="s">
        <v>509</v>
      </c>
      <c r="E319" s="439">
        <f t="shared" si="26"/>
        <v>0</v>
      </c>
      <c r="J319" s="705" t="s">
        <v>508</v>
      </c>
      <c r="K319" s="706"/>
      <c r="L319" s="707"/>
      <c r="M319" s="215" t="s">
        <v>509</v>
      </c>
      <c r="N319" s="439">
        <f t="shared" si="27"/>
        <v>0</v>
      </c>
    </row>
    <row r="320" spans="1:17" ht="15.75" x14ac:dyDescent="0.25">
      <c r="A320" s="705" t="s">
        <v>510</v>
      </c>
      <c r="B320" s="706"/>
      <c r="C320" s="707"/>
      <c r="D320" s="215" t="s">
        <v>511</v>
      </c>
      <c r="E320" s="439">
        <f t="shared" si="26"/>
        <v>0</v>
      </c>
      <c r="J320" s="705" t="s">
        <v>510</v>
      </c>
      <c r="K320" s="706"/>
      <c r="L320" s="707"/>
      <c r="M320" s="215" t="s">
        <v>511</v>
      </c>
      <c r="N320" s="439">
        <f t="shared" si="27"/>
        <v>0</v>
      </c>
    </row>
    <row r="321" spans="1:14" ht="15.75" x14ac:dyDescent="0.25">
      <c r="A321" s="705" t="s">
        <v>512</v>
      </c>
      <c r="B321" s="706"/>
      <c r="C321" s="707"/>
      <c r="D321" s="215" t="s">
        <v>513</v>
      </c>
      <c r="E321" s="439">
        <f t="shared" si="26"/>
        <v>0</v>
      </c>
      <c r="J321" s="705" t="s">
        <v>512</v>
      </c>
      <c r="K321" s="706"/>
      <c r="L321" s="707"/>
      <c r="M321" s="215" t="s">
        <v>513</v>
      </c>
      <c r="N321" s="439">
        <f t="shared" si="27"/>
        <v>0</v>
      </c>
    </row>
    <row r="322" spans="1:14" ht="15.75" x14ac:dyDescent="0.25">
      <c r="A322" s="705" t="s">
        <v>514</v>
      </c>
      <c r="B322" s="706"/>
      <c r="C322" s="707"/>
      <c r="D322" s="215" t="s">
        <v>515</v>
      </c>
      <c r="E322" s="439">
        <f t="shared" si="26"/>
        <v>0</v>
      </c>
      <c r="J322" s="705" t="s">
        <v>514</v>
      </c>
      <c r="K322" s="706"/>
      <c r="L322" s="707"/>
      <c r="M322" s="215" t="s">
        <v>515</v>
      </c>
      <c r="N322" s="439">
        <f t="shared" si="27"/>
        <v>0</v>
      </c>
    </row>
    <row r="323" spans="1:14" ht="15.75" x14ac:dyDescent="0.25">
      <c r="A323" s="705" t="s">
        <v>516</v>
      </c>
      <c r="B323" s="706"/>
      <c r="C323" s="707"/>
      <c r="D323" s="215" t="s">
        <v>517</v>
      </c>
      <c r="E323" s="439">
        <f t="shared" si="26"/>
        <v>0</v>
      </c>
      <c r="J323" s="705" t="s">
        <v>516</v>
      </c>
      <c r="K323" s="706"/>
      <c r="L323" s="707"/>
      <c r="M323" s="215" t="s">
        <v>517</v>
      </c>
      <c r="N323" s="439">
        <f t="shared" si="27"/>
        <v>0</v>
      </c>
    </row>
    <row r="324" spans="1:14" ht="15.75" x14ac:dyDescent="0.25">
      <c r="A324" s="705" t="s">
        <v>518</v>
      </c>
      <c r="B324" s="706"/>
      <c r="C324" s="707"/>
      <c r="D324" s="215" t="s">
        <v>519</v>
      </c>
      <c r="E324" s="439">
        <f t="shared" si="26"/>
        <v>0</v>
      </c>
      <c r="J324" s="705" t="s">
        <v>518</v>
      </c>
      <c r="K324" s="706"/>
      <c r="L324" s="707"/>
      <c r="M324" s="215" t="s">
        <v>519</v>
      </c>
      <c r="N324" s="439">
        <f t="shared" si="27"/>
        <v>0</v>
      </c>
    </row>
    <row r="325" spans="1:14" ht="15.75" x14ac:dyDescent="0.25">
      <c r="A325" s="705" t="s">
        <v>520</v>
      </c>
      <c r="B325" s="706"/>
      <c r="C325" s="707"/>
      <c r="D325" s="215" t="s">
        <v>521</v>
      </c>
      <c r="E325" s="439">
        <f t="shared" si="26"/>
        <v>0</v>
      </c>
      <c r="J325" s="705" t="s">
        <v>520</v>
      </c>
      <c r="K325" s="706"/>
      <c r="L325" s="707"/>
      <c r="M325" s="215" t="s">
        <v>521</v>
      </c>
      <c r="N325" s="439">
        <f t="shared" si="27"/>
        <v>0</v>
      </c>
    </row>
    <row r="326" spans="1:14" ht="15.75" x14ac:dyDescent="0.25">
      <c r="A326" s="705" t="s">
        <v>522</v>
      </c>
      <c r="B326" s="706"/>
      <c r="C326" s="707"/>
      <c r="D326" s="215" t="s">
        <v>523</v>
      </c>
      <c r="E326" s="439">
        <f t="shared" si="26"/>
        <v>0</v>
      </c>
      <c r="J326" s="705" t="s">
        <v>522</v>
      </c>
      <c r="K326" s="706"/>
      <c r="L326" s="707"/>
      <c r="M326" s="215" t="s">
        <v>523</v>
      </c>
      <c r="N326" s="439">
        <f t="shared" si="27"/>
        <v>0</v>
      </c>
    </row>
    <row r="327" spans="1:14" ht="15.75" x14ac:dyDescent="0.25">
      <c r="A327" s="705" t="s">
        <v>524</v>
      </c>
      <c r="B327" s="706"/>
      <c r="C327" s="707"/>
      <c r="D327" s="215" t="s">
        <v>525</v>
      </c>
      <c r="E327" s="439">
        <f t="shared" si="26"/>
        <v>0</v>
      </c>
      <c r="J327" s="705" t="s">
        <v>524</v>
      </c>
      <c r="K327" s="706"/>
      <c r="L327" s="707"/>
      <c r="M327" s="215" t="s">
        <v>525</v>
      </c>
      <c r="N327" s="439">
        <f t="shared" si="27"/>
        <v>0</v>
      </c>
    </row>
    <row r="328" spans="1:14" ht="15.75" x14ac:dyDescent="0.25">
      <c r="A328" s="705" t="s">
        <v>526</v>
      </c>
      <c r="B328" s="706"/>
      <c r="C328" s="707"/>
      <c r="D328" s="215" t="s">
        <v>527</v>
      </c>
      <c r="E328" s="439">
        <f t="shared" si="26"/>
        <v>0</v>
      </c>
      <c r="J328" s="705" t="s">
        <v>526</v>
      </c>
      <c r="K328" s="706"/>
      <c r="L328" s="707"/>
      <c r="M328" s="215" t="s">
        <v>527</v>
      </c>
      <c r="N328" s="439">
        <f t="shared" si="27"/>
        <v>0</v>
      </c>
    </row>
    <row r="329" spans="1:14" ht="15.75" x14ac:dyDescent="0.25">
      <c r="A329" s="705" t="s">
        <v>528</v>
      </c>
      <c r="B329" s="706"/>
      <c r="C329" s="707"/>
      <c r="D329" s="215" t="s">
        <v>529</v>
      </c>
      <c r="E329" s="439">
        <f t="shared" si="26"/>
        <v>0</v>
      </c>
      <c r="J329" s="705" t="s">
        <v>528</v>
      </c>
      <c r="K329" s="706"/>
      <c r="L329" s="707"/>
      <c r="M329" s="215" t="s">
        <v>529</v>
      </c>
      <c r="N329" s="439">
        <f t="shared" si="27"/>
        <v>0</v>
      </c>
    </row>
    <row r="330" spans="1:14" ht="15.75" x14ac:dyDescent="0.25">
      <c r="A330" s="705" t="s">
        <v>530</v>
      </c>
      <c r="B330" s="706"/>
      <c r="C330" s="707"/>
      <c r="D330" s="215" t="s">
        <v>531</v>
      </c>
      <c r="E330" s="439">
        <f t="shared" si="26"/>
        <v>0</v>
      </c>
      <c r="J330" s="705" t="s">
        <v>530</v>
      </c>
      <c r="K330" s="706"/>
      <c r="L330" s="707"/>
      <c r="M330" s="215" t="s">
        <v>531</v>
      </c>
      <c r="N330" s="439">
        <f t="shared" si="27"/>
        <v>0</v>
      </c>
    </row>
    <row r="331" spans="1:14" ht="15.75" x14ac:dyDescent="0.25">
      <c r="A331" s="705" t="s">
        <v>532</v>
      </c>
      <c r="B331" s="706"/>
      <c r="C331" s="707"/>
      <c r="D331" s="215" t="s">
        <v>533</v>
      </c>
      <c r="E331" s="439">
        <f t="shared" si="26"/>
        <v>0</v>
      </c>
      <c r="J331" s="705" t="s">
        <v>532</v>
      </c>
      <c r="K331" s="706"/>
      <c r="L331" s="707"/>
      <c r="M331" s="215" t="s">
        <v>533</v>
      </c>
      <c r="N331" s="439">
        <f t="shared" si="27"/>
        <v>0</v>
      </c>
    </row>
    <row r="332" spans="1:14" ht="15.75" x14ac:dyDescent="0.25">
      <c r="A332" s="705" t="s">
        <v>534</v>
      </c>
      <c r="B332" s="706"/>
      <c r="C332" s="707"/>
      <c r="D332" s="215" t="s">
        <v>535</v>
      </c>
      <c r="E332" s="439">
        <f t="shared" si="26"/>
        <v>0</v>
      </c>
      <c r="J332" s="705" t="s">
        <v>534</v>
      </c>
      <c r="K332" s="706"/>
      <c r="L332" s="707"/>
      <c r="M332" s="215" t="s">
        <v>535</v>
      </c>
      <c r="N332" s="439">
        <f t="shared" si="27"/>
        <v>0</v>
      </c>
    </row>
    <row r="333" spans="1:14" ht="15.75" x14ac:dyDescent="0.25">
      <c r="A333" s="705" t="s">
        <v>536</v>
      </c>
      <c r="B333" s="706"/>
      <c r="C333" s="707"/>
      <c r="D333" s="215" t="s">
        <v>537</v>
      </c>
      <c r="E333" s="439">
        <f t="shared" si="26"/>
        <v>0</v>
      </c>
      <c r="J333" s="705" t="s">
        <v>536</v>
      </c>
      <c r="K333" s="706"/>
      <c r="L333" s="707"/>
      <c r="M333" s="215" t="s">
        <v>537</v>
      </c>
      <c r="N333" s="439">
        <f t="shared" si="27"/>
        <v>0</v>
      </c>
    </row>
    <row r="334" spans="1:14" ht="15.75" x14ac:dyDescent="0.25">
      <c r="A334" s="705" t="s">
        <v>538</v>
      </c>
      <c r="B334" s="706"/>
      <c r="C334" s="707"/>
      <c r="D334" s="215" t="s">
        <v>539</v>
      </c>
      <c r="E334" s="439">
        <f t="shared" si="26"/>
        <v>0</v>
      </c>
      <c r="J334" s="705" t="s">
        <v>538</v>
      </c>
      <c r="K334" s="706"/>
      <c r="L334" s="707"/>
      <c r="M334" s="215" t="s">
        <v>539</v>
      </c>
      <c r="N334" s="439">
        <f t="shared" si="27"/>
        <v>0</v>
      </c>
    </row>
    <row r="335" spans="1:14" ht="15.75" x14ac:dyDescent="0.25">
      <c r="A335" s="705" t="s">
        <v>540</v>
      </c>
      <c r="B335" s="706"/>
      <c r="C335" s="707"/>
      <c r="D335" s="215" t="s">
        <v>541</v>
      </c>
      <c r="E335" s="439">
        <f t="shared" si="26"/>
        <v>0</v>
      </c>
      <c r="J335" s="705" t="s">
        <v>540</v>
      </c>
      <c r="K335" s="706"/>
      <c r="L335" s="707"/>
      <c r="M335" s="215" t="s">
        <v>541</v>
      </c>
      <c r="N335" s="439">
        <f t="shared" si="27"/>
        <v>0</v>
      </c>
    </row>
    <row r="336" spans="1:14" ht="15.75" x14ac:dyDescent="0.25">
      <c r="A336" s="705" t="s">
        <v>542</v>
      </c>
      <c r="B336" s="706"/>
      <c r="C336" s="707"/>
      <c r="D336" s="215" t="s">
        <v>543</v>
      </c>
      <c r="E336" s="439">
        <f t="shared" si="26"/>
        <v>0</v>
      </c>
      <c r="J336" s="705" t="s">
        <v>542</v>
      </c>
      <c r="K336" s="706"/>
      <c r="L336" s="707"/>
      <c r="M336" s="215" t="s">
        <v>543</v>
      </c>
      <c r="N336" s="439">
        <f t="shared" si="27"/>
        <v>0</v>
      </c>
    </row>
    <row r="337" spans="1:14" ht="15.75" x14ac:dyDescent="0.25">
      <c r="A337" s="705" t="s">
        <v>544</v>
      </c>
      <c r="B337" s="706"/>
      <c r="C337" s="707"/>
      <c r="D337" s="215" t="s">
        <v>545</v>
      </c>
      <c r="E337" s="439">
        <f t="shared" si="26"/>
        <v>0</v>
      </c>
      <c r="J337" s="705" t="s">
        <v>544</v>
      </c>
      <c r="K337" s="706"/>
      <c r="L337" s="707"/>
      <c r="M337" s="215" t="s">
        <v>545</v>
      </c>
      <c r="N337" s="439">
        <f t="shared" si="27"/>
        <v>0</v>
      </c>
    </row>
    <row r="338" spans="1:14" ht="18.75" thickBot="1" x14ac:dyDescent="0.3">
      <c r="A338" s="704" t="s">
        <v>279</v>
      </c>
      <c r="B338" s="704"/>
      <c r="C338" s="704"/>
      <c r="D338" s="704"/>
      <c r="E338" s="578">
        <f>SUM(E310:E337)</f>
        <v>0</v>
      </c>
      <c r="J338" s="704" t="s">
        <v>279</v>
      </c>
      <c r="K338" s="704"/>
      <c r="L338" s="704"/>
      <c r="M338" s="704"/>
      <c r="N338" s="578">
        <f>SUM(N310:N337)</f>
        <v>0</v>
      </c>
    </row>
    <row r="339" spans="1:14" ht="18.75" thickBot="1" x14ac:dyDescent="0.3">
      <c r="A339" s="708" t="s">
        <v>546</v>
      </c>
      <c r="B339" s="709"/>
      <c r="C339" s="709"/>
      <c r="D339" s="710"/>
      <c r="J339" s="708" t="s">
        <v>546</v>
      </c>
      <c r="K339" s="709"/>
      <c r="L339" s="709"/>
      <c r="M339" s="710"/>
    </row>
    <row r="340" spans="1:14" ht="15.75" x14ac:dyDescent="0.25">
      <c r="A340" s="705" t="s">
        <v>547</v>
      </c>
      <c r="B340" s="706"/>
      <c r="C340" s="707"/>
      <c r="D340" s="215" t="s">
        <v>548</v>
      </c>
      <c r="E340" s="439">
        <f t="shared" ref="E340:E403" si="28">COUNTIF($T$3:$BU$30,D340)+COUNTIF($C$49,D340)+COUNTIF($D$49,D340)</f>
        <v>0</v>
      </c>
      <c r="J340" s="705" t="s">
        <v>547</v>
      </c>
      <c r="K340" s="706"/>
      <c r="L340" s="707"/>
      <c r="M340" s="215" t="s">
        <v>548</v>
      </c>
      <c r="N340" s="439">
        <f t="shared" ref="N340:N403" si="29">COUNTIF($A$3:$S$48,M340)+COUNTIF($T$31:$BU$48,M340)+COUNTIF($BV$3:$CN$44,M340)</f>
        <v>0</v>
      </c>
    </row>
    <row r="341" spans="1:14" ht="15.75" x14ac:dyDescent="0.25">
      <c r="A341" s="705" t="s">
        <v>549</v>
      </c>
      <c r="B341" s="706"/>
      <c r="C341" s="707"/>
      <c r="D341" s="215" t="s">
        <v>550</v>
      </c>
      <c r="E341" s="439">
        <f t="shared" si="28"/>
        <v>0</v>
      </c>
      <c r="J341" s="705" t="s">
        <v>549</v>
      </c>
      <c r="K341" s="706"/>
      <c r="L341" s="707"/>
      <c r="M341" s="215" t="s">
        <v>550</v>
      </c>
      <c r="N341" s="439">
        <f t="shared" si="29"/>
        <v>0</v>
      </c>
    </row>
    <row r="342" spans="1:14" ht="15.75" x14ac:dyDescent="0.25">
      <c r="A342" s="705" t="s">
        <v>551</v>
      </c>
      <c r="B342" s="706"/>
      <c r="C342" s="707"/>
      <c r="D342" s="215" t="s">
        <v>552</v>
      </c>
      <c r="E342" s="439">
        <f t="shared" si="28"/>
        <v>0</v>
      </c>
      <c r="J342" s="705" t="s">
        <v>551</v>
      </c>
      <c r="K342" s="706"/>
      <c r="L342" s="707"/>
      <c r="M342" s="215" t="s">
        <v>552</v>
      </c>
      <c r="N342" s="439">
        <f t="shared" si="29"/>
        <v>0</v>
      </c>
    </row>
    <row r="343" spans="1:14" ht="15.75" x14ac:dyDescent="0.25">
      <c r="A343" s="705" t="s">
        <v>553</v>
      </c>
      <c r="B343" s="706"/>
      <c r="C343" s="707"/>
      <c r="D343" s="215" t="s">
        <v>554</v>
      </c>
      <c r="E343" s="439">
        <f t="shared" si="28"/>
        <v>0</v>
      </c>
      <c r="J343" s="705" t="s">
        <v>553</v>
      </c>
      <c r="K343" s="706"/>
      <c r="L343" s="707"/>
      <c r="M343" s="215" t="s">
        <v>554</v>
      </c>
      <c r="N343" s="439">
        <f t="shared" si="29"/>
        <v>0</v>
      </c>
    </row>
    <row r="344" spans="1:14" ht="15.75" x14ac:dyDescent="0.25">
      <c r="A344" s="705" t="s">
        <v>555</v>
      </c>
      <c r="B344" s="706"/>
      <c r="C344" s="707"/>
      <c r="D344" s="215" t="s">
        <v>556</v>
      </c>
      <c r="E344" s="439">
        <f t="shared" si="28"/>
        <v>0</v>
      </c>
      <c r="J344" s="705" t="s">
        <v>555</v>
      </c>
      <c r="K344" s="706"/>
      <c r="L344" s="707"/>
      <c r="M344" s="215" t="s">
        <v>556</v>
      </c>
      <c r="N344" s="439">
        <f t="shared" si="29"/>
        <v>0</v>
      </c>
    </row>
    <row r="345" spans="1:14" ht="15.75" x14ac:dyDescent="0.25">
      <c r="A345" s="705" t="s">
        <v>557</v>
      </c>
      <c r="B345" s="706"/>
      <c r="C345" s="707"/>
      <c r="D345" s="215" t="s">
        <v>558</v>
      </c>
      <c r="E345" s="439">
        <f t="shared" si="28"/>
        <v>0</v>
      </c>
      <c r="J345" s="705" t="s">
        <v>557</v>
      </c>
      <c r="K345" s="706"/>
      <c r="L345" s="707"/>
      <c r="M345" s="215" t="s">
        <v>558</v>
      </c>
      <c r="N345" s="439">
        <f t="shared" si="29"/>
        <v>0</v>
      </c>
    </row>
    <row r="346" spans="1:14" ht="15.75" x14ac:dyDescent="0.25">
      <c r="A346" s="705" t="s">
        <v>559</v>
      </c>
      <c r="B346" s="706"/>
      <c r="C346" s="707"/>
      <c r="D346" s="215" t="s">
        <v>228</v>
      </c>
      <c r="E346" s="439">
        <f t="shared" si="28"/>
        <v>1</v>
      </c>
      <c r="J346" s="705" t="s">
        <v>559</v>
      </c>
      <c r="K346" s="706"/>
      <c r="L346" s="707"/>
      <c r="M346" s="215" t="s">
        <v>228</v>
      </c>
      <c r="N346" s="439">
        <f t="shared" si="29"/>
        <v>0</v>
      </c>
    </row>
    <row r="347" spans="1:14" ht="15.75" x14ac:dyDescent="0.25">
      <c r="A347" s="705" t="s">
        <v>560</v>
      </c>
      <c r="B347" s="706"/>
      <c r="C347" s="707"/>
      <c r="D347" s="215" t="s">
        <v>561</v>
      </c>
      <c r="E347" s="439">
        <f t="shared" si="28"/>
        <v>0</v>
      </c>
      <c r="J347" s="705" t="s">
        <v>560</v>
      </c>
      <c r="K347" s="706"/>
      <c r="L347" s="707"/>
      <c r="M347" s="215" t="s">
        <v>561</v>
      </c>
      <c r="N347" s="439">
        <f t="shared" si="29"/>
        <v>0</v>
      </c>
    </row>
    <row r="348" spans="1:14" ht="15.75" x14ac:dyDescent="0.25">
      <c r="A348" s="705" t="s">
        <v>562</v>
      </c>
      <c r="B348" s="706"/>
      <c r="C348" s="707"/>
      <c r="D348" s="215" t="s">
        <v>563</v>
      </c>
      <c r="E348" s="439">
        <f t="shared" si="28"/>
        <v>0</v>
      </c>
      <c r="J348" s="705" t="s">
        <v>562</v>
      </c>
      <c r="K348" s="706"/>
      <c r="L348" s="707"/>
      <c r="M348" s="215" t="s">
        <v>563</v>
      </c>
      <c r="N348" s="439">
        <f t="shared" si="29"/>
        <v>0</v>
      </c>
    </row>
    <row r="349" spans="1:14" ht="15.75" x14ac:dyDescent="0.25">
      <c r="A349" s="705" t="s">
        <v>564</v>
      </c>
      <c r="B349" s="706"/>
      <c r="C349" s="707"/>
      <c r="D349" s="215" t="s">
        <v>565</v>
      </c>
      <c r="E349" s="439">
        <f t="shared" si="28"/>
        <v>0</v>
      </c>
      <c r="J349" s="705" t="s">
        <v>564</v>
      </c>
      <c r="K349" s="706"/>
      <c r="L349" s="707"/>
      <c r="M349" s="215" t="s">
        <v>565</v>
      </c>
      <c r="N349" s="439">
        <f t="shared" si="29"/>
        <v>0</v>
      </c>
    </row>
    <row r="350" spans="1:14" ht="15.75" x14ac:dyDescent="0.25">
      <c r="A350" s="705" t="s">
        <v>566</v>
      </c>
      <c r="B350" s="706"/>
      <c r="C350" s="707"/>
      <c r="D350" s="215" t="s">
        <v>209</v>
      </c>
      <c r="E350" s="439">
        <f t="shared" si="28"/>
        <v>0</v>
      </c>
      <c r="J350" s="705" t="s">
        <v>566</v>
      </c>
      <c r="K350" s="706"/>
      <c r="L350" s="707"/>
      <c r="M350" s="215" t="s">
        <v>209</v>
      </c>
      <c r="N350" s="439">
        <f t="shared" si="29"/>
        <v>1</v>
      </c>
    </row>
    <row r="351" spans="1:14" ht="15.75" x14ac:dyDescent="0.25">
      <c r="A351" s="705" t="s">
        <v>567</v>
      </c>
      <c r="B351" s="706"/>
      <c r="C351" s="707"/>
      <c r="D351" s="215" t="s">
        <v>568</v>
      </c>
      <c r="E351" s="439">
        <f t="shared" si="28"/>
        <v>0</v>
      </c>
      <c r="J351" s="705" t="s">
        <v>567</v>
      </c>
      <c r="K351" s="706"/>
      <c r="L351" s="707"/>
      <c r="M351" s="215" t="s">
        <v>568</v>
      </c>
      <c r="N351" s="439">
        <f t="shared" si="29"/>
        <v>0</v>
      </c>
    </row>
    <row r="352" spans="1:14" ht="15.75" x14ac:dyDescent="0.25">
      <c r="A352" s="705" t="s">
        <v>569</v>
      </c>
      <c r="B352" s="706"/>
      <c r="C352" s="707"/>
      <c r="D352" s="215" t="s">
        <v>570</v>
      </c>
      <c r="E352" s="439">
        <f t="shared" si="28"/>
        <v>0</v>
      </c>
      <c r="J352" s="705" t="s">
        <v>569</v>
      </c>
      <c r="K352" s="706"/>
      <c r="L352" s="707"/>
      <c r="M352" s="215" t="s">
        <v>570</v>
      </c>
      <c r="N352" s="439">
        <f t="shared" si="29"/>
        <v>0</v>
      </c>
    </row>
    <row r="353" spans="1:17" ht="15.75" x14ac:dyDescent="0.25">
      <c r="A353" s="705" t="s">
        <v>571</v>
      </c>
      <c r="B353" s="706"/>
      <c r="C353" s="707"/>
      <c r="D353" s="215" t="s">
        <v>572</v>
      </c>
      <c r="E353" s="439">
        <f t="shared" si="28"/>
        <v>0</v>
      </c>
      <c r="J353" s="705" t="s">
        <v>571</v>
      </c>
      <c r="K353" s="706"/>
      <c r="L353" s="707"/>
      <c r="M353" s="215" t="s">
        <v>572</v>
      </c>
      <c r="N353" s="439">
        <f t="shared" si="29"/>
        <v>0</v>
      </c>
    </row>
    <row r="354" spans="1:17" ht="15.75" x14ac:dyDescent="0.25">
      <c r="A354" s="705" t="s">
        <v>573</v>
      </c>
      <c r="B354" s="706"/>
      <c r="C354" s="707"/>
      <c r="D354" s="215" t="s">
        <v>574</v>
      </c>
      <c r="E354" s="439">
        <f t="shared" si="28"/>
        <v>0</v>
      </c>
      <c r="J354" s="705" t="s">
        <v>573</v>
      </c>
      <c r="K354" s="706"/>
      <c r="L354" s="707"/>
      <c r="M354" s="215" t="s">
        <v>574</v>
      </c>
      <c r="N354" s="439">
        <f t="shared" si="29"/>
        <v>0</v>
      </c>
    </row>
    <row r="355" spans="1:17" ht="15.75" x14ac:dyDescent="0.25">
      <c r="A355" s="705" t="s">
        <v>575</v>
      </c>
      <c r="B355" s="706"/>
      <c r="C355" s="707"/>
      <c r="D355" s="215" t="s">
        <v>576</v>
      </c>
      <c r="E355" s="439">
        <f t="shared" si="28"/>
        <v>0</v>
      </c>
      <c r="J355" s="705" t="s">
        <v>575</v>
      </c>
      <c r="K355" s="706"/>
      <c r="L355" s="707"/>
      <c r="M355" s="215" t="s">
        <v>576</v>
      </c>
      <c r="N355" s="439">
        <f t="shared" si="29"/>
        <v>0</v>
      </c>
    </row>
    <row r="356" spans="1:17" ht="15.75" x14ac:dyDescent="0.25">
      <c r="A356" s="705" t="s">
        <v>577</v>
      </c>
      <c r="B356" s="706"/>
      <c r="C356" s="707"/>
      <c r="D356" s="215" t="s">
        <v>578</v>
      </c>
      <c r="E356" s="439">
        <f t="shared" si="28"/>
        <v>0</v>
      </c>
      <c r="J356" s="705" t="s">
        <v>577</v>
      </c>
      <c r="K356" s="706"/>
      <c r="L356" s="707"/>
      <c r="M356" s="215" t="s">
        <v>578</v>
      </c>
      <c r="N356" s="439">
        <f t="shared" si="29"/>
        <v>0</v>
      </c>
    </row>
    <row r="357" spans="1:17" ht="15.75" x14ac:dyDescent="0.25">
      <c r="A357" s="705" t="s">
        <v>579</v>
      </c>
      <c r="B357" s="706"/>
      <c r="C357" s="707"/>
      <c r="D357" s="215" t="s">
        <v>580</v>
      </c>
      <c r="E357" s="439">
        <f t="shared" si="28"/>
        <v>0</v>
      </c>
      <c r="J357" s="705" t="s">
        <v>579</v>
      </c>
      <c r="K357" s="706"/>
      <c r="L357" s="707"/>
      <c r="M357" s="215" t="s">
        <v>580</v>
      </c>
      <c r="N357" s="439">
        <f t="shared" si="29"/>
        <v>0</v>
      </c>
      <c r="O357" s="3"/>
      <c r="P357" s="3"/>
      <c r="Q357" s="3"/>
    </row>
    <row r="358" spans="1:17" ht="15.75" x14ac:dyDescent="0.25">
      <c r="A358" s="705" t="s">
        <v>581</v>
      </c>
      <c r="B358" s="706"/>
      <c r="C358" s="707"/>
      <c r="D358" s="215" t="s">
        <v>247</v>
      </c>
      <c r="E358" s="439">
        <f t="shared" si="28"/>
        <v>0</v>
      </c>
      <c r="J358" s="705" t="s">
        <v>581</v>
      </c>
      <c r="K358" s="706"/>
      <c r="L358" s="707"/>
      <c r="M358" s="215" t="s">
        <v>247</v>
      </c>
      <c r="N358" s="439">
        <f t="shared" si="29"/>
        <v>1</v>
      </c>
    </row>
    <row r="359" spans="1:17" ht="15.75" x14ac:dyDescent="0.25">
      <c r="A359" s="705" t="s">
        <v>582</v>
      </c>
      <c r="B359" s="706"/>
      <c r="C359" s="707"/>
      <c r="D359" s="215" t="s">
        <v>583</v>
      </c>
      <c r="E359" s="439">
        <f t="shared" si="28"/>
        <v>0</v>
      </c>
      <c r="J359" s="705" t="s">
        <v>582</v>
      </c>
      <c r="K359" s="706"/>
      <c r="L359" s="707"/>
      <c r="M359" s="215" t="s">
        <v>583</v>
      </c>
      <c r="N359" s="439">
        <f t="shared" si="29"/>
        <v>0</v>
      </c>
    </row>
    <row r="360" spans="1:17" ht="15.75" x14ac:dyDescent="0.25">
      <c r="A360" s="705" t="s">
        <v>584</v>
      </c>
      <c r="B360" s="706"/>
      <c r="C360" s="707"/>
      <c r="D360" s="215" t="s">
        <v>585</v>
      </c>
      <c r="E360" s="439">
        <f t="shared" si="28"/>
        <v>0</v>
      </c>
      <c r="J360" s="705" t="s">
        <v>584</v>
      </c>
      <c r="K360" s="706"/>
      <c r="L360" s="707"/>
      <c r="M360" s="215" t="s">
        <v>585</v>
      </c>
      <c r="N360" s="439">
        <f t="shared" si="29"/>
        <v>0</v>
      </c>
    </row>
    <row r="361" spans="1:17" ht="15.75" x14ac:dyDescent="0.25">
      <c r="A361" s="705" t="s">
        <v>586</v>
      </c>
      <c r="B361" s="706"/>
      <c r="C361" s="707"/>
      <c r="D361" s="215" t="s">
        <v>219</v>
      </c>
      <c r="E361" s="439">
        <f t="shared" si="28"/>
        <v>1</v>
      </c>
      <c r="J361" s="705" t="s">
        <v>586</v>
      </c>
      <c r="K361" s="706"/>
      <c r="L361" s="707"/>
      <c r="M361" s="215" t="s">
        <v>219</v>
      </c>
      <c r="N361" s="439">
        <f t="shared" si="29"/>
        <v>1</v>
      </c>
    </row>
    <row r="362" spans="1:17" ht="15.75" x14ac:dyDescent="0.25">
      <c r="A362" s="705" t="s">
        <v>587</v>
      </c>
      <c r="B362" s="706"/>
      <c r="C362" s="707"/>
      <c r="D362" s="215" t="s">
        <v>588</v>
      </c>
      <c r="E362" s="439">
        <f t="shared" si="28"/>
        <v>0</v>
      </c>
      <c r="J362" s="705" t="s">
        <v>587</v>
      </c>
      <c r="K362" s="706"/>
      <c r="L362" s="707"/>
      <c r="M362" s="215" t="s">
        <v>588</v>
      </c>
      <c r="N362" s="439">
        <f t="shared" si="29"/>
        <v>0</v>
      </c>
    </row>
    <row r="363" spans="1:17" ht="15.75" x14ac:dyDescent="0.25">
      <c r="A363" s="705" t="s">
        <v>589</v>
      </c>
      <c r="B363" s="706"/>
      <c r="C363" s="707"/>
      <c r="D363" s="215" t="s">
        <v>590</v>
      </c>
      <c r="E363" s="439">
        <f t="shared" si="28"/>
        <v>0</v>
      </c>
      <c r="J363" s="705" t="s">
        <v>589</v>
      </c>
      <c r="K363" s="706"/>
      <c r="L363" s="707"/>
      <c r="M363" s="215" t="s">
        <v>590</v>
      </c>
      <c r="N363" s="439">
        <f t="shared" si="29"/>
        <v>0</v>
      </c>
    </row>
    <row r="364" spans="1:17" ht="15.75" x14ac:dyDescent="0.25">
      <c r="A364" s="705" t="s">
        <v>591</v>
      </c>
      <c r="B364" s="706"/>
      <c r="C364" s="707"/>
      <c r="D364" s="215" t="s">
        <v>592</v>
      </c>
      <c r="E364" s="439">
        <f t="shared" si="28"/>
        <v>0</v>
      </c>
      <c r="J364" s="705" t="s">
        <v>591</v>
      </c>
      <c r="K364" s="706"/>
      <c r="L364" s="707"/>
      <c r="M364" s="215" t="s">
        <v>592</v>
      </c>
      <c r="N364" s="439">
        <f t="shared" si="29"/>
        <v>0</v>
      </c>
    </row>
    <row r="365" spans="1:17" ht="15.75" x14ac:dyDescent="0.25">
      <c r="A365" s="705" t="s">
        <v>593</v>
      </c>
      <c r="B365" s="706"/>
      <c r="C365" s="707"/>
      <c r="D365" s="215" t="s">
        <v>594</v>
      </c>
      <c r="E365" s="439">
        <f t="shared" si="28"/>
        <v>0</v>
      </c>
      <c r="J365" s="705" t="s">
        <v>593</v>
      </c>
      <c r="K365" s="706"/>
      <c r="L365" s="707"/>
      <c r="M365" s="215" t="s">
        <v>594</v>
      </c>
      <c r="N365" s="439">
        <f t="shared" si="29"/>
        <v>0</v>
      </c>
    </row>
    <row r="366" spans="1:17" ht="15.75" x14ac:dyDescent="0.25">
      <c r="A366" s="705" t="s">
        <v>595</v>
      </c>
      <c r="B366" s="706"/>
      <c r="C366" s="707"/>
      <c r="D366" s="215" t="s">
        <v>596</v>
      </c>
      <c r="E366" s="439">
        <f t="shared" si="28"/>
        <v>0</v>
      </c>
      <c r="J366" s="705" t="s">
        <v>595</v>
      </c>
      <c r="K366" s="706"/>
      <c r="L366" s="707"/>
      <c r="M366" s="215" t="s">
        <v>596</v>
      </c>
      <c r="N366" s="439">
        <f t="shared" si="29"/>
        <v>0</v>
      </c>
    </row>
    <row r="367" spans="1:17" ht="15.75" x14ac:dyDescent="0.25">
      <c r="A367" s="705" t="s">
        <v>597</v>
      </c>
      <c r="B367" s="706"/>
      <c r="C367" s="707"/>
      <c r="D367" s="215" t="s">
        <v>203</v>
      </c>
      <c r="E367" s="439">
        <f t="shared" si="28"/>
        <v>1</v>
      </c>
      <c r="J367" s="705" t="s">
        <v>597</v>
      </c>
      <c r="K367" s="706"/>
      <c r="L367" s="707"/>
      <c r="M367" s="215" t="s">
        <v>203</v>
      </c>
      <c r="N367" s="439">
        <f t="shared" si="29"/>
        <v>0</v>
      </c>
    </row>
    <row r="368" spans="1:17" ht="15.75" x14ac:dyDescent="0.25">
      <c r="A368" s="705" t="s">
        <v>598</v>
      </c>
      <c r="B368" s="706"/>
      <c r="C368" s="707"/>
      <c r="D368" s="215" t="s">
        <v>599</v>
      </c>
      <c r="E368" s="439">
        <f t="shared" si="28"/>
        <v>0</v>
      </c>
      <c r="J368" s="705" t="s">
        <v>598</v>
      </c>
      <c r="K368" s="706"/>
      <c r="L368" s="707"/>
      <c r="M368" s="215" t="s">
        <v>599</v>
      </c>
      <c r="N368" s="439">
        <f t="shared" si="29"/>
        <v>0</v>
      </c>
    </row>
    <row r="369" spans="1:14" ht="15.75" x14ac:dyDescent="0.25">
      <c r="A369" s="705" t="s">
        <v>600</v>
      </c>
      <c r="B369" s="706"/>
      <c r="C369" s="707"/>
      <c r="D369" s="215" t="s">
        <v>601</v>
      </c>
      <c r="E369" s="439">
        <f t="shared" si="28"/>
        <v>0</v>
      </c>
      <c r="J369" s="705" t="s">
        <v>600</v>
      </c>
      <c r="K369" s="706"/>
      <c r="L369" s="707"/>
      <c r="M369" s="215" t="s">
        <v>601</v>
      </c>
      <c r="N369" s="439">
        <f t="shared" si="29"/>
        <v>0</v>
      </c>
    </row>
    <row r="370" spans="1:14" ht="15.75" x14ac:dyDescent="0.25">
      <c r="A370" s="705" t="s">
        <v>602</v>
      </c>
      <c r="B370" s="706"/>
      <c r="C370" s="707"/>
      <c r="D370" s="215" t="s">
        <v>603</v>
      </c>
      <c r="E370" s="439">
        <f t="shared" si="28"/>
        <v>0</v>
      </c>
      <c r="J370" s="705" t="s">
        <v>602</v>
      </c>
      <c r="K370" s="706"/>
      <c r="L370" s="707"/>
      <c r="M370" s="215" t="s">
        <v>603</v>
      </c>
      <c r="N370" s="439">
        <f t="shared" si="29"/>
        <v>0</v>
      </c>
    </row>
    <row r="371" spans="1:14" ht="15.75" x14ac:dyDescent="0.25">
      <c r="A371" s="705" t="s">
        <v>604</v>
      </c>
      <c r="B371" s="706"/>
      <c r="C371" s="707"/>
      <c r="D371" s="215" t="s">
        <v>605</v>
      </c>
      <c r="E371" s="439">
        <f t="shared" si="28"/>
        <v>0</v>
      </c>
      <c r="J371" s="705" t="s">
        <v>604</v>
      </c>
      <c r="K371" s="706"/>
      <c r="L371" s="707"/>
      <c r="M371" s="215" t="s">
        <v>605</v>
      </c>
      <c r="N371" s="439">
        <f t="shared" si="29"/>
        <v>0</v>
      </c>
    </row>
    <row r="372" spans="1:14" ht="15.75" x14ac:dyDescent="0.25">
      <c r="A372" s="705" t="s">
        <v>606</v>
      </c>
      <c r="B372" s="706"/>
      <c r="C372" s="707"/>
      <c r="D372" s="215" t="s">
        <v>252</v>
      </c>
      <c r="E372" s="439">
        <f t="shared" si="28"/>
        <v>0</v>
      </c>
      <c r="J372" s="705" t="s">
        <v>606</v>
      </c>
      <c r="K372" s="706"/>
      <c r="L372" s="707"/>
      <c r="M372" s="215" t="s">
        <v>252</v>
      </c>
      <c r="N372" s="439">
        <f t="shared" si="29"/>
        <v>1</v>
      </c>
    </row>
    <row r="373" spans="1:14" ht="15.75" x14ac:dyDescent="0.25">
      <c r="A373" s="705" t="s">
        <v>607</v>
      </c>
      <c r="B373" s="706"/>
      <c r="C373" s="707"/>
      <c r="D373" s="215" t="s">
        <v>608</v>
      </c>
      <c r="E373" s="439">
        <f t="shared" si="28"/>
        <v>0</v>
      </c>
      <c r="J373" s="705" t="s">
        <v>607</v>
      </c>
      <c r="K373" s="706"/>
      <c r="L373" s="707"/>
      <c r="M373" s="215" t="s">
        <v>608</v>
      </c>
      <c r="N373" s="439">
        <f t="shared" si="29"/>
        <v>0</v>
      </c>
    </row>
    <row r="374" spans="1:14" ht="15.75" x14ac:dyDescent="0.25">
      <c r="A374" s="705" t="s">
        <v>609</v>
      </c>
      <c r="B374" s="706"/>
      <c r="C374" s="707"/>
      <c r="D374" s="215" t="s">
        <v>610</v>
      </c>
      <c r="E374" s="439">
        <f t="shared" si="28"/>
        <v>0</v>
      </c>
      <c r="J374" s="705" t="s">
        <v>609</v>
      </c>
      <c r="K374" s="706"/>
      <c r="L374" s="707"/>
      <c r="M374" s="215" t="s">
        <v>610</v>
      </c>
      <c r="N374" s="439">
        <f t="shared" si="29"/>
        <v>0</v>
      </c>
    </row>
    <row r="375" spans="1:14" ht="15.75" x14ac:dyDescent="0.25">
      <c r="A375" s="705" t="s">
        <v>611</v>
      </c>
      <c r="B375" s="706"/>
      <c r="C375" s="707"/>
      <c r="D375" s="215" t="s">
        <v>612</v>
      </c>
      <c r="E375" s="439">
        <f t="shared" si="28"/>
        <v>0</v>
      </c>
      <c r="J375" s="705" t="s">
        <v>611</v>
      </c>
      <c r="K375" s="706"/>
      <c r="L375" s="707"/>
      <c r="M375" s="215" t="s">
        <v>612</v>
      </c>
      <c r="N375" s="439">
        <f t="shared" si="29"/>
        <v>0</v>
      </c>
    </row>
    <row r="376" spans="1:14" ht="15.75" x14ac:dyDescent="0.25">
      <c r="A376" s="705" t="s">
        <v>613</v>
      </c>
      <c r="B376" s="706"/>
      <c r="C376" s="707"/>
      <c r="D376" s="215" t="s">
        <v>614</v>
      </c>
      <c r="E376" s="439">
        <f t="shared" si="28"/>
        <v>0</v>
      </c>
      <c r="J376" s="705" t="s">
        <v>613</v>
      </c>
      <c r="K376" s="706"/>
      <c r="L376" s="707"/>
      <c r="M376" s="215" t="s">
        <v>614</v>
      </c>
      <c r="N376" s="439">
        <f t="shared" si="29"/>
        <v>0</v>
      </c>
    </row>
    <row r="377" spans="1:14" ht="15.75" x14ac:dyDescent="0.25">
      <c r="A377" s="705" t="s">
        <v>615</v>
      </c>
      <c r="B377" s="706"/>
      <c r="C377" s="707"/>
      <c r="D377" s="215" t="s">
        <v>616</v>
      </c>
      <c r="E377" s="439">
        <f t="shared" si="28"/>
        <v>0</v>
      </c>
      <c r="J377" s="705" t="s">
        <v>615</v>
      </c>
      <c r="K377" s="706"/>
      <c r="L377" s="707"/>
      <c r="M377" s="215" t="s">
        <v>616</v>
      </c>
      <c r="N377" s="439">
        <f t="shared" si="29"/>
        <v>0</v>
      </c>
    </row>
    <row r="378" spans="1:14" ht="15.75" x14ac:dyDescent="0.25">
      <c r="A378" s="705" t="s">
        <v>617</v>
      </c>
      <c r="B378" s="706"/>
      <c r="C378" s="707"/>
      <c r="D378" s="215" t="s">
        <v>618</v>
      </c>
      <c r="E378" s="439">
        <f t="shared" si="28"/>
        <v>0</v>
      </c>
      <c r="J378" s="705" t="s">
        <v>617</v>
      </c>
      <c r="K378" s="706"/>
      <c r="L378" s="707"/>
      <c r="M378" s="215" t="s">
        <v>618</v>
      </c>
      <c r="N378" s="439">
        <f t="shared" si="29"/>
        <v>0</v>
      </c>
    </row>
    <row r="379" spans="1:14" ht="15.75" x14ac:dyDescent="0.25">
      <c r="A379" s="705" t="s">
        <v>619</v>
      </c>
      <c r="B379" s="706"/>
      <c r="C379" s="707"/>
      <c r="D379" s="215" t="s">
        <v>620</v>
      </c>
      <c r="E379" s="439">
        <f t="shared" si="28"/>
        <v>0</v>
      </c>
      <c r="J379" s="705" t="s">
        <v>619</v>
      </c>
      <c r="K379" s="706"/>
      <c r="L379" s="707"/>
      <c r="M379" s="215" t="s">
        <v>620</v>
      </c>
      <c r="N379" s="439">
        <f t="shared" si="29"/>
        <v>0</v>
      </c>
    </row>
    <row r="380" spans="1:14" ht="15.75" x14ac:dyDescent="0.25">
      <c r="A380" s="705" t="s">
        <v>621</v>
      </c>
      <c r="B380" s="706"/>
      <c r="C380" s="707"/>
      <c r="D380" s="215" t="s">
        <v>622</v>
      </c>
      <c r="E380" s="439">
        <f t="shared" si="28"/>
        <v>0</v>
      </c>
      <c r="J380" s="705" t="s">
        <v>621</v>
      </c>
      <c r="K380" s="706"/>
      <c r="L380" s="707"/>
      <c r="M380" s="215" t="s">
        <v>622</v>
      </c>
      <c r="N380" s="439">
        <f t="shared" si="29"/>
        <v>0</v>
      </c>
    </row>
    <row r="381" spans="1:14" ht="15.75" x14ac:dyDescent="0.25">
      <c r="A381" s="705" t="s">
        <v>623</v>
      </c>
      <c r="B381" s="706"/>
      <c r="C381" s="707"/>
      <c r="D381" s="215" t="s">
        <v>624</v>
      </c>
      <c r="E381" s="439">
        <f t="shared" si="28"/>
        <v>0</v>
      </c>
      <c r="J381" s="705" t="s">
        <v>623</v>
      </c>
      <c r="K381" s="706"/>
      <c r="L381" s="707"/>
      <c r="M381" s="215" t="s">
        <v>624</v>
      </c>
      <c r="N381" s="439">
        <f t="shared" si="29"/>
        <v>0</v>
      </c>
    </row>
    <row r="382" spans="1:14" ht="15.75" x14ac:dyDescent="0.25">
      <c r="A382" s="705" t="s">
        <v>625</v>
      </c>
      <c r="B382" s="706"/>
      <c r="C382" s="707"/>
      <c r="D382" s="215" t="s">
        <v>626</v>
      </c>
      <c r="E382" s="439">
        <f t="shared" si="28"/>
        <v>0</v>
      </c>
      <c r="J382" s="705" t="s">
        <v>625</v>
      </c>
      <c r="K382" s="706"/>
      <c r="L382" s="707"/>
      <c r="M382" s="215" t="s">
        <v>626</v>
      </c>
      <c r="N382" s="439">
        <f t="shared" si="29"/>
        <v>0</v>
      </c>
    </row>
    <row r="383" spans="1:14" ht="15.75" x14ac:dyDescent="0.25">
      <c r="A383" s="705" t="s">
        <v>627</v>
      </c>
      <c r="B383" s="706"/>
      <c r="C383" s="707"/>
      <c r="D383" s="215" t="s">
        <v>628</v>
      </c>
      <c r="E383" s="439">
        <f t="shared" si="28"/>
        <v>0</v>
      </c>
      <c r="J383" s="705" t="s">
        <v>627</v>
      </c>
      <c r="K383" s="706"/>
      <c r="L383" s="707"/>
      <c r="M383" s="215" t="s">
        <v>628</v>
      </c>
      <c r="N383" s="439">
        <f t="shared" si="29"/>
        <v>0</v>
      </c>
    </row>
    <row r="384" spans="1:14" ht="15.75" x14ac:dyDescent="0.25">
      <c r="A384" s="705" t="s">
        <v>629</v>
      </c>
      <c r="B384" s="706"/>
      <c r="C384" s="707"/>
      <c r="D384" s="215" t="s">
        <v>630</v>
      </c>
      <c r="E384" s="439">
        <f t="shared" si="28"/>
        <v>0</v>
      </c>
      <c r="J384" s="705" t="s">
        <v>629</v>
      </c>
      <c r="K384" s="706"/>
      <c r="L384" s="707"/>
      <c r="M384" s="215" t="s">
        <v>630</v>
      </c>
      <c r="N384" s="439">
        <f t="shared" si="29"/>
        <v>0</v>
      </c>
    </row>
    <row r="385" spans="1:14" ht="15.75" x14ac:dyDescent="0.25">
      <c r="A385" s="705" t="s">
        <v>631</v>
      </c>
      <c r="B385" s="706"/>
      <c r="C385" s="707"/>
      <c r="D385" s="215" t="s">
        <v>632</v>
      </c>
      <c r="E385" s="439">
        <f t="shared" si="28"/>
        <v>0</v>
      </c>
      <c r="J385" s="705" t="s">
        <v>631</v>
      </c>
      <c r="K385" s="706"/>
      <c r="L385" s="707"/>
      <c r="M385" s="215" t="s">
        <v>632</v>
      </c>
      <c r="N385" s="439">
        <f t="shared" si="29"/>
        <v>0</v>
      </c>
    </row>
    <row r="386" spans="1:14" ht="15.75" x14ac:dyDescent="0.25">
      <c r="A386" s="705" t="s">
        <v>633</v>
      </c>
      <c r="B386" s="706"/>
      <c r="C386" s="707"/>
      <c r="D386" s="215" t="s">
        <v>634</v>
      </c>
      <c r="E386" s="439">
        <f t="shared" si="28"/>
        <v>0</v>
      </c>
      <c r="J386" s="705" t="s">
        <v>633</v>
      </c>
      <c r="K386" s="706"/>
      <c r="L386" s="707"/>
      <c r="M386" s="215" t="s">
        <v>634</v>
      </c>
      <c r="N386" s="439">
        <f t="shared" si="29"/>
        <v>0</v>
      </c>
    </row>
    <row r="387" spans="1:14" ht="15.75" x14ac:dyDescent="0.25">
      <c r="A387" s="705" t="s">
        <v>635</v>
      </c>
      <c r="B387" s="706"/>
      <c r="C387" s="707"/>
      <c r="D387" s="215" t="s">
        <v>636</v>
      </c>
      <c r="E387" s="439">
        <f t="shared" si="28"/>
        <v>0</v>
      </c>
      <c r="F387" s="3"/>
      <c r="G387" s="3"/>
      <c r="H387" s="3"/>
      <c r="I387" s="3"/>
      <c r="J387" s="705" t="s">
        <v>635</v>
      </c>
      <c r="K387" s="706"/>
      <c r="L387" s="707"/>
      <c r="M387" s="215" t="s">
        <v>636</v>
      </c>
      <c r="N387" s="439">
        <f t="shared" si="29"/>
        <v>0</v>
      </c>
    </row>
    <row r="388" spans="1:14" ht="15.75" x14ac:dyDescent="0.25">
      <c r="A388" s="705" t="s">
        <v>637</v>
      </c>
      <c r="B388" s="706"/>
      <c r="C388" s="707"/>
      <c r="D388" s="215" t="s">
        <v>638</v>
      </c>
      <c r="E388" s="439">
        <f t="shared" si="28"/>
        <v>0</v>
      </c>
      <c r="J388" s="705" t="s">
        <v>637</v>
      </c>
      <c r="K388" s="706"/>
      <c r="L388" s="707"/>
      <c r="M388" s="215" t="s">
        <v>638</v>
      </c>
      <c r="N388" s="439">
        <f t="shared" si="29"/>
        <v>0</v>
      </c>
    </row>
    <row r="389" spans="1:14" ht="15.75" x14ac:dyDescent="0.25">
      <c r="A389" s="705" t="s">
        <v>639</v>
      </c>
      <c r="B389" s="706"/>
      <c r="C389" s="707"/>
      <c r="D389" s="215" t="s">
        <v>640</v>
      </c>
      <c r="E389" s="439">
        <f t="shared" si="28"/>
        <v>0</v>
      </c>
      <c r="J389" s="705" t="s">
        <v>639</v>
      </c>
      <c r="K389" s="706"/>
      <c r="L389" s="707"/>
      <c r="M389" s="215" t="s">
        <v>640</v>
      </c>
      <c r="N389" s="439">
        <f t="shared" si="29"/>
        <v>0</v>
      </c>
    </row>
    <row r="390" spans="1:14" ht="15.75" x14ac:dyDescent="0.25">
      <c r="A390" s="705" t="s">
        <v>641</v>
      </c>
      <c r="B390" s="706"/>
      <c r="C390" s="707"/>
      <c r="D390" s="215" t="s">
        <v>642</v>
      </c>
      <c r="E390" s="439">
        <f t="shared" si="28"/>
        <v>0</v>
      </c>
      <c r="J390" s="705" t="s">
        <v>641</v>
      </c>
      <c r="K390" s="706"/>
      <c r="L390" s="707"/>
      <c r="M390" s="215" t="s">
        <v>642</v>
      </c>
      <c r="N390" s="439">
        <f t="shared" si="29"/>
        <v>0</v>
      </c>
    </row>
    <row r="391" spans="1:14" ht="15.75" x14ac:dyDescent="0.25">
      <c r="A391" s="705" t="s">
        <v>643</v>
      </c>
      <c r="B391" s="706"/>
      <c r="C391" s="707"/>
      <c r="D391" s="215" t="s">
        <v>644</v>
      </c>
      <c r="E391" s="439">
        <f t="shared" si="28"/>
        <v>0</v>
      </c>
      <c r="F391" s="3"/>
      <c r="G391" s="3"/>
      <c r="H391" s="3"/>
      <c r="I391" s="3"/>
      <c r="J391" s="705" t="s">
        <v>643</v>
      </c>
      <c r="K391" s="706"/>
      <c r="L391" s="707"/>
      <c r="M391" s="215" t="s">
        <v>644</v>
      </c>
      <c r="N391" s="439">
        <f t="shared" si="29"/>
        <v>0</v>
      </c>
    </row>
    <row r="392" spans="1:14" ht="15.75" x14ac:dyDescent="0.25">
      <c r="A392" s="705" t="s">
        <v>645</v>
      </c>
      <c r="B392" s="706"/>
      <c r="C392" s="707"/>
      <c r="D392" s="215" t="s">
        <v>646</v>
      </c>
      <c r="E392" s="439">
        <f t="shared" si="28"/>
        <v>0</v>
      </c>
      <c r="J392" s="705" t="s">
        <v>645</v>
      </c>
      <c r="K392" s="706"/>
      <c r="L392" s="707"/>
      <c r="M392" s="215" t="s">
        <v>646</v>
      </c>
      <c r="N392" s="439">
        <f t="shared" si="29"/>
        <v>0</v>
      </c>
    </row>
    <row r="393" spans="1:14" ht="15.75" x14ac:dyDescent="0.25">
      <c r="A393" s="705" t="s">
        <v>647</v>
      </c>
      <c r="B393" s="706"/>
      <c r="C393" s="707"/>
      <c r="D393" s="215" t="s">
        <v>648</v>
      </c>
      <c r="E393" s="439">
        <f t="shared" si="28"/>
        <v>0</v>
      </c>
      <c r="J393" s="705" t="s">
        <v>647</v>
      </c>
      <c r="K393" s="706"/>
      <c r="L393" s="707"/>
      <c r="M393" s="215" t="s">
        <v>648</v>
      </c>
      <c r="N393" s="439">
        <f t="shared" si="29"/>
        <v>0</v>
      </c>
    </row>
    <row r="394" spans="1:14" ht="15.75" x14ac:dyDescent="0.25">
      <c r="A394" s="705" t="s">
        <v>649</v>
      </c>
      <c r="B394" s="706"/>
      <c r="C394" s="707"/>
      <c r="D394" s="215" t="s">
        <v>650</v>
      </c>
      <c r="E394" s="439">
        <f t="shared" si="28"/>
        <v>0</v>
      </c>
      <c r="J394" s="705" t="s">
        <v>649</v>
      </c>
      <c r="K394" s="706"/>
      <c r="L394" s="707"/>
      <c r="M394" s="215" t="s">
        <v>650</v>
      </c>
      <c r="N394" s="439">
        <f t="shared" si="29"/>
        <v>0</v>
      </c>
    </row>
    <row r="395" spans="1:14" ht="15.75" x14ac:dyDescent="0.25">
      <c r="A395" s="705" t="s">
        <v>651</v>
      </c>
      <c r="B395" s="706"/>
      <c r="C395" s="707"/>
      <c r="D395" s="215" t="s">
        <v>652</v>
      </c>
      <c r="E395" s="439">
        <f t="shared" si="28"/>
        <v>0</v>
      </c>
      <c r="J395" s="705" t="s">
        <v>651</v>
      </c>
      <c r="K395" s="706"/>
      <c r="L395" s="707"/>
      <c r="M395" s="215" t="s">
        <v>652</v>
      </c>
      <c r="N395" s="439">
        <f t="shared" si="29"/>
        <v>0</v>
      </c>
    </row>
    <row r="396" spans="1:14" ht="15.75" x14ac:dyDescent="0.25">
      <c r="A396" s="705" t="s">
        <v>653</v>
      </c>
      <c r="B396" s="706"/>
      <c r="C396" s="707"/>
      <c r="D396" s="215" t="s">
        <v>654</v>
      </c>
      <c r="E396" s="439">
        <f t="shared" si="28"/>
        <v>0</v>
      </c>
      <c r="J396" s="705" t="s">
        <v>653</v>
      </c>
      <c r="K396" s="706"/>
      <c r="L396" s="707"/>
      <c r="M396" s="215" t="s">
        <v>654</v>
      </c>
      <c r="N396" s="439">
        <f t="shared" si="29"/>
        <v>0</v>
      </c>
    </row>
    <row r="397" spans="1:14" ht="15.75" x14ac:dyDescent="0.25">
      <c r="A397" s="705" t="s">
        <v>655</v>
      </c>
      <c r="B397" s="706"/>
      <c r="C397" s="707"/>
      <c r="D397" s="215" t="s">
        <v>656</v>
      </c>
      <c r="E397" s="439">
        <f t="shared" si="28"/>
        <v>0</v>
      </c>
      <c r="J397" s="705" t="s">
        <v>655</v>
      </c>
      <c r="K397" s="706"/>
      <c r="L397" s="707"/>
      <c r="M397" s="215" t="s">
        <v>656</v>
      </c>
      <c r="N397" s="439">
        <f t="shared" si="29"/>
        <v>0</v>
      </c>
    </row>
    <row r="398" spans="1:14" ht="15.75" x14ac:dyDescent="0.25">
      <c r="A398" s="705" t="s">
        <v>657</v>
      </c>
      <c r="B398" s="706"/>
      <c r="C398" s="707"/>
      <c r="D398" s="215" t="s">
        <v>658</v>
      </c>
      <c r="E398" s="439">
        <f t="shared" si="28"/>
        <v>0</v>
      </c>
      <c r="J398" s="705" t="s">
        <v>657</v>
      </c>
      <c r="K398" s="706"/>
      <c r="L398" s="707"/>
      <c r="M398" s="215" t="s">
        <v>658</v>
      </c>
      <c r="N398" s="439">
        <f t="shared" si="29"/>
        <v>0</v>
      </c>
    </row>
    <row r="399" spans="1:14" ht="15.75" x14ac:dyDescent="0.25">
      <c r="A399" s="705" t="s">
        <v>659</v>
      </c>
      <c r="B399" s="706"/>
      <c r="C399" s="707"/>
      <c r="D399" s="215" t="s">
        <v>660</v>
      </c>
      <c r="E399" s="439">
        <f t="shared" si="28"/>
        <v>0</v>
      </c>
      <c r="J399" s="705" t="s">
        <v>659</v>
      </c>
      <c r="K399" s="706"/>
      <c r="L399" s="707"/>
      <c r="M399" s="215" t="s">
        <v>660</v>
      </c>
      <c r="N399" s="439">
        <f t="shared" si="29"/>
        <v>0</v>
      </c>
    </row>
    <row r="400" spans="1:14" ht="15.75" x14ac:dyDescent="0.25">
      <c r="A400" s="705" t="s">
        <v>661</v>
      </c>
      <c r="B400" s="706"/>
      <c r="C400" s="707"/>
      <c r="D400" s="215" t="s">
        <v>662</v>
      </c>
      <c r="E400" s="439">
        <f t="shared" si="28"/>
        <v>0</v>
      </c>
      <c r="J400" s="705" t="s">
        <v>661</v>
      </c>
      <c r="K400" s="706"/>
      <c r="L400" s="707"/>
      <c r="M400" s="215" t="s">
        <v>662</v>
      </c>
      <c r="N400" s="439">
        <f t="shared" si="29"/>
        <v>0</v>
      </c>
    </row>
    <row r="401" spans="1:17" ht="15.75" x14ac:dyDescent="0.25">
      <c r="A401" s="705" t="s">
        <v>663</v>
      </c>
      <c r="B401" s="706"/>
      <c r="C401" s="707"/>
      <c r="D401" s="215" t="s">
        <v>664</v>
      </c>
      <c r="E401" s="439">
        <f t="shared" si="28"/>
        <v>0</v>
      </c>
      <c r="J401" s="705" t="s">
        <v>663</v>
      </c>
      <c r="K401" s="706"/>
      <c r="L401" s="707"/>
      <c r="M401" s="215" t="s">
        <v>664</v>
      </c>
      <c r="N401" s="439">
        <f t="shared" si="29"/>
        <v>0</v>
      </c>
    </row>
    <row r="402" spans="1:17" ht="15.75" x14ac:dyDescent="0.25">
      <c r="A402" s="705" t="s">
        <v>665</v>
      </c>
      <c r="B402" s="706"/>
      <c r="C402" s="707"/>
      <c r="D402" s="215" t="s">
        <v>183</v>
      </c>
      <c r="E402" s="439">
        <f t="shared" si="28"/>
        <v>1</v>
      </c>
      <c r="J402" s="705" t="s">
        <v>665</v>
      </c>
      <c r="K402" s="706"/>
      <c r="L402" s="707"/>
      <c r="M402" s="215" t="s">
        <v>183</v>
      </c>
      <c r="N402" s="439">
        <f t="shared" si="29"/>
        <v>0</v>
      </c>
    </row>
    <row r="403" spans="1:17" ht="15.75" x14ac:dyDescent="0.25">
      <c r="A403" s="705" t="s">
        <v>666</v>
      </c>
      <c r="B403" s="706"/>
      <c r="C403" s="707"/>
      <c r="D403" s="215" t="s">
        <v>667</v>
      </c>
      <c r="E403" s="439">
        <f t="shared" si="28"/>
        <v>0</v>
      </c>
      <c r="J403" s="705" t="s">
        <v>666</v>
      </c>
      <c r="K403" s="706"/>
      <c r="L403" s="707"/>
      <c r="M403" s="215" t="s">
        <v>667</v>
      </c>
      <c r="N403" s="439">
        <f t="shared" si="29"/>
        <v>0</v>
      </c>
    </row>
    <row r="404" spans="1:17" ht="15.75" x14ac:dyDescent="0.25">
      <c r="A404" s="705" t="s">
        <v>668</v>
      </c>
      <c r="B404" s="706"/>
      <c r="C404" s="707"/>
      <c r="D404" s="215" t="s">
        <v>669</v>
      </c>
      <c r="E404" s="439">
        <f t="shared" ref="E404:E420" si="30">COUNTIF($T$3:$BU$30,D404)+COUNTIF($C$49,D404)+COUNTIF($D$49,D404)</f>
        <v>0</v>
      </c>
      <c r="J404" s="705" t="s">
        <v>668</v>
      </c>
      <c r="K404" s="706"/>
      <c r="L404" s="707"/>
      <c r="M404" s="215" t="s">
        <v>669</v>
      </c>
      <c r="N404" s="439">
        <f t="shared" ref="N404:N420" si="31">COUNTIF($A$3:$S$48,M404)+COUNTIF($T$31:$BU$48,M404)+COUNTIF($BV$3:$CN$44,M404)</f>
        <v>0</v>
      </c>
    </row>
    <row r="405" spans="1:17" ht="15.75" x14ac:dyDescent="0.25">
      <c r="A405" s="705" t="s">
        <v>670</v>
      </c>
      <c r="B405" s="706"/>
      <c r="C405" s="707"/>
      <c r="D405" s="215" t="s">
        <v>671</v>
      </c>
      <c r="E405" s="439">
        <f t="shared" si="30"/>
        <v>0</v>
      </c>
      <c r="J405" s="705" t="s">
        <v>670</v>
      </c>
      <c r="K405" s="706"/>
      <c r="L405" s="707"/>
      <c r="M405" s="215" t="s">
        <v>671</v>
      </c>
      <c r="N405" s="439">
        <f t="shared" si="31"/>
        <v>0</v>
      </c>
    </row>
    <row r="406" spans="1:17" ht="15.75" x14ac:dyDescent="0.25">
      <c r="A406" s="705" t="s">
        <v>672</v>
      </c>
      <c r="B406" s="706"/>
      <c r="C406" s="707"/>
      <c r="D406" s="215" t="s">
        <v>673</v>
      </c>
      <c r="E406" s="439">
        <f t="shared" si="30"/>
        <v>0</v>
      </c>
      <c r="J406" s="705" t="s">
        <v>672</v>
      </c>
      <c r="K406" s="706"/>
      <c r="L406" s="707"/>
      <c r="M406" s="215" t="s">
        <v>673</v>
      </c>
      <c r="N406" s="439">
        <f t="shared" si="31"/>
        <v>0</v>
      </c>
    </row>
    <row r="407" spans="1:17" ht="15.75" x14ac:dyDescent="0.25">
      <c r="A407" s="705" t="s">
        <v>674</v>
      </c>
      <c r="B407" s="706"/>
      <c r="C407" s="707"/>
      <c r="D407" s="215" t="s">
        <v>675</v>
      </c>
      <c r="E407" s="439">
        <f t="shared" si="30"/>
        <v>0</v>
      </c>
      <c r="J407" s="705" t="s">
        <v>674</v>
      </c>
      <c r="K407" s="706"/>
      <c r="L407" s="707"/>
      <c r="M407" s="215" t="s">
        <v>675</v>
      </c>
      <c r="N407" s="439">
        <f t="shared" si="31"/>
        <v>0</v>
      </c>
    </row>
    <row r="408" spans="1:17" ht="15.75" x14ac:dyDescent="0.25">
      <c r="A408" s="705" t="s">
        <v>676</v>
      </c>
      <c r="B408" s="706"/>
      <c r="C408" s="707"/>
      <c r="D408" s="215" t="s">
        <v>677</v>
      </c>
      <c r="E408" s="439">
        <f t="shared" si="30"/>
        <v>0</v>
      </c>
      <c r="J408" s="705" t="s">
        <v>676</v>
      </c>
      <c r="K408" s="706"/>
      <c r="L408" s="707"/>
      <c r="M408" s="215" t="s">
        <v>677</v>
      </c>
      <c r="N408" s="439">
        <f t="shared" si="31"/>
        <v>0</v>
      </c>
    </row>
    <row r="409" spans="1:17" ht="15.75" x14ac:dyDescent="0.25">
      <c r="A409" s="705" t="s">
        <v>678</v>
      </c>
      <c r="B409" s="706"/>
      <c r="C409" s="707"/>
      <c r="D409" s="215" t="s">
        <v>679</v>
      </c>
      <c r="E409" s="439">
        <f t="shared" si="30"/>
        <v>0</v>
      </c>
      <c r="J409" s="705" t="s">
        <v>678</v>
      </c>
      <c r="K409" s="706"/>
      <c r="L409" s="707"/>
      <c r="M409" s="215" t="s">
        <v>679</v>
      </c>
      <c r="N409" s="439">
        <f t="shared" si="31"/>
        <v>0</v>
      </c>
    </row>
    <row r="410" spans="1:17" ht="15.75" x14ac:dyDescent="0.25">
      <c r="A410" s="705" t="s">
        <v>680</v>
      </c>
      <c r="B410" s="706"/>
      <c r="C410" s="707"/>
      <c r="D410" s="215" t="s">
        <v>681</v>
      </c>
      <c r="E410" s="439">
        <f t="shared" si="30"/>
        <v>0</v>
      </c>
      <c r="J410" s="705" t="s">
        <v>680</v>
      </c>
      <c r="K410" s="706"/>
      <c r="L410" s="707"/>
      <c r="M410" s="215" t="s">
        <v>681</v>
      </c>
      <c r="N410" s="439">
        <f t="shared" si="31"/>
        <v>0</v>
      </c>
    </row>
    <row r="411" spans="1:17" ht="15.75" x14ac:dyDescent="0.25">
      <c r="A411" s="705" t="s">
        <v>682</v>
      </c>
      <c r="B411" s="706"/>
      <c r="C411" s="707"/>
      <c r="D411" s="215" t="s">
        <v>253</v>
      </c>
      <c r="E411" s="439">
        <f t="shared" si="30"/>
        <v>0</v>
      </c>
      <c r="J411" s="705" t="s">
        <v>682</v>
      </c>
      <c r="K411" s="706"/>
      <c r="L411" s="707"/>
      <c r="M411" s="215" t="s">
        <v>253</v>
      </c>
      <c r="N411" s="439">
        <f t="shared" si="31"/>
        <v>1</v>
      </c>
    </row>
    <row r="412" spans="1:17" ht="15.75" x14ac:dyDescent="0.25">
      <c r="A412" s="705" t="s">
        <v>683</v>
      </c>
      <c r="B412" s="706"/>
      <c r="C412" s="707"/>
      <c r="D412" s="215" t="s">
        <v>684</v>
      </c>
      <c r="E412" s="439">
        <f t="shared" si="30"/>
        <v>0</v>
      </c>
      <c r="J412" s="705" t="s">
        <v>683</v>
      </c>
      <c r="K412" s="706"/>
      <c r="L412" s="707"/>
      <c r="M412" s="215" t="s">
        <v>684</v>
      </c>
      <c r="N412" s="439">
        <f t="shared" si="31"/>
        <v>0</v>
      </c>
    </row>
    <row r="413" spans="1:17" ht="15.75" x14ac:dyDescent="0.25">
      <c r="A413" s="705" t="s">
        <v>685</v>
      </c>
      <c r="B413" s="706"/>
      <c r="C413" s="707"/>
      <c r="D413" s="215" t="s">
        <v>686</v>
      </c>
      <c r="E413" s="439">
        <f t="shared" si="30"/>
        <v>0</v>
      </c>
      <c r="J413" s="705" t="s">
        <v>685</v>
      </c>
      <c r="K413" s="706"/>
      <c r="L413" s="707"/>
      <c r="M413" s="215" t="s">
        <v>686</v>
      </c>
      <c r="N413" s="439">
        <f t="shared" si="31"/>
        <v>0</v>
      </c>
      <c r="O413" s="3"/>
      <c r="P413" s="3"/>
      <c r="Q413" s="3"/>
    </row>
    <row r="414" spans="1:17" ht="15.75" x14ac:dyDescent="0.25">
      <c r="A414" s="705" t="s">
        <v>687</v>
      </c>
      <c r="B414" s="706"/>
      <c r="C414" s="707"/>
      <c r="D414" s="215" t="s">
        <v>688</v>
      </c>
      <c r="E414" s="439">
        <f t="shared" si="30"/>
        <v>0</v>
      </c>
      <c r="J414" s="705" t="s">
        <v>687</v>
      </c>
      <c r="K414" s="706"/>
      <c r="L414" s="707"/>
      <c r="M414" s="215" t="s">
        <v>688</v>
      </c>
      <c r="N414" s="439">
        <f t="shared" si="31"/>
        <v>0</v>
      </c>
    </row>
    <row r="415" spans="1:17" ht="15.75" x14ac:dyDescent="0.25">
      <c r="A415" s="705" t="s">
        <v>689</v>
      </c>
      <c r="B415" s="706"/>
      <c r="C415" s="707"/>
      <c r="D415" s="215" t="s">
        <v>690</v>
      </c>
      <c r="E415" s="439">
        <f t="shared" si="30"/>
        <v>0</v>
      </c>
      <c r="J415" s="705" t="s">
        <v>689</v>
      </c>
      <c r="K415" s="706"/>
      <c r="L415" s="707"/>
      <c r="M415" s="215" t="s">
        <v>690</v>
      </c>
      <c r="N415" s="439">
        <f t="shared" si="31"/>
        <v>0</v>
      </c>
    </row>
    <row r="416" spans="1:17" ht="15.75" x14ac:dyDescent="0.25">
      <c r="A416" s="705" t="s">
        <v>691</v>
      </c>
      <c r="B416" s="706"/>
      <c r="C416" s="707"/>
      <c r="D416" s="215" t="s">
        <v>692</v>
      </c>
      <c r="E416" s="439">
        <f t="shared" si="30"/>
        <v>0</v>
      </c>
      <c r="J416" s="705" t="s">
        <v>691</v>
      </c>
      <c r="K416" s="706"/>
      <c r="L416" s="707"/>
      <c r="M416" s="215" t="s">
        <v>692</v>
      </c>
      <c r="N416" s="439">
        <f t="shared" si="31"/>
        <v>0</v>
      </c>
    </row>
    <row r="417" spans="1:17" ht="15.75" x14ac:dyDescent="0.25">
      <c r="A417" s="705" t="s">
        <v>693</v>
      </c>
      <c r="B417" s="706"/>
      <c r="C417" s="707"/>
      <c r="D417" s="215" t="s">
        <v>694</v>
      </c>
      <c r="E417" s="439">
        <f t="shared" si="30"/>
        <v>0</v>
      </c>
      <c r="J417" s="705" t="s">
        <v>693</v>
      </c>
      <c r="K417" s="706"/>
      <c r="L417" s="707"/>
      <c r="M417" s="215" t="s">
        <v>694</v>
      </c>
      <c r="N417" s="439">
        <f t="shared" si="31"/>
        <v>0</v>
      </c>
    </row>
    <row r="418" spans="1:17" ht="15.75" x14ac:dyDescent="0.25">
      <c r="A418" s="705" t="s">
        <v>695</v>
      </c>
      <c r="B418" s="706"/>
      <c r="C418" s="707"/>
      <c r="D418" s="215" t="s">
        <v>696</v>
      </c>
      <c r="E418" s="439">
        <f t="shared" si="30"/>
        <v>0</v>
      </c>
      <c r="J418" s="705" t="s">
        <v>695</v>
      </c>
      <c r="K418" s="706"/>
      <c r="L418" s="707"/>
      <c r="M418" s="215" t="s">
        <v>696</v>
      </c>
      <c r="N418" s="439">
        <f t="shared" si="31"/>
        <v>0</v>
      </c>
    </row>
    <row r="419" spans="1:17" ht="15.75" x14ac:dyDescent="0.25">
      <c r="A419" s="705" t="s">
        <v>697</v>
      </c>
      <c r="B419" s="706"/>
      <c r="C419" s="707"/>
      <c r="D419" s="215" t="s">
        <v>698</v>
      </c>
      <c r="E419" s="439">
        <f t="shared" si="30"/>
        <v>0</v>
      </c>
      <c r="J419" s="705" t="s">
        <v>697</v>
      </c>
      <c r="K419" s="706"/>
      <c r="L419" s="707"/>
      <c r="M419" s="215" t="s">
        <v>698</v>
      </c>
      <c r="N419" s="439">
        <f t="shared" si="31"/>
        <v>0</v>
      </c>
    </row>
    <row r="420" spans="1:17" ht="15.75" x14ac:dyDescent="0.25">
      <c r="A420" s="705" t="s">
        <v>699</v>
      </c>
      <c r="B420" s="706"/>
      <c r="C420" s="707"/>
      <c r="D420" s="215" t="s">
        <v>700</v>
      </c>
      <c r="E420" s="439">
        <f t="shared" si="30"/>
        <v>0</v>
      </c>
      <c r="J420" s="705" t="s">
        <v>699</v>
      </c>
      <c r="K420" s="706"/>
      <c r="L420" s="707"/>
      <c r="M420" s="215" t="s">
        <v>700</v>
      </c>
      <c r="N420" s="439">
        <f t="shared" si="31"/>
        <v>0</v>
      </c>
    </row>
    <row r="421" spans="1:17" ht="18.75" thickBot="1" x14ac:dyDescent="0.3">
      <c r="A421" s="711" t="s">
        <v>279</v>
      </c>
      <c r="B421" s="712"/>
      <c r="C421" s="712"/>
      <c r="D421" s="713"/>
      <c r="E421" s="578">
        <f>SUM(E340:E420)</f>
        <v>4</v>
      </c>
      <c r="J421" s="704" t="s">
        <v>279</v>
      </c>
      <c r="K421" s="704"/>
      <c r="L421" s="704"/>
      <c r="M421" s="704"/>
      <c r="N421" s="578">
        <f>SUM(N340:N420)</f>
        <v>5</v>
      </c>
    </row>
    <row r="422" spans="1:17" ht="18.75" thickBot="1" x14ac:dyDescent="0.3">
      <c r="A422" s="708" t="s">
        <v>701</v>
      </c>
      <c r="B422" s="709"/>
      <c r="C422" s="709"/>
      <c r="D422" s="710"/>
      <c r="J422" s="708" t="s">
        <v>701</v>
      </c>
      <c r="K422" s="709"/>
      <c r="L422" s="709"/>
      <c r="M422" s="710"/>
    </row>
    <row r="423" spans="1:17" ht="15.75" x14ac:dyDescent="0.25">
      <c r="A423" s="705" t="s">
        <v>702</v>
      </c>
      <c r="B423" s="706"/>
      <c r="C423" s="707"/>
      <c r="D423" s="215" t="s">
        <v>703</v>
      </c>
      <c r="E423" s="439">
        <f t="shared" ref="E423:E449" si="32">COUNTIF($T$3:$BU$30,D423)+COUNTIF($C$49,D423)+COUNTIF($D$49,D423)</f>
        <v>0</v>
      </c>
      <c r="J423" s="705" t="s">
        <v>702</v>
      </c>
      <c r="K423" s="706"/>
      <c r="L423" s="707"/>
      <c r="M423" s="215" t="s">
        <v>703</v>
      </c>
      <c r="N423" s="439">
        <f t="shared" ref="N423:N449" si="33">COUNTIF($A$3:$S$48,M423)+COUNTIF($T$31:$BU$48,M423)+COUNTIF($BV$3:$CN$44,M423)</f>
        <v>0</v>
      </c>
      <c r="O423" s="3"/>
      <c r="P423" s="3"/>
      <c r="Q423" s="3"/>
    </row>
    <row r="424" spans="1:17" ht="15.75" x14ac:dyDescent="0.25">
      <c r="A424" s="705" t="s">
        <v>704</v>
      </c>
      <c r="B424" s="706"/>
      <c r="C424" s="707"/>
      <c r="D424" s="215" t="s">
        <v>705</v>
      </c>
      <c r="E424" s="439">
        <f t="shared" si="32"/>
        <v>0</v>
      </c>
      <c r="J424" s="705" t="s">
        <v>704</v>
      </c>
      <c r="K424" s="706"/>
      <c r="L424" s="707"/>
      <c r="M424" s="215" t="s">
        <v>705</v>
      </c>
      <c r="N424" s="439">
        <f t="shared" si="33"/>
        <v>0</v>
      </c>
    </row>
    <row r="425" spans="1:17" ht="15.75" x14ac:dyDescent="0.25">
      <c r="A425" s="705" t="s">
        <v>706</v>
      </c>
      <c r="B425" s="706"/>
      <c r="C425" s="707"/>
      <c r="D425" s="215" t="s">
        <v>707</v>
      </c>
      <c r="E425" s="439">
        <f t="shared" si="32"/>
        <v>0</v>
      </c>
      <c r="J425" s="705" t="s">
        <v>706</v>
      </c>
      <c r="K425" s="706"/>
      <c r="L425" s="707"/>
      <c r="M425" s="215" t="s">
        <v>707</v>
      </c>
      <c r="N425" s="439">
        <f t="shared" si="33"/>
        <v>0</v>
      </c>
    </row>
    <row r="426" spans="1:17" ht="15.75" x14ac:dyDescent="0.25">
      <c r="A426" s="705" t="s">
        <v>708</v>
      </c>
      <c r="B426" s="706"/>
      <c r="C426" s="707"/>
      <c r="D426" s="215" t="s">
        <v>709</v>
      </c>
      <c r="E426" s="439">
        <f t="shared" si="32"/>
        <v>0</v>
      </c>
      <c r="J426" s="705" t="s">
        <v>708</v>
      </c>
      <c r="K426" s="706"/>
      <c r="L426" s="707"/>
      <c r="M426" s="215" t="s">
        <v>709</v>
      </c>
      <c r="N426" s="439">
        <f t="shared" si="33"/>
        <v>0</v>
      </c>
      <c r="O426" s="3"/>
      <c r="P426" s="3"/>
      <c r="Q426" s="3"/>
    </row>
    <row r="427" spans="1:17" ht="15.75" x14ac:dyDescent="0.25">
      <c r="A427" s="705" t="s">
        <v>710</v>
      </c>
      <c r="B427" s="706"/>
      <c r="C427" s="707"/>
      <c r="D427" s="215" t="s">
        <v>711</v>
      </c>
      <c r="E427" s="439">
        <f t="shared" si="32"/>
        <v>0</v>
      </c>
      <c r="J427" s="705" t="s">
        <v>710</v>
      </c>
      <c r="K427" s="706"/>
      <c r="L427" s="707"/>
      <c r="M427" s="215" t="s">
        <v>711</v>
      </c>
      <c r="N427" s="439">
        <f t="shared" si="33"/>
        <v>0</v>
      </c>
    </row>
    <row r="428" spans="1:17" ht="15.75" x14ac:dyDescent="0.25">
      <c r="A428" s="705" t="s">
        <v>712</v>
      </c>
      <c r="B428" s="706"/>
      <c r="C428" s="707"/>
      <c r="D428" s="215" t="s">
        <v>713</v>
      </c>
      <c r="E428" s="439">
        <f t="shared" si="32"/>
        <v>0</v>
      </c>
      <c r="J428" s="705" t="s">
        <v>712</v>
      </c>
      <c r="K428" s="706"/>
      <c r="L428" s="707"/>
      <c r="M428" s="215" t="s">
        <v>713</v>
      </c>
      <c r="N428" s="439">
        <f t="shared" si="33"/>
        <v>0</v>
      </c>
    </row>
    <row r="429" spans="1:17" ht="15.75" x14ac:dyDescent="0.25">
      <c r="A429" s="705" t="s">
        <v>714</v>
      </c>
      <c r="B429" s="706"/>
      <c r="C429" s="707"/>
      <c r="D429" s="215" t="s">
        <v>715</v>
      </c>
      <c r="E429" s="439">
        <f t="shared" si="32"/>
        <v>0</v>
      </c>
      <c r="J429" s="705" t="s">
        <v>714</v>
      </c>
      <c r="K429" s="706"/>
      <c r="L429" s="707"/>
      <c r="M429" s="215" t="s">
        <v>715</v>
      </c>
      <c r="N429" s="439">
        <f t="shared" si="33"/>
        <v>0</v>
      </c>
    </row>
    <row r="430" spans="1:17" ht="15.75" x14ac:dyDescent="0.25">
      <c r="A430" s="705" t="s">
        <v>716</v>
      </c>
      <c r="B430" s="706"/>
      <c r="C430" s="707"/>
      <c r="D430" s="215" t="s">
        <v>717</v>
      </c>
      <c r="E430" s="439">
        <f t="shared" si="32"/>
        <v>0</v>
      </c>
      <c r="J430" s="705" t="s">
        <v>716</v>
      </c>
      <c r="K430" s="706"/>
      <c r="L430" s="707"/>
      <c r="M430" s="215" t="s">
        <v>717</v>
      </c>
      <c r="N430" s="439">
        <f t="shared" si="33"/>
        <v>0</v>
      </c>
    </row>
    <row r="431" spans="1:17" ht="15.75" x14ac:dyDescent="0.25">
      <c r="A431" s="705" t="s">
        <v>125</v>
      </c>
      <c r="B431" s="706"/>
      <c r="C431" s="707"/>
      <c r="D431" s="215" t="s">
        <v>718</v>
      </c>
      <c r="E431" s="439">
        <f t="shared" si="32"/>
        <v>0</v>
      </c>
      <c r="J431" s="705" t="s">
        <v>125</v>
      </c>
      <c r="K431" s="706"/>
      <c r="L431" s="707"/>
      <c r="M431" s="215" t="s">
        <v>718</v>
      </c>
      <c r="N431" s="439">
        <f t="shared" si="33"/>
        <v>0</v>
      </c>
    </row>
    <row r="432" spans="1:17" ht="15.75" x14ac:dyDescent="0.25">
      <c r="A432" s="705" t="s">
        <v>719</v>
      </c>
      <c r="B432" s="706"/>
      <c r="C432" s="707"/>
      <c r="D432" s="215" t="s">
        <v>720</v>
      </c>
      <c r="E432" s="439">
        <f t="shared" si="32"/>
        <v>0</v>
      </c>
      <c r="J432" s="705" t="s">
        <v>719</v>
      </c>
      <c r="K432" s="706"/>
      <c r="L432" s="707"/>
      <c r="M432" s="215" t="s">
        <v>720</v>
      </c>
      <c r="N432" s="439">
        <f t="shared" si="33"/>
        <v>0</v>
      </c>
    </row>
    <row r="433" spans="1:14" ht="15.75" x14ac:dyDescent="0.25">
      <c r="A433" s="705" t="s">
        <v>721</v>
      </c>
      <c r="B433" s="706"/>
      <c r="C433" s="707"/>
      <c r="D433" s="215" t="s">
        <v>722</v>
      </c>
      <c r="E433" s="439">
        <f t="shared" si="32"/>
        <v>0</v>
      </c>
      <c r="J433" s="705" t="s">
        <v>721</v>
      </c>
      <c r="K433" s="706"/>
      <c r="L433" s="707"/>
      <c r="M433" s="215" t="s">
        <v>722</v>
      </c>
      <c r="N433" s="439">
        <f t="shared" si="33"/>
        <v>0</v>
      </c>
    </row>
    <row r="434" spans="1:14" ht="15.75" x14ac:dyDescent="0.25">
      <c r="A434" s="705" t="s">
        <v>723</v>
      </c>
      <c r="B434" s="706"/>
      <c r="C434" s="707"/>
      <c r="D434" s="215" t="s">
        <v>724</v>
      </c>
      <c r="E434" s="439">
        <f t="shared" si="32"/>
        <v>0</v>
      </c>
      <c r="J434" s="705" t="s">
        <v>723</v>
      </c>
      <c r="K434" s="706"/>
      <c r="L434" s="707"/>
      <c r="M434" s="215" t="s">
        <v>724</v>
      </c>
      <c r="N434" s="439">
        <f t="shared" si="33"/>
        <v>0</v>
      </c>
    </row>
    <row r="435" spans="1:14" ht="15.75" x14ac:dyDescent="0.25">
      <c r="A435" s="705" t="s">
        <v>725</v>
      </c>
      <c r="B435" s="706"/>
      <c r="C435" s="707"/>
      <c r="D435" s="215" t="s">
        <v>726</v>
      </c>
      <c r="E435" s="439">
        <f t="shared" si="32"/>
        <v>0</v>
      </c>
      <c r="J435" s="705" t="s">
        <v>725</v>
      </c>
      <c r="K435" s="706"/>
      <c r="L435" s="707"/>
      <c r="M435" s="215" t="s">
        <v>726</v>
      </c>
      <c r="N435" s="439">
        <f t="shared" si="33"/>
        <v>0</v>
      </c>
    </row>
    <row r="436" spans="1:14" ht="15.75" x14ac:dyDescent="0.25">
      <c r="A436" s="705" t="s">
        <v>143</v>
      </c>
      <c r="B436" s="706"/>
      <c r="C436" s="707"/>
      <c r="D436" s="215" t="s">
        <v>727</v>
      </c>
      <c r="E436" s="439">
        <f t="shared" si="32"/>
        <v>0</v>
      </c>
      <c r="J436" s="705" t="s">
        <v>143</v>
      </c>
      <c r="K436" s="706"/>
      <c r="L436" s="707"/>
      <c r="M436" s="215" t="s">
        <v>727</v>
      </c>
      <c r="N436" s="439">
        <f t="shared" si="33"/>
        <v>0</v>
      </c>
    </row>
    <row r="437" spans="1:14" ht="15.75" x14ac:dyDescent="0.25">
      <c r="A437" s="705" t="s">
        <v>728</v>
      </c>
      <c r="B437" s="706"/>
      <c r="C437" s="707"/>
      <c r="D437" s="215" t="s">
        <v>729</v>
      </c>
      <c r="E437" s="439">
        <f t="shared" si="32"/>
        <v>0</v>
      </c>
      <c r="J437" s="705" t="s">
        <v>728</v>
      </c>
      <c r="K437" s="706"/>
      <c r="L437" s="707"/>
      <c r="M437" s="215" t="s">
        <v>729</v>
      </c>
      <c r="N437" s="439">
        <f t="shared" si="33"/>
        <v>0</v>
      </c>
    </row>
    <row r="438" spans="1:14" ht="15.75" x14ac:dyDescent="0.25">
      <c r="A438" s="705" t="s">
        <v>145</v>
      </c>
      <c r="B438" s="706"/>
      <c r="C438" s="707"/>
      <c r="D438" s="215" t="s">
        <v>730</v>
      </c>
      <c r="E438" s="439">
        <f t="shared" si="32"/>
        <v>0</v>
      </c>
      <c r="J438" s="705" t="s">
        <v>145</v>
      </c>
      <c r="K438" s="706"/>
      <c r="L438" s="707"/>
      <c r="M438" s="215" t="s">
        <v>730</v>
      </c>
      <c r="N438" s="439">
        <f t="shared" si="33"/>
        <v>0</v>
      </c>
    </row>
    <row r="439" spans="1:14" ht="15.75" x14ac:dyDescent="0.25">
      <c r="A439" s="705" t="s">
        <v>731</v>
      </c>
      <c r="B439" s="706"/>
      <c r="C439" s="707"/>
      <c r="D439" s="215" t="s">
        <v>732</v>
      </c>
      <c r="E439" s="439">
        <f t="shared" si="32"/>
        <v>0</v>
      </c>
      <c r="J439" s="705" t="s">
        <v>731</v>
      </c>
      <c r="K439" s="706"/>
      <c r="L439" s="707"/>
      <c r="M439" s="215" t="s">
        <v>732</v>
      </c>
      <c r="N439" s="439">
        <f t="shared" si="33"/>
        <v>0</v>
      </c>
    </row>
    <row r="440" spans="1:14" ht="15.75" x14ac:dyDescent="0.25">
      <c r="A440" s="705" t="s">
        <v>118</v>
      </c>
      <c r="B440" s="706"/>
      <c r="C440" s="707"/>
      <c r="D440" s="215" t="s">
        <v>733</v>
      </c>
      <c r="E440" s="439">
        <f t="shared" si="32"/>
        <v>0</v>
      </c>
      <c r="J440" s="705" t="s">
        <v>118</v>
      </c>
      <c r="K440" s="706"/>
      <c r="L440" s="707"/>
      <c r="M440" s="215" t="s">
        <v>733</v>
      </c>
      <c r="N440" s="439">
        <f t="shared" si="33"/>
        <v>0</v>
      </c>
    </row>
    <row r="441" spans="1:14" ht="15.75" x14ac:dyDescent="0.25">
      <c r="A441" s="705" t="s">
        <v>734</v>
      </c>
      <c r="B441" s="706"/>
      <c r="C441" s="707"/>
      <c r="D441" s="215" t="s">
        <v>735</v>
      </c>
      <c r="E441" s="439">
        <f t="shared" si="32"/>
        <v>0</v>
      </c>
      <c r="J441" s="705" t="s">
        <v>734</v>
      </c>
      <c r="K441" s="706"/>
      <c r="L441" s="707"/>
      <c r="M441" s="215" t="s">
        <v>735</v>
      </c>
      <c r="N441" s="439">
        <f t="shared" si="33"/>
        <v>0</v>
      </c>
    </row>
    <row r="442" spans="1:14" ht="15.75" x14ac:dyDescent="0.25">
      <c r="A442" s="705" t="s">
        <v>736</v>
      </c>
      <c r="B442" s="706"/>
      <c r="C442" s="707"/>
      <c r="D442" s="215" t="s">
        <v>737</v>
      </c>
      <c r="E442" s="439">
        <f t="shared" si="32"/>
        <v>0</v>
      </c>
      <c r="J442" s="705" t="s">
        <v>736</v>
      </c>
      <c r="K442" s="706"/>
      <c r="L442" s="707"/>
      <c r="M442" s="215" t="s">
        <v>737</v>
      </c>
      <c r="N442" s="439">
        <f t="shared" si="33"/>
        <v>0</v>
      </c>
    </row>
    <row r="443" spans="1:14" ht="15.75" x14ac:dyDescent="0.25">
      <c r="A443" s="705" t="s">
        <v>738</v>
      </c>
      <c r="B443" s="706"/>
      <c r="C443" s="707"/>
      <c r="D443" s="215" t="s">
        <v>739</v>
      </c>
      <c r="E443" s="439">
        <f t="shared" si="32"/>
        <v>0</v>
      </c>
      <c r="J443" s="705" t="s">
        <v>738</v>
      </c>
      <c r="K443" s="706"/>
      <c r="L443" s="707"/>
      <c r="M443" s="215" t="s">
        <v>739</v>
      </c>
      <c r="N443" s="439">
        <f t="shared" si="33"/>
        <v>0</v>
      </c>
    </row>
    <row r="444" spans="1:14" ht="15.75" x14ac:dyDescent="0.25">
      <c r="A444" s="705" t="s">
        <v>740</v>
      </c>
      <c r="B444" s="706"/>
      <c r="C444" s="707"/>
      <c r="D444" s="215" t="s">
        <v>741</v>
      </c>
      <c r="E444" s="439">
        <f t="shared" si="32"/>
        <v>0</v>
      </c>
      <c r="J444" s="705" t="s">
        <v>740</v>
      </c>
      <c r="K444" s="706"/>
      <c r="L444" s="707"/>
      <c r="M444" s="215" t="s">
        <v>741</v>
      </c>
      <c r="N444" s="439">
        <f t="shared" si="33"/>
        <v>0</v>
      </c>
    </row>
    <row r="445" spans="1:14" ht="15.75" x14ac:dyDescent="0.25">
      <c r="A445" s="705" t="s">
        <v>742</v>
      </c>
      <c r="B445" s="706"/>
      <c r="C445" s="707"/>
      <c r="D445" s="215" t="s">
        <v>743</v>
      </c>
      <c r="E445" s="439">
        <f t="shared" si="32"/>
        <v>0</v>
      </c>
      <c r="J445" s="705" t="s">
        <v>742</v>
      </c>
      <c r="K445" s="706"/>
      <c r="L445" s="707"/>
      <c r="M445" s="215" t="s">
        <v>743</v>
      </c>
      <c r="N445" s="439">
        <f t="shared" si="33"/>
        <v>0</v>
      </c>
    </row>
    <row r="446" spans="1:14" ht="15.75" x14ac:dyDescent="0.25">
      <c r="A446" s="705" t="s">
        <v>103</v>
      </c>
      <c r="B446" s="706"/>
      <c r="C446" s="707"/>
      <c r="D446" s="215" t="s">
        <v>744</v>
      </c>
      <c r="E446" s="439">
        <f t="shared" si="32"/>
        <v>0</v>
      </c>
      <c r="J446" s="705" t="s">
        <v>103</v>
      </c>
      <c r="K446" s="706"/>
      <c r="L446" s="707"/>
      <c r="M446" s="215" t="s">
        <v>744</v>
      </c>
      <c r="N446" s="439">
        <f t="shared" si="33"/>
        <v>0</v>
      </c>
    </row>
    <row r="447" spans="1:14" ht="15.75" x14ac:dyDescent="0.25">
      <c r="A447" s="705" t="s">
        <v>745</v>
      </c>
      <c r="B447" s="706"/>
      <c r="C447" s="707"/>
      <c r="D447" s="215" t="s">
        <v>746</v>
      </c>
      <c r="E447" s="439">
        <f t="shared" si="32"/>
        <v>0</v>
      </c>
      <c r="J447" s="705" t="s">
        <v>745</v>
      </c>
      <c r="K447" s="706"/>
      <c r="L447" s="707"/>
      <c r="M447" s="215" t="s">
        <v>746</v>
      </c>
      <c r="N447" s="439">
        <f t="shared" si="33"/>
        <v>0</v>
      </c>
    </row>
    <row r="448" spans="1:14" ht="15.75" x14ac:dyDescent="0.25">
      <c r="A448" s="705" t="s">
        <v>160</v>
      </c>
      <c r="B448" s="706"/>
      <c r="C448" s="707"/>
      <c r="D448" s="215" t="s">
        <v>747</v>
      </c>
      <c r="E448" s="439">
        <f t="shared" si="32"/>
        <v>0</v>
      </c>
      <c r="J448" s="705" t="s">
        <v>160</v>
      </c>
      <c r="K448" s="706"/>
      <c r="L448" s="707"/>
      <c r="M448" s="215" t="s">
        <v>747</v>
      </c>
      <c r="N448" s="439">
        <f t="shared" si="33"/>
        <v>0</v>
      </c>
    </row>
    <row r="449" spans="1:14" ht="15.75" x14ac:dyDescent="0.25">
      <c r="A449" s="705" t="s">
        <v>748</v>
      </c>
      <c r="B449" s="706"/>
      <c r="C449" s="707"/>
      <c r="D449" s="215" t="s">
        <v>260</v>
      </c>
      <c r="E449" s="439">
        <f t="shared" si="32"/>
        <v>0</v>
      </c>
      <c r="J449" s="705" t="s">
        <v>748</v>
      </c>
      <c r="K449" s="706"/>
      <c r="L449" s="707"/>
      <c r="M449" s="215" t="s">
        <v>260</v>
      </c>
      <c r="N449" s="439">
        <f t="shared" si="33"/>
        <v>1</v>
      </c>
    </row>
    <row r="450" spans="1:14" ht="18.75" thickBot="1" x14ac:dyDescent="0.3">
      <c r="A450" s="704" t="s">
        <v>279</v>
      </c>
      <c r="B450" s="704"/>
      <c r="C450" s="704"/>
      <c r="D450" s="704"/>
      <c r="E450" s="578">
        <f>SUM(E423:E449)</f>
        <v>0</v>
      </c>
      <c r="J450" s="704" t="s">
        <v>279</v>
      </c>
      <c r="K450" s="704"/>
      <c r="L450" s="704"/>
      <c r="M450" s="704"/>
      <c r="N450" s="578">
        <f>SUM(N423:N449)</f>
        <v>1</v>
      </c>
    </row>
    <row r="451" spans="1:14" ht="18.75" thickBot="1" x14ac:dyDescent="0.3">
      <c r="A451" s="708" t="s">
        <v>749</v>
      </c>
      <c r="B451" s="709"/>
      <c r="C451" s="709"/>
      <c r="D451" s="710"/>
      <c r="F451" s="3"/>
      <c r="G451" s="3"/>
      <c r="H451" s="3"/>
      <c r="I451" s="3"/>
      <c r="J451" s="708" t="s">
        <v>749</v>
      </c>
      <c r="K451" s="709"/>
      <c r="L451" s="709"/>
      <c r="M451" s="710"/>
    </row>
    <row r="452" spans="1:14" ht="15.75" x14ac:dyDescent="0.25">
      <c r="A452" s="705" t="s">
        <v>490</v>
      </c>
      <c r="B452" s="706"/>
      <c r="C452" s="707"/>
      <c r="D452" s="215" t="s">
        <v>750</v>
      </c>
      <c r="E452" s="439">
        <f t="shared" ref="E452:E457" si="34">COUNTIF($T$3:$BU$30,D452)+COUNTIF($C$49,D452)+COUNTIF($D$49,D452)</f>
        <v>0</v>
      </c>
      <c r="J452" s="705" t="s">
        <v>490</v>
      </c>
      <c r="K452" s="706"/>
      <c r="L452" s="707"/>
      <c r="M452" s="215" t="s">
        <v>750</v>
      </c>
      <c r="N452" s="439">
        <f t="shared" ref="N452:N457" si="35">COUNTIF($A$3:$S$48,M452)+COUNTIF($T$31:$BU$48,M452)+COUNTIF($BV$3:$CN$44,M452)</f>
        <v>0</v>
      </c>
    </row>
    <row r="453" spans="1:14" ht="15.75" x14ac:dyDescent="0.25">
      <c r="A453" s="705" t="s">
        <v>547</v>
      </c>
      <c r="B453" s="706"/>
      <c r="C453" s="707"/>
      <c r="D453" s="215" t="s">
        <v>751</v>
      </c>
      <c r="E453" s="439">
        <f t="shared" si="34"/>
        <v>0</v>
      </c>
      <c r="J453" s="705" t="s">
        <v>547</v>
      </c>
      <c r="K453" s="706"/>
      <c r="L453" s="707"/>
      <c r="M453" s="215" t="s">
        <v>751</v>
      </c>
      <c r="N453" s="439">
        <f t="shared" si="35"/>
        <v>0</v>
      </c>
    </row>
    <row r="454" spans="1:14" ht="15.75" x14ac:dyDescent="0.25">
      <c r="A454" s="705" t="s">
        <v>514</v>
      </c>
      <c r="B454" s="706"/>
      <c r="C454" s="707"/>
      <c r="D454" s="215" t="s">
        <v>752</v>
      </c>
      <c r="E454" s="439">
        <f t="shared" si="34"/>
        <v>0</v>
      </c>
      <c r="J454" s="705" t="s">
        <v>514</v>
      </c>
      <c r="K454" s="706"/>
      <c r="L454" s="707"/>
      <c r="M454" s="215" t="s">
        <v>752</v>
      </c>
      <c r="N454" s="439">
        <f t="shared" si="35"/>
        <v>0</v>
      </c>
    </row>
    <row r="455" spans="1:14" ht="15.75" x14ac:dyDescent="0.25">
      <c r="A455" s="705" t="s">
        <v>581</v>
      </c>
      <c r="B455" s="706"/>
      <c r="C455" s="707"/>
      <c r="D455" s="215" t="s">
        <v>753</v>
      </c>
      <c r="E455" s="439">
        <f t="shared" si="34"/>
        <v>0</v>
      </c>
      <c r="J455" s="705" t="s">
        <v>581</v>
      </c>
      <c r="K455" s="706"/>
      <c r="L455" s="707"/>
      <c r="M455" s="215" t="s">
        <v>753</v>
      </c>
      <c r="N455" s="439">
        <f t="shared" si="35"/>
        <v>0</v>
      </c>
    </row>
    <row r="456" spans="1:14" ht="15.75" x14ac:dyDescent="0.25">
      <c r="A456" s="705" t="s">
        <v>522</v>
      </c>
      <c r="B456" s="706"/>
      <c r="C456" s="707"/>
      <c r="D456" s="215" t="s">
        <v>754</v>
      </c>
      <c r="E456" s="439">
        <f t="shared" si="34"/>
        <v>0</v>
      </c>
      <c r="J456" s="705" t="s">
        <v>522</v>
      </c>
      <c r="K456" s="706"/>
      <c r="L456" s="707"/>
      <c r="M456" s="215" t="s">
        <v>754</v>
      </c>
      <c r="N456" s="439">
        <f t="shared" si="35"/>
        <v>0</v>
      </c>
    </row>
    <row r="457" spans="1:14" ht="15.75" x14ac:dyDescent="0.25">
      <c r="A457" s="705" t="s">
        <v>586</v>
      </c>
      <c r="B457" s="706"/>
      <c r="C457" s="707"/>
      <c r="D457" s="215" t="s">
        <v>755</v>
      </c>
      <c r="E457" s="439">
        <f t="shared" si="34"/>
        <v>0</v>
      </c>
      <c r="J457" s="705" t="s">
        <v>586</v>
      </c>
      <c r="K457" s="706"/>
      <c r="L457" s="707"/>
      <c r="M457" s="215" t="s">
        <v>755</v>
      </c>
      <c r="N457" s="439">
        <f t="shared" si="35"/>
        <v>0</v>
      </c>
    </row>
    <row r="458" spans="1:14" ht="18.75" thickBot="1" x14ac:dyDescent="0.3">
      <c r="A458" s="704" t="s">
        <v>279</v>
      </c>
      <c r="B458" s="704"/>
      <c r="C458" s="704"/>
      <c r="D458" s="704"/>
      <c r="E458" s="578">
        <f>SUM(E452:E456)</f>
        <v>0</v>
      </c>
      <c r="J458" s="704" t="s">
        <v>279</v>
      </c>
      <c r="K458" s="704"/>
      <c r="L458" s="704"/>
      <c r="M458" s="704"/>
      <c r="N458" s="578">
        <f>SUM(N452:N456)</f>
        <v>0</v>
      </c>
    </row>
    <row r="459" spans="1:14" ht="18.75" thickBot="1" x14ac:dyDescent="0.3">
      <c r="A459" s="708" t="s">
        <v>14</v>
      </c>
      <c r="B459" s="709"/>
      <c r="C459" s="709"/>
      <c r="D459" s="710"/>
      <c r="F459" s="3"/>
      <c r="G459" s="3"/>
      <c r="H459" s="3"/>
      <c r="I459" s="3"/>
      <c r="J459" s="708" t="s">
        <v>14</v>
      </c>
      <c r="K459" s="709"/>
      <c r="L459" s="709"/>
      <c r="M459" s="710"/>
    </row>
    <row r="460" spans="1:14" ht="15.75" x14ac:dyDescent="0.25">
      <c r="A460" s="705" t="s">
        <v>490</v>
      </c>
      <c r="B460" s="706"/>
      <c r="C460" s="707"/>
      <c r="D460" s="215" t="s">
        <v>756</v>
      </c>
      <c r="E460" s="439">
        <f>COUNTIF($T$3:$BU$30,D460)+COUNTIF($C$49,D460)+COUNTIF($D$49,D460)</f>
        <v>0</v>
      </c>
      <c r="J460" s="705" t="s">
        <v>490</v>
      </c>
      <c r="K460" s="706"/>
      <c r="L460" s="707"/>
      <c r="M460" s="215" t="s">
        <v>756</v>
      </c>
      <c r="N460" s="439">
        <f>COUNTIF($A$3:$S$48,M460)+COUNTIF($T$31:$BU$48,M460)+COUNTIF($BV$3:$CN$44,M460)</f>
        <v>0</v>
      </c>
    </row>
    <row r="461" spans="1:14" ht="15.75" x14ac:dyDescent="0.25">
      <c r="A461" s="705" t="s">
        <v>547</v>
      </c>
      <c r="B461" s="706"/>
      <c r="C461" s="707"/>
      <c r="D461" s="215" t="s">
        <v>757</v>
      </c>
      <c r="E461" s="439">
        <f>COUNTIF($T$3:$BU$30,D461)+COUNTIF($C$49,D461)+COUNTIF($D$49,D461)</f>
        <v>0</v>
      </c>
      <c r="J461" s="705" t="s">
        <v>547</v>
      </c>
      <c r="K461" s="706"/>
      <c r="L461" s="707"/>
      <c r="M461" s="215" t="s">
        <v>757</v>
      </c>
      <c r="N461" s="439">
        <f>COUNTIF($A$3:$S$48,M461)+COUNTIF($T$31:$BU$48,M461)+COUNTIF($BV$3:$CN$44,M461)</f>
        <v>0</v>
      </c>
    </row>
    <row r="462" spans="1:14" ht="15.75" x14ac:dyDescent="0.25">
      <c r="A462" s="705" t="s">
        <v>758</v>
      </c>
      <c r="B462" s="706"/>
      <c r="C462" s="707"/>
      <c r="D462" s="215" t="s">
        <v>759</v>
      </c>
      <c r="E462" s="439">
        <f>COUNTIF($T$3:$BU$30,D462)+COUNTIF($C$49,D462)+COUNTIF($D$49,D462)</f>
        <v>0</v>
      </c>
      <c r="J462" s="705" t="s">
        <v>758</v>
      </c>
      <c r="K462" s="706"/>
      <c r="L462" s="707"/>
      <c r="M462" s="215" t="s">
        <v>759</v>
      </c>
      <c r="N462" s="439">
        <f>COUNTIF($A$3:$S$48,M462)+COUNTIF($T$31:$BU$48,M462)+COUNTIF($BV$3:$CN$44,M462)</f>
        <v>0</v>
      </c>
    </row>
    <row r="463" spans="1:14" ht="15.75" x14ac:dyDescent="0.25">
      <c r="A463" s="705" t="s">
        <v>760</v>
      </c>
      <c r="B463" s="706"/>
      <c r="C463" s="707"/>
      <c r="D463" s="215" t="s">
        <v>761</v>
      </c>
      <c r="E463" s="439">
        <f>COUNTIF($T$3:$BU$30,D463)+COUNTIF($C$49,D463)+COUNTIF($D$49,D463)</f>
        <v>0</v>
      </c>
      <c r="J463" s="705" t="s">
        <v>760</v>
      </c>
      <c r="K463" s="706"/>
      <c r="L463" s="707"/>
      <c r="M463" s="215" t="s">
        <v>761</v>
      </c>
      <c r="N463" s="439">
        <f>COUNTIF($A$3:$S$48,M463)+COUNTIF($T$31:$BU$48,M463)+COUNTIF($BV$3:$CN$44,M463)</f>
        <v>0</v>
      </c>
    </row>
    <row r="464" spans="1:14" ht="18.75" thickBot="1" x14ac:dyDescent="0.3">
      <c r="A464" s="704" t="s">
        <v>279</v>
      </c>
      <c r="B464" s="704"/>
      <c r="C464" s="704"/>
      <c r="D464" s="704"/>
      <c r="E464" s="578">
        <f>SUM(E460:E463)</f>
        <v>0</v>
      </c>
      <c r="J464" s="704" t="s">
        <v>279</v>
      </c>
      <c r="K464" s="704"/>
      <c r="L464" s="704"/>
      <c r="M464" s="704"/>
      <c r="N464" s="578">
        <f>SUM(N460:N463)</f>
        <v>0</v>
      </c>
    </row>
    <row r="465" spans="1:14" ht="18.75" thickBot="1" x14ac:dyDescent="0.3">
      <c r="A465" s="708" t="s">
        <v>762</v>
      </c>
      <c r="B465" s="709"/>
      <c r="C465" s="709"/>
      <c r="D465" s="710"/>
      <c r="F465" s="3"/>
      <c r="G465" s="3"/>
      <c r="H465" s="3"/>
      <c r="I465" s="3"/>
      <c r="J465" s="708" t="s">
        <v>762</v>
      </c>
      <c r="K465" s="709"/>
      <c r="L465" s="709"/>
      <c r="M465" s="710"/>
    </row>
    <row r="466" spans="1:14" ht="15.75" x14ac:dyDescent="0.25">
      <c r="A466" s="705" t="s">
        <v>52</v>
      </c>
      <c r="B466" s="706"/>
      <c r="C466" s="707"/>
      <c r="D466" s="215" t="s">
        <v>763</v>
      </c>
      <c r="E466" s="439">
        <f t="shared" ref="E466:E477" si="36">COUNTIF($T$3:$BU$30,D466)+COUNTIF($C$49,D466)+COUNTIF($D$49,D466)</f>
        <v>0</v>
      </c>
      <c r="J466" s="705" t="s">
        <v>52</v>
      </c>
      <c r="K466" s="706"/>
      <c r="L466" s="707"/>
      <c r="M466" s="215" t="s">
        <v>763</v>
      </c>
      <c r="N466" s="439">
        <f t="shared" ref="N466:N477" si="37">COUNTIF($A$3:$S$48,M466)+COUNTIF($T$31:$BU$48,M466)+COUNTIF($BV$3:$CN$44,M466)</f>
        <v>0</v>
      </c>
    </row>
    <row r="467" spans="1:14" ht="15.75" x14ac:dyDescent="0.25">
      <c r="A467" s="705" t="s">
        <v>706</v>
      </c>
      <c r="B467" s="706"/>
      <c r="C467" s="707"/>
      <c r="D467" s="215" t="s">
        <v>764</v>
      </c>
      <c r="E467" s="439">
        <f t="shared" si="36"/>
        <v>0</v>
      </c>
      <c r="J467" s="705" t="s">
        <v>706</v>
      </c>
      <c r="K467" s="706"/>
      <c r="L467" s="707"/>
      <c r="M467" s="215" t="s">
        <v>764</v>
      </c>
      <c r="N467" s="439">
        <f t="shared" si="37"/>
        <v>0</v>
      </c>
    </row>
    <row r="468" spans="1:14" ht="15.75" x14ac:dyDescent="0.25">
      <c r="A468" s="705" t="s">
        <v>765</v>
      </c>
      <c r="B468" s="706"/>
      <c r="C468" s="707"/>
      <c r="D468" s="215" t="s">
        <v>766</v>
      </c>
      <c r="E468" s="439">
        <f t="shared" si="36"/>
        <v>0</v>
      </c>
      <c r="J468" s="705" t="s">
        <v>765</v>
      </c>
      <c r="K468" s="706"/>
      <c r="L468" s="707"/>
      <c r="M468" s="215" t="s">
        <v>766</v>
      </c>
      <c r="N468" s="439">
        <f t="shared" si="37"/>
        <v>0</v>
      </c>
    </row>
    <row r="469" spans="1:14" ht="15.75" x14ac:dyDescent="0.25">
      <c r="A469" s="705" t="s">
        <v>66</v>
      </c>
      <c r="B469" s="706"/>
      <c r="C469" s="707"/>
      <c r="D469" s="215" t="s">
        <v>767</v>
      </c>
      <c r="E469" s="439">
        <f t="shared" si="36"/>
        <v>0</v>
      </c>
      <c r="J469" s="705" t="s">
        <v>66</v>
      </c>
      <c r="K469" s="706"/>
      <c r="L469" s="707"/>
      <c r="M469" s="215" t="s">
        <v>767</v>
      </c>
      <c r="N469" s="439">
        <f t="shared" si="37"/>
        <v>0</v>
      </c>
    </row>
    <row r="470" spans="1:14" ht="15.75" x14ac:dyDescent="0.25">
      <c r="A470" s="705" t="s">
        <v>125</v>
      </c>
      <c r="B470" s="706"/>
      <c r="C470" s="707"/>
      <c r="D470" s="215" t="s">
        <v>768</v>
      </c>
      <c r="E470" s="439">
        <f t="shared" si="36"/>
        <v>0</v>
      </c>
      <c r="J470" s="705" t="s">
        <v>125</v>
      </c>
      <c r="K470" s="706"/>
      <c r="L470" s="707"/>
      <c r="M470" s="215" t="s">
        <v>768</v>
      </c>
      <c r="N470" s="439">
        <f t="shared" si="37"/>
        <v>0</v>
      </c>
    </row>
    <row r="471" spans="1:14" ht="15.75" x14ac:dyDescent="0.25">
      <c r="A471" s="705" t="s">
        <v>68</v>
      </c>
      <c r="B471" s="706"/>
      <c r="C471" s="707"/>
      <c r="D471" s="215" t="s">
        <v>769</v>
      </c>
      <c r="E471" s="439">
        <f t="shared" si="36"/>
        <v>0</v>
      </c>
      <c r="J471" s="705" t="s">
        <v>68</v>
      </c>
      <c r="K471" s="706"/>
      <c r="L471" s="707"/>
      <c r="M471" s="215" t="s">
        <v>769</v>
      </c>
      <c r="N471" s="439">
        <f t="shared" si="37"/>
        <v>0</v>
      </c>
    </row>
    <row r="472" spans="1:14" ht="15.75" x14ac:dyDescent="0.25">
      <c r="A472" s="705" t="s">
        <v>8</v>
      </c>
      <c r="B472" s="706"/>
      <c r="C472" s="707"/>
      <c r="D472" s="215" t="s">
        <v>770</v>
      </c>
      <c r="E472" s="439">
        <f t="shared" si="36"/>
        <v>0</v>
      </c>
      <c r="J472" s="705" t="s">
        <v>8</v>
      </c>
      <c r="K472" s="706"/>
      <c r="L472" s="707"/>
      <c r="M472" s="215" t="s">
        <v>770</v>
      </c>
      <c r="N472" s="439">
        <f t="shared" si="37"/>
        <v>0</v>
      </c>
    </row>
    <row r="473" spans="1:14" ht="15.75" x14ac:dyDescent="0.25">
      <c r="A473" s="705" t="s">
        <v>10</v>
      </c>
      <c r="B473" s="706"/>
      <c r="C473" s="707"/>
      <c r="D473" s="215" t="s">
        <v>771</v>
      </c>
      <c r="E473" s="439">
        <f t="shared" si="36"/>
        <v>0</v>
      </c>
      <c r="J473" s="705" t="s">
        <v>10</v>
      </c>
      <c r="K473" s="706"/>
      <c r="L473" s="707"/>
      <c r="M473" s="215" t="s">
        <v>771</v>
      </c>
      <c r="N473" s="439">
        <f t="shared" si="37"/>
        <v>0</v>
      </c>
    </row>
    <row r="474" spans="1:14" ht="15.75" x14ac:dyDescent="0.25">
      <c r="A474" s="705" t="s">
        <v>772</v>
      </c>
      <c r="B474" s="706"/>
      <c r="C474" s="707"/>
      <c r="D474" s="215" t="s">
        <v>773</v>
      </c>
      <c r="E474" s="439">
        <f t="shared" si="36"/>
        <v>0</v>
      </c>
      <c r="J474" s="705" t="s">
        <v>772</v>
      </c>
      <c r="K474" s="706"/>
      <c r="L474" s="707"/>
      <c r="M474" s="215" t="s">
        <v>773</v>
      </c>
      <c r="N474" s="439">
        <f t="shared" si="37"/>
        <v>0</v>
      </c>
    </row>
    <row r="475" spans="1:14" ht="15.75" x14ac:dyDescent="0.25">
      <c r="A475" s="705" t="s">
        <v>118</v>
      </c>
      <c r="B475" s="706"/>
      <c r="C475" s="707"/>
      <c r="D475" s="215" t="s">
        <v>774</v>
      </c>
      <c r="E475" s="439">
        <f t="shared" si="36"/>
        <v>0</v>
      </c>
      <c r="J475" s="705" t="s">
        <v>118</v>
      </c>
      <c r="K475" s="706"/>
      <c r="L475" s="707"/>
      <c r="M475" s="215" t="s">
        <v>774</v>
      </c>
      <c r="N475" s="439">
        <f t="shared" si="37"/>
        <v>0</v>
      </c>
    </row>
    <row r="476" spans="1:14" ht="15.75" x14ac:dyDescent="0.25">
      <c r="A476" s="705" t="s">
        <v>160</v>
      </c>
      <c r="B476" s="706"/>
      <c r="C476" s="707"/>
      <c r="D476" s="215" t="s">
        <v>775</v>
      </c>
      <c r="E476" s="439">
        <f t="shared" si="36"/>
        <v>0</v>
      </c>
      <c r="J476" s="705" t="s">
        <v>160</v>
      </c>
      <c r="K476" s="706"/>
      <c r="L476" s="707"/>
      <c r="M476" s="215" t="s">
        <v>775</v>
      </c>
      <c r="N476" s="439">
        <f t="shared" si="37"/>
        <v>0</v>
      </c>
    </row>
    <row r="477" spans="1:14" ht="15.75" x14ac:dyDescent="0.25">
      <c r="A477" s="705" t="s">
        <v>103</v>
      </c>
      <c r="B477" s="706"/>
      <c r="C477" s="707"/>
      <c r="D477" s="215" t="s">
        <v>776</v>
      </c>
      <c r="E477" s="439">
        <f t="shared" si="36"/>
        <v>0</v>
      </c>
      <c r="J477" s="705" t="s">
        <v>103</v>
      </c>
      <c r="K477" s="706"/>
      <c r="L477" s="707"/>
      <c r="M477" s="215" t="s">
        <v>776</v>
      </c>
      <c r="N477" s="439">
        <f t="shared" si="37"/>
        <v>0</v>
      </c>
    </row>
    <row r="478" spans="1:14" ht="18.75" thickBot="1" x14ac:dyDescent="0.3">
      <c r="A478" s="704" t="s">
        <v>279</v>
      </c>
      <c r="B478" s="704"/>
      <c r="C478" s="704"/>
      <c r="D478" s="704"/>
      <c r="E478" s="578">
        <f>SUM(E477:E477)</f>
        <v>0</v>
      </c>
      <c r="J478" s="704" t="s">
        <v>279</v>
      </c>
      <c r="K478" s="704"/>
      <c r="L478" s="704"/>
      <c r="M478" s="704"/>
      <c r="N478" s="578">
        <f>SUM(N477:N477)</f>
        <v>0</v>
      </c>
    </row>
    <row r="479" spans="1:14" ht="18.75" thickBot="1" x14ac:dyDescent="0.3">
      <c r="A479" s="708" t="s">
        <v>777</v>
      </c>
      <c r="B479" s="709"/>
      <c r="C479" s="709"/>
      <c r="D479" s="710"/>
      <c r="F479" s="3"/>
      <c r="G479" s="3"/>
      <c r="H479" s="3"/>
      <c r="I479" s="3"/>
      <c r="J479" s="708" t="s">
        <v>777</v>
      </c>
      <c r="K479" s="709"/>
      <c r="L479" s="709"/>
      <c r="M479" s="710"/>
    </row>
    <row r="480" spans="1:14" ht="15.75" x14ac:dyDescent="0.25">
      <c r="A480" s="705" t="s">
        <v>778</v>
      </c>
      <c r="B480" s="706"/>
      <c r="C480" s="707"/>
      <c r="D480" s="215" t="s">
        <v>779</v>
      </c>
      <c r="E480" s="439">
        <f>COUNTIF($T$3:$BU$30,D480)+COUNTIF($C$49,D480)+COUNTIF($D$49,D480)</f>
        <v>0</v>
      </c>
      <c r="J480" s="705" t="s">
        <v>778</v>
      </c>
      <c r="K480" s="706"/>
      <c r="L480" s="707"/>
      <c r="M480" s="215" t="s">
        <v>779</v>
      </c>
      <c r="N480" s="439">
        <f>COUNTIF($A$3:$S$48,M480)+COUNTIF($T$31:$BU$48,M480)+COUNTIF($BV$3:$CN$44,M480)</f>
        <v>0</v>
      </c>
    </row>
    <row r="481" spans="1:31" ht="15.75" x14ac:dyDescent="0.25">
      <c r="A481" s="705" t="s">
        <v>780</v>
      </c>
      <c r="B481" s="706"/>
      <c r="C481" s="707"/>
      <c r="D481" s="215" t="s">
        <v>781</v>
      </c>
      <c r="E481" s="439">
        <f>COUNTIF($T$3:$BU$30,D481)+COUNTIF($C$49,D481)+COUNTIF($D$49,D481)</f>
        <v>0</v>
      </c>
      <c r="J481" s="705" t="s">
        <v>780</v>
      </c>
      <c r="K481" s="706"/>
      <c r="L481" s="707"/>
      <c r="M481" s="215" t="s">
        <v>781</v>
      </c>
      <c r="N481" s="439">
        <f>COUNTIF($A$3:$S$48,M481)+COUNTIF($T$31:$BU$48,M481)+COUNTIF($BV$3:$CN$44,M481)</f>
        <v>0</v>
      </c>
    </row>
    <row r="482" spans="1:31" ht="15.75" x14ac:dyDescent="0.25">
      <c r="A482" s="705" t="s">
        <v>782</v>
      </c>
      <c r="B482" s="706"/>
      <c r="C482" s="707"/>
      <c r="D482" s="215" t="s">
        <v>783</v>
      </c>
      <c r="E482" s="439">
        <f>COUNTIF($T$3:$BU$30,D482)+COUNTIF($C$49,D482)+COUNTIF($D$49,D482)</f>
        <v>0</v>
      </c>
      <c r="J482" s="705" t="s">
        <v>782</v>
      </c>
      <c r="K482" s="706"/>
      <c r="L482" s="707"/>
      <c r="M482" s="215" t="s">
        <v>783</v>
      </c>
      <c r="N482" s="439">
        <f>COUNTIF($A$3:$S$48,M482)+COUNTIF($T$31:$BU$48,M482)+COUNTIF($BV$3:$CN$44,M482)</f>
        <v>0</v>
      </c>
      <c r="AE482" s="579" t="s">
        <v>784</v>
      </c>
    </row>
  </sheetData>
  <mergeCells count="824">
    <mergeCell ref="J198:L198"/>
    <mergeCell ref="N198:O198"/>
    <mergeCell ref="A1:CV1"/>
    <mergeCell ref="O2:P2"/>
    <mergeCell ref="X2:AD2"/>
    <mergeCell ref="AQ2:AT2"/>
    <mergeCell ref="AU2:AX2"/>
    <mergeCell ref="AY2:BB2"/>
    <mergeCell ref="A147:C147"/>
    <mergeCell ref="J147:L147"/>
    <mergeCell ref="A173:C173"/>
    <mergeCell ref="J173:L173"/>
    <mergeCell ref="F10:G10"/>
    <mergeCell ref="V10:Y10"/>
    <mergeCell ref="BB10:BE10"/>
    <mergeCell ref="F11:G11"/>
    <mergeCell ref="AA11:AC11"/>
    <mergeCell ref="AW11:AY11"/>
    <mergeCell ref="BV3:BW7"/>
    <mergeCell ref="CF3:CS5"/>
    <mergeCell ref="AK4:AM4"/>
    <mergeCell ref="BB4:BD4"/>
    <mergeCell ref="F8:G8"/>
    <mergeCell ref="F9:G9"/>
    <mergeCell ref="T9:U9"/>
    <mergeCell ref="BZ26:CC26"/>
    <mergeCell ref="BU11:BU16"/>
    <mergeCell ref="CF12:CH12"/>
    <mergeCell ref="CN12:CQ31"/>
    <mergeCell ref="H15:H16"/>
    <mergeCell ref="A16:B16"/>
    <mergeCell ref="T16:U16"/>
    <mergeCell ref="AJ16:AM16"/>
    <mergeCell ref="BZ19:CC19"/>
    <mergeCell ref="T21:V21"/>
    <mergeCell ref="W21:Y21"/>
    <mergeCell ref="AK30:AN30"/>
    <mergeCell ref="AX30:AZ30"/>
    <mergeCell ref="BW36:BY40"/>
    <mergeCell ref="AP37:AR37"/>
    <mergeCell ref="BG37:BI37"/>
    <mergeCell ref="P38:Q38"/>
    <mergeCell ref="AB21:AD21"/>
    <mergeCell ref="AP23:AS23"/>
    <mergeCell ref="A24:B24"/>
    <mergeCell ref="E39:H39"/>
    <mergeCell ref="BB41:BD41"/>
    <mergeCell ref="BP41:BR41"/>
    <mergeCell ref="BT41:BV41"/>
    <mergeCell ref="V28:Y28"/>
    <mergeCell ref="AL28:AM28"/>
    <mergeCell ref="Q44:T48"/>
    <mergeCell ref="BI44:BJ44"/>
    <mergeCell ref="BK44:BL44"/>
    <mergeCell ref="AM45:AP45"/>
    <mergeCell ref="AQ45:AR45"/>
    <mergeCell ref="AY45:BC45"/>
    <mergeCell ref="Z78:AA78"/>
    <mergeCell ref="AB78:AC78"/>
    <mergeCell ref="T79:U79"/>
    <mergeCell ref="V79:W79"/>
    <mergeCell ref="Z79:AA79"/>
    <mergeCell ref="AB79:AC79"/>
    <mergeCell ref="AB46:AG46"/>
    <mergeCell ref="BK46:BQ46"/>
    <mergeCell ref="A77:I77"/>
    <mergeCell ref="J77:M77"/>
    <mergeCell ref="T77:W77"/>
    <mergeCell ref="Z77:AC77"/>
    <mergeCell ref="X80:Y80"/>
    <mergeCell ref="A81:Q81"/>
    <mergeCell ref="E83:I83"/>
    <mergeCell ref="J83:K83"/>
    <mergeCell ref="A85:E85"/>
    <mergeCell ref="F85:G85"/>
    <mergeCell ref="J85:N85"/>
    <mergeCell ref="O85:P85"/>
    <mergeCell ref="T78:U78"/>
    <mergeCell ref="V78:W78"/>
    <mergeCell ref="A89:F89"/>
    <mergeCell ref="J89:O89"/>
    <mergeCell ref="T89:AC89"/>
    <mergeCell ref="A90:C90"/>
    <mergeCell ref="J90:L90"/>
    <mergeCell ref="T90:AC104"/>
    <mergeCell ref="A91:C91"/>
    <mergeCell ref="J91:L91"/>
    <mergeCell ref="A92:C92"/>
    <mergeCell ref="J92:L92"/>
    <mergeCell ref="A97:C97"/>
    <mergeCell ref="J97:L97"/>
    <mergeCell ref="A98:C98"/>
    <mergeCell ref="J98:L98"/>
    <mergeCell ref="A99:C99"/>
    <mergeCell ref="J99:L99"/>
    <mergeCell ref="A94:C94"/>
    <mergeCell ref="J94:L94"/>
    <mergeCell ref="A95:C95"/>
    <mergeCell ref="J95:L95"/>
    <mergeCell ref="A96:C96"/>
    <mergeCell ref="J96:L96"/>
    <mergeCell ref="A103:C103"/>
    <mergeCell ref="J103:L103"/>
    <mergeCell ref="A104:C104"/>
    <mergeCell ref="J104:L104"/>
    <mergeCell ref="A105:C105"/>
    <mergeCell ref="J105:L105"/>
    <mergeCell ref="A100:C100"/>
    <mergeCell ref="J100:L100"/>
    <mergeCell ref="A101:C101"/>
    <mergeCell ref="J101:L101"/>
    <mergeCell ref="A102:C102"/>
    <mergeCell ref="J102:L102"/>
    <mergeCell ref="A109:C109"/>
    <mergeCell ref="J109:L109"/>
    <mergeCell ref="A110:C110"/>
    <mergeCell ref="J110:L110"/>
    <mergeCell ref="A111:C111"/>
    <mergeCell ref="J111:L111"/>
    <mergeCell ref="A106:C106"/>
    <mergeCell ref="J106:L106"/>
    <mergeCell ref="A107:C107"/>
    <mergeCell ref="J107:L107"/>
    <mergeCell ref="A108:C108"/>
    <mergeCell ref="J108:L108"/>
    <mergeCell ref="A115:C115"/>
    <mergeCell ref="J115:L115"/>
    <mergeCell ref="A116:C116"/>
    <mergeCell ref="J116:L116"/>
    <mergeCell ref="A117:C117"/>
    <mergeCell ref="J117:L117"/>
    <mergeCell ref="A112:C112"/>
    <mergeCell ref="J112:L112"/>
    <mergeCell ref="A113:C113"/>
    <mergeCell ref="J113:L113"/>
    <mergeCell ref="A114:C114"/>
    <mergeCell ref="J114:L114"/>
    <mergeCell ref="A121:C121"/>
    <mergeCell ref="J121:L121"/>
    <mergeCell ref="A122:C122"/>
    <mergeCell ref="J122:L122"/>
    <mergeCell ref="A123:C123"/>
    <mergeCell ref="J123:L123"/>
    <mergeCell ref="A118:C118"/>
    <mergeCell ref="J118:L118"/>
    <mergeCell ref="A119:C119"/>
    <mergeCell ref="J119:L119"/>
    <mergeCell ref="A120:C120"/>
    <mergeCell ref="J120:L120"/>
    <mergeCell ref="A127:C127"/>
    <mergeCell ref="J127:L127"/>
    <mergeCell ref="A128:C128"/>
    <mergeCell ref="J128:L128"/>
    <mergeCell ref="A129:C129"/>
    <mergeCell ref="J129:L129"/>
    <mergeCell ref="A124:C124"/>
    <mergeCell ref="J124:L124"/>
    <mergeCell ref="A125:C125"/>
    <mergeCell ref="J125:L125"/>
    <mergeCell ref="A126:C126"/>
    <mergeCell ref="J126:L126"/>
    <mergeCell ref="A133:C133"/>
    <mergeCell ref="J133:L133"/>
    <mergeCell ref="A134:C134"/>
    <mergeCell ref="J134:L134"/>
    <mergeCell ref="A135:C135"/>
    <mergeCell ref="J135:L135"/>
    <mergeCell ref="A130:C130"/>
    <mergeCell ref="J130:L130"/>
    <mergeCell ref="A131:C131"/>
    <mergeCell ref="J131:L131"/>
    <mergeCell ref="A132:C132"/>
    <mergeCell ref="J132:L132"/>
    <mergeCell ref="A139:C139"/>
    <mergeCell ref="J139:L139"/>
    <mergeCell ref="A140:C140"/>
    <mergeCell ref="J140:L140"/>
    <mergeCell ref="A141:C141"/>
    <mergeCell ref="J141:L141"/>
    <mergeCell ref="A136:C136"/>
    <mergeCell ref="J136:L136"/>
    <mergeCell ref="A137:C137"/>
    <mergeCell ref="J137:L137"/>
    <mergeCell ref="A138:C138"/>
    <mergeCell ref="J138:L138"/>
    <mergeCell ref="A145:C145"/>
    <mergeCell ref="J145:L145"/>
    <mergeCell ref="A148:C148"/>
    <mergeCell ref="J148:L148"/>
    <mergeCell ref="A142:C142"/>
    <mergeCell ref="J142:L142"/>
    <mergeCell ref="A143:C143"/>
    <mergeCell ref="J143:L143"/>
    <mergeCell ref="A144:C144"/>
    <mergeCell ref="J144:L144"/>
    <mergeCell ref="A152:C152"/>
    <mergeCell ref="J152:L152"/>
    <mergeCell ref="A153:C153"/>
    <mergeCell ref="J153:L153"/>
    <mergeCell ref="A154:C154"/>
    <mergeCell ref="J154:L154"/>
    <mergeCell ref="A149:C149"/>
    <mergeCell ref="J149:L149"/>
    <mergeCell ref="A150:C150"/>
    <mergeCell ref="J150:L150"/>
    <mergeCell ref="A151:C151"/>
    <mergeCell ref="J151:L151"/>
    <mergeCell ref="A158:C158"/>
    <mergeCell ref="J158:L158"/>
    <mergeCell ref="A159:C159"/>
    <mergeCell ref="J159:L159"/>
    <mergeCell ref="A160:C160"/>
    <mergeCell ref="J160:L160"/>
    <mergeCell ref="A155:C155"/>
    <mergeCell ref="J155:L155"/>
    <mergeCell ref="A156:C156"/>
    <mergeCell ref="J156:L156"/>
    <mergeCell ref="A157:C157"/>
    <mergeCell ref="J157:L157"/>
    <mergeCell ref="A164:C164"/>
    <mergeCell ref="J164:L164"/>
    <mergeCell ref="A165:C165"/>
    <mergeCell ref="J165:L165"/>
    <mergeCell ref="A166:C166"/>
    <mergeCell ref="J166:L166"/>
    <mergeCell ref="A161:C161"/>
    <mergeCell ref="J161:L161"/>
    <mergeCell ref="A162:C162"/>
    <mergeCell ref="J162:L162"/>
    <mergeCell ref="A163:C163"/>
    <mergeCell ref="J163:L163"/>
    <mergeCell ref="A170:C170"/>
    <mergeCell ref="J170:L170"/>
    <mergeCell ref="A171:C171"/>
    <mergeCell ref="J171:L171"/>
    <mergeCell ref="A167:C167"/>
    <mergeCell ref="J167:L167"/>
    <mergeCell ref="A168:C168"/>
    <mergeCell ref="J168:L168"/>
    <mergeCell ref="A169:C169"/>
    <mergeCell ref="J169:L169"/>
    <mergeCell ref="A178:C178"/>
    <mergeCell ref="J178:L178"/>
    <mergeCell ref="A179:C179"/>
    <mergeCell ref="J179:L179"/>
    <mergeCell ref="A176:C176"/>
    <mergeCell ref="J176:L176"/>
    <mergeCell ref="A177:C177"/>
    <mergeCell ref="J177:L177"/>
    <mergeCell ref="A175:C175"/>
    <mergeCell ref="J175:L175"/>
    <mergeCell ref="J202:K202"/>
    <mergeCell ref="A203:B203"/>
    <mergeCell ref="J203:K203"/>
    <mergeCell ref="E199:F199"/>
    <mergeCell ref="N199:O199"/>
    <mergeCell ref="A199:D199"/>
    <mergeCell ref="J199:M199"/>
    <mergeCell ref="A181:Q182"/>
    <mergeCell ref="A185:Q186"/>
    <mergeCell ref="A190:E190"/>
    <mergeCell ref="F190:G190"/>
    <mergeCell ref="J190:N190"/>
    <mergeCell ref="O190:P190"/>
    <mergeCell ref="A192:E192"/>
    <mergeCell ref="F192:G192"/>
    <mergeCell ref="J192:N192"/>
    <mergeCell ref="O192:P192"/>
    <mergeCell ref="A194:E194"/>
    <mergeCell ref="F194:G194"/>
    <mergeCell ref="J194:N194"/>
    <mergeCell ref="O194:P194"/>
    <mergeCell ref="P197:Q197"/>
    <mergeCell ref="A198:C198"/>
    <mergeCell ref="E198:F198"/>
    <mergeCell ref="A210:B210"/>
    <mergeCell ref="J210:K210"/>
    <mergeCell ref="A211:B211"/>
    <mergeCell ref="J211:K211"/>
    <mergeCell ref="A212:B212"/>
    <mergeCell ref="J212:K212"/>
    <mergeCell ref="P199:Q199"/>
    <mergeCell ref="A200:B200"/>
    <mergeCell ref="J200:K200"/>
    <mergeCell ref="A207:B207"/>
    <mergeCell ref="J207:K207"/>
    <mergeCell ref="A208:B208"/>
    <mergeCell ref="J208:K208"/>
    <mergeCell ref="A209:B209"/>
    <mergeCell ref="J209:K209"/>
    <mergeCell ref="A204:B204"/>
    <mergeCell ref="J204:K204"/>
    <mergeCell ref="A205:B205"/>
    <mergeCell ref="J205:K205"/>
    <mergeCell ref="A206:B206"/>
    <mergeCell ref="J206:K206"/>
    <mergeCell ref="A201:B201"/>
    <mergeCell ref="J201:K201"/>
    <mergeCell ref="A202:B202"/>
    <mergeCell ref="A216:B216"/>
    <mergeCell ref="J216:K216"/>
    <mergeCell ref="A217:B217"/>
    <mergeCell ref="J217:K217"/>
    <mergeCell ref="A218:B218"/>
    <mergeCell ref="J218:K218"/>
    <mergeCell ref="A213:B213"/>
    <mergeCell ref="J213:K213"/>
    <mergeCell ref="A214:B214"/>
    <mergeCell ref="J214:K214"/>
    <mergeCell ref="A215:B215"/>
    <mergeCell ref="J215:K215"/>
    <mergeCell ref="A222:B222"/>
    <mergeCell ref="J222:K222"/>
    <mergeCell ref="A223:B223"/>
    <mergeCell ref="J223:K223"/>
    <mergeCell ref="A224:D224"/>
    <mergeCell ref="E224:F224"/>
    <mergeCell ref="J224:M224"/>
    <mergeCell ref="A219:B219"/>
    <mergeCell ref="J219:K219"/>
    <mergeCell ref="A220:B220"/>
    <mergeCell ref="J220:K220"/>
    <mergeCell ref="A221:B221"/>
    <mergeCell ref="J221:K221"/>
    <mergeCell ref="N224:O224"/>
    <mergeCell ref="P224:Q224"/>
    <mergeCell ref="A225:B225"/>
    <mergeCell ref="J225:K225"/>
    <mergeCell ref="A227:B227"/>
    <mergeCell ref="J227:K227"/>
    <mergeCell ref="A228:B228"/>
    <mergeCell ref="J228:K228"/>
    <mergeCell ref="A229:B229"/>
    <mergeCell ref="J229:K229"/>
    <mergeCell ref="A226:B226"/>
    <mergeCell ref="J226:K226"/>
    <mergeCell ref="A233:B233"/>
    <mergeCell ref="J233:K233"/>
    <mergeCell ref="A234:B234"/>
    <mergeCell ref="J234:K234"/>
    <mergeCell ref="A235:B235"/>
    <mergeCell ref="J235:K235"/>
    <mergeCell ref="A230:B230"/>
    <mergeCell ref="J230:K230"/>
    <mergeCell ref="A231:B231"/>
    <mergeCell ref="J231:K231"/>
    <mergeCell ref="A232:B232"/>
    <mergeCell ref="J232:K232"/>
    <mergeCell ref="A239:B239"/>
    <mergeCell ref="J239:K239"/>
    <mergeCell ref="A240:B240"/>
    <mergeCell ref="J240:K240"/>
    <mergeCell ref="A241:B241"/>
    <mergeCell ref="J241:K241"/>
    <mergeCell ref="A236:B236"/>
    <mergeCell ref="J236:K236"/>
    <mergeCell ref="A237:B237"/>
    <mergeCell ref="J237:K237"/>
    <mergeCell ref="A238:B238"/>
    <mergeCell ref="J238:K238"/>
    <mergeCell ref="A245:B245"/>
    <mergeCell ref="J245:K245"/>
    <mergeCell ref="A246:B246"/>
    <mergeCell ref="J246:K246"/>
    <mergeCell ref="A247:B247"/>
    <mergeCell ref="J247:K247"/>
    <mergeCell ref="A242:B242"/>
    <mergeCell ref="J242:K242"/>
    <mergeCell ref="A243:B243"/>
    <mergeCell ref="J243:K243"/>
    <mergeCell ref="A244:B244"/>
    <mergeCell ref="J244:K244"/>
    <mergeCell ref="A251:B251"/>
    <mergeCell ref="J251:K251"/>
    <mergeCell ref="A252:B252"/>
    <mergeCell ref="J252:K252"/>
    <mergeCell ref="A253:B253"/>
    <mergeCell ref="J253:K253"/>
    <mergeCell ref="A248:B248"/>
    <mergeCell ref="J248:K248"/>
    <mergeCell ref="A249:B249"/>
    <mergeCell ref="J249:K249"/>
    <mergeCell ref="A250:B250"/>
    <mergeCell ref="J250:K250"/>
    <mergeCell ref="A257:B257"/>
    <mergeCell ref="J257:K257"/>
    <mergeCell ref="A258:B258"/>
    <mergeCell ref="J258:K258"/>
    <mergeCell ref="A259:B259"/>
    <mergeCell ref="J259:K259"/>
    <mergeCell ref="A254:B254"/>
    <mergeCell ref="J254:K254"/>
    <mergeCell ref="A255:B255"/>
    <mergeCell ref="J255:K255"/>
    <mergeCell ref="A256:B256"/>
    <mergeCell ref="J256:K256"/>
    <mergeCell ref="A263:B263"/>
    <mergeCell ref="J263:K263"/>
    <mergeCell ref="A264:B264"/>
    <mergeCell ref="J264:K264"/>
    <mergeCell ref="A265:B265"/>
    <mergeCell ref="J265:K265"/>
    <mergeCell ref="A260:B260"/>
    <mergeCell ref="J260:K260"/>
    <mergeCell ref="A261:B261"/>
    <mergeCell ref="J261:K261"/>
    <mergeCell ref="A262:B262"/>
    <mergeCell ref="J262:K262"/>
    <mergeCell ref="A269:B269"/>
    <mergeCell ref="J269:K269"/>
    <mergeCell ref="A270:B270"/>
    <mergeCell ref="J270:K270"/>
    <mergeCell ref="A271:B271"/>
    <mergeCell ref="J271:K271"/>
    <mergeCell ref="A266:B266"/>
    <mergeCell ref="J266:K266"/>
    <mergeCell ref="A267:B267"/>
    <mergeCell ref="J267:K267"/>
    <mergeCell ref="A268:B268"/>
    <mergeCell ref="J268:K268"/>
    <mergeCell ref="A275:B275"/>
    <mergeCell ref="J275:K275"/>
    <mergeCell ref="A276:B276"/>
    <mergeCell ref="J276:K276"/>
    <mergeCell ref="A277:B277"/>
    <mergeCell ref="J277:K277"/>
    <mergeCell ref="A272:B272"/>
    <mergeCell ref="J272:K272"/>
    <mergeCell ref="A273:B273"/>
    <mergeCell ref="J273:K273"/>
    <mergeCell ref="A274:B274"/>
    <mergeCell ref="J274:K274"/>
    <mergeCell ref="A281:B281"/>
    <mergeCell ref="J281:K281"/>
    <mergeCell ref="A282:B282"/>
    <mergeCell ref="J282:K282"/>
    <mergeCell ref="A283:B283"/>
    <mergeCell ref="J283:K283"/>
    <mergeCell ref="A278:B278"/>
    <mergeCell ref="J278:K278"/>
    <mergeCell ref="A279:B279"/>
    <mergeCell ref="J279:K279"/>
    <mergeCell ref="A280:B280"/>
    <mergeCell ref="J280:K280"/>
    <mergeCell ref="A287:B287"/>
    <mergeCell ref="J287:K287"/>
    <mergeCell ref="A288:B288"/>
    <mergeCell ref="J288:K288"/>
    <mergeCell ref="A289:B289"/>
    <mergeCell ref="J289:K289"/>
    <mergeCell ref="A284:B284"/>
    <mergeCell ref="J284:K284"/>
    <mergeCell ref="A285:B285"/>
    <mergeCell ref="J285:K285"/>
    <mergeCell ref="A286:B286"/>
    <mergeCell ref="J286:K286"/>
    <mergeCell ref="A293:B293"/>
    <mergeCell ref="J293:K293"/>
    <mergeCell ref="A294:B294"/>
    <mergeCell ref="J294:K294"/>
    <mergeCell ref="A295:B295"/>
    <mergeCell ref="J295:K295"/>
    <mergeCell ref="A290:B290"/>
    <mergeCell ref="J290:K290"/>
    <mergeCell ref="A291:B291"/>
    <mergeCell ref="J291:K291"/>
    <mergeCell ref="A292:B292"/>
    <mergeCell ref="J292:K292"/>
    <mergeCell ref="A296:B296"/>
    <mergeCell ref="J296:K296"/>
    <mergeCell ref="A302:Q303"/>
    <mergeCell ref="A305:D305"/>
    <mergeCell ref="A307:E307"/>
    <mergeCell ref="F307:G307"/>
    <mergeCell ref="J307:N307"/>
    <mergeCell ref="O307:P307"/>
    <mergeCell ref="A309:D309"/>
    <mergeCell ref="J309:M309"/>
    <mergeCell ref="A310:C310"/>
    <mergeCell ref="J310:L310"/>
    <mergeCell ref="A314:C314"/>
    <mergeCell ref="J314:L314"/>
    <mergeCell ref="A315:C315"/>
    <mergeCell ref="J315:L315"/>
    <mergeCell ref="A316:C316"/>
    <mergeCell ref="J316:L316"/>
    <mergeCell ref="A311:C311"/>
    <mergeCell ref="J311:L311"/>
    <mergeCell ref="A312:C312"/>
    <mergeCell ref="J312:L312"/>
    <mergeCell ref="A313:C313"/>
    <mergeCell ref="J313:L313"/>
    <mergeCell ref="A320:C320"/>
    <mergeCell ref="J320:L320"/>
    <mergeCell ref="A321:C321"/>
    <mergeCell ref="J321:L321"/>
    <mergeCell ref="A322:C322"/>
    <mergeCell ref="J322:L322"/>
    <mergeCell ref="A317:C317"/>
    <mergeCell ref="J317:L317"/>
    <mergeCell ref="A318:C318"/>
    <mergeCell ref="J318:L318"/>
    <mergeCell ref="A319:C319"/>
    <mergeCell ref="J319:L319"/>
    <mergeCell ref="A326:C326"/>
    <mergeCell ref="J326:L326"/>
    <mergeCell ref="A327:C327"/>
    <mergeCell ref="J327:L327"/>
    <mergeCell ref="A328:C328"/>
    <mergeCell ref="J328:L328"/>
    <mergeCell ref="A323:C323"/>
    <mergeCell ref="J323:L323"/>
    <mergeCell ref="A324:C324"/>
    <mergeCell ref="J324:L324"/>
    <mergeCell ref="A325:C325"/>
    <mergeCell ref="J325:L325"/>
    <mergeCell ref="A332:C332"/>
    <mergeCell ref="J332:L332"/>
    <mergeCell ref="A333:C333"/>
    <mergeCell ref="J333:L333"/>
    <mergeCell ref="A334:C334"/>
    <mergeCell ref="J334:L334"/>
    <mergeCell ref="A329:C329"/>
    <mergeCell ref="J329:L329"/>
    <mergeCell ref="A330:C330"/>
    <mergeCell ref="J330:L330"/>
    <mergeCell ref="A331:C331"/>
    <mergeCell ref="J331:L331"/>
    <mergeCell ref="A339:D339"/>
    <mergeCell ref="J339:M339"/>
    <mergeCell ref="A335:C335"/>
    <mergeCell ref="J335:L335"/>
    <mergeCell ref="A336:C336"/>
    <mergeCell ref="J336:L336"/>
    <mergeCell ref="A337:C337"/>
    <mergeCell ref="J337:L337"/>
    <mergeCell ref="A338:D338"/>
    <mergeCell ref="J338:M338"/>
    <mergeCell ref="A340:C340"/>
    <mergeCell ref="J340:L340"/>
    <mergeCell ref="A344:C344"/>
    <mergeCell ref="J344:L344"/>
    <mergeCell ref="A345:C345"/>
    <mergeCell ref="J345:L345"/>
    <mergeCell ref="A346:C346"/>
    <mergeCell ref="J346:L346"/>
    <mergeCell ref="A341:C341"/>
    <mergeCell ref="J341:L341"/>
    <mergeCell ref="A342:C342"/>
    <mergeCell ref="J342:L342"/>
    <mergeCell ref="A343:C343"/>
    <mergeCell ref="J343:L343"/>
    <mergeCell ref="A350:C350"/>
    <mergeCell ref="J350:L350"/>
    <mergeCell ref="A351:C351"/>
    <mergeCell ref="J351:L351"/>
    <mergeCell ref="A352:C352"/>
    <mergeCell ref="J352:L352"/>
    <mergeCell ref="A347:C347"/>
    <mergeCell ref="J347:L347"/>
    <mergeCell ref="A348:C348"/>
    <mergeCell ref="J348:L348"/>
    <mergeCell ref="A349:C349"/>
    <mergeCell ref="J349:L349"/>
    <mergeCell ref="A356:C356"/>
    <mergeCell ref="J356:L356"/>
    <mergeCell ref="A357:C357"/>
    <mergeCell ref="J357:L357"/>
    <mergeCell ref="A358:C358"/>
    <mergeCell ref="J358:L358"/>
    <mergeCell ref="A353:C353"/>
    <mergeCell ref="J353:L353"/>
    <mergeCell ref="A354:C354"/>
    <mergeCell ref="J354:L354"/>
    <mergeCell ref="A355:C355"/>
    <mergeCell ref="J355:L355"/>
    <mergeCell ref="A362:C362"/>
    <mergeCell ref="J362:L362"/>
    <mergeCell ref="A363:C363"/>
    <mergeCell ref="J363:L363"/>
    <mergeCell ref="A364:C364"/>
    <mergeCell ref="J364:L364"/>
    <mergeCell ref="A359:C359"/>
    <mergeCell ref="J359:L359"/>
    <mergeCell ref="A360:C360"/>
    <mergeCell ref="J360:L360"/>
    <mergeCell ref="A361:C361"/>
    <mergeCell ref="J361:L361"/>
    <mergeCell ref="A368:C368"/>
    <mergeCell ref="J368:L368"/>
    <mergeCell ref="A369:C369"/>
    <mergeCell ref="J369:L369"/>
    <mergeCell ref="A370:C370"/>
    <mergeCell ref="J370:L370"/>
    <mergeCell ref="A365:C365"/>
    <mergeCell ref="J365:L365"/>
    <mergeCell ref="A366:C366"/>
    <mergeCell ref="J366:L366"/>
    <mergeCell ref="A367:C367"/>
    <mergeCell ref="J367:L367"/>
    <mergeCell ref="A374:C374"/>
    <mergeCell ref="J374:L374"/>
    <mergeCell ref="A375:C375"/>
    <mergeCell ref="J375:L375"/>
    <mergeCell ref="A376:C376"/>
    <mergeCell ref="J376:L376"/>
    <mergeCell ref="A371:C371"/>
    <mergeCell ref="J371:L371"/>
    <mergeCell ref="A372:C372"/>
    <mergeCell ref="J372:L372"/>
    <mergeCell ref="A373:C373"/>
    <mergeCell ref="J373:L373"/>
    <mergeCell ref="A380:C380"/>
    <mergeCell ref="J380:L380"/>
    <mergeCell ref="A381:C381"/>
    <mergeCell ref="J381:L381"/>
    <mergeCell ref="A382:C382"/>
    <mergeCell ref="J382:L382"/>
    <mergeCell ref="A377:C377"/>
    <mergeCell ref="J377:L377"/>
    <mergeCell ref="A378:C378"/>
    <mergeCell ref="J378:L378"/>
    <mergeCell ref="A379:C379"/>
    <mergeCell ref="J379:L379"/>
    <mergeCell ref="A386:C386"/>
    <mergeCell ref="J386:L386"/>
    <mergeCell ref="A387:C387"/>
    <mergeCell ref="J387:L387"/>
    <mergeCell ref="A388:C388"/>
    <mergeCell ref="J388:L388"/>
    <mergeCell ref="A383:C383"/>
    <mergeCell ref="J383:L383"/>
    <mergeCell ref="A384:C384"/>
    <mergeCell ref="J384:L384"/>
    <mergeCell ref="A385:C385"/>
    <mergeCell ref="J385:L385"/>
    <mergeCell ref="A392:C392"/>
    <mergeCell ref="J392:L392"/>
    <mergeCell ref="A393:C393"/>
    <mergeCell ref="J393:L393"/>
    <mergeCell ref="A394:C394"/>
    <mergeCell ref="J394:L394"/>
    <mergeCell ref="A389:C389"/>
    <mergeCell ref="J389:L389"/>
    <mergeCell ref="A390:C390"/>
    <mergeCell ref="J390:L390"/>
    <mergeCell ref="A391:C391"/>
    <mergeCell ref="J391:L391"/>
    <mergeCell ref="A398:C398"/>
    <mergeCell ref="J398:L398"/>
    <mergeCell ref="A399:C399"/>
    <mergeCell ref="J399:L399"/>
    <mergeCell ref="A400:C400"/>
    <mergeCell ref="J400:L400"/>
    <mergeCell ref="A395:C395"/>
    <mergeCell ref="J395:L395"/>
    <mergeCell ref="A396:C396"/>
    <mergeCell ref="J396:L396"/>
    <mergeCell ref="A397:C397"/>
    <mergeCell ref="J397:L397"/>
    <mergeCell ref="A404:C404"/>
    <mergeCell ref="J404:L404"/>
    <mergeCell ref="A405:C405"/>
    <mergeCell ref="J405:L405"/>
    <mergeCell ref="A406:C406"/>
    <mergeCell ref="J406:L406"/>
    <mergeCell ref="A401:C401"/>
    <mergeCell ref="J401:L401"/>
    <mergeCell ref="A402:C402"/>
    <mergeCell ref="J402:L402"/>
    <mergeCell ref="A403:C403"/>
    <mergeCell ref="J403:L403"/>
    <mergeCell ref="A410:C410"/>
    <mergeCell ref="J410:L410"/>
    <mergeCell ref="A411:C411"/>
    <mergeCell ref="J411:L411"/>
    <mergeCell ref="A412:C412"/>
    <mergeCell ref="J412:L412"/>
    <mergeCell ref="A407:C407"/>
    <mergeCell ref="J407:L407"/>
    <mergeCell ref="A408:C408"/>
    <mergeCell ref="J408:L408"/>
    <mergeCell ref="A409:C409"/>
    <mergeCell ref="J409:L409"/>
    <mergeCell ref="A416:C416"/>
    <mergeCell ref="J416:L416"/>
    <mergeCell ref="A417:C417"/>
    <mergeCell ref="J417:L417"/>
    <mergeCell ref="A418:C418"/>
    <mergeCell ref="J418:L418"/>
    <mergeCell ref="A413:C413"/>
    <mergeCell ref="J413:L413"/>
    <mergeCell ref="A414:C414"/>
    <mergeCell ref="J414:L414"/>
    <mergeCell ref="A415:C415"/>
    <mergeCell ref="J415:L415"/>
    <mergeCell ref="A422:D422"/>
    <mergeCell ref="J422:M422"/>
    <mergeCell ref="A424:C424"/>
    <mergeCell ref="J424:L424"/>
    <mergeCell ref="A419:C419"/>
    <mergeCell ref="J419:L419"/>
    <mergeCell ref="A420:C420"/>
    <mergeCell ref="J420:L420"/>
    <mergeCell ref="A421:D421"/>
    <mergeCell ref="J421:M421"/>
    <mergeCell ref="A423:C423"/>
    <mergeCell ref="J423:L423"/>
    <mergeCell ref="A428:C428"/>
    <mergeCell ref="J428:L428"/>
    <mergeCell ref="A429:C429"/>
    <mergeCell ref="J429:L429"/>
    <mergeCell ref="A430:C430"/>
    <mergeCell ref="J430:L430"/>
    <mergeCell ref="A425:C425"/>
    <mergeCell ref="J425:L425"/>
    <mergeCell ref="A426:C426"/>
    <mergeCell ref="J426:L426"/>
    <mergeCell ref="A427:C427"/>
    <mergeCell ref="J427:L427"/>
    <mergeCell ref="A434:C434"/>
    <mergeCell ref="J434:L434"/>
    <mergeCell ref="A435:C435"/>
    <mergeCell ref="J435:L435"/>
    <mergeCell ref="A436:C436"/>
    <mergeCell ref="J436:L436"/>
    <mergeCell ref="A431:C431"/>
    <mergeCell ref="J431:L431"/>
    <mergeCell ref="A432:C432"/>
    <mergeCell ref="J432:L432"/>
    <mergeCell ref="A433:C433"/>
    <mergeCell ref="J433:L433"/>
    <mergeCell ref="A440:C440"/>
    <mergeCell ref="J440:L440"/>
    <mergeCell ref="A441:C441"/>
    <mergeCell ref="J441:L441"/>
    <mergeCell ref="A442:C442"/>
    <mergeCell ref="J442:L442"/>
    <mergeCell ref="A437:C437"/>
    <mergeCell ref="J437:L437"/>
    <mergeCell ref="A438:C438"/>
    <mergeCell ref="J438:L438"/>
    <mergeCell ref="A439:C439"/>
    <mergeCell ref="J439:L439"/>
    <mergeCell ref="A446:C446"/>
    <mergeCell ref="J446:L446"/>
    <mergeCell ref="A447:C447"/>
    <mergeCell ref="J447:L447"/>
    <mergeCell ref="A448:C448"/>
    <mergeCell ref="J448:L448"/>
    <mergeCell ref="A443:C443"/>
    <mergeCell ref="J443:L443"/>
    <mergeCell ref="A444:C444"/>
    <mergeCell ref="J444:L444"/>
    <mergeCell ref="A445:C445"/>
    <mergeCell ref="J445:L445"/>
    <mergeCell ref="A453:C453"/>
    <mergeCell ref="J453:L453"/>
    <mergeCell ref="A454:C454"/>
    <mergeCell ref="J454:L454"/>
    <mergeCell ref="A449:C449"/>
    <mergeCell ref="J449:L449"/>
    <mergeCell ref="A451:D451"/>
    <mergeCell ref="J451:M451"/>
    <mergeCell ref="A450:D450"/>
    <mergeCell ref="J450:M450"/>
    <mergeCell ref="A452:C452"/>
    <mergeCell ref="J452:L452"/>
    <mergeCell ref="A459:D459"/>
    <mergeCell ref="J459:M459"/>
    <mergeCell ref="A455:C455"/>
    <mergeCell ref="J455:L455"/>
    <mergeCell ref="A456:C456"/>
    <mergeCell ref="J456:L456"/>
    <mergeCell ref="A457:C457"/>
    <mergeCell ref="J457:L457"/>
    <mergeCell ref="A458:D458"/>
    <mergeCell ref="J458:M458"/>
    <mergeCell ref="A460:C460"/>
    <mergeCell ref="J460:L460"/>
    <mergeCell ref="A465:D465"/>
    <mergeCell ref="J465:M465"/>
    <mergeCell ref="A461:C461"/>
    <mergeCell ref="J461:L461"/>
    <mergeCell ref="A462:C462"/>
    <mergeCell ref="J462:L462"/>
    <mergeCell ref="A463:C463"/>
    <mergeCell ref="J463:L463"/>
    <mergeCell ref="A464:D464"/>
    <mergeCell ref="J464:M464"/>
    <mergeCell ref="A466:C466"/>
    <mergeCell ref="J466:L466"/>
    <mergeCell ref="A470:C470"/>
    <mergeCell ref="J470:L470"/>
    <mergeCell ref="A471:C471"/>
    <mergeCell ref="J471:L471"/>
    <mergeCell ref="A472:C472"/>
    <mergeCell ref="J472:L472"/>
    <mergeCell ref="A467:C467"/>
    <mergeCell ref="J467:L467"/>
    <mergeCell ref="A468:C468"/>
    <mergeCell ref="J468:L468"/>
    <mergeCell ref="A469:C469"/>
    <mergeCell ref="J469:L469"/>
    <mergeCell ref="A476:C476"/>
    <mergeCell ref="J476:L476"/>
    <mergeCell ref="A477:C477"/>
    <mergeCell ref="J477:L477"/>
    <mergeCell ref="A473:C473"/>
    <mergeCell ref="J473:L473"/>
    <mergeCell ref="A474:C474"/>
    <mergeCell ref="J474:L474"/>
    <mergeCell ref="A475:C475"/>
    <mergeCell ref="J475:L475"/>
    <mergeCell ref="A478:D478"/>
    <mergeCell ref="J478:M478"/>
    <mergeCell ref="A482:C482"/>
    <mergeCell ref="J482:L482"/>
    <mergeCell ref="A479:D479"/>
    <mergeCell ref="J479:M479"/>
    <mergeCell ref="A481:C481"/>
    <mergeCell ref="J481:L481"/>
    <mergeCell ref="A480:C480"/>
    <mergeCell ref="J480:L480"/>
  </mergeCells>
  <phoneticPr fontId="0" type="noConversion"/>
  <conditionalFormatting sqref="A310:A337">
    <cfRule type="expression" dxfId="55" priority="8">
      <formula>IF(#REF!="DESC",1,0)</formula>
    </cfRule>
  </conditionalFormatting>
  <conditionalFormatting sqref="A340:A420">
    <cfRule type="expression" dxfId="54" priority="4">
      <formula>IF(#REF!="DESC",1,0)</formula>
    </cfRule>
  </conditionalFormatting>
  <conditionalFormatting sqref="A423:A449">
    <cfRule type="expression" dxfId="53" priority="2">
      <formula>IF(#REF!="DESC",1,0)</formula>
    </cfRule>
  </conditionalFormatting>
  <conditionalFormatting sqref="A452:A457">
    <cfRule type="expression" dxfId="52" priority="14">
      <formula>IF(#REF!="DESC",1,0)</formula>
    </cfRule>
  </conditionalFormatting>
  <conditionalFormatting sqref="A460:A463">
    <cfRule type="expression" dxfId="51" priority="12">
      <formula>IF(#REF!="DESC",1,0)</formula>
    </cfRule>
  </conditionalFormatting>
  <conditionalFormatting sqref="A466:A477">
    <cfRule type="expression" dxfId="50" priority="10">
      <formula>IF(#REF!="DESC",1,0)</formula>
    </cfRule>
  </conditionalFormatting>
  <conditionalFormatting sqref="A480:A482">
    <cfRule type="expression" dxfId="49" priority="6">
      <formula>IF(#REF!="DESC",1,0)</formula>
    </cfRule>
  </conditionalFormatting>
  <conditionalFormatting sqref="C217">
    <cfRule type="duplicateValues" dxfId="48" priority="26"/>
  </conditionalFormatting>
  <conditionalFormatting sqref="C222">
    <cfRule type="duplicateValues" dxfId="47" priority="25"/>
  </conditionalFormatting>
  <conditionalFormatting sqref="C225:C226 C228 C230:C236 C238:C241">
    <cfRule type="duplicateValues" dxfId="46" priority="53"/>
  </conditionalFormatting>
  <conditionalFormatting sqref="C227">
    <cfRule type="duplicateValues" dxfId="45" priority="50"/>
  </conditionalFormatting>
  <conditionalFormatting sqref="C229">
    <cfRule type="duplicateValues" dxfId="44" priority="52"/>
  </conditionalFormatting>
  <conditionalFormatting sqref="C237">
    <cfRule type="duplicateValues" dxfId="43" priority="51"/>
  </conditionalFormatting>
  <conditionalFormatting sqref="C242">
    <cfRule type="duplicateValues" dxfId="42" priority="36"/>
  </conditionalFormatting>
  <conditionalFormatting sqref="C243 C245:C248 C250 C253:C256 C258:C264 C266:C267 C269:C277 C279:C281 C283:C285 C288:C293">
    <cfRule type="duplicateValues" dxfId="41" priority="55"/>
  </conditionalFormatting>
  <conditionalFormatting sqref="C244">
    <cfRule type="duplicateValues" dxfId="40" priority="38"/>
  </conditionalFormatting>
  <conditionalFormatting sqref="C249">
    <cfRule type="duplicateValues" dxfId="39" priority="49"/>
  </conditionalFormatting>
  <conditionalFormatting sqref="C251">
    <cfRule type="duplicateValues" dxfId="38" priority="22"/>
  </conditionalFormatting>
  <conditionalFormatting sqref="C252">
    <cfRule type="duplicateValues" dxfId="37" priority="20"/>
  </conditionalFormatting>
  <conditionalFormatting sqref="C257">
    <cfRule type="duplicateValues" dxfId="36" priority="32"/>
  </conditionalFormatting>
  <conditionalFormatting sqref="C265">
    <cfRule type="duplicateValues" dxfId="35" priority="48"/>
  </conditionalFormatting>
  <conditionalFormatting sqref="C268">
    <cfRule type="duplicateValues" dxfId="34" priority="18"/>
  </conditionalFormatting>
  <conditionalFormatting sqref="C278">
    <cfRule type="duplicateValues" dxfId="33" priority="34"/>
  </conditionalFormatting>
  <conditionalFormatting sqref="C282">
    <cfRule type="duplicateValues" dxfId="32" priority="47"/>
  </conditionalFormatting>
  <conditionalFormatting sqref="C286">
    <cfRule type="duplicateValues" dxfId="31" priority="40"/>
  </conditionalFormatting>
  <conditionalFormatting sqref="C287">
    <cfRule type="duplicateValues" dxfId="30" priority="16"/>
  </conditionalFormatting>
  <conditionalFormatting sqref="C295">
    <cfRule type="duplicateValues" dxfId="29" priority="30"/>
  </conditionalFormatting>
  <conditionalFormatting sqref="C296">
    <cfRule type="duplicateValues" dxfId="28" priority="28"/>
  </conditionalFormatting>
  <conditionalFormatting sqref="J310:J337">
    <cfRule type="expression" dxfId="27" priority="7">
      <formula>IF(#REF!="DESC",1,0)</formula>
    </cfRule>
  </conditionalFormatting>
  <conditionalFormatting sqref="J340:J420">
    <cfRule type="expression" dxfId="26" priority="3">
      <formula>IF(#REF!="DESC",1,0)</formula>
    </cfRule>
  </conditionalFormatting>
  <conditionalFormatting sqref="J423:J449">
    <cfRule type="expression" dxfId="25" priority="1">
      <formula>IF(#REF!="DESC",1,0)</formula>
    </cfRule>
  </conditionalFormatting>
  <conditionalFormatting sqref="J452:J457">
    <cfRule type="expression" dxfId="24" priority="13">
      <formula>IF(#REF!="DESC",1,0)</formula>
    </cfRule>
  </conditionalFormatting>
  <conditionalFormatting sqref="J460:J463">
    <cfRule type="expression" dxfId="23" priority="11">
      <formula>IF(#REF!="DESC",1,0)</formula>
    </cfRule>
  </conditionalFormatting>
  <conditionalFormatting sqref="J466:J477">
    <cfRule type="expression" dxfId="22" priority="9">
      <formula>IF(#REF!="DESC",1,0)</formula>
    </cfRule>
  </conditionalFormatting>
  <conditionalFormatting sqref="J480:J482">
    <cfRule type="expression" dxfId="21" priority="5">
      <formula>IF(#REF!="DESC",1,0)</formula>
    </cfRule>
  </conditionalFormatting>
  <conditionalFormatting sqref="L217">
    <cfRule type="duplicateValues" dxfId="20" priority="24"/>
  </conditionalFormatting>
  <conditionalFormatting sqref="L222">
    <cfRule type="duplicateValues" dxfId="19" priority="23"/>
  </conditionalFormatting>
  <conditionalFormatting sqref="L225:L226 L228 L230:L236 L238:L241">
    <cfRule type="duplicateValues" dxfId="18" priority="54"/>
  </conditionalFormatting>
  <conditionalFormatting sqref="L227">
    <cfRule type="duplicateValues" dxfId="17" priority="44"/>
  </conditionalFormatting>
  <conditionalFormatting sqref="L229">
    <cfRule type="duplicateValues" dxfId="16" priority="46"/>
  </conditionalFormatting>
  <conditionalFormatting sqref="L237">
    <cfRule type="duplicateValues" dxfId="15" priority="45"/>
  </conditionalFormatting>
  <conditionalFormatting sqref="L242">
    <cfRule type="duplicateValues" dxfId="14" priority="35"/>
  </conditionalFormatting>
  <conditionalFormatting sqref="L243 L245:L248 L250 L253:L256 L258:L264 L266:L267 L269:L277 L279:L281 L283:L285 L288:L293">
    <cfRule type="duplicateValues" dxfId="13" priority="56"/>
  </conditionalFormatting>
  <conditionalFormatting sqref="L244">
    <cfRule type="duplicateValues" dxfId="12" priority="37"/>
  </conditionalFormatting>
  <conditionalFormatting sqref="L249">
    <cfRule type="duplicateValues" dxfId="11" priority="43"/>
  </conditionalFormatting>
  <conditionalFormatting sqref="L251">
    <cfRule type="duplicateValues" dxfId="10" priority="21"/>
  </conditionalFormatting>
  <conditionalFormatting sqref="L252">
    <cfRule type="duplicateValues" dxfId="9" priority="19"/>
  </conditionalFormatting>
  <conditionalFormatting sqref="L257">
    <cfRule type="duplicateValues" dxfId="8" priority="31"/>
  </conditionalFormatting>
  <conditionalFormatting sqref="L265">
    <cfRule type="duplicateValues" dxfId="7" priority="42"/>
  </conditionalFormatting>
  <conditionalFormatting sqref="L268">
    <cfRule type="duplicateValues" dxfId="6" priority="17"/>
  </conditionalFormatting>
  <conditionalFormatting sqref="L278">
    <cfRule type="duplicateValues" dxfId="5" priority="33"/>
  </conditionalFormatting>
  <conditionalFormatting sqref="L282">
    <cfRule type="duplicateValues" dxfId="4" priority="41"/>
  </conditionalFormatting>
  <conditionalFormatting sqref="L286">
    <cfRule type="duplicateValues" dxfId="3" priority="39"/>
  </conditionalFormatting>
  <conditionalFormatting sqref="L287">
    <cfRule type="duplicateValues" dxfId="2" priority="15"/>
  </conditionalFormatting>
  <conditionalFormatting sqref="L295">
    <cfRule type="duplicateValues" dxfId="1" priority="29"/>
  </conditionalFormatting>
  <conditionalFormatting sqref="L296">
    <cfRule type="duplicateValues" dxfId="0" priority="2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GO62"/>
  <sheetViews>
    <sheetView zoomScale="40" zoomScaleNormal="40" workbookViewId="0">
      <selection sqref="A1:CV1"/>
    </sheetView>
  </sheetViews>
  <sheetFormatPr baseColWidth="10" defaultColWidth="16" defaultRowHeight="12.75" x14ac:dyDescent="0.25"/>
  <cols>
    <col min="1" max="16384" width="16" style="4"/>
  </cols>
  <sheetData>
    <row r="1" spans="1:197" ht="34.5" thickBot="1" x14ac:dyDescent="0.3">
      <c r="A1" s="684" t="s">
        <v>162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5"/>
      <c r="AG1" s="685"/>
      <c r="AH1" s="685"/>
      <c r="AI1" s="685"/>
      <c r="AJ1" s="685"/>
      <c r="AK1" s="685"/>
      <c r="AL1" s="685"/>
      <c r="AM1" s="685"/>
      <c r="AN1" s="685"/>
      <c r="AO1" s="685"/>
      <c r="AP1" s="685"/>
      <c r="AQ1" s="685"/>
      <c r="AR1" s="685"/>
      <c r="AS1" s="685"/>
      <c r="AT1" s="685"/>
      <c r="AU1" s="685"/>
      <c r="AV1" s="685"/>
      <c r="AW1" s="685"/>
      <c r="AX1" s="685"/>
      <c r="AY1" s="685"/>
      <c r="AZ1" s="685"/>
      <c r="BA1" s="685"/>
      <c r="BB1" s="685"/>
      <c r="BC1" s="685"/>
      <c r="BD1" s="685"/>
      <c r="BE1" s="685"/>
      <c r="BF1" s="685"/>
      <c r="BG1" s="685"/>
      <c r="BH1" s="685"/>
      <c r="BI1" s="685"/>
      <c r="BJ1" s="685"/>
      <c r="BK1" s="685"/>
      <c r="BL1" s="685"/>
      <c r="BM1" s="685"/>
      <c r="BN1" s="685"/>
      <c r="BO1" s="685"/>
      <c r="BP1" s="685"/>
      <c r="BQ1" s="685"/>
      <c r="BR1" s="685"/>
      <c r="BS1" s="685"/>
      <c r="BT1" s="685"/>
      <c r="BU1" s="685"/>
      <c r="BV1" s="685"/>
      <c r="BW1" s="685"/>
      <c r="BX1" s="685"/>
      <c r="BY1" s="685"/>
      <c r="BZ1" s="685"/>
      <c r="CA1" s="685"/>
      <c r="CB1" s="685"/>
      <c r="CC1" s="685"/>
      <c r="CD1" s="685"/>
      <c r="CE1" s="685"/>
      <c r="CF1" s="685"/>
      <c r="CG1" s="685"/>
      <c r="CH1" s="685"/>
      <c r="CI1" s="685"/>
      <c r="CJ1" s="685"/>
      <c r="CK1" s="685"/>
      <c r="CL1" s="685"/>
      <c r="CM1" s="685"/>
      <c r="CN1" s="685"/>
      <c r="CO1" s="685"/>
      <c r="CP1" s="685"/>
      <c r="CQ1" s="685"/>
      <c r="CR1" s="685"/>
      <c r="CS1" s="685"/>
      <c r="CT1" s="685"/>
      <c r="CU1" s="685"/>
      <c r="CV1" s="686"/>
      <c r="CW1" s="1"/>
      <c r="CX1" s="1"/>
      <c r="CY1" s="1"/>
      <c r="CZ1" s="2"/>
      <c r="DA1" s="2"/>
      <c r="DB1" s="2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 ht="29.25" thickBot="1" x14ac:dyDescent="0.4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87" t="s">
        <v>163</v>
      </c>
      <c r="P2" s="688"/>
      <c r="Q2" s="7"/>
      <c r="R2" s="8"/>
      <c r="S2" s="1"/>
      <c r="T2" s="1"/>
      <c r="U2" s="9"/>
      <c r="V2" s="10"/>
      <c r="W2" s="10"/>
      <c r="X2" s="689" t="s">
        <v>164</v>
      </c>
      <c r="Y2" s="689"/>
      <c r="Z2" s="689"/>
      <c r="AA2" s="689"/>
      <c r="AB2" s="689"/>
      <c r="AC2" s="689"/>
      <c r="AD2" s="69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1"/>
      <c r="AP2" s="11"/>
      <c r="AQ2" s="644" t="s">
        <v>164</v>
      </c>
      <c r="AR2" s="644"/>
      <c r="AS2" s="644"/>
      <c r="AT2" s="644"/>
      <c r="AU2" s="691" t="s">
        <v>165</v>
      </c>
      <c r="AV2" s="691"/>
      <c r="AW2" s="691"/>
      <c r="AX2" s="691"/>
      <c r="AY2" s="692"/>
      <c r="AZ2" s="692"/>
      <c r="BA2" s="692"/>
      <c r="BB2" s="692"/>
      <c r="BC2" s="13"/>
      <c r="BD2" s="13"/>
      <c r="BE2" s="8"/>
      <c r="BF2" s="6"/>
      <c r="BG2" s="6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6"/>
      <c r="CU2" s="17"/>
      <c r="CV2" s="17"/>
      <c r="CW2" s="17"/>
      <c r="CX2" s="16"/>
      <c r="CY2" s="1"/>
      <c r="CZ2" s="1"/>
      <c r="DA2" s="18"/>
      <c r="DB2" s="2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</row>
    <row r="3" spans="1:197" ht="15" customHeight="1" x14ac:dyDescent="0.35">
      <c r="A3" s="19"/>
      <c r="B3" s="20"/>
      <c r="C3" s="20"/>
      <c r="D3" s="20"/>
      <c r="E3" s="21"/>
      <c r="F3" s="139"/>
      <c r="G3" s="138"/>
      <c r="H3" s="5"/>
      <c r="I3" s="5"/>
      <c r="J3" s="3"/>
      <c r="K3" s="207"/>
      <c r="L3" s="584"/>
      <c r="M3" s="584"/>
      <c r="N3" s="72"/>
      <c r="O3" s="5"/>
      <c r="P3" s="1"/>
      <c r="Q3" s="3"/>
      <c r="R3" s="27"/>
      <c r="S3" s="20"/>
      <c r="T3" s="28"/>
      <c r="U3" s="29"/>
      <c r="V3" s="30"/>
      <c r="W3" s="31"/>
      <c r="X3" s="32">
        <v>5</v>
      </c>
      <c r="Y3" s="32">
        <v>5</v>
      </c>
      <c r="Z3" s="32">
        <v>5</v>
      </c>
      <c r="AA3" s="32">
        <v>5</v>
      </c>
      <c r="AB3" s="32">
        <v>5</v>
      </c>
      <c r="AC3" s="32">
        <v>5</v>
      </c>
      <c r="AD3" s="32">
        <v>5</v>
      </c>
      <c r="AE3" s="1"/>
      <c r="AF3" s="1"/>
      <c r="AG3" s="33"/>
      <c r="AH3" s="33"/>
      <c r="AI3" s="33"/>
      <c r="AJ3" s="33"/>
      <c r="AK3" s="33"/>
      <c r="AL3" s="33"/>
      <c r="AM3" s="33"/>
      <c r="AN3" s="33"/>
      <c r="AO3" s="3"/>
      <c r="AP3" s="34"/>
      <c r="AQ3" s="35">
        <v>5</v>
      </c>
      <c r="AR3" s="35">
        <v>5</v>
      </c>
      <c r="AS3" s="35">
        <v>5</v>
      </c>
      <c r="AT3" s="35">
        <v>5</v>
      </c>
      <c r="AU3" s="36">
        <v>5</v>
      </c>
      <c r="AV3" s="36">
        <v>5</v>
      </c>
      <c r="AW3" s="36">
        <v>5</v>
      </c>
      <c r="AX3" s="36">
        <v>5</v>
      </c>
      <c r="AY3" s="34"/>
      <c r="AZ3" s="3"/>
      <c r="BA3" s="3"/>
      <c r="BB3" s="3"/>
      <c r="BC3" s="3"/>
      <c r="BD3" s="3"/>
      <c r="BE3" s="3"/>
      <c r="BF3" s="3"/>
      <c r="BG3" s="3"/>
      <c r="BH3" s="37"/>
      <c r="BI3" s="38"/>
      <c r="BJ3" s="39"/>
      <c r="BK3" s="580"/>
      <c r="BL3" s="580"/>
      <c r="BM3" s="40"/>
      <c r="BN3" s="607"/>
      <c r="BO3" s="607"/>
      <c r="BP3" s="607"/>
      <c r="BQ3" s="126"/>
      <c r="BR3" s="139"/>
      <c r="BS3" s="43"/>
      <c r="BT3" s="44"/>
      <c r="BU3" s="45"/>
      <c r="BV3" s="693" t="s">
        <v>169</v>
      </c>
      <c r="BW3" s="694"/>
      <c r="BX3" s="46"/>
      <c r="BY3" s="46"/>
      <c r="BZ3" s="46"/>
      <c r="CA3" s="46"/>
      <c r="CB3" s="46"/>
      <c r="CC3" s="46"/>
      <c r="CD3" s="47"/>
      <c r="CE3" s="45"/>
      <c r="CF3" s="699" t="s">
        <v>170</v>
      </c>
      <c r="CG3" s="700"/>
      <c r="CH3" s="700"/>
      <c r="CI3" s="700"/>
      <c r="CJ3" s="700"/>
      <c r="CK3" s="700"/>
      <c r="CL3" s="700"/>
      <c r="CM3" s="700"/>
      <c r="CN3" s="700"/>
      <c r="CO3" s="700"/>
      <c r="CP3" s="700"/>
      <c r="CQ3" s="700"/>
      <c r="CR3" s="700"/>
      <c r="CS3" s="700"/>
      <c r="CT3" s="48"/>
      <c r="CU3" s="17"/>
      <c r="CV3" s="17"/>
      <c r="CW3" s="17"/>
      <c r="CX3" s="16"/>
      <c r="CY3" s="1"/>
      <c r="CZ3" s="1"/>
      <c r="DA3" s="1"/>
      <c r="DB3" s="2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</row>
    <row r="4" spans="1:197" ht="28.5" x14ac:dyDescent="0.35">
      <c r="A4" s="49"/>
      <c r="B4" s="1"/>
      <c r="C4" s="1"/>
      <c r="D4" s="1"/>
      <c r="E4" s="50"/>
      <c r="F4" s="584"/>
      <c r="G4" s="207"/>
      <c r="H4" s="199"/>
      <c r="I4" s="5"/>
      <c r="J4" s="3"/>
      <c r="K4" s="189"/>
      <c r="L4" s="594"/>
      <c r="M4" s="594"/>
      <c r="N4" s="56"/>
      <c r="O4" s="56"/>
      <c r="P4" s="1"/>
      <c r="Q4" s="3"/>
      <c r="R4" s="57"/>
      <c r="S4" s="1"/>
      <c r="T4" s="58"/>
      <c r="U4" s="59"/>
      <c r="V4" s="30"/>
      <c r="W4" s="60" t="s">
        <v>174</v>
      </c>
      <c r="X4" s="31" t="s">
        <v>175</v>
      </c>
      <c r="Y4" s="31" t="s">
        <v>175</v>
      </c>
      <c r="Z4" s="31" t="s">
        <v>175</v>
      </c>
      <c r="AA4" s="31" t="s">
        <v>175</v>
      </c>
      <c r="AB4" s="31" t="s">
        <v>175</v>
      </c>
      <c r="AC4" s="31" t="s">
        <v>175</v>
      </c>
      <c r="AD4" s="31" t="s">
        <v>175</v>
      </c>
      <c r="AE4" s="30"/>
      <c r="AF4" s="1"/>
      <c r="AG4" s="61"/>
      <c r="AH4" s="61"/>
      <c r="AI4" s="61"/>
      <c r="AJ4" s="33"/>
      <c r="AK4" s="649" t="s">
        <v>176</v>
      </c>
      <c r="AL4" s="649"/>
      <c r="AM4" s="649"/>
      <c r="AN4" s="1"/>
      <c r="AO4" s="63"/>
      <c r="AP4" s="3"/>
      <c r="AQ4" s="34" t="s">
        <v>175</v>
      </c>
      <c r="AR4" s="34" t="s">
        <v>175</v>
      </c>
      <c r="AS4" s="34" t="s">
        <v>175</v>
      </c>
      <c r="AT4" s="34" t="s">
        <v>175</v>
      </c>
      <c r="AU4" s="34" t="s">
        <v>175</v>
      </c>
      <c r="AV4" s="34" t="s">
        <v>175</v>
      </c>
      <c r="AW4" s="34" t="s">
        <v>175</v>
      </c>
      <c r="AX4" s="34" t="s">
        <v>175</v>
      </c>
      <c r="AY4" s="64" t="s">
        <v>177</v>
      </c>
      <c r="AZ4" s="38"/>
      <c r="BA4" s="3"/>
      <c r="BB4" s="669" t="s">
        <v>164</v>
      </c>
      <c r="BC4" s="669"/>
      <c r="BD4" s="669"/>
      <c r="BE4" s="38"/>
      <c r="BF4" s="38"/>
      <c r="BG4" s="38"/>
      <c r="BH4" s="38"/>
      <c r="BI4" s="38"/>
      <c r="BJ4" s="47"/>
      <c r="BK4" s="47"/>
      <c r="BL4" s="47"/>
      <c r="BM4" s="66"/>
      <c r="BN4" s="67"/>
      <c r="BO4" s="126"/>
      <c r="BP4" s="67"/>
      <c r="BQ4" s="3"/>
      <c r="BR4" s="2"/>
      <c r="BS4" s="2"/>
      <c r="BT4" s="2"/>
      <c r="BU4" s="68"/>
      <c r="BV4" s="695"/>
      <c r="BW4" s="696"/>
      <c r="BX4" s="69"/>
      <c r="BY4" s="69"/>
      <c r="BZ4" s="69"/>
      <c r="CA4" s="69"/>
      <c r="CB4" s="69"/>
      <c r="CC4" s="69"/>
      <c r="CD4" s="47"/>
      <c r="CE4" s="47"/>
      <c r="CF4" s="701"/>
      <c r="CG4" s="647"/>
      <c r="CH4" s="647"/>
      <c r="CI4" s="647"/>
      <c r="CJ4" s="647"/>
      <c r="CK4" s="647"/>
      <c r="CL4" s="647"/>
      <c r="CM4" s="647"/>
      <c r="CN4" s="647"/>
      <c r="CO4" s="647"/>
      <c r="CP4" s="647"/>
      <c r="CQ4" s="647"/>
      <c r="CR4" s="647"/>
      <c r="CS4" s="647"/>
      <c r="CT4" s="48"/>
      <c r="CU4" s="17"/>
      <c r="CV4" s="17"/>
      <c r="CW4" s="17"/>
      <c r="CX4" s="16"/>
      <c r="CY4" s="1"/>
      <c r="CZ4" s="1"/>
      <c r="DA4" s="1"/>
      <c r="DB4" s="2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</row>
    <row r="5" spans="1:197" ht="29.25" thickBot="1" x14ac:dyDescent="0.35">
      <c r="A5" s="49"/>
      <c r="B5" s="1"/>
      <c r="C5" s="1"/>
      <c r="D5" s="1"/>
      <c r="E5" s="50"/>
      <c r="F5" s="3"/>
      <c r="G5" s="3"/>
      <c r="H5" s="199"/>
      <c r="I5" s="5"/>
      <c r="J5" s="30"/>
      <c r="K5" s="595"/>
      <c r="L5" s="199"/>
      <c r="M5" s="199"/>
      <c r="N5" s="72"/>
      <c r="O5" s="5"/>
      <c r="P5" s="5"/>
      <c r="Q5" s="3"/>
      <c r="R5" s="57"/>
      <c r="S5" s="1"/>
      <c r="T5" s="73"/>
      <c r="U5" s="59"/>
      <c r="V5" s="1"/>
      <c r="W5" s="74"/>
      <c r="X5" s="75"/>
      <c r="Y5" s="75"/>
      <c r="Z5" s="75"/>
      <c r="AA5" s="75"/>
      <c r="AB5" s="75"/>
      <c r="AC5" s="75"/>
      <c r="AD5" s="75"/>
      <c r="AE5" s="30"/>
      <c r="AF5" s="1"/>
      <c r="AG5" s="61"/>
      <c r="AH5" s="3"/>
      <c r="AI5" s="3"/>
      <c r="AJ5" s="33"/>
      <c r="AK5" s="75"/>
      <c r="AL5" s="75"/>
      <c r="AM5" s="75"/>
      <c r="AN5" s="1"/>
      <c r="AO5" s="63"/>
      <c r="AP5" s="3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  <c r="BF5" s="5"/>
      <c r="BG5" s="38"/>
      <c r="BH5" s="38"/>
      <c r="BI5" s="47"/>
      <c r="BJ5" s="47"/>
      <c r="BK5" s="2"/>
      <c r="BL5" s="47"/>
      <c r="BM5" s="3"/>
      <c r="BN5" s="3"/>
      <c r="BO5" s="3"/>
      <c r="BP5" s="3"/>
      <c r="BQ5" s="207"/>
      <c r="BR5" s="2"/>
      <c r="BS5" s="2"/>
      <c r="BT5" s="2"/>
      <c r="BU5" s="68"/>
      <c r="BV5" s="695"/>
      <c r="BW5" s="696"/>
      <c r="BX5" s="79"/>
      <c r="BY5" s="79"/>
      <c r="BZ5" s="79"/>
      <c r="CA5" s="79"/>
      <c r="CB5" s="79"/>
      <c r="CC5" s="79"/>
      <c r="CD5" s="47"/>
      <c r="CE5" s="47"/>
      <c r="CF5" s="702"/>
      <c r="CG5" s="703"/>
      <c r="CH5" s="703"/>
      <c r="CI5" s="703"/>
      <c r="CJ5" s="703"/>
      <c r="CK5" s="703"/>
      <c r="CL5" s="703"/>
      <c r="CM5" s="703"/>
      <c r="CN5" s="703"/>
      <c r="CO5" s="703"/>
      <c r="CP5" s="703"/>
      <c r="CQ5" s="703"/>
      <c r="CR5" s="703"/>
      <c r="CS5" s="703"/>
      <c r="CT5" s="48"/>
      <c r="CU5" s="17"/>
      <c r="CV5" s="17"/>
      <c r="CW5" s="17"/>
      <c r="CX5" s="16"/>
      <c r="CY5" s="1"/>
      <c r="CZ5" s="1"/>
      <c r="DA5" s="1"/>
      <c r="DB5" s="2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ht="28.5" x14ac:dyDescent="0.35">
      <c r="A6" s="80"/>
      <c r="B6" s="2"/>
      <c r="C6" s="1"/>
      <c r="D6" s="1"/>
      <c r="E6" s="50"/>
      <c r="F6" s="584"/>
      <c r="G6" s="207"/>
      <c r="H6" s="199"/>
      <c r="I6" s="5"/>
      <c r="J6" s="3"/>
      <c r="K6" s="189"/>
      <c r="L6" s="594"/>
      <c r="M6" s="594"/>
      <c r="N6" s="56"/>
      <c r="O6" s="5"/>
      <c r="P6" s="5"/>
      <c r="Q6" s="3"/>
      <c r="R6" s="82"/>
      <c r="S6" s="1"/>
      <c r="T6" s="73"/>
      <c r="U6" s="59"/>
      <c r="V6" s="1"/>
      <c r="W6" s="3"/>
      <c r="X6" s="30"/>
      <c r="Y6" s="3"/>
      <c r="Z6" s="60" t="s">
        <v>181</v>
      </c>
      <c r="AA6" s="83" t="s">
        <v>182</v>
      </c>
      <c r="AB6" s="83" t="s">
        <v>182</v>
      </c>
      <c r="AC6" s="83" t="s">
        <v>182</v>
      </c>
      <c r="AD6" s="84" t="s">
        <v>183</v>
      </c>
      <c r="AE6" s="30"/>
      <c r="AF6" s="1"/>
      <c r="AG6" s="61"/>
      <c r="AH6" s="3"/>
      <c r="AI6" s="3"/>
      <c r="AJ6" s="5"/>
      <c r="AK6" s="85" t="s">
        <v>175</v>
      </c>
      <c r="AL6" s="85" t="s">
        <v>175</v>
      </c>
      <c r="AM6" s="85" t="s">
        <v>175</v>
      </c>
      <c r="AN6" s="60" t="s">
        <v>184</v>
      </c>
      <c r="AO6" s="63"/>
      <c r="AP6" s="3"/>
      <c r="AQ6" s="3"/>
      <c r="AR6" s="86"/>
      <c r="AS6" s="3"/>
      <c r="AT6" s="87"/>
      <c r="AU6" s="3"/>
      <c r="AV6" s="60" t="s">
        <v>186</v>
      </c>
      <c r="AW6" s="31" t="s">
        <v>175</v>
      </c>
      <c r="AX6" s="31" t="s">
        <v>175</v>
      </c>
      <c r="AY6" s="31" t="s">
        <v>175</v>
      </c>
      <c r="AZ6" s="88"/>
      <c r="BA6" s="3"/>
      <c r="BB6" s="89" t="s">
        <v>175</v>
      </c>
      <c r="BC6" s="89" t="s">
        <v>175</v>
      </c>
      <c r="BD6" s="89" t="s">
        <v>175</v>
      </c>
      <c r="BE6" s="90" t="s">
        <v>187</v>
      </c>
      <c r="BF6" s="91"/>
      <c r="BG6" s="91"/>
      <c r="BH6" s="47"/>
      <c r="BI6" s="276"/>
      <c r="BJ6" s="276"/>
      <c r="BK6" s="47"/>
      <c r="BL6" s="47"/>
      <c r="BM6" s="3"/>
      <c r="BN6" s="3"/>
      <c r="BO6" s="3"/>
      <c r="BP6" s="3"/>
      <c r="BQ6" s="3"/>
      <c r="BR6" s="608"/>
      <c r="BS6" s="43"/>
      <c r="BT6" s="44"/>
      <c r="BU6" s="45"/>
      <c r="BV6" s="695"/>
      <c r="BW6" s="696"/>
      <c r="BX6" s="79"/>
      <c r="BY6" s="79"/>
      <c r="BZ6" s="79"/>
      <c r="CA6" s="79"/>
      <c r="CB6" s="79"/>
      <c r="CC6" s="79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2"/>
      <c r="CR6" s="2"/>
      <c r="CS6" s="2"/>
      <c r="CT6" s="48"/>
      <c r="CU6" s="17"/>
      <c r="CV6" s="17"/>
      <c r="CW6" s="17"/>
      <c r="CX6" s="16"/>
      <c r="CY6" s="1"/>
      <c r="CZ6" s="1"/>
      <c r="DA6" s="1"/>
      <c r="DB6" s="2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</row>
    <row r="7" spans="1:197" ht="29.25" thickBot="1" x14ac:dyDescent="0.4">
      <c r="A7" s="95"/>
      <c r="B7" s="2"/>
      <c r="C7" s="1"/>
      <c r="D7" s="1"/>
      <c r="E7" s="96"/>
      <c r="F7" s="207"/>
      <c r="G7" s="56"/>
      <c r="H7" s="3"/>
      <c r="I7" s="5"/>
      <c r="J7" s="596"/>
      <c r="K7" s="72"/>
      <c r="L7" s="584"/>
      <c r="M7" s="584"/>
      <c r="N7" s="72"/>
      <c r="O7" s="5"/>
      <c r="P7" s="2"/>
      <c r="Q7" s="3"/>
      <c r="R7" s="49"/>
      <c r="S7" s="5"/>
      <c r="T7" s="5"/>
      <c r="U7" s="59"/>
      <c r="V7" s="98"/>
      <c r="W7" s="603"/>
      <c r="X7" s="603"/>
      <c r="Y7" s="3"/>
      <c r="Z7" s="83"/>
      <c r="AA7" s="100">
        <v>5</v>
      </c>
      <c r="AB7" s="100">
        <v>5</v>
      </c>
      <c r="AC7" s="100">
        <v>5</v>
      </c>
      <c r="AD7" s="83"/>
      <c r="AE7" s="1"/>
      <c r="AF7" s="3"/>
      <c r="AG7" s="604"/>
      <c r="AH7" s="604"/>
      <c r="AI7" s="604"/>
      <c r="AJ7" s="85"/>
      <c r="AK7" s="102">
        <v>5</v>
      </c>
      <c r="AL7" s="102">
        <v>5</v>
      </c>
      <c r="AM7" s="102">
        <v>5</v>
      </c>
      <c r="AN7" s="85"/>
      <c r="AO7" s="63"/>
      <c r="AP7" s="606"/>
      <c r="AQ7" s="606"/>
      <c r="AR7" s="606"/>
      <c r="AS7" s="606"/>
      <c r="AT7" s="3"/>
      <c r="AU7" s="3"/>
      <c r="AV7" s="31"/>
      <c r="AW7" s="32">
        <v>5</v>
      </c>
      <c r="AX7" s="32">
        <v>5</v>
      </c>
      <c r="AY7" s="32">
        <v>5</v>
      </c>
      <c r="AZ7" s="31"/>
      <c r="BA7" s="89"/>
      <c r="BB7" s="104">
        <v>5</v>
      </c>
      <c r="BC7" s="104">
        <v>5</v>
      </c>
      <c r="BD7" s="104">
        <v>5</v>
      </c>
      <c r="BE7" s="89"/>
      <c r="BF7" s="91"/>
      <c r="BG7" s="612"/>
      <c r="BH7" s="276"/>
      <c r="BI7" s="584"/>
      <c r="BJ7" s="584"/>
      <c r="BK7" s="276"/>
      <c r="BL7" s="5"/>
      <c r="BM7" s="3"/>
      <c r="BN7" s="67"/>
      <c r="BO7" s="609"/>
      <c r="BP7" s="609"/>
      <c r="BQ7" s="107"/>
      <c r="BR7" s="608"/>
      <c r="BS7" s="43"/>
      <c r="BT7" s="44"/>
      <c r="BU7" s="108"/>
      <c r="BV7" s="697"/>
      <c r="BW7" s="698"/>
      <c r="BX7" s="79"/>
      <c r="BY7" s="79"/>
      <c r="BZ7" s="79"/>
      <c r="CA7" s="79"/>
      <c r="CB7" s="79"/>
      <c r="CC7" s="79"/>
      <c r="CD7" s="2"/>
      <c r="CE7" s="109"/>
      <c r="CF7" s="1"/>
      <c r="CG7" s="1"/>
      <c r="CH7" s="2"/>
      <c r="CI7" s="109"/>
      <c r="CJ7" s="2"/>
      <c r="CK7" s="2"/>
      <c r="CL7" s="47"/>
      <c r="CM7" s="47"/>
      <c r="CN7" s="47"/>
      <c r="CO7" s="47"/>
      <c r="CP7" s="1"/>
      <c r="CQ7" s="2"/>
      <c r="CR7" s="2"/>
      <c r="CS7" s="2"/>
      <c r="CT7" s="48"/>
      <c r="CU7" s="17"/>
      <c r="CV7" s="17"/>
      <c r="CW7" s="17"/>
      <c r="CX7" s="16"/>
      <c r="CY7" s="1"/>
      <c r="CZ7" s="1"/>
      <c r="DA7" s="1"/>
      <c r="DB7" s="2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</row>
    <row r="8" spans="1:197" ht="29.25" thickBot="1" x14ac:dyDescent="0.45">
      <c r="A8" s="95"/>
      <c r="B8" s="2"/>
      <c r="C8" s="1"/>
      <c r="D8" s="1"/>
      <c r="E8" s="50"/>
      <c r="F8" s="651"/>
      <c r="G8" s="651"/>
      <c r="H8" s="1"/>
      <c r="I8" s="5"/>
      <c r="J8" s="596"/>
      <c r="K8" s="72"/>
      <c r="L8" s="584"/>
      <c r="M8" s="584"/>
      <c r="N8" s="72"/>
      <c r="O8" s="5"/>
      <c r="P8" s="110"/>
      <c r="Q8" s="3"/>
      <c r="R8" s="111"/>
      <c r="S8" s="112"/>
      <c r="T8" s="113"/>
      <c r="U8" s="114"/>
      <c r="V8" s="5"/>
      <c r="W8" s="603"/>
      <c r="X8" s="603"/>
      <c r="Y8" s="3"/>
      <c r="Z8" s="115"/>
      <c r="AA8" s="100">
        <v>5</v>
      </c>
      <c r="AB8" s="100">
        <v>5</v>
      </c>
      <c r="AC8" s="100">
        <v>5</v>
      </c>
      <c r="AD8" s="83"/>
      <c r="AE8" s="1"/>
      <c r="AF8" s="3"/>
      <c r="AG8" s="604"/>
      <c r="AH8" s="604"/>
      <c r="AI8" s="604"/>
      <c r="AJ8" s="85"/>
      <c r="AK8" s="116">
        <v>5</v>
      </c>
      <c r="AL8" s="116">
        <v>5</v>
      </c>
      <c r="AM8" s="116">
        <v>5</v>
      </c>
      <c r="AN8" s="85"/>
      <c r="AO8" s="109"/>
      <c r="AP8" s="606"/>
      <c r="AQ8" s="606"/>
      <c r="AR8" s="606"/>
      <c r="AS8" s="606"/>
      <c r="AT8" s="3"/>
      <c r="AU8" s="3"/>
      <c r="AV8" s="31"/>
      <c r="AW8" s="32">
        <v>5</v>
      </c>
      <c r="AX8" s="32">
        <v>5</v>
      </c>
      <c r="AY8" s="32">
        <v>5</v>
      </c>
      <c r="AZ8" s="31"/>
      <c r="BA8" s="89"/>
      <c r="BB8" s="104">
        <v>5</v>
      </c>
      <c r="BC8" s="104">
        <v>5</v>
      </c>
      <c r="BD8" s="104">
        <v>5</v>
      </c>
      <c r="BE8" s="89"/>
      <c r="BF8" s="91"/>
      <c r="BG8" s="612"/>
      <c r="BH8" s="276"/>
      <c r="BI8" s="584"/>
      <c r="BJ8" s="584"/>
      <c r="BK8" s="276"/>
      <c r="BL8" s="5"/>
      <c r="BM8" s="3"/>
      <c r="BN8" s="67"/>
      <c r="BO8" s="609"/>
      <c r="BP8" s="609"/>
      <c r="BQ8" s="117"/>
      <c r="BR8" s="608"/>
      <c r="BS8" s="43"/>
      <c r="BT8" s="44"/>
      <c r="BU8" s="68"/>
      <c r="BV8" s="118"/>
      <c r="BW8" s="69"/>
      <c r="BX8" s="119"/>
      <c r="BY8" s="1"/>
      <c r="BZ8" s="69"/>
      <c r="CA8" s="3"/>
      <c r="CB8" s="3"/>
      <c r="CC8" s="3"/>
      <c r="CD8" s="120"/>
      <c r="CE8" s="1"/>
      <c r="CF8" s="1"/>
      <c r="CG8" s="1"/>
      <c r="CH8" s="1"/>
      <c r="CI8" s="1"/>
      <c r="CJ8" s="1"/>
      <c r="CK8" s="2"/>
      <c r="CL8" s="47"/>
      <c r="CM8" s="47"/>
      <c r="CN8" s="47"/>
      <c r="CO8" s="47"/>
      <c r="CP8" s="5"/>
      <c r="CQ8" s="2"/>
      <c r="CR8" s="2"/>
      <c r="CS8" s="2"/>
      <c r="CT8" s="48"/>
      <c r="CU8" s="17"/>
      <c r="CV8" s="17"/>
      <c r="CW8" s="17"/>
      <c r="CX8" s="16"/>
      <c r="CY8" s="17"/>
      <c r="CZ8" s="1"/>
      <c r="DA8" s="1"/>
      <c r="DB8" s="2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</row>
    <row r="9" spans="1:197" ht="28.5" x14ac:dyDescent="0.4">
      <c r="A9" s="49"/>
      <c r="B9" s="2"/>
      <c r="C9" s="1"/>
      <c r="D9" s="1"/>
      <c r="E9" s="50"/>
      <c r="F9" s="651"/>
      <c r="G9" s="651"/>
      <c r="H9" s="1"/>
      <c r="I9" s="5"/>
      <c r="J9" s="597"/>
      <c r="K9" s="199"/>
      <c r="L9" s="584"/>
      <c r="M9" s="584"/>
      <c r="N9" s="199"/>
      <c r="O9" s="3"/>
      <c r="P9" s="3"/>
      <c r="Q9" s="122"/>
      <c r="R9" s="123"/>
      <c r="S9" s="123"/>
      <c r="T9" s="644" t="s">
        <v>164</v>
      </c>
      <c r="U9" s="644"/>
      <c r="V9" s="5"/>
      <c r="W9" s="5"/>
      <c r="X9" s="5"/>
      <c r="Y9" s="1"/>
      <c r="Z9" s="98"/>
      <c r="AA9" s="83" t="s">
        <v>182</v>
      </c>
      <c r="AB9" s="83" t="s">
        <v>182</v>
      </c>
      <c r="AC9" s="83" t="s">
        <v>182</v>
      </c>
      <c r="AD9" s="98"/>
      <c r="AE9" s="1"/>
      <c r="AF9" s="98"/>
      <c r="AG9" s="3"/>
      <c r="AH9" s="3"/>
      <c r="AI9" s="3"/>
      <c r="AJ9" s="5"/>
      <c r="AK9" s="85" t="s">
        <v>175</v>
      </c>
      <c r="AL9" s="85" t="s">
        <v>175</v>
      </c>
      <c r="AM9" s="85" t="s">
        <v>175</v>
      </c>
      <c r="AN9" s="3"/>
      <c r="AO9" s="63"/>
      <c r="AP9" s="58"/>
      <c r="AQ9" s="58"/>
      <c r="AR9" s="2"/>
      <c r="AS9" s="2"/>
      <c r="AT9" s="47"/>
      <c r="AU9" s="3"/>
      <c r="AV9" s="75"/>
      <c r="AW9" s="31" t="s">
        <v>175</v>
      </c>
      <c r="AX9" s="31" t="s">
        <v>175</v>
      </c>
      <c r="AY9" s="31" t="s">
        <v>175</v>
      </c>
      <c r="AZ9" s="124"/>
      <c r="BA9" s="3"/>
      <c r="BB9" s="89" t="s">
        <v>175</v>
      </c>
      <c r="BC9" s="89" t="s">
        <v>175</v>
      </c>
      <c r="BD9" s="89" t="s">
        <v>175</v>
      </c>
      <c r="BE9" s="3"/>
      <c r="BF9" s="125"/>
      <c r="BG9" s="612"/>
      <c r="BH9" s="47"/>
      <c r="BI9" s="276"/>
      <c r="BJ9" s="276"/>
      <c r="BK9" s="47"/>
      <c r="BL9" s="5"/>
      <c r="BM9" s="3"/>
      <c r="BN9" s="67"/>
      <c r="BO9" s="609"/>
      <c r="BP9" s="609"/>
      <c r="BQ9" s="117"/>
      <c r="BR9" s="126"/>
      <c r="BS9" s="43"/>
      <c r="BT9" s="44"/>
      <c r="BU9" s="45"/>
      <c r="BV9" s="127"/>
      <c r="BW9" s="127"/>
      <c r="BX9" s="127"/>
      <c r="CB9" s="3"/>
      <c r="CC9" s="3"/>
      <c r="CD9" s="3"/>
      <c r="CE9" s="56"/>
      <c r="CF9" s="128"/>
      <c r="CG9" s="128"/>
      <c r="CH9" s="128"/>
      <c r="CI9" s="128"/>
      <c r="CJ9" s="2"/>
      <c r="CK9" s="128"/>
      <c r="CL9" s="128"/>
      <c r="CM9" s="128"/>
      <c r="CN9" s="128"/>
      <c r="CO9" s="47"/>
      <c r="CP9" s="5"/>
      <c r="CQ9" s="2"/>
      <c r="CR9" s="2"/>
      <c r="CS9" s="2"/>
      <c r="CT9" s="48"/>
      <c r="CU9" s="17"/>
      <c r="CV9" s="17"/>
      <c r="CW9" s="17"/>
      <c r="CX9" s="16"/>
      <c r="CY9" s="17"/>
      <c r="CZ9" s="1"/>
      <c r="DA9" s="1"/>
      <c r="DB9" s="2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</row>
    <row r="10" spans="1:197" ht="29.25" thickBot="1" x14ac:dyDescent="0.45">
      <c r="A10" s="49"/>
      <c r="B10" s="2"/>
      <c r="C10" s="1"/>
      <c r="D10" s="5"/>
      <c r="E10" s="50"/>
      <c r="F10" s="651"/>
      <c r="G10" s="651"/>
      <c r="H10" s="5"/>
      <c r="I10" s="5"/>
      <c r="J10" s="597"/>
      <c r="K10" s="189"/>
      <c r="L10" s="210"/>
      <c r="M10" s="210"/>
      <c r="N10" s="56"/>
      <c r="O10" s="5"/>
      <c r="P10" s="130"/>
      <c r="Q10" s="130"/>
      <c r="R10" s="130"/>
      <c r="S10" s="131"/>
      <c r="T10" s="132"/>
      <c r="U10" s="60" t="s">
        <v>197</v>
      </c>
      <c r="V10" s="649" t="s">
        <v>198</v>
      </c>
      <c r="W10" s="649"/>
      <c r="X10" s="649"/>
      <c r="Y10" s="649"/>
      <c r="Z10" s="3"/>
      <c r="AA10" s="75"/>
      <c r="AB10" s="75"/>
      <c r="AC10" s="75"/>
      <c r="AD10" s="98"/>
      <c r="AE10" s="3"/>
      <c r="AF10" s="3"/>
      <c r="AG10" s="3"/>
      <c r="AH10" s="3"/>
      <c r="AI10" s="3"/>
      <c r="AJ10" s="98"/>
      <c r="AK10" s="75"/>
      <c r="AL10" s="75"/>
      <c r="AM10" s="75"/>
      <c r="AN10" s="333"/>
      <c r="AO10" s="63"/>
      <c r="AP10" s="134"/>
      <c r="AQ10" s="134"/>
      <c r="AR10" s="134"/>
      <c r="AS10" s="134"/>
      <c r="AT10" s="3"/>
      <c r="AU10" s="3"/>
      <c r="AV10" s="75"/>
      <c r="AW10" s="75"/>
      <c r="AX10" s="75"/>
      <c r="AY10" s="75"/>
      <c r="AZ10" s="124"/>
      <c r="BA10" s="61"/>
      <c r="BB10" s="644" t="s">
        <v>199</v>
      </c>
      <c r="BC10" s="644"/>
      <c r="BD10" s="644"/>
      <c r="BE10" s="644"/>
      <c r="BF10" s="5"/>
      <c r="BG10" s="5"/>
      <c r="BH10" s="5"/>
      <c r="BI10" s="47"/>
      <c r="BJ10" s="47"/>
      <c r="BK10" s="135"/>
      <c r="BL10" s="136"/>
      <c r="BM10" s="3"/>
      <c r="BN10" s="126"/>
      <c r="BO10" s="126"/>
      <c r="BP10" s="207"/>
      <c r="BQ10" s="3"/>
      <c r="BR10" s="610"/>
      <c r="BS10" s="47"/>
      <c r="BT10" s="47"/>
      <c r="BU10" s="45"/>
      <c r="BV10" s="127"/>
      <c r="BW10" s="127"/>
      <c r="BX10" s="127"/>
      <c r="CB10" s="3"/>
      <c r="CC10" s="3"/>
      <c r="CD10" s="3"/>
      <c r="CE10" s="138"/>
      <c r="CF10" s="5"/>
      <c r="CG10" s="5"/>
      <c r="CH10" s="5"/>
      <c r="CI10" s="5"/>
      <c r="CJ10" s="138"/>
      <c r="CK10" s="139"/>
      <c r="CL10" s="5"/>
      <c r="CM10" s="139"/>
      <c r="CN10" s="139"/>
      <c r="CO10" s="56"/>
      <c r="CP10" s="5"/>
      <c r="CQ10" s="2"/>
      <c r="CR10" s="2"/>
      <c r="CS10" s="2"/>
      <c r="CT10" s="48"/>
      <c r="CU10" s="17"/>
      <c r="CV10" s="17"/>
      <c r="CW10" s="17"/>
      <c r="CX10" s="16"/>
      <c r="CY10" s="17"/>
      <c r="CZ10" s="1"/>
      <c r="DA10" s="1"/>
      <c r="DB10" s="2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</row>
    <row r="11" spans="1:197" ht="29.25" thickBot="1" x14ac:dyDescent="0.35">
      <c r="A11" s="5"/>
      <c r="B11" s="5"/>
      <c r="C11" s="5"/>
      <c r="D11" s="5"/>
      <c r="E11" s="50"/>
      <c r="F11" s="651"/>
      <c r="G11" s="651"/>
      <c r="H11" s="5"/>
      <c r="I11" s="5"/>
      <c r="J11" s="596"/>
      <c r="K11" s="72"/>
      <c r="L11" s="584"/>
      <c r="M11" s="584"/>
      <c r="N11" s="72"/>
      <c r="O11" s="3"/>
      <c r="P11" s="110"/>
      <c r="Q11" s="110"/>
      <c r="R11" s="110"/>
      <c r="S11" s="140"/>
      <c r="T11" s="35">
        <v>5</v>
      </c>
      <c r="U11" s="141" t="s">
        <v>175</v>
      </c>
      <c r="V11" s="3"/>
      <c r="W11" s="142"/>
      <c r="X11" s="143"/>
      <c r="Y11" s="142"/>
      <c r="Z11" s="5"/>
      <c r="AA11" s="683" t="s">
        <v>200</v>
      </c>
      <c r="AB11" s="683"/>
      <c r="AC11" s="683"/>
      <c r="AD11" s="142"/>
      <c r="AE11" s="3"/>
      <c r="AF11" s="98"/>
      <c r="AG11" s="3"/>
      <c r="AH11" s="3"/>
      <c r="AI11" s="3"/>
      <c r="AJ11" s="98"/>
      <c r="AK11" s="98"/>
      <c r="AL11" s="86"/>
      <c r="AM11" s="86"/>
      <c r="AN11" s="86"/>
      <c r="AO11" s="56"/>
      <c r="AP11" s="86"/>
      <c r="AQ11" s="86"/>
      <c r="AR11" s="86"/>
      <c r="AS11" s="86"/>
      <c r="AT11" s="88"/>
      <c r="AU11" s="88"/>
      <c r="AV11" s="88"/>
      <c r="AW11" s="669" t="s">
        <v>164</v>
      </c>
      <c r="AX11" s="669"/>
      <c r="AY11" s="669"/>
      <c r="AZ11" s="88"/>
      <c r="BA11" s="88"/>
      <c r="BB11" s="88"/>
      <c r="BC11" s="75"/>
      <c r="BD11" s="75"/>
      <c r="BE11" s="3"/>
      <c r="BF11" s="56"/>
      <c r="BG11" s="5"/>
      <c r="BH11" s="86"/>
      <c r="BI11" s="86"/>
      <c r="BJ11" s="86"/>
      <c r="BK11" s="145"/>
      <c r="BL11" s="3"/>
      <c r="BM11" s="3"/>
      <c r="BN11" s="3"/>
      <c r="BO11" s="3"/>
      <c r="BP11" s="3"/>
      <c r="BQ11" s="3"/>
      <c r="BR11" s="611"/>
      <c r="BS11" s="47"/>
      <c r="BT11" s="43"/>
      <c r="BU11" s="666" t="s">
        <v>201</v>
      </c>
      <c r="BV11" s="127"/>
      <c r="BW11" s="127"/>
      <c r="BX11" s="127"/>
      <c r="CB11" s="3"/>
      <c r="CC11" s="127"/>
      <c r="CD11" s="127"/>
      <c r="CE11" s="139"/>
      <c r="CF11" s="5"/>
      <c r="CG11" s="5"/>
      <c r="CH11" s="5"/>
      <c r="CI11" s="5"/>
      <c r="CJ11" s="147"/>
      <c r="CK11" s="5"/>
      <c r="CL11" s="5"/>
      <c r="CM11" s="5"/>
      <c r="CN11" s="5"/>
      <c r="CO11" s="139"/>
      <c r="CP11" s="5"/>
      <c r="CQ11" s="2"/>
      <c r="CR11" s="2"/>
      <c r="CS11" s="2"/>
      <c r="CT11" s="48"/>
      <c r="CU11" s="17"/>
      <c r="CV11" s="17"/>
      <c r="CW11" s="17"/>
      <c r="CX11" s="16"/>
      <c r="CY11" s="17"/>
      <c r="CZ11" s="1"/>
      <c r="DA11" s="1"/>
      <c r="DB11" s="2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</row>
    <row r="12" spans="1:197" ht="28.5" x14ac:dyDescent="0.3">
      <c r="A12" s="5"/>
      <c r="B12" s="5"/>
      <c r="C12" s="5"/>
      <c r="D12" s="5"/>
      <c r="E12" s="50"/>
      <c r="F12" s="5"/>
      <c r="G12" s="5"/>
      <c r="H12" s="5"/>
      <c r="I12" s="5"/>
      <c r="J12" s="596"/>
      <c r="K12" s="72"/>
      <c r="L12" s="584"/>
      <c r="M12" s="584"/>
      <c r="N12" s="72"/>
      <c r="O12" s="3"/>
      <c r="P12" s="110"/>
      <c r="Q12" s="110"/>
      <c r="R12" s="110"/>
      <c r="S12" s="140"/>
      <c r="T12" s="35">
        <v>5</v>
      </c>
      <c r="U12" s="148" t="s">
        <v>175</v>
      </c>
      <c r="V12" s="3"/>
      <c r="W12" s="149" t="s">
        <v>202</v>
      </c>
      <c r="X12" s="149" t="s">
        <v>202</v>
      </c>
      <c r="Y12" s="149" t="s">
        <v>202</v>
      </c>
      <c r="Z12" s="62" t="s">
        <v>203</v>
      </c>
      <c r="AA12" s="3"/>
      <c r="AB12" s="3"/>
      <c r="AC12" s="3"/>
      <c r="AD12" s="3"/>
      <c r="AE12" s="3"/>
      <c r="AF12" s="98"/>
      <c r="AG12" s="587"/>
      <c r="AH12" s="5"/>
      <c r="AI12" s="1"/>
      <c r="AJ12" s="1"/>
      <c r="AK12" s="86"/>
      <c r="AL12" s="86"/>
      <c r="AM12" s="86"/>
      <c r="AN12" s="86"/>
      <c r="AO12" s="86"/>
      <c r="AP12" s="3"/>
      <c r="AQ12" s="3"/>
      <c r="AR12" s="3"/>
      <c r="AS12" s="3"/>
      <c r="AT12" s="88"/>
      <c r="AU12" s="88"/>
      <c r="AV12" s="88"/>
      <c r="AW12" s="88"/>
      <c r="AX12" s="88"/>
      <c r="AY12" s="88"/>
      <c r="AZ12" s="88"/>
      <c r="BA12" s="88"/>
      <c r="BB12" s="88"/>
      <c r="BC12" s="151" t="s">
        <v>175</v>
      </c>
      <c r="BD12" s="151" t="s">
        <v>175</v>
      </c>
      <c r="BE12" s="152"/>
      <c r="BF12" s="56"/>
      <c r="BG12" s="613"/>
      <c r="BH12" s="276"/>
      <c r="BI12" s="276"/>
      <c r="BJ12" s="276"/>
      <c r="BK12" s="47"/>
      <c r="BL12" s="3"/>
      <c r="BM12" s="3"/>
      <c r="BN12" s="3"/>
      <c r="BO12" s="3"/>
      <c r="BP12" s="3"/>
      <c r="BQ12" s="3"/>
      <c r="BR12" s="611"/>
      <c r="BS12" s="2"/>
      <c r="BT12" s="147"/>
      <c r="BU12" s="667"/>
      <c r="BV12" s="127"/>
      <c r="BW12" s="127"/>
      <c r="BX12" s="5"/>
      <c r="BY12" s="5"/>
      <c r="BZ12" s="127"/>
      <c r="CA12" s="127"/>
      <c r="CB12" s="127"/>
      <c r="CC12" s="5"/>
      <c r="CD12" s="5"/>
      <c r="CE12" s="5"/>
      <c r="CF12" s="669" t="s">
        <v>164</v>
      </c>
      <c r="CG12" s="669"/>
      <c r="CH12" s="669"/>
      <c r="CI12" s="5"/>
      <c r="CJ12" s="5"/>
      <c r="CK12" s="154" t="s">
        <v>164</v>
      </c>
      <c r="CL12" s="155"/>
      <c r="CM12" s="139"/>
      <c r="CN12" s="670" t="s">
        <v>205</v>
      </c>
      <c r="CO12" s="671"/>
      <c r="CP12" s="671"/>
      <c r="CQ12" s="672"/>
      <c r="CR12" s="2"/>
      <c r="CS12" s="2"/>
      <c r="CT12" s="48"/>
      <c r="CU12" s="17"/>
      <c r="CV12" s="17"/>
      <c r="CW12" s="17"/>
      <c r="CX12" s="16"/>
      <c r="CY12" s="17"/>
      <c r="CZ12" s="1"/>
      <c r="DA12" s="1"/>
      <c r="DB12" s="2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</row>
    <row r="13" spans="1:197" ht="28.5" x14ac:dyDescent="0.3">
      <c r="A13" s="49"/>
      <c r="B13" s="2"/>
      <c r="C13" s="1"/>
      <c r="D13" s="5"/>
      <c r="E13" s="96"/>
      <c r="F13" s="110"/>
      <c r="G13" s="110"/>
      <c r="H13" s="138"/>
      <c r="I13" s="1"/>
      <c r="J13" s="596"/>
      <c r="K13" s="72"/>
      <c r="L13" s="584"/>
      <c r="M13" s="584"/>
      <c r="N13" s="72"/>
      <c r="O13" s="3"/>
      <c r="P13" s="600"/>
      <c r="Q13" s="600"/>
      <c r="R13" s="600"/>
      <c r="S13" s="140"/>
      <c r="T13" s="158">
        <v>5</v>
      </c>
      <c r="U13" s="148" t="s">
        <v>175</v>
      </c>
      <c r="V13" s="149"/>
      <c r="W13" s="159">
        <v>10</v>
      </c>
      <c r="X13" s="159">
        <v>10</v>
      </c>
      <c r="Y13" s="159">
        <v>10</v>
      </c>
      <c r="Z13" s="149"/>
      <c r="AA13" s="3"/>
      <c r="AB13" s="3"/>
      <c r="AC13" s="3"/>
      <c r="AD13" s="3"/>
      <c r="AE13" s="3"/>
      <c r="AF13" s="605"/>
      <c r="AG13" s="605"/>
      <c r="AH13" s="605"/>
      <c r="AI13" s="1"/>
      <c r="AJ13" s="1"/>
      <c r="AK13" s="86"/>
      <c r="AL13" s="86"/>
      <c r="AM13" s="86"/>
      <c r="AN13" s="86"/>
      <c r="AO13" s="86"/>
      <c r="AP13" s="3"/>
      <c r="AQ13" s="3"/>
      <c r="AR13" s="3"/>
      <c r="AS13" s="3"/>
      <c r="AT13" s="88"/>
      <c r="AU13" s="88"/>
      <c r="AV13" s="88"/>
      <c r="AW13" s="88"/>
      <c r="AX13" s="88"/>
      <c r="AY13" s="88"/>
      <c r="AZ13" s="88"/>
      <c r="BA13" s="88"/>
      <c r="BB13" s="151"/>
      <c r="BC13" s="161">
        <v>5</v>
      </c>
      <c r="BD13" s="161">
        <v>5</v>
      </c>
      <c r="BE13" s="151"/>
      <c r="BF13" s="56"/>
      <c r="BG13" s="276"/>
      <c r="BH13" s="584"/>
      <c r="BI13" s="584"/>
      <c r="BJ13" s="584"/>
      <c r="BK13" s="276"/>
      <c r="BL13" s="3"/>
      <c r="BM13" s="3"/>
      <c r="BN13" s="607"/>
      <c r="BO13" s="607"/>
      <c r="BP13" s="607"/>
      <c r="BQ13" s="607"/>
      <c r="BR13" s="611"/>
      <c r="BS13" s="2"/>
      <c r="BT13" s="43"/>
      <c r="BU13" s="667"/>
      <c r="BV13" s="127"/>
      <c r="BW13" s="127"/>
      <c r="BX13" s="5"/>
      <c r="BY13" s="5"/>
      <c r="BZ13" s="5"/>
      <c r="CA13" s="5"/>
      <c r="CB13" s="5"/>
      <c r="CC13" s="5"/>
      <c r="CD13" s="5"/>
      <c r="CE13" s="5"/>
      <c r="CF13" s="75"/>
      <c r="CG13" s="75"/>
      <c r="CH13" s="75"/>
      <c r="CI13" s="5"/>
      <c r="CJ13" s="5"/>
      <c r="CK13" s="162"/>
      <c r="CL13" s="162"/>
      <c r="CM13" s="139"/>
      <c r="CN13" s="673"/>
      <c r="CO13" s="674"/>
      <c r="CP13" s="674"/>
      <c r="CQ13" s="675"/>
      <c r="CR13" s="2"/>
      <c r="CS13" s="2"/>
      <c r="CT13" s="48"/>
      <c r="CU13" s="17"/>
      <c r="CV13" s="17"/>
      <c r="CW13" s="17"/>
      <c r="CX13" s="16"/>
      <c r="CY13" s="17"/>
      <c r="CZ13" s="1"/>
      <c r="DA13" s="1"/>
      <c r="DB13" s="2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</row>
    <row r="14" spans="1:197" ht="28.5" x14ac:dyDescent="0.35">
      <c r="A14" s="49"/>
      <c r="B14" s="1"/>
      <c r="C14" s="5"/>
      <c r="D14" s="5"/>
      <c r="E14" s="108"/>
      <c r="F14" s="139"/>
      <c r="G14" s="139"/>
      <c r="H14" s="56"/>
      <c r="I14" s="56"/>
      <c r="J14" s="597"/>
      <c r="K14" s="72"/>
      <c r="L14" s="584"/>
      <c r="M14" s="584"/>
      <c r="N14" s="72"/>
      <c r="O14" s="3"/>
      <c r="P14" s="600"/>
      <c r="Q14" s="600"/>
      <c r="R14" s="600"/>
      <c r="S14" s="140"/>
      <c r="T14" s="158">
        <v>5</v>
      </c>
      <c r="U14" s="148" t="s">
        <v>175</v>
      </c>
      <c r="V14" s="164"/>
      <c r="W14" s="159">
        <v>10</v>
      </c>
      <c r="X14" s="159">
        <v>10</v>
      </c>
      <c r="Y14" s="159">
        <v>10</v>
      </c>
      <c r="Z14" s="149"/>
      <c r="AA14" s="3"/>
      <c r="AB14" s="3"/>
      <c r="AC14" s="3"/>
      <c r="AD14" s="3"/>
      <c r="AE14" s="3"/>
      <c r="AF14" s="605"/>
      <c r="AG14" s="605"/>
      <c r="AH14" s="605"/>
      <c r="AI14" s="1"/>
      <c r="AJ14" s="1"/>
      <c r="AK14" s="86"/>
      <c r="AL14" s="86"/>
      <c r="AM14" s="86"/>
      <c r="AN14" s="86"/>
      <c r="AO14" s="86"/>
      <c r="AP14" s="3"/>
      <c r="AQ14" s="3"/>
      <c r="AR14" s="3"/>
      <c r="AS14" s="3"/>
      <c r="AT14" s="88"/>
      <c r="AU14" s="88"/>
      <c r="AV14" s="88"/>
      <c r="AW14" s="88"/>
      <c r="AX14" s="88"/>
      <c r="AY14" s="88"/>
      <c r="AZ14" s="88"/>
      <c r="BA14" s="88"/>
      <c r="BB14" s="151"/>
      <c r="BC14" s="161">
        <v>5</v>
      </c>
      <c r="BD14" s="161">
        <v>5</v>
      </c>
      <c r="BE14" s="151"/>
      <c r="BF14" s="56"/>
      <c r="BG14" s="276"/>
      <c r="BH14" s="584"/>
      <c r="BI14" s="584"/>
      <c r="BJ14" s="584"/>
      <c r="BK14" s="276"/>
      <c r="BL14" s="3"/>
      <c r="BM14" s="3"/>
      <c r="BN14" s="607"/>
      <c r="BO14" s="607"/>
      <c r="BP14" s="607"/>
      <c r="BQ14" s="607"/>
      <c r="BR14" s="126"/>
      <c r="BS14" s="2"/>
      <c r="BT14" s="43"/>
      <c r="BU14" s="667"/>
      <c r="BV14" s="127"/>
      <c r="BW14" s="127"/>
      <c r="BX14" s="5"/>
      <c r="BY14" s="3"/>
      <c r="BZ14" s="3"/>
      <c r="CA14" s="3"/>
      <c r="CB14" s="3"/>
      <c r="CC14" s="3"/>
      <c r="CD14" s="3"/>
      <c r="CE14" s="3"/>
      <c r="CF14" s="165" t="s">
        <v>175</v>
      </c>
      <c r="CG14" s="165" t="s">
        <v>175</v>
      </c>
      <c r="CH14" s="165" t="s">
        <v>175</v>
      </c>
      <c r="CI14" s="90" t="s">
        <v>209</v>
      </c>
      <c r="CJ14" s="3"/>
      <c r="CK14" s="166" t="s">
        <v>175</v>
      </c>
      <c r="CL14" s="166" t="s">
        <v>175</v>
      </c>
      <c r="CM14" s="3"/>
      <c r="CN14" s="673"/>
      <c r="CO14" s="674"/>
      <c r="CP14" s="674"/>
      <c r="CQ14" s="675"/>
      <c r="CR14" s="2"/>
      <c r="CS14" s="2"/>
      <c r="CT14" s="48"/>
      <c r="CU14" s="17"/>
      <c r="CV14" s="17"/>
      <c r="CW14" s="17"/>
      <c r="CX14" s="16"/>
      <c r="CY14" s="17"/>
      <c r="CZ14" s="1"/>
      <c r="DA14" s="1"/>
      <c r="DB14" s="2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</row>
    <row r="15" spans="1:197" ht="28.5" x14ac:dyDescent="0.35">
      <c r="A15" s="49"/>
      <c r="B15" s="2"/>
      <c r="C15" s="5"/>
      <c r="D15" s="5"/>
      <c r="E15" s="108"/>
      <c r="F15" s="584"/>
      <c r="G15" s="584"/>
      <c r="H15" s="679"/>
      <c r="I15" s="3"/>
      <c r="J15" s="597"/>
      <c r="K15" s="595"/>
      <c r="L15" s="210"/>
      <c r="M15" s="210"/>
      <c r="N15" s="598"/>
      <c r="O15" s="3"/>
      <c r="P15" s="110"/>
      <c r="Q15" s="110"/>
      <c r="R15" s="110"/>
      <c r="S15" s="140"/>
      <c r="T15" s="132"/>
      <c r="U15" s="5"/>
      <c r="V15" s="3"/>
      <c r="W15" s="149" t="s">
        <v>202</v>
      </c>
      <c r="X15" s="149" t="s">
        <v>202</v>
      </c>
      <c r="Y15" s="149" t="s">
        <v>202</v>
      </c>
      <c r="Z15" s="60" t="s">
        <v>210</v>
      </c>
      <c r="AA15" s="3"/>
      <c r="AB15" s="3"/>
      <c r="AC15" s="3"/>
      <c r="AD15" s="3"/>
      <c r="AE15" s="3"/>
      <c r="AF15" s="98"/>
      <c r="AG15" s="98"/>
      <c r="AH15" s="98"/>
      <c r="AI15" s="98"/>
      <c r="AJ15" s="168"/>
      <c r="AK15" s="86"/>
      <c r="AL15" s="86"/>
      <c r="AM15" s="86"/>
      <c r="AN15" s="86"/>
      <c r="AO15" s="86"/>
      <c r="AP15" s="3"/>
      <c r="AQ15" s="3"/>
      <c r="AR15" s="3"/>
      <c r="AS15" s="3"/>
      <c r="AT15" s="88"/>
      <c r="AU15" s="88"/>
      <c r="AV15" s="88"/>
      <c r="AW15" s="88"/>
      <c r="AX15" s="88"/>
      <c r="AY15" s="88"/>
      <c r="AZ15" s="88"/>
      <c r="BA15" s="88"/>
      <c r="BB15" s="88"/>
      <c r="BC15" s="151" t="s">
        <v>175</v>
      </c>
      <c r="BD15" s="151" t="s">
        <v>175</v>
      </c>
      <c r="BE15" s="152"/>
      <c r="BF15" s="56"/>
      <c r="BG15" s="613"/>
      <c r="BH15" s="276"/>
      <c r="BI15" s="276"/>
      <c r="BJ15" s="276"/>
      <c r="BK15" s="2"/>
      <c r="BL15" s="47"/>
      <c r="BM15" s="5"/>
      <c r="BN15" s="5"/>
      <c r="BO15" s="5"/>
      <c r="BP15" s="5"/>
      <c r="BQ15" s="5"/>
      <c r="BR15" s="5"/>
      <c r="BS15" s="5"/>
      <c r="BT15" s="5"/>
      <c r="BU15" s="667"/>
      <c r="BV15" s="127"/>
      <c r="BW15" s="127"/>
      <c r="BX15" s="127"/>
      <c r="BY15" s="608"/>
      <c r="BZ15" s="628"/>
      <c r="CA15" s="628"/>
      <c r="CB15" s="628"/>
      <c r="CC15" s="628"/>
      <c r="CD15" s="3"/>
      <c r="CE15" s="3"/>
      <c r="CF15" s="171">
        <v>5</v>
      </c>
      <c r="CG15" s="171">
        <v>5</v>
      </c>
      <c r="CH15" s="171">
        <v>5</v>
      </c>
      <c r="CI15" s="165"/>
      <c r="CJ15" s="166"/>
      <c r="CK15" s="172">
        <v>5</v>
      </c>
      <c r="CL15" s="172">
        <v>5</v>
      </c>
      <c r="CM15" s="166"/>
      <c r="CN15" s="673"/>
      <c r="CO15" s="674"/>
      <c r="CP15" s="674"/>
      <c r="CQ15" s="675"/>
      <c r="CR15" s="2"/>
      <c r="CS15" s="2"/>
      <c r="CT15" s="48"/>
      <c r="CU15" s="17"/>
      <c r="CV15" s="17"/>
      <c r="CW15" s="17"/>
      <c r="CX15" s="16"/>
      <c r="CY15" s="17"/>
      <c r="CZ15" s="1"/>
      <c r="DA15" s="1"/>
      <c r="DB15" s="2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</row>
    <row r="16" spans="1:197" ht="29.25" thickBot="1" x14ac:dyDescent="0.45">
      <c r="A16" s="644" t="s">
        <v>164</v>
      </c>
      <c r="B16" s="644"/>
      <c r="C16" s="6"/>
      <c r="D16" s="173"/>
      <c r="E16" s="174"/>
      <c r="F16" s="584"/>
      <c r="G16" s="584"/>
      <c r="H16" s="680"/>
      <c r="I16" s="110"/>
      <c r="J16" s="596"/>
      <c r="K16" s="210"/>
      <c r="L16" s="584"/>
      <c r="M16" s="584"/>
      <c r="N16" s="3"/>
      <c r="O16" s="3"/>
      <c r="P16" s="3"/>
      <c r="Q16" s="3"/>
      <c r="R16" s="110"/>
      <c r="S16" s="140"/>
      <c r="T16" s="644" t="s">
        <v>211</v>
      </c>
      <c r="U16" s="644"/>
      <c r="V16" s="3"/>
      <c r="W16" s="179"/>
      <c r="X16" s="180"/>
      <c r="Y16" s="180"/>
      <c r="Z16" s="181"/>
      <c r="AA16" s="3"/>
      <c r="AB16" s="3"/>
      <c r="AC16" s="3"/>
      <c r="AD16" s="3"/>
      <c r="AE16" s="3"/>
      <c r="AF16" s="5"/>
      <c r="AG16" s="5"/>
      <c r="AH16" s="5"/>
      <c r="AI16" s="98"/>
      <c r="AJ16" s="649" t="s">
        <v>198</v>
      </c>
      <c r="AK16" s="649"/>
      <c r="AL16" s="649"/>
      <c r="AM16" s="649"/>
      <c r="AN16" s="86"/>
      <c r="AO16" s="86"/>
      <c r="AP16" s="3"/>
      <c r="AQ16" s="3"/>
      <c r="AR16" s="3"/>
      <c r="AS16" s="3"/>
      <c r="AT16" s="88"/>
      <c r="AU16" s="88"/>
      <c r="AV16" s="88"/>
      <c r="AW16" s="88"/>
      <c r="AX16" s="88"/>
      <c r="AY16" s="88"/>
      <c r="AZ16" s="88"/>
      <c r="BA16" s="88"/>
      <c r="BB16" s="88"/>
      <c r="BC16" s="75"/>
      <c r="BD16" s="75"/>
      <c r="BE16" s="88"/>
      <c r="BF16" s="2"/>
      <c r="BG16" s="2"/>
      <c r="BH16" s="2"/>
      <c r="BI16" s="86"/>
      <c r="BJ16" s="86"/>
      <c r="BK16" s="2"/>
      <c r="BL16" s="1"/>
      <c r="BM16" s="5"/>
      <c r="BN16" s="5"/>
      <c r="BO16" s="5"/>
      <c r="BP16" s="5"/>
      <c r="BQ16" s="5"/>
      <c r="BR16" s="5"/>
      <c r="BS16" s="5"/>
      <c r="BT16" s="5"/>
      <c r="BU16" s="668"/>
      <c r="BV16" s="127"/>
      <c r="BW16" s="127"/>
      <c r="BX16" s="127"/>
      <c r="BY16" s="608"/>
      <c r="BZ16" s="628"/>
      <c r="CA16" s="628"/>
      <c r="CB16" s="628"/>
      <c r="CC16" s="628"/>
      <c r="CD16" s="182"/>
      <c r="CE16" s="182"/>
      <c r="CF16" s="171">
        <v>5</v>
      </c>
      <c r="CG16" s="171">
        <v>5</v>
      </c>
      <c r="CH16" s="171">
        <v>5</v>
      </c>
      <c r="CI16" s="165"/>
      <c r="CJ16" s="166"/>
      <c r="CK16" s="172">
        <v>5</v>
      </c>
      <c r="CL16" s="172">
        <v>5</v>
      </c>
      <c r="CM16" s="166"/>
      <c r="CN16" s="673"/>
      <c r="CO16" s="674"/>
      <c r="CP16" s="674"/>
      <c r="CQ16" s="675"/>
      <c r="CR16" s="2"/>
      <c r="CS16" s="2"/>
      <c r="CT16" s="48"/>
      <c r="CU16" s="17"/>
      <c r="CV16" s="17"/>
      <c r="CW16" s="17"/>
      <c r="CX16" s="16"/>
      <c r="CY16" s="17"/>
      <c r="CZ16" s="1"/>
      <c r="DA16" s="1"/>
      <c r="DB16" s="2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</row>
    <row r="17" spans="1:197" ht="28.5" x14ac:dyDescent="0.4">
      <c r="A17" s="35">
        <v>5</v>
      </c>
      <c r="B17" s="34" t="s">
        <v>175</v>
      </c>
      <c r="C17" s="30"/>
      <c r="D17" s="5"/>
      <c r="E17" s="1"/>
      <c r="F17" s="139"/>
      <c r="G17" s="139"/>
      <c r="H17" s="128"/>
      <c r="I17" s="128"/>
      <c r="J17" s="110"/>
      <c r="K17" s="599"/>
      <c r="L17" s="584"/>
      <c r="M17" s="584"/>
      <c r="N17" s="597"/>
      <c r="O17" s="189"/>
      <c r="P17" s="210"/>
      <c r="Q17" s="210"/>
      <c r="R17" s="56"/>
      <c r="S17" s="140"/>
      <c r="T17" s="5"/>
      <c r="U17" s="5"/>
      <c r="V17" s="5"/>
      <c r="W17" s="5"/>
      <c r="X17" s="5"/>
      <c r="Y17" s="5"/>
      <c r="Z17" s="5"/>
      <c r="AA17" s="147"/>
      <c r="AE17" s="5"/>
      <c r="AF17" s="5"/>
      <c r="AG17" s="5"/>
      <c r="AH17" s="5"/>
      <c r="AI17" s="56"/>
      <c r="AJ17" s="110"/>
      <c r="AK17" s="110"/>
      <c r="AL17" s="110"/>
      <c r="AM17" s="110"/>
      <c r="AN17" s="17"/>
      <c r="AO17" s="56" t="s">
        <v>213</v>
      </c>
      <c r="AP17" s="86"/>
      <c r="AQ17" s="86"/>
      <c r="AR17" s="86"/>
      <c r="AS17" s="134"/>
      <c r="AT17" s="1"/>
      <c r="AU17" s="88"/>
      <c r="AV17" s="88"/>
      <c r="AW17" s="88"/>
      <c r="AX17" s="88"/>
      <c r="AY17" s="86"/>
      <c r="AZ17" s="3"/>
      <c r="BA17" s="56"/>
      <c r="BB17" s="86"/>
      <c r="BC17" s="86"/>
      <c r="BD17" s="86"/>
      <c r="BE17" s="2"/>
      <c r="BF17" s="56"/>
      <c r="BG17" s="86"/>
      <c r="BH17" s="86"/>
      <c r="BI17" s="86"/>
      <c r="BJ17" s="86"/>
      <c r="BK17" s="2"/>
      <c r="BL17" s="1"/>
      <c r="BM17" s="5"/>
      <c r="BN17" s="5"/>
      <c r="BO17" s="5"/>
      <c r="BP17" s="5"/>
      <c r="BQ17" s="5"/>
      <c r="BR17" s="5"/>
      <c r="BS17" s="5"/>
      <c r="BT17" s="5"/>
      <c r="BU17" s="68"/>
      <c r="BV17" s="127"/>
      <c r="BW17" s="127"/>
      <c r="BX17" s="127"/>
      <c r="BY17" s="94"/>
      <c r="BZ17" s="94"/>
      <c r="CA17" s="94"/>
      <c r="CB17" s="94"/>
      <c r="CC17" s="94"/>
      <c r="CD17" s="30"/>
      <c r="CE17" s="188"/>
      <c r="CF17" s="165" t="s">
        <v>175</v>
      </c>
      <c r="CG17" s="165" t="s">
        <v>175</v>
      </c>
      <c r="CH17" s="165" t="s">
        <v>175</v>
      </c>
      <c r="CI17" s="3"/>
      <c r="CJ17" s="3"/>
      <c r="CK17" s="166" t="s">
        <v>175</v>
      </c>
      <c r="CL17" s="166" t="s">
        <v>175</v>
      </c>
      <c r="CM17" s="3"/>
      <c r="CN17" s="673"/>
      <c r="CO17" s="674"/>
      <c r="CP17" s="674"/>
      <c r="CQ17" s="675"/>
      <c r="CR17" s="2"/>
      <c r="CS17" s="2"/>
      <c r="CT17" s="48"/>
      <c r="CU17" s="17"/>
      <c r="CV17" s="17"/>
      <c r="CW17" s="17"/>
      <c r="CX17" s="16"/>
      <c r="CY17" s="17"/>
      <c r="CZ17" s="1"/>
      <c r="DA17" s="1"/>
      <c r="DB17" s="2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</row>
    <row r="18" spans="1:197" ht="28.5" x14ac:dyDescent="0.3">
      <c r="A18" s="3"/>
      <c r="B18" s="189"/>
      <c r="C18" s="3"/>
      <c r="D18" s="5"/>
      <c r="E18" s="1"/>
      <c r="F18" s="110"/>
      <c r="G18" s="110"/>
      <c r="H18" s="107"/>
      <c r="I18" s="1"/>
      <c r="J18" s="5"/>
      <c r="K18" s="138"/>
      <c r="L18" s="599"/>
      <c r="M18" s="599"/>
      <c r="N18" s="596"/>
      <c r="O18" s="72"/>
      <c r="P18" s="584"/>
      <c r="Q18" s="584"/>
      <c r="R18" s="72"/>
      <c r="S18" s="140"/>
      <c r="T18" s="192">
        <v>10</v>
      </c>
      <c r="U18" s="149" t="s">
        <v>202</v>
      </c>
      <c r="V18" s="3"/>
      <c r="W18" s="193"/>
      <c r="X18" s="194"/>
      <c r="Y18" s="194"/>
      <c r="Z18" s="5"/>
      <c r="AA18" s="5"/>
      <c r="AB18" s="5"/>
      <c r="AC18" s="58"/>
      <c r="AD18" s="58"/>
      <c r="AE18" s="5"/>
      <c r="AF18" s="195"/>
      <c r="AG18" s="5"/>
      <c r="AH18" s="58"/>
      <c r="AI18" s="5"/>
      <c r="AJ18" s="5"/>
      <c r="AK18" s="196" t="s">
        <v>202</v>
      </c>
      <c r="AL18" s="196" t="s">
        <v>202</v>
      </c>
      <c r="AM18" s="196" t="s">
        <v>202</v>
      </c>
      <c r="AN18" s="62" t="s">
        <v>219</v>
      </c>
      <c r="AO18" s="64" t="s">
        <v>220</v>
      </c>
      <c r="AP18" s="197" t="s">
        <v>182</v>
      </c>
      <c r="AQ18" s="197" t="s">
        <v>182</v>
      </c>
      <c r="AR18" s="197" t="s">
        <v>182</v>
      </c>
      <c r="AS18" s="2"/>
      <c r="AT18" s="3"/>
      <c r="AU18" s="88"/>
      <c r="AV18" s="88"/>
      <c r="AW18" s="88"/>
      <c r="AX18" s="88"/>
      <c r="AY18" s="2"/>
      <c r="AZ18" s="3"/>
      <c r="BA18" s="138"/>
      <c r="BB18" s="139"/>
      <c r="BC18" s="139"/>
      <c r="BD18" s="139"/>
      <c r="BE18" s="625"/>
      <c r="BF18" s="138"/>
      <c r="BG18" s="139"/>
      <c r="BH18" s="139"/>
      <c r="BI18" s="139"/>
      <c r="BJ18" s="139"/>
      <c r="BK18" s="2"/>
      <c r="BL18" s="1"/>
      <c r="BM18" s="5"/>
      <c r="BN18" s="5"/>
      <c r="BO18" s="5"/>
      <c r="BP18" s="5"/>
      <c r="BQ18" s="5"/>
      <c r="BR18" s="5"/>
      <c r="BS18" s="5"/>
      <c r="BT18" s="5"/>
      <c r="BU18" s="68"/>
      <c r="BV18" s="127"/>
      <c r="BW18" s="127"/>
      <c r="BX18" s="127"/>
      <c r="BY18" s="94"/>
      <c r="BZ18" s="3"/>
      <c r="CA18" s="3"/>
      <c r="CB18" s="3"/>
      <c r="CC18" s="3"/>
      <c r="CD18" s="3"/>
      <c r="CE18" s="3"/>
      <c r="CF18" s="75"/>
      <c r="CG18" s="75"/>
      <c r="CH18" s="75"/>
      <c r="CI18" s="3"/>
      <c r="CJ18" s="3"/>
      <c r="CK18" s="86"/>
      <c r="CL18" s="86"/>
      <c r="CM18" s="3"/>
      <c r="CN18" s="673"/>
      <c r="CO18" s="674"/>
      <c r="CP18" s="674"/>
      <c r="CQ18" s="675"/>
      <c r="CR18" s="2"/>
      <c r="CS18" s="2"/>
      <c r="CT18" s="48"/>
      <c r="CU18" s="17"/>
      <c r="CV18" s="17"/>
      <c r="CW18" s="17"/>
      <c r="CX18" s="16"/>
      <c r="CY18" s="17"/>
      <c r="CZ18" s="1"/>
      <c r="DA18" s="1"/>
      <c r="DB18" s="2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</row>
    <row r="19" spans="1:197" ht="28.5" x14ac:dyDescent="0.35">
      <c r="A19" s="35">
        <v>5</v>
      </c>
      <c r="B19" s="34" t="s">
        <v>175</v>
      </c>
      <c r="C19" s="199"/>
      <c r="D19" s="200"/>
      <c r="E19" s="3"/>
      <c r="F19" s="3"/>
      <c r="G19" s="3"/>
      <c r="H19" s="3"/>
      <c r="I19" s="5"/>
      <c r="J19" s="190"/>
      <c r="K19" s="186"/>
      <c r="L19" s="3"/>
      <c r="M19" s="3"/>
      <c r="N19" s="596"/>
      <c r="O19" s="72"/>
      <c r="P19" s="584"/>
      <c r="Q19" s="584"/>
      <c r="R19" s="72"/>
      <c r="S19" s="140"/>
      <c r="T19" s="192">
        <v>10</v>
      </c>
      <c r="U19" s="149" t="s">
        <v>202</v>
      </c>
      <c r="V19" s="604"/>
      <c r="W19" s="604"/>
      <c r="X19" s="604"/>
      <c r="Y19" s="604"/>
      <c r="Z19" s="5"/>
      <c r="AA19" s="604"/>
      <c r="AB19" s="604"/>
      <c r="AC19" s="604"/>
      <c r="AD19" s="3"/>
      <c r="AE19" s="5"/>
      <c r="AF19" s="604"/>
      <c r="AG19" s="604"/>
      <c r="AH19" s="604"/>
      <c r="AI19" s="5"/>
      <c r="AJ19" s="5"/>
      <c r="AK19" s="201">
        <v>10</v>
      </c>
      <c r="AL19" s="201">
        <v>10</v>
      </c>
      <c r="AM19" s="201">
        <v>10</v>
      </c>
      <c r="AN19" s="196"/>
      <c r="AO19" s="202"/>
      <c r="AP19" s="203">
        <v>5</v>
      </c>
      <c r="AQ19" s="203">
        <v>5</v>
      </c>
      <c r="AR19" s="204">
        <v>5</v>
      </c>
      <c r="AS19" s="205"/>
      <c r="AT19" s="3"/>
      <c r="AU19" s="88"/>
      <c r="AV19" s="88"/>
      <c r="AW19" s="88"/>
      <c r="AX19" s="88"/>
      <c r="AY19" s="2"/>
      <c r="AZ19" s="3"/>
      <c r="BA19" s="139"/>
      <c r="BB19" s="584"/>
      <c r="BC19" s="584"/>
      <c r="BD19" s="584"/>
      <c r="BE19" s="139"/>
      <c r="BF19" s="139"/>
      <c r="BG19" s="139"/>
      <c r="BH19" s="584"/>
      <c r="BI19" s="584"/>
      <c r="BJ19" s="584"/>
      <c r="BK19" s="139"/>
      <c r="BL19" s="1"/>
      <c r="BM19" s="5"/>
      <c r="BN19" s="5"/>
      <c r="BO19" s="5"/>
      <c r="BP19" s="5"/>
      <c r="BQ19" s="5"/>
      <c r="BR19" s="5"/>
      <c r="BS19" s="5"/>
      <c r="BT19" s="5"/>
      <c r="BU19" s="47"/>
      <c r="BV19" s="206"/>
      <c r="BW19" s="127"/>
      <c r="BX19" s="127"/>
      <c r="BY19" s="94"/>
      <c r="BZ19" s="681" t="s">
        <v>176</v>
      </c>
      <c r="CA19" s="681"/>
      <c r="CB19" s="681"/>
      <c r="CC19" s="681"/>
      <c r="CD19" s="189"/>
      <c r="CJ19" s="207"/>
      <c r="CK19" s="207"/>
      <c r="CL19" s="207"/>
      <c r="CM19" s="3"/>
      <c r="CN19" s="673"/>
      <c r="CO19" s="674"/>
      <c r="CP19" s="674"/>
      <c r="CQ19" s="675"/>
      <c r="CR19" s="2"/>
      <c r="CS19" s="2"/>
      <c r="CT19" s="48"/>
      <c r="CU19" s="17"/>
      <c r="CV19" s="17"/>
      <c r="CW19" s="17"/>
      <c r="CX19" s="16"/>
      <c r="CY19" s="17"/>
      <c r="CZ19" s="1"/>
      <c r="DA19" s="1"/>
      <c r="DB19" s="2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</row>
    <row r="20" spans="1:197" ht="28.5" x14ac:dyDescent="0.4">
      <c r="A20" s="134"/>
      <c r="B20" s="134"/>
      <c r="C20" s="199"/>
      <c r="D20" s="208"/>
      <c r="E20" s="12" t="s">
        <v>223</v>
      </c>
      <c r="F20" s="12"/>
      <c r="G20" s="12"/>
      <c r="H20" s="12"/>
      <c r="I20" s="70"/>
      <c r="J20" s="208"/>
      <c r="K20" s="3"/>
      <c r="L20" s="3"/>
      <c r="M20" s="3"/>
      <c r="N20" s="596"/>
      <c r="O20" s="72"/>
      <c r="P20" s="584"/>
      <c r="Q20" s="584"/>
      <c r="R20" s="72"/>
      <c r="S20" s="140"/>
      <c r="T20" s="159">
        <v>10</v>
      </c>
      <c r="U20" s="149" t="s">
        <v>202</v>
      </c>
      <c r="V20" s="604"/>
      <c r="W20" s="604"/>
      <c r="X20" s="604"/>
      <c r="Y20" s="604"/>
      <c r="Z20" s="5"/>
      <c r="AA20" s="604"/>
      <c r="AB20" s="604"/>
      <c r="AC20" s="604"/>
      <c r="AD20" s="3"/>
      <c r="AE20" s="5"/>
      <c r="AF20" s="604"/>
      <c r="AG20" s="604"/>
      <c r="AH20" s="604"/>
      <c r="AI20" s="5"/>
      <c r="AJ20" s="5"/>
      <c r="AK20" s="201">
        <v>10</v>
      </c>
      <c r="AL20" s="201">
        <v>10</v>
      </c>
      <c r="AM20" s="201">
        <v>10</v>
      </c>
      <c r="AN20" s="196"/>
      <c r="AO20" s="202"/>
      <c r="AP20" s="204">
        <v>5</v>
      </c>
      <c r="AQ20" s="204">
        <v>5</v>
      </c>
      <c r="AR20" s="204">
        <v>5</v>
      </c>
      <c r="AS20" s="209"/>
      <c r="AT20" s="3"/>
      <c r="AU20" s="88"/>
      <c r="AV20" s="88"/>
      <c r="AW20" s="88"/>
      <c r="AX20" s="88"/>
      <c r="AY20" s="2"/>
      <c r="AZ20" s="3"/>
      <c r="BA20" s="139"/>
      <c r="BB20" s="584"/>
      <c r="BC20" s="584"/>
      <c r="BD20" s="584"/>
      <c r="BE20" s="139"/>
      <c r="BF20" s="139"/>
      <c r="BG20" s="139"/>
      <c r="BH20" s="584"/>
      <c r="BI20" s="584"/>
      <c r="BJ20" s="584"/>
      <c r="BK20" s="139"/>
      <c r="BL20" s="1"/>
      <c r="BM20" s="5"/>
      <c r="BN20" s="5"/>
      <c r="BO20" s="5"/>
      <c r="BP20" s="5"/>
      <c r="BQ20" s="5"/>
      <c r="BR20" s="5"/>
      <c r="BS20" s="5"/>
      <c r="BT20" s="5"/>
      <c r="BU20" s="47"/>
      <c r="BV20" s="206"/>
      <c r="BW20" s="127"/>
      <c r="BX20" s="127"/>
      <c r="BY20" s="94"/>
      <c r="BZ20" s="86"/>
      <c r="CA20" s="86"/>
      <c r="CB20" s="86"/>
      <c r="CC20" s="86"/>
      <c r="CD20" s="210"/>
      <c r="CJ20" s="3"/>
      <c r="CK20" s="30"/>
      <c r="CL20" s="30"/>
      <c r="CM20" s="3"/>
      <c r="CN20" s="673"/>
      <c r="CO20" s="674"/>
      <c r="CP20" s="674"/>
      <c r="CQ20" s="675"/>
      <c r="CR20" s="2"/>
      <c r="CS20" s="2"/>
      <c r="CT20" s="48"/>
      <c r="CU20" s="17"/>
      <c r="CV20" s="17"/>
      <c r="CW20" s="17"/>
      <c r="CX20" s="16"/>
      <c r="CY20" s="17"/>
      <c r="CZ20" s="1"/>
      <c r="DA20" s="1"/>
      <c r="DB20" s="2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</row>
    <row r="21" spans="1:197" ht="29.25" thickBot="1" x14ac:dyDescent="0.35">
      <c r="A21" s="35">
        <v>5</v>
      </c>
      <c r="B21" s="34" t="s">
        <v>175</v>
      </c>
      <c r="C21" s="199"/>
      <c r="D21" s="208"/>
      <c r="E21" s="60" t="s">
        <v>178</v>
      </c>
      <c r="F21" s="211"/>
      <c r="G21" s="211"/>
      <c r="H21" s="62" t="s">
        <v>219</v>
      </c>
      <c r="I21" s="70"/>
      <c r="J21" s="208"/>
      <c r="K21" s="3"/>
      <c r="L21" s="3"/>
      <c r="M21" s="3"/>
      <c r="N21" s="597"/>
      <c r="O21" s="595"/>
      <c r="P21" s="210"/>
      <c r="Q21" s="210"/>
      <c r="R21" s="598"/>
      <c r="S21" s="140"/>
      <c r="T21" s="648" t="s">
        <v>224</v>
      </c>
      <c r="U21" s="648"/>
      <c r="V21" s="648"/>
      <c r="W21" s="682"/>
      <c r="X21" s="682"/>
      <c r="Y21" s="682"/>
      <c r="Z21" s="5"/>
      <c r="AA21" s="3"/>
      <c r="AB21" s="649" t="s">
        <v>223</v>
      </c>
      <c r="AC21" s="649"/>
      <c r="AD21" s="649"/>
      <c r="AE21" s="5"/>
      <c r="AF21" s="5"/>
      <c r="AG21" s="5"/>
      <c r="AH21" s="5"/>
      <c r="AI21" s="5"/>
      <c r="AJ21" s="5"/>
      <c r="AK21" s="196" t="s">
        <v>202</v>
      </c>
      <c r="AL21" s="196" t="s">
        <v>202</v>
      </c>
      <c r="AM21" s="196" t="s">
        <v>202</v>
      </c>
      <c r="AN21" s="17"/>
      <c r="AO21" s="58"/>
      <c r="AP21" s="197" t="s">
        <v>182</v>
      </c>
      <c r="AQ21" s="197" t="s">
        <v>182</v>
      </c>
      <c r="AR21" s="197" t="s">
        <v>182</v>
      </c>
      <c r="AS21" s="58"/>
      <c r="AT21" s="3"/>
      <c r="AU21" s="88"/>
      <c r="AV21" s="88"/>
      <c r="AW21" s="88"/>
      <c r="AX21" s="88"/>
      <c r="AY21" s="2"/>
      <c r="AZ21" s="3"/>
      <c r="BA21" s="139"/>
      <c r="BB21" s="139"/>
      <c r="BC21" s="139"/>
      <c r="BD21" s="139"/>
      <c r="BE21" s="613"/>
      <c r="BF21" s="139"/>
      <c r="BG21" s="139"/>
      <c r="BH21" s="139"/>
      <c r="BI21" s="139"/>
      <c r="BJ21" s="139"/>
      <c r="BK21" s="139"/>
      <c r="BL21" s="1"/>
      <c r="BM21" s="5"/>
      <c r="BN21" s="5"/>
      <c r="BO21" s="5"/>
      <c r="BP21" s="5"/>
      <c r="BQ21" s="5"/>
      <c r="BR21" s="5"/>
      <c r="BS21" s="5"/>
      <c r="BT21" s="5"/>
      <c r="BU21" s="47"/>
      <c r="BV21" s="213"/>
      <c r="BW21" s="127"/>
      <c r="BX21" s="127"/>
      <c r="BY21" s="60" t="s">
        <v>226</v>
      </c>
      <c r="BZ21" s="214" t="s">
        <v>175</v>
      </c>
      <c r="CA21" s="214" t="s">
        <v>175</v>
      </c>
      <c r="CB21" s="214" t="s">
        <v>175</v>
      </c>
      <c r="CC21" s="214" t="s">
        <v>175</v>
      </c>
      <c r="CD21" s="215" t="s">
        <v>227</v>
      </c>
      <c r="CJ21" s="317"/>
      <c r="CK21" s="3"/>
      <c r="CL21" s="3"/>
      <c r="CN21" s="673"/>
      <c r="CO21" s="674"/>
      <c r="CP21" s="674"/>
      <c r="CQ21" s="675"/>
      <c r="CR21" s="2"/>
      <c r="CS21" s="2"/>
      <c r="CT21" s="48"/>
      <c r="CU21" s="17"/>
      <c r="CV21" s="17"/>
      <c r="CW21" s="17"/>
      <c r="CX21" s="16"/>
      <c r="CY21" s="17"/>
      <c r="CZ21" s="1"/>
      <c r="DA21" s="1"/>
      <c r="DB21" s="2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</row>
    <row r="22" spans="1:197" ht="29.25" thickBot="1" x14ac:dyDescent="0.45">
      <c r="A22" s="3"/>
      <c r="B22" s="3"/>
      <c r="C22" s="199"/>
      <c r="D22" s="199"/>
      <c r="E22" s="196" t="s">
        <v>202</v>
      </c>
      <c r="F22" s="201">
        <v>10</v>
      </c>
      <c r="G22" s="201">
        <v>10</v>
      </c>
      <c r="H22" s="196" t="s">
        <v>202</v>
      </c>
      <c r="I22" s="199"/>
      <c r="J22" s="208"/>
      <c r="K22" s="3"/>
      <c r="L22" s="3"/>
      <c r="M22" s="3"/>
      <c r="N22" s="3"/>
      <c r="O22" s="3"/>
      <c r="P22" s="3"/>
      <c r="Q22" s="3"/>
      <c r="R22" s="130"/>
      <c r="S22" s="140"/>
      <c r="T22" s="3"/>
      <c r="U22" s="216"/>
      <c r="V22" s="200"/>
      <c r="W22" s="200"/>
      <c r="X22" s="200"/>
      <c r="Y22" s="217"/>
      <c r="Z22" s="5"/>
      <c r="AA22" s="5"/>
      <c r="AB22" s="200"/>
      <c r="AC22" s="200"/>
      <c r="AD22" s="217"/>
      <c r="AE22" s="5"/>
      <c r="AF22" s="5"/>
      <c r="AG22" s="5"/>
      <c r="AH22" s="5"/>
      <c r="AI22" s="5"/>
      <c r="AJ22" s="200"/>
      <c r="AK22" s="200"/>
      <c r="AL22" s="200"/>
      <c r="AM22" s="217"/>
      <c r="AN22" s="17"/>
      <c r="AO22" s="58"/>
      <c r="AP22" s="86"/>
      <c r="AQ22" s="86"/>
      <c r="AR22" s="86"/>
      <c r="AS22" s="3"/>
      <c r="AT22" s="86"/>
      <c r="AU22" s="88"/>
      <c r="AV22" s="88"/>
      <c r="AW22" s="88"/>
      <c r="AX22" s="88"/>
      <c r="AY22" s="2"/>
      <c r="AZ22" s="86"/>
      <c r="BA22" s="88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1"/>
      <c r="BM22" s="5"/>
      <c r="BN22" s="5"/>
      <c r="BO22" s="5"/>
      <c r="BP22" s="5"/>
      <c r="BQ22" s="5"/>
      <c r="BR22" s="5"/>
      <c r="BS22" s="5"/>
      <c r="BT22" s="5"/>
      <c r="BU22" s="47"/>
      <c r="BV22" s="218"/>
      <c r="BW22" s="127"/>
      <c r="BX22" s="127"/>
      <c r="BY22" s="214"/>
      <c r="BZ22" s="219">
        <v>5</v>
      </c>
      <c r="CA22" s="219">
        <v>5</v>
      </c>
      <c r="CB22" s="219">
        <v>5</v>
      </c>
      <c r="CC22" s="102">
        <v>5</v>
      </c>
      <c r="CD22" s="214"/>
      <c r="CJ22" s="629"/>
      <c r="CK22" s="629"/>
      <c r="CL22" s="629"/>
      <c r="CN22" s="673"/>
      <c r="CO22" s="674"/>
      <c r="CP22" s="674"/>
      <c r="CQ22" s="675"/>
      <c r="CR22" s="2"/>
      <c r="CS22" s="2"/>
      <c r="CT22" s="48"/>
      <c r="CU22" s="17"/>
      <c r="CV22" s="17"/>
      <c r="CW22" s="17"/>
      <c r="CX22" s="16"/>
      <c r="CY22" s="17"/>
      <c r="CZ22" s="1"/>
      <c r="DA22" s="1"/>
      <c r="DB22" s="2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</row>
    <row r="23" spans="1:197" ht="29.25" thickBot="1" x14ac:dyDescent="0.45">
      <c r="A23" s="35">
        <v>5</v>
      </c>
      <c r="B23" s="34" t="s">
        <v>175</v>
      </c>
      <c r="C23" s="199"/>
      <c r="D23" s="199"/>
      <c r="E23" s="196" t="s">
        <v>202</v>
      </c>
      <c r="F23" s="201">
        <v>10</v>
      </c>
      <c r="G23" s="201">
        <v>10</v>
      </c>
      <c r="H23" s="196" t="s">
        <v>202</v>
      </c>
      <c r="I23" s="199"/>
      <c r="J23" s="190"/>
      <c r="K23" s="3"/>
      <c r="L23" s="3"/>
      <c r="M23" s="3"/>
      <c r="N23" s="3"/>
      <c r="O23" s="3"/>
      <c r="P23" s="3"/>
      <c r="Q23" s="3"/>
      <c r="R23" s="3"/>
      <c r="S23" s="1"/>
      <c r="T23" s="3"/>
      <c r="U23" s="3"/>
      <c r="V23" s="62" t="s">
        <v>228</v>
      </c>
      <c r="W23" s="221" t="s">
        <v>182</v>
      </c>
      <c r="X23" s="221" t="s">
        <v>182</v>
      </c>
      <c r="Y23" s="221" t="s">
        <v>182</v>
      </c>
      <c r="Z23" s="60" t="s">
        <v>229</v>
      </c>
      <c r="AA23" s="5"/>
      <c r="AB23" s="149" t="s">
        <v>202</v>
      </c>
      <c r="AC23" s="149" t="s">
        <v>202</v>
      </c>
      <c r="AD23" s="149" t="s">
        <v>202</v>
      </c>
      <c r="AE23" s="5"/>
      <c r="AF23" s="222"/>
      <c r="AG23" s="5"/>
      <c r="AH23" s="5"/>
      <c r="AI23" s="1"/>
      <c r="AJ23" s="1"/>
      <c r="AK23" s="1"/>
      <c r="AL23" s="196" t="s">
        <v>202</v>
      </c>
      <c r="AM23" s="196" t="s">
        <v>202</v>
      </c>
      <c r="AN23" s="17"/>
      <c r="AO23" s="58"/>
      <c r="AP23" s="644" t="s">
        <v>164</v>
      </c>
      <c r="AQ23" s="644"/>
      <c r="AR23" s="644"/>
      <c r="AS23" s="644"/>
      <c r="AT23" s="2"/>
      <c r="AU23" s="56"/>
      <c r="AV23" s="86"/>
      <c r="AW23" s="86"/>
      <c r="AX23" s="86"/>
      <c r="AY23" s="86"/>
      <c r="AZ23" s="56"/>
      <c r="BA23" s="86"/>
      <c r="BB23" s="86"/>
      <c r="BC23" s="86"/>
      <c r="BD23" s="86"/>
      <c r="BE23" s="86"/>
      <c r="BF23" s="56"/>
      <c r="BG23" s="86"/>
      <c r="BH23" s="86"/>
      <c r="BI23" s="86"/>
      <c r="BJ23" s="86"/>
      <c r="BK23" s="86"/>
      <c r="BL23" s="86"/>
      <c r="BM23" s="2"/>
      <c r="BN23" s="2"/>
      <c r="BO23" s="5"/>
      <c r="BP23" s="5"/>
      <c r="BQ23" s="5"/>
      <c r="BR23" s="5"/>
      <c r="BS23" s="5"/>
      <c r="BT23" s="5"/>
      <c r="BU23" s="47"/>
      <c r="BV23" s="47"/>
      <c r="BW23" s="127"/>
      <c r="BX23" s="127"/>
      <c r="BY23" s="31"/>
      <c r="BZ23" s="32">
        <v>5</v>
      </c>
      <c r="CA23" s="32">
        <v>5</v>
      </c>
      <c r="CB23" s="32">
        <v>5</v>
      </c>
      <c r="CC23" s="32">
        <v>5</v>
      </c>
      <c r="CD23" s="31"/>
      <c r="CJ23" s="629"/>
      <c r="CK23" s="629"/>
      <c r="CL23" s="629"/>
      <c r="CN23" s="673"/>
      <c r="CO23" s="674"/>
      <c r="CP23" s="674"/>
      <c r="CQ23" s="675"/>
      <c r="CR23" s="2"/>
      <c r="CS23" s="2"/>
      <c r="CT23" s="48"/>
      <c r="CU23" s="17"/>
      <c r="CV23" s="17"/>
      <c r="CW23" s="17"/>
      <c r="CX23" s="16"/>
      <c r="CY23" s="17"/>
      <c r="CZ23" s="1"/>
      <c r="DA23" s="1"/>
      <c r="DB23" s="2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</row>
    <row r="24" spans="1:197" ht="28.5" x14ac:dyDescent="0.4">
      <c r="A24" s="644" t="s">
        <v>164</v>
      </c>
      <c r="B24" s="644"/>
      <c r="C24" s="3"/>
      <c r="D24" s="199"/>
      <c r="E24" s="196" t="s">
        <v>202</v>
      </c>
      <c r="F24" s="201">
        <v>10</v>
      </c>
      <c r="G24" s="201">
        <v>10</v>
      </c>
      <c r="H24" s="196" t="s">
        <v>202</v>
      </c>
      <c r="I24" s="19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21"/>
      <c r="W24" s="223">
        <v>5</v>
      </c>
      <c r="X24" s="223">
        <v>5</v>
      </c>
      <c r="Y24" s="223">
        <v>5</v>
      </c>
      <c r="Z24" s="221"/>
      <c r="AA24" s="224"/>
      <c r="AB24" s="192">
        <v>10</v>
      </c>
      <c r="AC24" s="192">
        <v>10</v>
      </c>
      <c r="AD24" s="192">
        <v>10</v>
      </c>
      <c r="AE24" s="224"/>
      <c r="AF24" s="605"/>
      <c r="AG24" s="605"/>
      <c r="AH24" s="605"/>
      <c r="AI24" s="5"/>
      <c r="AJ24" s="1"/>
      <c r="AK24" s="17"/>
      <c r="AL24" s="201">
        <v>10</v>
      </c>
      <c r="AM24" s="201">
        <v>10</v>
      </c>
      <c r="AN24" s="3"/>
      <c r="AO24" s="58"/>
      <c r="AP24" s="5"/>
      <c r="AQ24" s="5"/>
      <c r="AR24" s="5"/>
      <c r="AS24" s="2"/>
      <c r="AT24" s="2"/>
      <c r="AU24" s="138"/>
      <c r="AV24" s="139"/>
      <c r="AW24" s="139"/>
      <c r="AX24" s="139"/>
      <c r="AY24" s="139"/>
      <c r="AZ24" s="138"/>
      <c r="BA24" s="139"/>
      <c r="BB24" s="139"/>
      <c r="BC24" s="139"/>
      <c r="BD24" s="139"/>
      <c r="BE24" s="139"/>
      <c r="BF24" s="138"/>
      <c r="BG24" s="139"/>
      <c r="BH24" s="139"/>
      <c r="BI24" s="139"/>
      <c r="BJ24" s="139"/>
      <c r="BK24" s="139"/>
      <c r="BL24" s="2"/>
      <c r="BM24" s="139"/>
      <c r="BN24" s="139"/>
      <c r="BO24" s="2"/>
      <c r="BP24" s="5"/>
      <c r="BQ24" s="5"/>
      <c r="BR24" s="5"/>
      <c r="BS24" s="5"/>
      <c r="BT24" s="5"/>
      <c r="BU24" s="47"/>
      <c r="BV24" s="218"/>
      <c r="BW24" s="5"/>
      <c r="BX24" s="5"/>
      <c r="BY24" s="3"/>
      <c r="BZ24" s="31" t="s">
        <v>175</v>
      </c>
      <c r="CA24" s="31" t="s">
        <v>175</v>
      </c>
      <c r="CB24" s="31" t="s">
        <v>175</v>
      </c>
      <c r="CC24" s="31" t="s">
        <v>175</v>
      </c>
      <c r="CD24" s="47"/>
      <c r="CN24" s="673"/>
      <c r="CO24" s="674"/>
      <c r="CP24" s="674"/>
      <c r="CQ24" s="675"/>
      <c r="CR24" s="2"/>
      <c r="CS24" s="2"/>
      <c r="CT24" s="48"/>
      <c r="CU24" s="17"/>
      <c r="CV24" s="17"/>
      <c r="CW24" s="17"/>
      <c r="CX24" s="16"/>
      <c r="CY24" s="17"/>
      <c r="CZ24" s="1"/>
      <c r="DA24" s="1"/>
      <c r="DB24" s="2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</row>
    <row r="25" spans="1:197" ht="28.5" x14ac:dyDescent="0.35">
      <c r="A25" s="32">
        <v>5</v>
      </c>
      <c r="B25" s="31" t="s">
        <v>175</v>
      </c>
      <c r="C25" s="199"/>
      <c r="D25" s="199"/>
      <c r="E25" s="196" t="s">
        <v>202</v>
      </c>
      <c r="F25" s="201">
        <v>10</v>
      </c>
      <c r="G25" s="201">
        <v>10</v>
      </c>
      <c r="H25" s="196" t="s">
        <v>202</v>
      </c>
      <c r="I25" s="199"/>
      <c r="J25" s="3"/>
      <c r="K25" s="60"/>
      <c r="L25" s="60"/>
      <c r="M25" s="3"/>
      <c r="N25" s="3"/>
      <c r="O25" s="3"/>
      <c r="P25" s="3"/>
      <c r="Q25" s="3"/>
      <c r="R25" s="3"/>
      <c r="S25" s="3"/>
      <c r="T25" s="225"/>
      <c r="U25" s="3"/>
      <c r="V25" s="221"/>
      <c r="W25" s="223">
        <v>5</v>
      </c>
      <c r="X25" s="223">
        <v>5</v>
      </c>
      <c r="Y25" s="223">
        <v>5</v>
      </c>
      <c r="Z25" s="221"/>
      <c r="AA25" s="224"/>
      <c r="AB25" s="192">
        <v>10</v>
      </c>
      <c r="AC25" s="192">
        <v>10</v>
      </c>
      <c r="AD25" s="192">
        <v>10</v>
      </c>
      <c r="AE25" s="224"/>
      <c r="AF25" s="605"/>
      <c r="AG25" s="605"/>
      <c r="AH25" s="605"/>
      <c r="AI25" s="5"/>
      <c r="AJ25" s="1"/>
      <c r="AK25" s="226"/>
      <c r="AL25" s="201">
        <v>10</v>
      </c>
      <c r="AM25" s="201">
        <v>10</v>
      </c>
      <c r="AN25" s="64" t="s">
        <v>235</v>
      </c>
      <c r="AO25" s="58"/>
      <c r="AP25" s="605"/>
      <c r="AQ25" s="605"/>
      <c r="AR25" s="605"/>
      <c r="AS25" s="2"/>
      <c r="AT25" s="58"/>
      <c r="AU25" s="139"/>
      <c r="AV25" s="584"/>
      <c r="AW25" s="584"/>
      <c r="AX25" s="584"/>
      <c r="AY25" s="584"/>
      <c r="AZ25" s="139"/>
      <c r="BA25" s="584"/>
      <c r="BB25" s="584"/>
      <c r="BC25" s="584"/>
      <c r="BD25" s="584"/>
      <c r="BE25" s="139"/>
      <c r="BF25" s="139"/>
      <c r="BG25" s="584"/>
      <c r="BH25" s="584"/>
      <c r="BI25" s="584"/>
      <c r="BJ25" s="584"/>
      <c r="BK25" s="139"/>
      <c r="BL25" s="139"/>
      <c r="BM25" s="584"/>
      <c r="BN25" s="584"/>
      <c r="BO25" s="139"/>
      <c r="BP25" s="5"/>
      <c r="BQ25" s="5"/>
      <c r="BR25" s="5"/>
      <c r="BS25" s="5"/>
      <c r="BT25" s="5"/>
      <c r="BU25" s="47"/>
      <c r="BV25" s="218"/>
      <c r="BW25" s="5"/>
      <c r="BX25" s="5"/>
      <c r="BY25" s="3"/>
      <c r="BZ25" s="86"/>
      <c r="CA25" s="86"/>
      <c r="CB25" s="86"/>
      <c r="CC25" s="86"/>
      <c r="CD25" s="47"/>
      <c r="CN25" s="673"/>
      <c r="CO25" s="674"/>
      <c r="CP25" s="674"/>
      <c r="CQ25" s="675"/>
      <c r="CR25" s="2"/>
      <c r="CS25" s="2"/>
      <c r="CT25" s="48"/>
      <c r="CU25" s="17"/>
      <c r="CV25" s="17"/>
      <c r="CW25" s="17"/>
      <c r="CX25" s="16"/>
      <c r="CY25" s="17"/>
      <c r="CZ25" s="1"/>
      <c r="DA25" s="1"/>
      <c r="DB25" s="2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</row>
    <row r="26" spans="1:197" ht="28.5" x14ac:dyDescent="0.3">
      <c r="C26" s="60" t="s">
        <v>166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225"/>
      <c r="U26" s="216"/>
      <c r="V26" s="216"/>
      <c r="W26" s="221" t="s">
        <v>182</v>
      </c>
      <c r="X26" s="221" t="s">
        <v>182</v>
      </c>
      <c r="Y26" s="221" t="s">
        <v>182</v>
      </c>
      <c r="Z26" s="122" t="s">
        <v>237</v>
      </c>
      <c r="AA26" s="5"/>
      <c r="AB26" s="149" t="s">
        <v>202</v>
      </c>
      <c r="AC26" s="149" t="s">
        <v>202</v>
      </c>
      <c r="AD26" s="149" t="s">
        <v>202</v>
      </c>
      <c r="AE26" s="60" t="s">
        <v>238</v>
      </c>
      <c r="AF26" s="5"/>
      <c r="AG26" s="58"/>
      <c r="AH26" s="228"/>
      <c r="AI26" s="228"/>
      <c r="AJ26" s="17"/>
      <c r="AK26" s="5"/>
      <c r="AL26" s="196" t="s">
        <v>202</v>
      </c>
      <c r="AM26" s="196" t="s">
        <v>202</v>
      </c>
      <c r="AN26" s="229"/>
      <c r="AO26" s="58"/>
      <c r="AP26" s="605"/>
      <c r="AQ26" s="605"/>
      <c r="AR26" s="605"/>
      <c r="AS26" s="2"/>
      <c r="AT26" s="2"/>
      <c r="AU26" s="139"/>
      <c r="AV26" s="584"/>
      <c r="AW26" s="584"/>
      <c r="AX26" s="584"/>
      <c r="AY26" s="584"/>
      <c r="AZ26" s="139"/>
      <c r="BA26" s="584"/>
      <c r="BB26" s="584"/>
      <c r="BC26" s="584"/>
      <c r="BD26" s="584"/>
      <c r="BE26" s="139"/>
      <c r="BF26" s="139"/>
      <c r="BG26" s="584"/>
      <c r="BH26" s="584"/>
      <c r="BI26" s="584"/>
      <c r="BJ26" s="584"/>
      <c r="BK26" s="139"/>
      <c r="BL26" s="139"/>
      <c r="BM26" s="584"/>
      <c r="BN26" s="584"/>
      <c r="BO26" s="139"/>
      <c r="BP26" s="5"/>
      <c r="BQ26" s="5"/>
      <c r="BR26" s="5"/>
      <c r="BS26" s="5"/>
      <c r="BT26" s="5"/>
      <c r="BU26" s="47"/>
      <c r="BV26" s="218"/>
      <c r="BW26" s="47"/>
      <c r="BX26" s="47"/>
      <c r="BY26" s="3"/>
      <c r="BZ26" s="650" t="s">
        <v>239</v>
      </c>
      <c r="CA26" s="650"/>
      <c r="CB26" s="650"/>
      <c r="CC26" s="650"/>
      <c r="CD26" s="3"/>
      <c r="CE26" s="3"/>
      <c r="CF26" s="65" t="s">
        <v>211</v>
      </c>
      <c r="CG26" s="65"/>
      <c r="CH26" s="65"/>
      <c r="CI26" s="189"/>
      <c r="CN26" s="673"/>
      <c r="CO26" s="674"/>
      <c r="CP26" s="674"/>
      <c r="CQ26" s="675"/>
      <c r="CR26" s="2"/>
      <c r="CS26" s="2"/>
      <c r="CT26" s="48"/>
      <c r="CU26" s="17"/>
      <c r="CV26" s="17"/>
      <c r="CW26" s="17"/>
      <c r="CX26" s="16"/>
      <c r="CY26" s="17"/>
      <c r="CZ26" s="1"/>
      <c r="DA26" s="1"/>
      <c r="DB26" s="2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</row>
    <row r="27" spans="1:197" ht="29.25" thickBot="1" x14ac:dyDescent="0.4">
      <c r="A27" s="32">
        <v>5</v>
      </c>
      <c r="B27" s="31" t="s">
        <v>175</v>
      </c>
      <c r="C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25"/>
      <c r="U27" s="230"/>
      <c r="V27" s="216"/>
      <c r="W27" s="200"/>
      <c r="X27" s="200"/>
      <c r="Y27" s="217"/>
      <c r="Z27" s="231"/>
      <c r="AA27" s="5"/>
      <c r="AB27" s="200"/>
      <c r="AC27" s="200"/>
      <c r="AD27" s="217"/>
      <c r="AE27" s="5"/>
      <c r="AF27" s="232"/>
      <c r="AG27" s="17"/>
      <c r="AH27" s="17"/>
      <c r="AI27" s="233"/>
      <c r="AJ27" s="17"/>
      <c r="AK27" s="5"/>
      <c r="AL27" s="234"/>
      <c r="AM27" s="235"/>
      <c r="AN27" s="229"/>
      <c r="AO27" s="58"/>
      <c r="AP27" s="2"/>
      <c r="AQ27" s="2"/>
      <c r="AR27" s="109"/>
      <c r="AS27" s="236"/>
      <c r="AT27" s="139"/>
      <c r="AU27" s="626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2"/>
      <c r="BM27" s="139"/>
      <c r="BN27" s="139"/>
      <c r="BO27" s="139"/>
      <c r="BP27" s="5"/>
      <c r="BQ27" s="5"/>
      <c r="BR27" s="5"/>
      <c r="BS27" s="5"/>
      <c r="BT27" s="5"/>
      <c r="BU27" s="47"/>
      <c r="BV27" s="218"/>
      <c r="BW27" s="47"/>
      <c r="BX27" s="47"/>
      <c r="BY27" s="3"/>
      <c r="BZ27" s="3"/>
      <c r="CA27" s="3"/>
      <c r="CB27" s="3"/>
      <c r="CC27" s="3"/>
      <c r="CD27" s="3"/>
      <c r="CE27" s="3"/>
      <c r="CF27" s="75"/>
      <c r="CG27" s="75"/>
      <c r="CH27" s="75"/>
      <c r="CI27" s="207"/>
      <c r="CJ27" s="238"/>
      <c r="CK27" s="30"/>
      <c r="CL27" s="30"/>
      <c r="CM27" s="238"/>
      <c r="CN27" s="673"/>
      <c r="CO27" s="674"/>
      <c r="CP27" s="674"/>
      <c r="CQ27" s="675"/>
      <c r="CR27" s="2"/>
      <c r="CS27" s="2"/>
      <c r="CT27" s="48"/>
      <c r="CU27" s="17"/>
      <c r="CV27" s="17"/>
      <c r="CW27" s="17"/>
      <c r="CX27" s="16"/>
      <c r="CY27" s="17"/>
      <c r="CZ27" s="1"/>
      <c r="DA27" s="1"/>
      <c r="DB27" s="2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</row>
    <row r="28" spans="1:197" ht="28.5" x14ac:dyDescent="0.25">
      <c r="C28" s="199"/>
      <c r="F28" s="616"/>
      <c r="G28" s="617"/>
      <c r="J28" s="3"/>
      <c r="K28" s="3"/>
      <c r="L28" s="3"/>
      <c r="M28" s="3"/>
      <c r="N28" s="3"/>
      <c r="O28" s="3"/>
      <c r="P28" s="3"/>
      <c r="Q28" s="3"/>
      <c r="R28" s="3"/>
      <c r="S28" s="3"/>
      <c r="T28" s="241"/>
      <c r="U28" s="58"/>
      <c r="V28" s="651"/>
      <c r="W28" s="651"/>
      <c r="X28" s="651"/>
      <c r="Y28" s="651"/>
      <c r="Z28" s="17"/>
      <c r="AA28" s="17"/>
      <c r="AB28" s="17"/>
      <c r="AC28" s="233"/>
      <c r="AD28" s="233"/>
      <c r="AE28" s="17"/>
      <c r="AF28" s="232"/>
      <c r="AG28" s="17"/>
      <c r="AH28" s="17"/>
      <c r="AI28" s="17"/>
      <c r="AJ28" s="17"/>
      <c r="AK28" s="17"/>
      <c r="AL28" s="652" t="s">
        <v>223</v>
      </c>
      <c r="AM28" s="652"/>
      <c r="AN28" s="17"/>
      <c r="AO28" s="58"/>
      <c r="AP28" s="58"/>
      <c r="AQ28" s="2"/>
      <c r="AR28" s="2"/>
      <c r="AS28" s="2"/>
      <c r="AT28" s="86"/>
      <c r="AU28" s="2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627"/>
      <c r="BG28" s="86"/>
      <c r="BH28" s="86"/>
      <c r="BI28" s="86"/>
      <c r="BJ28" s="86"/>
      <c r="BK28" s="5"/>
      <c r="BL28" s="86"/>
      <c r="BM28" s="5"/>
      <c r="BN28" s="5"/>
      <c r="BO28" s="5"/>
      <c r="BP28" s="5"/>
      <c r="BQ28" s="5"/>
      <c r="BR28" s="5"/>
      <c r="BS28" s="5"/>
      <c r="BT28" s="5"/>
      <c r="BU28" s="47"/>
      <c r="BV28" s="218"/>
      <c r="BW28" s="243"/>
      <c r="BX28" s="243"/>
      <c r="BY28" s="3"/>
      <c r="BZ28" s="3"/>
      <c r="CA28" s="3"/>
      <c r="CB28" s="3"/>
      <c r="CC28" s="3"/>
      <c r="CE28" s="3"/>
      <c r="CF28" s="244" t="s">
        <v>175</v>
      </c>
      <c r="CG28" s="244" t="s">
        <v>175</v>
      </c>
      <c r="CH28" s="244" t="s">
        <v>175</v>
      </c>
      <c r="CI28" s="90" t="s">
        <v>241</v>
      </c>
      <c r="CJ28" s="3"/>
      <c r="CK28" s="166" t="s">
        <v>175</v>
      </c>
      <c r="CL28" s="166" t="s">
        <v>175</v>
      </c>
      <c r="CM28" s="3"/>
      <c r="CN28" s="673"/>
      <c r="CO28" s="674"/>
      <c r="CP28" s="674"/>
      <c r="CQ28" s="675"/>
      <c r="CR28" s="2"/>
      <c r="CS28" s="2"/>
      <c r="CT28" s="48"/>
      <c r="CU28" s="17"/>
      <c r="CV28" s="17"/>
      <c r="CW28" s="17"/>
      <c r="CX28" s="16"/>
      <c r="CY28" s="17"/>
      <c r="CZ28" s="1"/>
      <c r="DA28" s="1"/>
      <c r="DB28" s="2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</row>
    <row r="29" spans="1:197" ht="29.25" thickBot="1" x14ac:dyDescent="0.4">
      <c r="A29" s="32">
        <v>5</v>
      </c>
      <c r="B29" s="31" t="s">
        <v>175</v>
      </c>
      <c r="C29" s="199"/>
      <c r="F29" s="618"/>
      <c r="G29" s="619"/>
      <c r="J29" s="3"/>
      <c r="K29" s="3"/>
      <c r="L29" s="3"/>
      <c r="M29" s="3"/>
      <c r="N29" s="3"/>
      <c r="O29" s="3"/>
      <c r="P29" s="3"/>
      <c r="Q29" s="3"/>
      <c r="R29" s="3"/>
      <c r="S29" s="3"/>
      <c r="T29" s="248"/>
      <c r="U29" s="17"/>
      <c r="V29" s="3"/>
      <c r="W29" s="3"/>
      <c r="X29" s="3"/>
      <c r="Y29" s="3"/>
      <c r="Z29" s="17"/>
      <c r="AA29" s="17"/>
      <c r="AB29" s="17"/>
      <c r="AC29" s="233"/>
      <c r="AD29" s="233"/>
      <c r="AE29" s="17"/>
      <c r="AF29" s="232"/>
      <c r="AG29" s="17"/>
      <c r="AH29" s="17"/>
      <c r="AI29" s="17"/>
      <c r="AJ29" s="17"/>
      <c r="AK29" s="249"/>
      <c r="AL29" s="249"/>
      <c r="AM29" s="17"/>
      <c r="AN29" s="17"/>
      <c r="AO29" s="1"/>
      <c r="AP29" s="2"/>
      <c r="AQ29" s="2"/>
      <c r="AR29" s="2"/>
      <c r="AS29" s="2"/>
      <c r="AT29" s="250"/>
      <c r="AU29" s="2"/>
      <c r="AV29" s="2"/>
      <c r="AW29" s="1"/>
      <c r="AX29" s="1"/>
      <c r="AY29" s="47"/>
      <c r="AZ29" s="251"/>
      <c r="BA29" s="251"/>
      <c r="BB29" s="251"/>
      <c r="BC29" s="251"/>
      <c r="BD29" s="47"/>
      <c r="BE29" s="47"/>
      <c r="BF29" s="252"/>
      <c r="BG29" s="614"/>
      <c r="BH29" s="47"/>
      <c r="BI29" s="2"/>
      <c r="BJ29" s="615"/>
      <c r="BK29" s="615"/>
      <c r="BL29" s="147"/>
      <c r="BM29" s="47"/>
      <c r="BN29" s="147"/>
      <c r="BO29" s="147"/>
      <c r="BP29" s="147"/>
      <c r="BQ29" s="47"/>
      <c r="BR29" s="254"/>
      <c r="BS29" s="254"/>
      <c r="BT29" s="2"/>
      <c r="BU29" s="255"/>
      <c r="BV29" s="47"/>
      <c r="BW29" s="243"/>
      <c r="BX29" s="243"/>
      <c r="BY29" s="3"/>
      <c r="BZ29" s="3"/>
      <c r="CA29" s="3"/>
      <c r="CB29" s="3"/>
      <c r="CC29" s="3"/>
      <c r="CE29" s="256"/>
      <c r="CF29" s="257">
        <v>5</v>
      </c>
      <c r="CG29" s="257">
        <v>5</v>
      </c>
      <c r="CH29" s="257">
        <v>5</v>
      </c>
      <c r="CI29" s="256"/>
      <c r="CJ29" s="166"/>
      <c r="CK29" s="220">
        <v>5</v>
      </c>
      <c r="CL29" s="220">
        <v>5</v>
      </c>
      <c r="CM29" s="166"/>
      <c r="CN29" s="673"/>
      <c r="CO29" s="674"/>
      <c r="CP29" s="674"/>
      <c r="CQ29" s="675"/>
      <c r="CR29" s="259"/>
      <c r="CS29" s="260"/>
      <c r="CT29" s="16"/>
      <c r="CU29" s="17"/>
      <c r="CV29" s="17"/>
      <c r="CW29" s="17"/>
      <c r="CX29" s="16"/>
      <c r="CY29" s="17"/>
      <c r="CZ29" s="1"/>
      <c r="DA29" s="1"/>
      <c r="DB29" s="2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</row>
    <row r="30" spans="1:197" ht="29.25" thickBot="1" x14ac:dyDescent="0.3">
      <c r="C30" s="199"/>
      <c r="F30" s="620"/>
      <c r="G30" s="621"/>
      <c r="J30" s="3"/>
      <c r="K30" s="3"/>
      <c r="L30" s="3"/>
      <c r="M30" s="3"/>
      <c r="N30" s="3"/>
      <c r="O30" s="3"/>
      <c r="P30" s="3"/>
      <c r="Q30" s="3"/>
      <c r="R30" s="3"/>
      <c r="S30" s="3"/>
      <c r="T30" s="263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5"/>
      <c r="AG30" s="264"/>
      <c r="AH30" s="264"/>
      <c r="AI30" s="264"/>
      <c r="AJ30" s="6"/>
      <c r="AK30" s="653" t="s">
        <v>201</v>
      </c>
      <c r="AL30" s="654"/>
      <c r="AM30" s="654"/>
      <c r="AN30" s="655"/>
      <c r="AO30" s="266"/>
      <c r="AP30" s="267"/>
      <c r="AQ30" s="267"/>
      <c r="AR30" s="267"/>
      <c r="AS30" s="267"/>
      <c r="AT30" s="267"/>
      <c r="AU30" s="266"/>
      <c r="AV30" s="268"/>
      <c r="AW30" s="266"/>
      <c r="AX30" s="656" t="s">
        <v>198</v>
      </c>
      <c r="AY30" s="656"/>
      <c r="AZ30" s="656"/>
      <c r="BA30" s="269"/>
      <c r="BB30" s="270"/>
      <c r="BC30" s="270"/>
      <c r="BD30" s="270"/>
      <c r="BE30" s="270"/>
      <c r="BF30" s="266"/>
      <c r="BG30" s="3"/>
      <c r="BH30" s="3"/>
      <c r="BI30" s="3"/>
      <c r="BJ30" s="271"/>
      <c r="BK30" s="272"/>
      <c r="BL30" s="267"/>
      <c r="BM30" s="266"/>
      <c r="BN30" s="266"/>
      <c r="BO30" s="266"/>
      <c r="BP30" s="266"/>
      <c r="BQ30" s="266"/>
      <c r="BR30" s="266"/>
      <c r="BS30" s="266"/>
      <c r="BT30" s="266"/>
      <c r="BU30" s="273"/>
      <c r="BV30" s="47"/>
      <c r="BW30" s="243"/>
      <c r="BX30" s="243"/>
      <c r="BY30" s="3"/>
      <c r="BZ30" s="3"/>
      <c r="CA30" s="3"/>
      <c r="CB30" s="3"/>
      <c r="CC30" s="3"/>
      <c r="CE30" s="256"/>
      <c r="CF30" s="257">
        <v>5</v>
      </c>
      <c r="CG30" s="257">
        <v>5</v>
      </c>
      <c r="CH30" s="257">
        <v>5</v>
      </c>
      <c r="CI30" s="256"/>
      <c r="CJ30" s="166"/>
      <c r="CK30" s="220">
        <v>5</v>
      </c>
      <c r="CL30" s="220">
        <v>5</v>
      </c>
      <c r="CM30" s="166"/>
      <c r="CN30" s="673"/>
      <c r="CO30" s="674"/>
      <c r="CP30" s="674"/>
      <c r="CQ30" s="675"/>
      <c r="CR30" s="259"/>
      <c r="CS30" s="260"/>
      <c r="CT30" s="16"/>
      <c r="CU30" s="17"/>
      <c r="CV30" s="17"/>
      <c r="CW30" s="17"/>
      <c r="CX30" s="16"/>
      <c r="CY30" s="1"/>
      <c r="CZ30" s="1"/>
      <c r="DA30" s="1"/>
      <c r="DB30" s="2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</row>
    <row r="31" spans="1:197" ht="29.25" thickBot="1" x14ac:dyDescent="0.4">
      <c r="A31" s="32">
        <v>5</v>
      </c>
      <c r="B31" s="31" t="s">
        <v>175</v>
      </c>
      <c r="C31" s="199"/>
      <c r="D31" s="1"/>
      <c r="E31" s="5"/>
      <c r="F31" s="5"/>
      <c r="G31" s="5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5"/>
      <c r="U31" s="274"/>
      <c r="V31" s="274"/>
      <c r="W31" s="274"/>
      <c r="X31" s="274"/>
      <c r="Y31" s="274"/>
      <c r="Z31" s="274"/>
      <c r="AA31" s="58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58"/>
      <c r="AN31" s="58"/>
      <c r="AO31" s="109"/>
      <c r="AP31" s="86"/>
      <c r="AQ31" s="86"/>
      <c r="AR31" s="86"/>
      <c r="AS31" s="2"/>
      <c r="AT31" s="147"/>
      <c r="AU31" s="147"/>
      <c r="AV31" s="275"/>
      <c r="AW31" s="60" t="s">
        <v>244</v>
      </c>
      <c r="AX31" s="200"/>
      <c r="AY31" s="200"/>
      <c r="AZ31" s="200"/>
      <c r="BA31" s="58"/>
      <c r="BB31" s="3"/>
      <c r="BC31" s="276"/>
      <c r="BD31" s="276"/>
      <c r="BE31" s="276"/>
      <c r="BF31" s="275"/>
      <c r="BG31" s="109"/>
      <c r="BH31" s="3"/>
      <c r="BI31" s="3"/>
      <c r="BJ31" s="199"/>
      <c r="BK31" s="199"/>
      <c r="BL31" s="86"/>
      <c r="BM31" s="86"/>
      <c r="BN31" s="86"/>
      <c r="BO31" s="5"/>
      <c r="BP31" s="5"/>
      <c r="BQ31" s="5"/>
      <c r="BR31" s="5"/>
      <c r="BS31" s="275"/>
      <c r="BT31" s="275"/>
      <c r="BU31" s="275"/>
      <c r="BV31" s="47"/>
      <c r="BW31" s="243"/>
      <c r="BX31" s="243"/>
      <c r="BY31" s="3"/>
      <c r="BZ31" s="3"/>
      <c r="CA31" s="3"/>
      <c r="CB31" s="3"/>
      <c r="CC31" s="3"/>
      <c r="CE31" s="5"/>
      <c r="CF31" s="244" t="s">
        <v>175</v>
      </c>
      <c r="CG31" s="244" t="s">
        <v>175</v>
      </c>
      <c r="CH31" s="244" t="s">
        <v>175</v>
      </c>
      <c r="CI31" s="5"/>
      <c r="CJ31" s="5"/>
      <c r="CK31" s="166" t="s">
        <v>175</v>
      </c>
      <c r="CL31" s="166" t="s">
        <v>175</v>
      </c>
      <c r="CM31" s="139"/>
      <c r="CN31" s="676"/>
      <c r="CO31" s="677"/>
      <c r="CP31" s="677"/>
      <c r="CQ31" s="678"/>
      <c r="CR31" s="259"/>
      <c r="CS31" s="260"/>
      <c r="CT31" s="16"/>
      <c r="CU31" s="17"/>
      <c r="CV31" s="17"/>
      <c r="CW31" s="17"/>
      <c r="CX31" s="16"/>
      <c r="CY31" s="17"/>
      <c r="CZ31" s="1"/>
      <c r="DA31" s="1"/>
      <c r="DB31" s="2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</row>
    <row r="32" spans="1:197" ht="28.5" x14ac:dyDescent="0.35">
      <c r="C32" s="200"/>
      <c r="D32" s="122"/>
      <c r="E32" s="5"/>
      <c r="F32" s="5"/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5"/>
      <c r="Y32" s="5"/>
      <c r="Z32" s="5"/>
      <c r="AA32" s="58"/>
      <c r="AB32" s="277"/>
      <c r="AC32" s="58"/>
      <c r="AD32" s="58"/>
      <c r="AE32" s="58"/>
      <c r="AF32" s="58"/>
      <c r="AG32" s="58"/>
      <c r="AH32" s="58"/>
      <c r="AI32" s="58"/>
      <c r="AJ32" s="58"/>
      <c r="AK32" s="277"/>
      <c r="AL32" s="58"/>
      <c r="AM32" s="58"/>
      <c r="AN32" s="109"/>
      <c r="AO32" s="60" t="s">
        <v>195</v>
      </c>
      <c r="AP32" s="31" t="s">
        <v>175</v>
      </c>
      <c r="AQ32" s="31" t="s">
        <v>175</v>
      </c>
      <c r="AR32" s="31" t="s">
        <v>175</v>
      </c>
      <c r="AS32" s="109"/>
      <c r="AT32" s="278"/>
      <c r="AU32" s="3"/>
      <c r="AV32" s="5"/>
      <c r="AW32" s="62" t="s">
        <v>247</v>
      </c>
      <c r="AX32" s="149" t="s">
        <v>202</v>
      </c>
      <c r="AY32" s="149" t="s">
        <v>202</v>
      </c>
      <c r="AZ32" s="149" t="s">
        <v>202</v>
      </c>
      <c r="BA32" s="58"/>
      <c r="BB32" s="109"/>
      <c r="BC32" s="109"/>
      <c r="BD32" s="109"/>
      <c r="BE32" s="109"/>
      <c r="BF32" s="60" t="s">
        <v>248</v>
      </c>
      <c r="BG32" s="197" t="s">
        <v>182</v>
      </c>
      <c r="BH32" s="197" t="s">
        <v>182</v>
      </c>
      <c r="BI32" s="197" t="s">
        <v>182</v>
      </c>
      <c r="BJ32" s="86"/>
      <c r="BP32" s="5"/>
      <c r="BQ32" s="5"/>
      <c r="BR32" s="5"/>
      <c r="BS32" s="109"/>
      <c r="BT32" s="109"/>
      <c r="BU32" s="109"/>
      <c r="BV32" s="47"/>
      <c r="BW32" s="47"/>
      <c r="BX32" s="279"/>
      <c r="BY32" s="279"/>
      <c r="BZ32" s="280"/>
      <c r="CA32" s="280"/>
      <c r="CB32" s="280"/>
      <c r="CC32" s="5"/>
      <c r="CD32" s="86"/>
      <c r="CE32" s="276"/>
      <c r="CF32" s="75"/>
      <c r="CG32" s="75"/>
      <c r="CH32" s="75"/>
      <c r="CI32" s="5"/>
      <c r="CJ32" s="5"/>
      <c r="CK32" s="86"/>
      <c r="CL32" s="86"/>
      <c r="CM32" s="139"/>
      <c r="CN32" s="259"/>
      <c r="CO32" s="259"/>
      <c r="CP32" s="259"/>
      <c r="CQ32" s="259"/>
      <c r="CR32" s="259"/>
      <c r="CS32" s="260"/>
      <c r="CT32" s="16"/>
      <c r="CU32" s="17"/>
      <c r="CV32" s="17"/>
      <c r="CW32" s="17"/>
      <c r="CX32" s="16"/>
      <c r="CY32" s="17"/>
      <c r="CZ32" s="1"/>
      <c r="DA32" s="1"/>
      <c r="DB32" s="2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</row>
    <row r="33" spans="1:197" ht="29.25" thickBot="1" x14ac:dyDescent="0.4">
      <c r="A33" s="32">
        <v>5</v>
      </c>
      <c r="B33" s="31" t="s">
        <v>175</v>
      </c>
      <c r="C33" s="199"/>
      <c r="D33" s="5"/>
      <c r="E33" s="5"/>
      <c r="F33" s="79"/>
      <c r="G33" s="79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81"/>
      <c r="W33" s="216"/>
      <c r="X33" s="282"/>
      <c r="Y33" s="216"/>
      <c r="Z33" s="2"/>
      <c r="AA33" s="5"/>
      <c r="AB33" s="277"/>
      <c r="AC33" s="622"/>
      <c r="AD33" s="623"/>
      <c r="AE33" s="623"/>
      <c r="AF33" s="216"/>
      <c r="AG33" s="285"/>
      <c r="AH33" s="216"/>
      <c r="AI33" s="3"/>
      <c r="AJ33" s="58"/>
      <c r="AK33" s="277"/>
      <c r="AL33" s="58"/>
      <c r="AM33" s="236"/>
      <c r="AN33" s="5"/>
      <c r="AO33" s="286"/>
      <c r="AP33" s="32">
        <v>5</v>
      </c>
      <c r="AQ33" s="32">
        <v>5</v>
      </c>
      <c r="AR33" s="32">
        <v>5</v>
      </c>
      <c r="AS33" s="31"/>
      <c r="AT33" s="624"/>
      <c r="AU33" s="624"/>
      <c r="AV33" s="624"/>
      <c r="AW33" s="288"/>
      <c r="AX33" s="192">
        <v>10</v>
      </c>
      <c r="AY33" s="192">
        <v>10</v>
      </c>
      <c r="AZ33" s="192">
        <v>10</v>
      </c>
      <c r="BA33" s="224"/>
      <c r="BB33" s="109"/>
      <c r="BC33" s="109"/>
      <c r="BD33" s="109"/>
      <c r="BE33" s="109"/>
      <c r="BF33" s="197"/>
      <c r="BG33" s="289">
        <v>5</v>
      </c>
      <c r="BH33" s="289">
        <v>5</v>
      </c>
      <c r="BI33" s="289">
        <v>5</v>
      </c>
      <c r="BJ33" s="197"/>
      <c r="BP33" s="3"/>
      <c r="BQ33" s="3"/>
      <c r="BR33" s="3"/>
      <c r="BS33" s="3"/>
      <c r="BT33" s="5"/>
      <c r="BU33" s="5"/>
      <c r="BV33" s="5"/>
      <c r="BW33" s="5"/>
      <c r="BX33" s="5"/>
      <c r="BY33" s="47"/>
      <c r="BZ33" s="47"/>
      <c r="CA33" s="47"/>
      <c r="CB33" s="47"/>
      <c r="CC33" s="47"/>
      <c r="CD33" s="190"/>
      <c r="CI33" s="581"/>
      <c r="CJ33" s="269"/>
      <c r="CK33" s="582" t="s">
        <v>164</v>
      </c>
      <c r="CL33" s="583"/>
      <c r="CM33" s="268"/>
      <c r="CN33" s="290"/>
      <c r="CO33" s="291"/>
      <c r="CP33" s="291"/>
      <c r="CQ33" s="291"/>
      <c r="CR33" s="291"/>
      <c r="CS33" s="292"/>
      <c r="CT33" s="16"/>
      <c r="CU33" s="17"/>
      <c r="CV33" s="17"/>
      <c r="CW33" s="17"/>
      <c r="CX33" s="16"/>
      <c r="CY33" s="17"/>
      <c r="CZ33" s="1"/>
      <c r="DA33" s="1"/>
      <c r="DB33" s="2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</row>
    <row r="34" spans="1:197" ht="28.5" x14ac:dyDescent="0.35">
      <c r="C34" s="199"/>
      <c r="D34" s="208"/>
      <c r="E34" s="5"/>
      <c r="F34" s="79"/>
      <c r="G34" s="79"/>
      <c r="H34" s="5"/>
      <c r="I34" s="29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85"/>
      <c r="W34" s="585"/>
      <c r="X34" s="585"/>
      <c r="Y34" s="3"/>
      <c r="Z34" s="586"/>
      <c r="AA34" s="586"/>
      <c r="AB34" s="586"/>
      <c r="AC34" s="3"/>
      <c r="AD34" s="601"/>
      <c r="AE34" s="601"/>
      <c r="AF34" s="3"/>
      <c r="AG34" s="3"/>
      <c r="AH34" s="3"/>
      <c r="AI34" s="3"/>
      <c r="AJ34" s="58"/>
      <c r="AK34" s="277"/>
      <c r="AL34" s="58"/>
      <c r="AM34" s="236"/>
      <c r="AN34" s="5"/>
      <c r="AO34" s="31"/>
      <c r="AP34" s="32">
        <v>5</v>
      </c>
      <c r="AQ34" s="32">
        <v>5</v>
      </c>
      <c r="AR34" s="32">
        <v>5</v>
      </c>
      <c r="AS34" s="31"/>
      <c r="AT34" s="624"/>
      <c r="AU34" s="624"/>
      <c r="AV34" s="624"/>
      <c r="AW34" s="224"/>
      <c r="AX34" s="192">
        <v>10</v>
      </c>
      <c r="AY34" s="192">
        <v>10</v>
      </c>
      <c r="AZ34" s="192">
        <v>10</v>
      </c>
      <c r="BA34" s="224"/>
      <c r="BB34" s="109"/>
      <c r="BC34" s="109"/>
      <c r="BD34" s="109"/>
      <c r="BE34" s="109"/>
      <c r="BF34" s="197"/>
      <c r="BG34" s="203">
        <v>5</v>
      </c>
      <c r="BH34" s="203">
        <v>5</v>
      </c>
      <c r="BI34" s="297">
        <v>5</v>
      </c>
      <c r="BJ34" s="197"/>
      <c r="BP34" s="3"/>
      <c r="BQ34" s="3"/>
      <c r="BR34" s="3"/>
      <c r="BS34" s="3"/>
      <c r="BT34" s="5"/>
      <c r="BU34" s="5"/>
      <c r="BV34" s="5"/>
      <c r="BW34" s="5"/>
      <c r="BX34" s="5"/>
      <c r="BY34" s="147"/>
      <c r="BZ34" s="298"/>
      <c r="CA34" s="299"/>
      <c r="CB34" s="299"/>
      <c r="CC34" s="299"/>
      <c r="CD34" s="299"/>
      <c r="CE34" s="299"/>
      <c r="CF34" s="299"/>
      <c r="CG34" s="299"/>
      <c r="CH34" s="299"/>
      <c r="CI34" s="47"/>
      <c r="CJ34" s="47"/>
      <c r="CK34" s="47"/>
      <c r="CL34" s="47"/>
      <c r="CM34" s="47"/>
      <c r="CN34" s="47"/>
      <c r="CO34" s="47"/>
      <c r="CP34" s="47"/>
      <c r="CQ34" s="17"/>
      <c r="CR34" s="17"/>
      <c r="CS34" s="17"/>
      <c r="CT34" s="16"/>
      <c r="CU34" s="17"/>
      <c r="CV34" s="17"/>
      <c r="CW34" s="17"/>
      <c r="CX34" s="16"/>
      <c r="CY34" s="17"/>
      <c r="CZ34" s="1"/>
      <c r="DA34" s="1"/>
      <c r="DB34" s="2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</row>
    <row r="35" spans="1:197" ht="29.25" thickBot="1" x14ac:dyDescent="0.4">
      <c r="A35" s="32">
        <v>5</v>
      </c>
      <c r="B35" s="31" t="s">
        <v>175</v>
      </c>
      <c r="C35" s="199"/>
      <c r="D35" s="208"/>
      <c r="E35" s="300"/>
      <c r="F35" s="211"/>
      <c r="G35" s="211"/>
      <c r="H35" s="62" t="s">
        <v>252</v>
      </c>
      <c r="I35" s="29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85"/>
      <c r="W35" s="585"/>
      <c r="X35" s="585"/>
      <c r="Y35" s="3"/>
      <c r="Z35" s="586"/>
      <c r="AA35" s="586"/>
      <c r="AB35" s="586"/>
      <c r="AC35" s="3"/>
      <c r="AD35" s="601"/>
      <c r="AE35" s="601"/>
      <c r="AF35" s="3"/>
      <c r="AG35" s="3"/>
      <c r="AH35" s="3"/>
      <c r="AI35" s="3"/>
      <c r="AJ35" s="58"/>
      <c r="AK35" s="281"/>
      <c r="AL35" s="58"/>
      <c r="AM35" s="236"/>
      <c r="AN35" s="5"/>
      <c r="AO35" s="65" t="s">
        <v>253</v>
      </c>
      <c r="AP35" s="31" t="s">
        <v>175</v>
      </c>
      <c r="AQ35" s="31" t="s">
        <v>175</v>
      </c>
      <c r="AR35" s="31" t="s">
        <v>175</v>
      </c>
      <c r="AS35" s="1"/>
      <c r="AT35" s="236"/>
      <c r="AU35" s="5"/>
      <c r="AV35" s="3"/>
      <c r="AW35" s="1"/>
      <c r="AX35" s="149" t="s">
        <v>202</v>
      </c>
      <c r="AY35" s="149" t="s">
        <v>202</v>
      </c>
      <c r="AZ35" s="149" t="s">
        <v>202</v>
      </c>
      <c r="BA35" s="301"/>
      <c r="BB35" s="109"/>
      <c r="BC35" s="109"/>
      <c r="BD35" s="109"/>
      <c r="BE35" s="109"/>
      <c r="BF35" s="109"/>
      <c r="BG35" s="197" t="s">
        <v>182</v>
      </c>
      <c r="BH35" s="197" t="s">
        <v>182</v>
      </c>
      <c r="BI35" s="197" t="s">
        <v>182</v>
      </c>
      <c r="BJ35" s="86"/>
      <c r="BP35" s="3"/>
      <c r="BQ35" s="3"/>
      <c r="BR35" s="3"/>
      <c r="BS35" s="3"/>
      <c r="BT35" s="302"/>
      <c r="BU35" s="5"/>
      <c r="BV35" s="5"/>
      <c r="BW35" s="5"/>
      <c r="BX35" s="5"/>
      <c r="BY35" s="147"/>
      <c r="BZ35" s="303"/>
      <c r="CA35" s="147"/>
      <c r="CB35" s="147"/>
      <c r="CH35" s="109"/>
      <c r="CI35" s="47"/>
      <c r="CJ35" s="47"/>
      <c r="CK35" s="47"/>
      <c r="CL35" s="47"/>
      <c r="CM35" s="47"/>
      <c r="CN35" s="47"/>
      <c r="CO35" s="47"/>
      <c r="CP35" s="47"/>
      <c r="CQ35" s="17"/>
      <c r="CR35" s="17"/>
      <c r="CS35" s="17"/>
      <c r="CT35" s="16"/>
      <c r="CU35" s="17"/>
      <c r="CV35" s="17"/>
      <c r="CW35" s="17"/>
      <c r="CX35" s="16"/>
      <c r="CY35" s="17"/>
      <c r="CZ35" s="1"/>
      <c r="DA35" s="1"/>
      <c r="DB35" s="2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</row>
    <row r="36" spans="1:197" ht="23.25" x14ac:dyDescent="0.3">
      <c r="C36" s="199"/>
      <c r="D36" s="199"/>
      <c r="E36" s="196" t="s">
        <v>202</v>
      </c>
      <c r="F36" s="304">
        <v>10</v>
      </c>
      <c r="G36" s="305">
        <v>10</v>
      </c>
      <c r="H36" s="196" t="s">
        <v>202</v>
      </c>
      <c r="I36" s="19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33"/>
      <c r="W36" s="333"/>
      <c r="X36" s="306"/>
      <c r="Y36" s="61"/>
      <c r="Z36" s="5"/>
      <c r="AA36" s="307"/>
      <c r="AB36" s="5"/>
      <c r="AC36" s="3"/>
      <c r="AD36" s="3"/>
      <c r="AE36" s="3"/>
      <c r="AF36" s="301"/>
      <c r="AG36" s="216"/>
      <c r="AH36" s="216"/>
      <c r="AI36" s="216"/>
      <c r="AJ36" s="58"/>
      <c r="AK36" s="281"/>
      <c r="AL36" s="58"/>
      <c r="AM36" s="58"/>
      <c r="AN36" s="236"/>
      <c r="AO36" s="236"/>
      <c r="AP36" s="187"/>
      <c r="AQ36" s="187"/>
      <c r="AR36" s="86"/>
      <c r="AS36" s="5"/>
      <c r="AT36" s="5"/>
      <c r="AU36" s="236"/>
      <c r="AV36" s="5"/>
      <c r="AW36" s="200"/>
      <c r="AX36" s="200"/>
      <c r="AY36" s="200"/>
      <c r="AZ36" s="200"/>
      <c r="BA36" s="200"/>
      <c r="BB36" s="3"/>
      <c r="BC36" s="86"/>
      <c r="BD36" s="86"/>
      <c r="BE36" s="86"/>
      <c r="BF36" s="109"/>
      <c r="BG36" s="3"/>
      <c r="BH36" s="3"/>
      <c r="BI36" s="3"/>
      <c r="BJ36" s="86"/>
      <c r="BP36" s="86"/>
      <c r="BQ36" s="86"/>
      <c r="BR36" s="86"/>
      <c r="BS36" s="86"/>
      <c r="BT36" s="86"/>
      <c r="BU36" s="86"/>
      <c r="BV36" s="86"/>
      <c r="BW36" s="657"/>
      <c r="BX36" s="658"/>
      <c r="BY36" s="659"/>
      <c r="BZ36" s="303"/>
      <c r="CA36" s="147"/>
      <c r="CB36" s="147"/>
      <c r="CH36" s="109"/>
      <c r="CI36" s="147"/>
      <c r="CJ36" s="147"/>
      <c r="CM36" s="47"/>
      <c r="CN36" s="47"/>
      <c r="CO36" s="47"/>
      <c r="CP36" s="47"/>
      <c r="CQ36" s="47"/>
      <c r="CR36" s="47"/>
      <c r="CS36" s="47"/>
      <c r="CT36" s="47"/>
      <c r="CU36" s="17"/>
      <c r="CV36" s="17"/>
      <c r="CW36" s="17"/>
      <c r="CX36" s="17"/>
      <c r="CY36" s="17"/>
      <c r="CZ36" s="1"/>
      <c r="DA36" s="1"/>
      <c r="DB36" s="2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</row>
    <row r="37" spans="1:197" ht="26.25" x14ac:dyDescent="0.4">
      <c r="A37" s="32">
        <v>5</v>
      </c>
      <c r="B37" s="31" t="s">
        <v>175</v>
      </c>
      <c r="C37" s="199"/>
      <c r="D37" s="199"/>
      <c r="E37" s="196" t="s">
        <v>202</v>
      </c>
      <c r="F37" s="304">
        <v>10</v>
      </c>
      <c r="G37" s="305">
        <v>10</v>
      </c>
      <c r="H37" s="196" t="s">
        <v>202</v>
      </c>
      <c r="I37" s="19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3"/>
      <c r="Y37" s="308" t="s">
        <v>255</v>
      </c>
      <c r="Z37" s="308"/>
      <c r="AA37" s="308"/>
      <c r="AB37" s="308"/>
      <c r="AC37" s="58"/>
      <c r="AD37" s="58"/>
      <c r="AE37" s="58"/>
      <c r="AF37" s="58"/>
      <c r="AG37" s="58"/>
      <c r="AH37" s="58"/>
      <c r="AI37" s="58"/>
      <c r="AJ37" s="58"/>
      <c r="AK37" s="277"/>
      <c r="AL37" s="58"/>
      <c r="AM37" s="58"/>
      <c r="AN37" s="309"/>
      <c r="AO37" s="3"/>
      <c r="AP37" s="648" t="s">
        <v>176</v>
      </c>
      <c r="AQ37" s="648"/>
      <c r="AR37" s="648"/>
      <c r="AS37" s="3"/>
      <c r="AT37" s="236"/>
      <c r="AU37" s="109"/>
      <c r="AV37" s="5"/>
      <c r="AW37" s="109"/>
      <c r="AX37" s="5"/>
      <c r="AY37" s="109"/>
      <c r="AZ37" s="3"/>
      <c r="BA37" s="31" t="s">
        <v>175</v>
      </c>
      <c r="BB37" s="310"/>
      <c r="BC37" s="310"/>
      <c r="BD37" s="310"/>
      <c r="BE37" s="310"/>
      <c r="BF37" s="310"/>
      <c r="BG37" s="648" t="s">
        <v>176</v>
      </c>
      <c r="BH37" s="648"/>
      <c r="BI37" s="648"/>
      <c r="BJ37" s="134"/>
      <c r="BP37" s="130"/>
      <c r="BQ37" s="130"/>
      <c r="BR37" s="130"/>
      <c r="BS37" s="86"/>
      <c r="BT37" s="86"/>
      <c r="BU37" s="86"/>
      <c r="BV37" s="86"/>
      <c r="BW37" s="660"/>
      <c r="BX37" s="661"/>
      <c r="BY37" s="662"/>
      <c r="BZ37" s="147"/>
      <c r="CA37" s="147"/>
      <c r="CB37" s="147"/>
      <c r="CH37" s="109"/>
      <c r="CI37" s="147"/>
      <c r="CJ37" s="147"/>
      <c r="CM37" s="147"/>
      <c r="CN37" s="147"/>
      <c r="CO37" s="147"/>
      <c r="CP37" s="147"/>
      <c r="CQ37" s="147"/>
      <c r="CR37" s="47"/>
      <c r="CS37" s="47"/>
      <c r="CT37" s="47"/>
      <c r="CU37" s="17"/>
      <c r="CV37" s="17"/>
      <c r="CW37" s="17"/>
      <c r="CX37" s="17"/>
      <c r="CY37" s="17"/>
      <c r="CZ37" s="1"/>
      <c r="DA37" s="1"/>
      <c r="DB37" s="2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</row>
    <row r="38" spans="1:197" ht="26.25" x14ac:dyDescent="0.4">
      <c r="A38" s="31"/>
      <c r="B38" s="311"/>
      <c r="C38" s="199"/>
      <c r="D38" s="199"/>
      <c r="E38" s="196" t="s">
        <v>202</v>
      </c>
      <c r="F38" s="304">
        <v>10</v>
      </c>
      <c r="G38" s="305">
        <v>10</v>
      </c>
      <c r="H38" s="196" t="s">
        <v>202</v>
      </c>
      <c r="I38" s="199"/>
      <c r="J38" s="5"/>
      <c r="K38" s="3"/>
      <c r="L38" s="3"/>
      <c r="M38" s="3"/>
      <c r="N38" s="3"/>
      <c r="O38" s="5"/>
      <c r="P38" s="630"/>
      <c r="Q38" s="630"/>
      <c r="R38" s="3"/>
      <c r="S38" s="3"/>
      <c r="T38" s="3"/>
      <c r="U38" s="3"/>
      <c r="V38" s="301"/>
      <c r="W38" s="58"/>
      <c r="X38" s="3"/>
      <c r="Y38" s="3"/>
      <c r="Z38" s="110"/>
      <c r="AA38" s="110"/>
      <c r="AB38" s="130"/>
      <c r="AC38" s="58"/>
      <c r="AD38" s="58"/>
      <c r="AE38" s="58"/>
      <c r="AF38" s="58"/>
      <c r="AG38" s="58"/>
      <c r="AH38" s="216"/>
      <c r="AI38" s="282"/>
      <c r="AJ38" s="274"/>
      <c r="AK38" s="277"/>
      <c r="AL38" s="58"/>
      <c r="AM38" s="58"/>
      <c r="AN38" s="3"/>
      <c r="AO38" s="3"/>
      <c r="AP38" s="3"/>
      <c r="AQ38" s="3"/>
      <c r="AR38" s="3"/>
      <c r="AS38" s="3"/>
      <c r="AT38" s="600"/>
      <c r="AU38" s="600"/>
      <c r="AV38" s="3"/>
      <c r="AW38" s="3"/>
      <c r="AX38" s="3"/>
      <c r="AY38" s="60" t="s">
        <v>256</v>
      </c>
      <c r="AZ38" s="312" t="s">
        <v>257</v>
      </c>
      <c r="BA38" s="32">
        <v>5</v>
      </c>
      <c r="BB38" s="312" t="s">
        <v>257</v>
      </c>
      <c r="BC38" s="3"/>
      <c r="BD38" s="3"/>
      <c r="BE38" s="109"/>
      <c r="BF38" s="109"/>
      <c r="BG38" s="109"/>
      <c r="BH38" s="109"/>
      <c r="BI38" s="109"/>
      <c r="BJ38" s="109"/>
      <c r="BK38" s="5"/>
      <c r="BL38" s="5"/>
      <c r="BM38" s="5"/>
      <c r="BN38" s="5"/>
      <c r="BO38" s="5"/>
      <c r="BP38" s="109"/>
      <c r="BQ38" s="109"/>
      <c r="BR38" s="109"/>
      <c r="BS38" s="313"/>
      <c r="BT38" s="313"/>
      <c r="BU38" s="5"/>
      <c r="BV38" s="5"/>
      <c r="BW38" s="660"/>
      <c r="BX38" s="661"/>
      <c r="BY38" s="662"/>
      <c r="BZ38" s="147"/>
      <c r="CA38" s="147"/>
      <c r="CB38" s="147"/>
      <c r="CH38" s="5"/>
      <c r="CI38" s="5"/>
      <c r="CJ38" s="147"/>
      <c r="CK38" s="147"/>
      <c r="CL38" s="147"/>
      <c r="CM38" s="147"/>
      <c r="CN38" s="147"/>
      <c r="CO38" s="147"/>
      <c r="CP38" s="147"/>
      <c r="CQ38" s="147"/>
      <c r="CR38" s="47"/>
      <c r="CS38" s="47"/>
      <c r="CT38" s="47"/>
      <c r="CU38" s="17"/>
      <c r="CV38" s="17"/>
      <c r="CW38" s="17"/>
      <c r="CX38" s="17"/>
      <c r="CY38" s="17"/>
      <c r="CZ38" s="1"/>
      <c r="DA38" s="1"/>
      <c r="DB38" s="2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</row>
    <row r="39" spans="1:197" ht="23.25" x14ac:dyDescent="0.35">
      <c r="C39" s="199"/>
      <c r="D39" s="3"/>
      <c r="E39" s="649" t="s">
        <v>224</v>
      </c>
      <c r="F39" s="649"/>
      <c r="G39" s="649"/>
      <c r="H39" s="649"/>
      <c r="I39" s="5"/>
      <c r="J39" s="5"/>
      <c r="K39" s="3"/>
      <c r="L39" s="3"/>
      <c r="M39" s="3"/>
      <c r="N39" s="3"/>
      <c r="O39" s="5"/>
      <c r="P39" s="1"/>
      <c r="Q39" s="5"/>
      <c r="R39" s="5"/>
      <c r="S39" s="5"/>
      <c r="T39" s="1"/>
      <c r="U39" s="58"/>
      <c r="V39" s="58"/>
      <c r="W39" s="58"/>
      <c r="X39" s="3"/>
      <c r="Y39" s="56" t="s">
        <v>258</v>
      </c>
      <c r="Z39" s="314" t="s">
        <v>182</v>
      </c>
      <c r="AA39" s="314" t="s">
        <v>182</v>
      </c>
      <c r="AB39" s="60" t="s">
        <v>259</v>
      </c>
      <c r="AC39" s="58"/>
      <c r="AD39" s="58"/>
      <c r="AE39" s="58"/>
      <c r="AF39" s="58"/>
      <c r="AG39" s="58"/>
      <c r="AH39" s="216"/>
      <c r="AI39" s="282"/>
      <c r="AJ39" s="301"/>
      <c r="AK39" s="301"/>
      <c r="AL39" s="58"/>
      <c r="AM39" s="58"/>
      <c r="AN39" s="3"/>
      <c r="AO39" s="3"/>
      <c r="AP39" s="3"/>
      <c r="AQ39" s="3"/>
      <c r="AR39" s="3"/>
      <c r="AS39" s="3"/>
      <c r="AT39" s="600"/>
      <c r="AU39" s="600"/>
      <c r="AV39" s="3"/>
      <c r="AW39" s="3"/>
      <c r="AX39" s="3"/>
      <c r="AY39" s="31" t="s">
        <v>175</v>
      </c>
      <c r="AZ39" s="32">
        <v>5</v>
      </c>
      <c r="BA39" s="315" t="s">
        <v>260</v>
      </c>
      <c r="BB39" s="32">
        <v>5</v>
      </c>
      <c r="BC39" s="31" t="s">
        <v>175</v>
      </c>
      <c r="BD39" s="316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313"/>
      <c r="BT39" s="313"/>
      <c r="BU39" s="5"/>
      <c r="BV39" s="5"/>
      <c r="BW39" s="660"/>
      <c r="BX39" s="661"/>
      <c r="BY39" s="662"/>
      <c r="BZ39" s="147"/>
      <c r="CA39" s="147"/>
      <c r="CB39" s="147"/>
      <c r="CH39" s="5"/>
      <c r="CI39" s="5"/>
      <c r="CJ39" s="147"/>
      <c r="CM39" s="147"/>
      <c r="CN39" s="147"/>
      <c r="CO39" s="147"/>
      <c r="CP39" s="147"/>
      <c r="CQ39" s="147"/>
      <c r="CR39" s="47"/>
      <c r="CS39" s="47"/>
      <c r="CT39" s="47"/>
      <c r="CU39" s="17"/>
      <c r="CV39" s="17"/>
      <c r="CW39" s="17"/>
      <c r="CX39" s="17"/>
      <c r="CY39" s="17"/>
      <c r="CZ39" s="1"/>
      <c r="DA39" s="1"/>
      <c r="DB39" s="2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</row>
    <row r="40" spans="1:197" ht="24" thickBot="1" x14ac:dyDescent="0.35">
      <c r="B40" s="61"/>
      <c r="C40" s="61"/>
      <c r="D40" s="61"/>
      <c r="E40" s="3"/>
      <c r="F40" s="3"/>
      <c r="G40" s="3"/>
      <c r="H40" s="3"/>
      <c r="I40" s="3"/>
      <c r="J40" s="30"/>
      <c r="K40" s="3"/>
      <c r="L40" s="3"/>
      <c r="M40" s="3"/>
      <c r="N40" s="3"/>
      <c r="O40" s="30"/>
      <c r="P40" s="216"/>
      <c r="Q40" s="216"/>
      <c r="R40" s="216"/>
      <c r="S40" s="1"/>
      <c r="T40" s="1"/>
      <c r="U40" s="58"/>
      <c r="V40" s="601"/>
      <c r="W40" s="601"/>
      <c r="X40" s="3"/>
      <c r="Y40" s="314"/>
      <c r="Z40" s="100">
        <v>5</v>
      </c>
      <c r="AA40" s="100">
        <v>5</v>
      </c>
      <c r="AB40" s="314"/>
      <c r="AC40" s="58"/>
      <c r="AD40" s="58"/>
      <c r="AE40" s="58"/>
      <c r="AF40" s="58"/>
      <c r="AG40" s="282"/>
      <c r="AH40" s="282"/>
      <c r="AI40" s="282"/>
      <c r="AJ40" s="301"/>
      <c r="AK40" s="301"/>
      <c r="AL40" s="58"/>
      <c r="AM40" s="58"/>
      <c r="AN40" s="3"/>
      <c r="AO40" s="3"/>
      <c r="AP40" s="3"/>
      <c r="AQ40" s="3"/>
      <c r="AR40" s="3"/>
      <c r="AS40" s="3"/>
      <c r="AT40" s="600"/>
      <c r="AU40" s="600"/>
      <c r="AV40" s="3"/>
      <c r="AW40" s="316"/>
      <c r="AX40" s="3"/>
      <c r="AY40" s="274"/>
      <c r="AZ40" s="312" t="s">
        <v>257</v>
      </c>
      <c r="BA40" s="32">
        <v>5</v>
      </c>
      <c r="BB40" s="312" t="s">
        <v>257</v>
      </c>
      <c r="BC40" s="316"/>
      <c r="BD40" s="316"/>
      <c r="BE40" s="109"/>
      <c r="BF40" s="109"/>
      <c r="BG40" s="109"/>
      <c r="BH40" s="109"/>
      <c r="BI40" s="313"/>
      <c r="BJ40" s="109"/>
      <c r="BK40" s="109"/>
      <c r="BL40" s="109"/>
      <c r="BM40" s="109"/>
      <c r="BN40" s="313"/>
      <c r="BO40" s="313"/>
      <c r="BP40" s="313"/>
      <c r="BQ40" s="313"/>
      <c r="BR40" s="313"/>
      <c r="BS40" s="313"/>
      <c r="BT40" s="313"/>
      <c r="BU40" s="5"/>
      <c r="BV40" s="5"/>
      <c r="BW40" s="663"/>
      <c r="BX40" s="664"/>
      <c r="BY40" s="665"/>
      <c r="BZ40" s="147"/>
      <c r="CA40" s="147"/>
      <c r="CB40" s="147"/>
      <c r="CC40" s="147"/>
      <c r="CD40" s="147"/>
      <c r="CE40" s="5"/>
      <c r="CF40" s="5"/>
      <c r="CG40" s="5"/>
      <c r="CH40" s="5"/>
      <c r="CI40" s="5"/>
      <c r="CJ40" s="3"/>
      <c r="CM40" s="147"/>
      <c r="CN40" s="5"/>
      <c r="CO40" s="147"/>
      <c r="CP40" s="147"/>
      <c r="CQ40" s="147"/>
      <c r="CR40" s="47"/>
      <c r="CS40" s="47"/>
      <c r="CT40" s="47"/>
      <c r="CU40" s="17"/>
      <c r="CV40" s="17"/>
      <c r="CW40" s="17"/>
      <c r="CX40" s="17"/>
      <c r="CY40" s="17"/>
      <c r="CZ40" s="1"/>
      <c r="DA40" s="1"/>
      <c r="DB40" s="2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</row>
    <row r="41" spans="1:197" ht="26.25" x14ac:dyDescent="0.4">
      <c r="A41" s="317"/>
      <c r="B41" s="3"/>
      <c r="C41" s="3"/>
      <c r="D41" s="318"/>
      <c r="E41" s="3"/>
      <c r="F41" s="3"/>
      <c r="G41" s="3"/>
      <c r="H41" s="3"/>
      <c r="I41" s="3"/>
      <c r="J41" s="30"/>
      <c r="K41" s="3"/>
      <c r="L41" s="3"/>
      <c r="M41" s="3"/>
      <c r="N41" s="3"/>
      <c r="O41" s="30"/>
      <c r="P41" s="216"/>
      <c r="Q41" s="602"/>
      <c r="R41" s="602"/>
      <c r="S41" s="1"/>
      <c r="T41" s="1"/>
      <c r="U41" s="58"/>
      <c r="V41" s="601"/>
      <c r="W41" s="601"/>
      <c r="X41" s="3"/>
      <c r="Y41" s="314"/>
      <c r="Z41" s="100">
        <v>5</v>
      </c>
      <c r="AA41" s="100">
        <v>5</v>
      </c>
      <c r="AB41" s="314"/>
      <c r="AC41" s="58"/>
      <c r="AD41" s="58"/>
      <c r="AE41" s="58"/>
      <c r="AF41" s="58"/>
      <c r="AG41" s="282"/>
      <c r="AH41" s="282"/>
      <c r="AI41" s="282"/>
      <c r="AJ41" s="274"/>
      <c r="AK41" s="58"/>
      <c r="AL41" s="58"/>
      <c r="AM41" s="58"/>
      <c r="AN41" s="320"/>
      <c r="AO41" s="321"/>
      <c r="AP41" s="320"/>
      <c r="AQ41" s="236"/>
      <c r="AR41" s="236"/>
      <c r="AS41" s="322"/>
      <c r="AT41" s="5"/>
      <c r="AU41" s="5"/>
      <c r="AV41" s="322"/>
      <c r="AW41" s="109"/>
      <c r="AX41" s="109"/>
      <c r="AY41" s="3"/>
      <c r="AZ41" s="3"/>
      <c r="BA41" s="31" t="s">
        <v>175</v>
      </c>
      <c r="BB41" s="648" t="s">
        <v>176</v>
      </c>
      <c r="BC41" s="648"/>
      <c r="BD41" s="648"/>
      <c r="BE41" s="322"/>
      <c r="BF41" s="109"/>
      <c r="BG41" s="109"/>
      <c r="BH41" s="313"/>
      <c r="BI41" s="313"/>
      <c r="BJ41" s="109"/>
      <c r="BK41" s="109"/>
      <c r="BL41" s="109"/>
      <c r="BM41" s="109"/>
      <c r="BN41" s="313"/>
      <c r="BO41" s="109"/>
      <c r="BP41" s="630"/>
      <c r="BQ41" s="630"/>
      <c r="BR41" s="630"/>
      <c r="BS41" s="130"/>
      <c r="BT41" s="630"/>
      <c r="BU41" s="630"/>
      <c r="BV41" s="630"/>
      <c r="BW41" s="130"/>
      <c r="BX41" s="259"/>
      <c r="BY41" s="323"/>
      <c r="BZ41" s="47"/>
      <c r="CA41" s="47"/>
      <c r="CB41" s="47"/>
      <c r="CC41" s="47"/>
      <c r="CD41" s="47"/>
      <c r="CE41" s="5"/>
      <c r="CF41" s="5"/>
      <c r="CG41" s="5"/>
      <c r="CH41" s="5"/>
      <c r="CI41" s="5"/>
      <c r="CJ41" s="3"/>
      <c r="CK41" s="3"/>
      <c r="CL41" s="3"/>
      <c r="CM41" s="147"/>
      <c r="CN41" s="147"/>
      <c r="CO41" s="47"/>
      <c r="CP41" s="47"/>
      <c r="CQ41" s="47"/>
      <c r="CR41" s="47"/>
      <c r="CS41" s="47"/>
      <c r="CT41" s="47"/>
      <c r="CU41" s="17"/>
      <c r="CV41" s="17"/>
      <c r="CW41" s="17"/>
      <c r="CX41" s="17"/>
      <c r="CY41" s="17"/>
      <c r="CZ41" s="1"/>
      <c r="DA41" s="1"/>
      <c r="DB41" s="2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</row>
    <row r="42" spans="1:197" ht="21" x14ac:dyDescent="0.3">
      <c r="A42" s="5"/>
      <c r="B42" s="5"/>
      <c r="C42" s="200"/>
      <c r="D42" s="3"/>
      <c r="E42" s="3"/>
      <c r="F42" s="3"/>
      <c r="G42" s="3"/>
      <c r="H42" s="3"/>
      <c r="I42" s="3"/>
      <c r="J42" s="30"/>
      <c r="K42" s="3"/>
      <c r="L42" s="3"/>
      <c r="M42" s="3"/>
      <c r="N42" s="3"/>
      <c r="O42" s="324"/>
      <c r="P42" s="216"/>
      <c r="Q42" s="602"/>
      <c r="R42" s="602"/>
      <c r="S42" s="1"/>
      <c r="T42" s="274"/>
      <c r="U42" s="58"/>
      <c r="V42" s="58"/>
      <c r="W42" s="274"/>
      <c r="X42" s="3"/>
      <c r="Y42" s="3"/>
      <c r="Z42" s="314" t="s">
        <v>182</v>
      </c>
      <c r="AA42" s="314" t="s">
        <v>182</v>
      </c>
      <c r="AB42" s="5"/>
      <c r="AC42" s="58"/>
      <c r="AD42" s="58"/>
      <c r="AE42" s="58"/>
      <c r="AF42" s="58"/>
      <c r="AG42" s="216"/>
      <c r="AH42" s="216"/>
      <c r="AI42" s="216"/>
      <c r="AJ42" s="58"/>
      <c r="AK42" s="58"/>
      <c r="AL42" s="5"/>
      <c r="AM42" s="326"/>
      <c r="AN42" s="327"/>
      <c r="AO42" s="327"/>
      <c r="AP42" s="327"/>
      <c r="AQ42" s="326"/>
      <c r="AR42" s="109"/>
      <c r="AS42" s="2"/>
      <c r="AT42" s="2"/>
      <c r="AU42" s="2"/>
      <c r="AV42" s="2"/>
      <c r="AW42" s="322"/>
      <c r="AX42" s="109"/>
      <c r="AY42" s="326"/>
      <c r="AZ42" s="328"/>
      <c r="BA42" s="329"/>
      <c r="BB42" s="329"/>
      <c r="BC42" s="3"/>
      <c r="BD42" s="3"/>
      <c r="BE42" s="3"/>
      <c r="BF42" s="329"/>
      <c r="BG42" s="109"/>
      <c r="BH42" s="109"/>
      <c r="BI42" s="109"/>
      <c r="BJ42" s="109"/>
      <c r="BK42" s="109"/>
      <c r="BL42" s="109"/>
      <c r="BM42" s="109"/>
      <c r="BN42" s="313"/>
      <c r="BO42" s="109"/>
      <c r="BP42" s="199"/>
      <c r="BQ42" s="199"/>
      <c r="BR42" s="199"/>
      <c r="BS42" s="3"/>
      <c r="BT42" s="199"/>
      <c r="BU42" s="199"/>
      <c r="BV42" s="199"/>
      <c r="BW42" s="3"/>
      <c r="BX42" s="259"/>
      <c r="BY42" s="323"/>
      <c r="BZ42" s="47"/>
      <c r="CA42" s="47"/>
      <c r="CB42" s="47"/>
      <c r="CC42" s="47"/>
      <c r="CD42" s="47"/>
      <c r="CE42" s="5"/>
      <c r="CF42" s="5"/>
      <c r="CG42" s="5"/>
      <c r="CH42" s="5"/>
      <c r="CI42" s="5"/>
      <c r="CJ42" s="3"/>
      <c r="CK42" s="3"/>
      <c r="CL42" s="3"/>
      <c r="CM42" s="47"/>
      <c r="CN42" s="47"/>
      <c r="CO42" s="47"/>
      <c r="CP42" s="47"/>
      <c r="CQ42" s="47"/>
      <c r="CR42" s="47"/>
      <c r="CS42" s="47"/>
      <c r="CT42" s="47"/>
      <c r="CU42" s="17"/>
      <c r="CV42" s="17"/>
      <c r="CW42" s="17"/>
      <c r="CX42" s="17"/>
      <c r="CY42" s="17"/>
      <c r="CZ42" s="1"/>
      <c r="DA42" s="1"/>
      <c r="DB42" s="2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</row>
    <row r="43" spans="1:197" ht="27" thickBot="1" x14ac:dyDescent="0.45">
      <c r="A43" s="5"/>
      <c r="B43" s="330"/>
      <c r="C43" s="330"/>
      <c r="D43" s="3"/>
      <c r="E43" s="3"/>
      <c r="F43" s="3"/>
      <c r="G43" s="3"/>
      <c r="H43" s="3"/>
      <c r="I43" s="5"/>
      <c r="J43" s="30"/>
      <c r="K43" s="3"/>
      <c r="L43" s="3"/>
      <c r="M43" s="3"/>
      <c r="N43" s="3"/>
      <c r="O43" s="30"/>
      <c r="P43" s="30"/>
      <c r="Q43" s="30"/>
      <c r="R43" s="30"/>
      <c r="S43" s="1"/>
      <c r="T43" s="325"/>
      <c r="U43" s="331"/>
      <c r="V43" s="58"/>
      <c r="W43" s="58"/>
      <c r="X43" s="3"/>
      <c r="Y43" s="3"/>
      <c r="Z43" s="110"/>
      <c r="AA43" s="110"/>
      <c r="AB43" s="134"/>
      <c r="AC43" s="58"/>
      <c r="AD43" s="216"/>
      <c r="AE43" s="216"/>
      <c r="AF43" s="216"/>
      <c r="AG43" s="216"/>
      <c r="AH43" s="5"/>
      <c r="AI43" s="216"/>
      <c r="AJ43" s="58"/>
      <c r="AK43" s="60" t="s">
        <v>261</v>
      </c>
      <c r="AL43" s="332"/>
      <c r="AM43" s="148" t="s">
        <v>175</v>
      </c>
      <c r="AN43" s="148" t="s">
        <v>175</v>
      </c>
      <c r="AO43" s="148" t="s">
        <v>175</v>
      </c>
      <c r="AP43" s="148" t="s">
        <v>175</v>
      </c>
      <c r="AQ43" s="148" t="s">
        <v>175</v>
      </c>
      <c r="AR43" s="109"/>
      <c r="AS43" s="2"/>
      <c r="AT43" s="5"/>
      <c r="AU43" s="5"/>
      <c r="AV43" s="5"/>
      <c r="AW43" s="3"/>
      <c r="AX43" s="60" t="s">
        <v>262</v>
      </c>
      <c r="AY43" s="148" t="s">
        <v>175</v>
      </c>
      <c r="AZ43" s="34" t="s">
        <v>175</v>
      </c>
      <c r="BA43" s="34" t="s">
        <v>175</v>
      </c>
      <c r="BB43" s="34" t="s">
        <v>175</v>
      </c>
      <c r="BC43" s="34" t="s">
        <v>175</v>
      </c>
      <c r="BD43" s="3"/>
      <c r="BE43" s="3"/>
      <c r="BF43" s="329"/>
      <c r="BG43" s="109"/>
      <c r="BH43" s="109"/>
      <c r="BI43" s="109"/>
      <c r="BJ43" s="109"/>
      <c r="BK43" s="109"/>
      <c r="BL43" s="109"/>
      <c r="BM43" s="109"/>
      <c r="BN43" s="109"/>
      <c r="BO43" s="333"/>
      <c r="BP43" s="334"/>
      <c r="BQ43" s="334"/>
      <c r="BR43" s="334"/>
      <c r="BS43" s="3"/>
      <c r="BT43" s="335"/>
      <c r="BU43" s="335"/>
      <c r="BV43" s="335"/>
      <c r="BW43" s="60"/>
      <c r="BX43" s="5"/>
      <c r="BY43" s="323"/>
      <c r="BZ43" s="47"/>
      <c r="CA43" s="47"/>
      <c r="CB43" s="47"/>
      <c r="CC43" s="47"/>
      <c r="CD43" s="47"/>
      <c r="CE43" s="5"/>
      <c r="CF43" s="5"/>
      <c r="CG43" s="5"/>
      <c r="CH43" s="5"/>
      <c r="CI43" s="5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17"/>
      <c r="CV43" s="17"/>
      <c r="CW43" s="17"/>
      <c r="CX43" s="17"/>
      <c r="CY43" s="17"/>
      <c r="CZ43" s="1"/>
      <c r="DA43" s="1"/>
      <c r="DB43" s="2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</row>
    <row r="44" spans="1:197" ht="24" thickBot="1" x14ac:dyDescent="0.35">
      <c r="A44" s="5"/>
      <c r="B44" s="5"/>
      <c r="C44" s="5"/>
      <c r="D44" s="3"/>
      <c r="E44" s="3"/>
      <c r="F44" s="3"/>
      <c r="G44" s="3"/>
      <c r="H44" s="3"/>
      <c r="I44" s="5"/>
      <c r="J44" s="5"/>
      <c r="K44" s="3"/>
      <c r="L44" s="3"/>
      <c r="M44" s="3"/>
      <c r="N44" s="3"/>
      <c r="O44" s="5"/>
      <c r="P44" s="5"/>
      <c r="Q44" s="631" t="s">
        <v>263</v>
      </c>
      <c r="R44" s="632"/>
      <c r="S44" s="632"/>
      <c r="T44" s="633"/>
      <c r="U44" s="1"/>
      <c r="V44" s="1"/>
      <c r="W44" s="1"/>
      <c r="X44" s="58"/>
      <c r="Y44" s="58"/>
      <c r="Z44" s="58"/>
      <c r="AA44" s="58"/>
      <c r="AB44" s="58"/>
      <c r="AC44" s="216"/>
      <c r="AD44" s="216"/>
      <c r="AE44" s="216"/>
      <c r="AF44" s="216"/>
      <c r="AG44" s="3"/>
      <c r="AH44" s="3"/>
      <c r="AI44" s="3"/>
      <c r="AJ44" s="3"/>
      <c r="AK44" s="148"/>
      <c r="AL44" s="148"/>
      <c r="AM44" s="35">
        <v>5</v>
      </c>
      <c r="AN44" s="35">
        <v>5</v>
      </c>
      <c r="AO44" s="35">
        <v>5</v>
      </c>
      <c r="AP44" s="35">
        <v>5</v>
      </c>
      <c r="AQ44" s="158">
        <v>5</v>
      </c>
      <c r="AR44" s="148"/>
      <c r="AS44" s="5"/>
      <c r="AT44" s="5"/>
      <c r="AU44" s="5"/>
      <c r="AV44" s="5"/>
      <c r="AW44" s="3"/>
      <c r="AX44" s="148"/>
      <c r="AY44" s="36">
        <v>5</v>
      </c>
      <c r="AZ44" s="36">
        <v>5</v>
      </c>
      <c r="BA44" s="36">
        <v>5</v>
      </c>
      <c r="BB44" s="36">
        <v>5</v>
      </c>
      <c r="BC44" s="36">
        <v>5</v>
      </c>
      <c r="BD44" s="316"/>
      <c r="BE44" s="109"/>
      <c r="BF44" s="336"/>
      <c r="BG44" s="336"/>
      <c r="BH44" s="336"/>
      <c r="BI44" s="640" t="s">
        <v>264</v>
      </c>
      <c r="BJ44" s="641"/>
      <c r="BK44" s="641"/>
      <c r="BL44" s="642"/>
      <c r="BM44" s="109" t="s">
        <v>265</v>
      </c>
      <c r="BN44" s="337"/>
      <c r="BO44" s="338"/>
      <c r="BP44" s="588"/>
      <c r="BQ44" s="588"/>
      <c r="BR44" s="588"/>
      <c r="BS44" s="588"/>
      <c r="BT44" s="588"/>
      <c r="BU44" s="588"/>
      <c r="BV44" s="588"/>
      <c r="BW44" s="588"/>
      <c r="BX44" s="3"/>
      <c r="BY44" s="340"/>
      <c r="BZ44" s="47"/>
      <c r="CA44" s="47"/>
      <c r="CB44" s="47"/>
      <c r="CC44" s="47"/>
      <c r="CD44" s="47"/>
      <c r="CE44" s="5"/>
      <c r="CF44" s="5"/>
      <c r="CG44" s="5"/>
      <c r="CH44" s="5"/>
      <c r="CI44" s="5"/>
      <c r="CJ44" s="47"/>
      <c r="CK44" s="47"/>
      <c r="CL44" s="47"/>
      <c r="CM44" s="47"/>
      <c r="CN44" s="47"/>
      <c r="CO44" s="47"/>
      <c r="CP44" s="47"/>
      <c r="CQ44" s="47"/>
      <c r="CR44" s="47"/>
      <c r="CS44" s="47"/>
      <c r="CT44" s="47"/>
      <c r="CU44" s="17"/>
      <c r="CV44" s="17"/>
      <c r="CW44" s="17"/>
      <c r="CX44" s="17"/>
      <c r="CY44" s="17"/>
      <c r="CZ44" s="1"/>
      <c r="DA44" s="1"/>
      <c r="DB44" s="2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</row>
    <row r="45" spans="1:197" ht="26.25" x14ac:dyDescent="0.4">
      <c r="A45" s="5"/>
      <c r="B45" s="5"/>
      <c r="C45" s="5"/>
      <c r="D45" s="1"/>
      <c r="E45" s="3"/>
      <c r="F45" s="3"/>
      <c r="G45" s="3"/>
      <c r="H45" s="3"/>
      <c r="I45" s="5"/>
      <c r="J45" s="5"/>
      <c r="K45" s="3"/>
      <c r="L45" s="3"/>
      <c r="M45" s="3"/>
      <c r="N45" s="3"/>
      <c r="O45" s="5"/>
      <c r="P45" s="5"/>
      <c r="Q45" s="634"/>
      <c r="R45" s="635"/>
      <c r="S45" s="635"/>
      <c r="T45" s="636"/>
      <c r="U45" s="1"/>
      <c r="V45" s="1"/>
      <c r="W45" s="1"/>
      <c r="X45" s="274"/>
      <c r="Y45" s="341"/>
      <c r="Z45" s="342"/>
      <c r="AA45" s="343"/>
      <c r="AB45" s="344"/>
      <c r="AC45" s="342"/>
      <c r="AD45" s="343"/>
      <c r="AE45" s="344"/>
      <c r="AF45" s="342"/>
      <c r="AG45" s="343"/>
      <c r="AH45" s="344"/>
      <c r="AI45" s="342"/>
      <c r="AJ45" s="345"/>
      <c r="AK45" s="346"/>
      <c r="AL45" s="3"/>
      <c r="AM45" s="643" t="s">
        <v>176</v>
      </c>
      <c r="AN45" s="643"/>
      <c r="AO45" s="643"/>
      <c r="AP45" s="643"/>
      <c r="AQ45" s="644" t="s">
        <v>211</v>
      </c>
      <c r="AR45" s="644"/>
      <c r="AS45" s="347"/>
      <c r="AT45" s="348"/>
      <c r="AU45" s="349"/>
      <c r="AV45" s="350"/>
      <c r="AW45" s="351"/>
      <c r="AX45" s="347"/>
      <c r="AY45" s="645" t="s">
        <v>266</v>
      </c>
      <c r="AZ45" s="645"/>
      <c r="BA45" s="645"/>
      <c r="BB45" s="645"/>
      <c r="BC45" s="645"/>
      <c r="BD45" s="347"/>
      <c r="BE45" s="347"/>
      <c r="BF45" s="352"/>
      <c r="BG45" s="353"/>
      <c r="BH45" s="354"/>
      <c r="BI45" s="354"/>
      <c r="BJ45" s="355"/>
      <c r="BK45" s="354"/>
      <c r="BL45" s="354"/>
      <c r="BM45" s="354"/>
      <c r="BN45" s="354"/>
      <c r="BO45" s="354"/>
      <c r="BP45" s="354"/>
      <c r="BQ45" s="356"/>
      <c r="BR45" s="354"/>
      <c r="BS45" s="354"/>
      <c r="BT45" s="354"/>
      <c r="BU45" s="357"/>
      <c r="BV45" s="358"/>
      <c r="BW45" s="358"/>
      <c r="BX45" s="358"/>
      <c r="BY45" s="358"/>
      <c r="BZ45" s="47"/>
      <c r="CA45" s="47"/>
      <c r="CB45" s="47"/>
      <c r="CC45" s="47"/>
      <c r="CD45" s="47"/>
      <c r="CE45" s="47"/>
      <c r="CF45" s="47"/>
      <c r="CG45" s="47"/>
      <c r="CH45" s="359"/>
      <c r="CI45" s="359"/>
      <c r="CJ45" s="359"/>
      <c r="CK45" s="359"/>
      <c r="CL45" s="359"/>
      <c r="CM45" s="359"/>
      <c r="CN45" s="359"/>
      <c r="CO45" s="359"/>
      <c r="CP45" s="47"/>
      <c r="CQ45" s="47"/>
      <c r="CR45" s="47"/>
      <c r="CS45" s="47"/>
      <c r="CT45" s="47"/>
      <c r="CU45" s="17"/>
      <c r="CV45" s="17"/>
      <c r="CW45" s="17"/>
      <c r="CX45" s="17"/>
      <c r="CY45" s="17"/>
      <c r="CZ45" s="1"/>
      <c r="DA45" s="1"/>
      <c r="DB45" s="2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</row>
    <row r="46" spans="1:197" ht="2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34"/>
      <c r="R46" s="635"/>
      <c r="S46" s="635"/>
      <c r="T46" s="636"/>
      <c r="U46" s="1"/>
      <c r="V46" s="1"/>
      <c r="W46" s="274"/>
      <c r="X46" s="274"/>
      <c r="Y46" s="360"/>
      <c r="Z46" s="361"/>
      <c r="AA46" s="361"/>
      <c r="AB46" s="646" t="s">
        <v>267</v>
      </c>
      <c r="AC46" s="646"/>
      <c r="AD46" s="646"/>
      <c r="AE46" s="646"/>
      <c r="AF46" s="646"/>
      <c r="AG46" s="646"/>
      <c r="AH46" s="361"/>
      <c r="AI46" s="361"/>
      <c r="AJ46" s="345"/>
      <c r="AK46" s="3"/>
      <c r="AL46" s="5"/>
      <c r="AM46" s="58"/>
      <c r="AN46" s="3"/>
      <c r="AO46" s="3"/>
      <c r="AP46" s="3"/>
      <c r="AQ46" s="3"/>
      <c r="AR46" s="109"/>
      <c r="AS46" s="109"/>
      <c r="AT46" s="348"/>
      <c r="AU46" s="349"/>
      <c r="AV46" s="349"/>
      <c r="AW46" s="362"/>
      <c r="AX46" s="3"/>
      <c r="AY46" s="363"/>
      <c r="AZ46" s="109"/>
      <c r="BA46" s="109"/>
      <c r="BB46" s="109"/>
      <c r="BC46" s="109"/>
      <c r="BD46" s="109"/>
      <c r="BE46" s="109"/>
      <c r="BF46" s="364"/>
      <c r="BG46" s="365"/>
      <c r="BH46" s="366"/>
      <c r="BI46" s="366"/>
      <c r="BJ46" s="366"/>
      <c r="BK46" s="647" t="s">
        <v>268</v>
      </c>
      <c r="BL46" s="647"/>
      <c r="BM46" s="647"/>
      <c r="BN46" s="647"/>
      <c r="BO46" s="647"/>
      <c r="BP46" s="647"/>
      <c r="BQ46" s="647"/>
      <c r="BR46" s="366"/>
      <c r="BS46" s="366"/>
      <c r="BT46" s="366"/>
      <c r="BU46" s="36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359"/>
      <c r="CI46" s="359"/>
      <c r="CJ46" s="359"/>
      <c r="CK46" s="359"/>
      <c r="CL46" s="359"/>
      <c r="CM46" s="359"/>
      <c r="CN46" s="359"/>
      <c r="CO46" s="359"/>
      <c r="CP46" s="47"/>
      <c r="CQ46" s="47"/>
      <c r="CR46" s="47"/>
      <c r="CS46" s="47"/>
      <c r="CT46" s="47"/>
      <c r="CU46" s="17"/>
      <c r="CV46" s="17"/>
      <c r="CW46" s="17"/>
      <c r="CX46" s="1"/>
      <c r="CY46" s="17"/>
      <c r="CZ46" s="1"/>
      <c r="DA46" s="1"/>
      <c r="DB46" s="2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</row>
    <row r="47" spans="1:197" ht="2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634"/>
      <c r="R47" s="635"/>
      <c r="S47" s="635"/>
      <c r="T47" s="636"/>
      <c r="U47" s="1"/>
      <c r="V47" s="1"/>
      <c r="W47" s="58"/>
      <c r="X47" s="58"/>
      <c r="Y47" s="360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45"/>
      <c r="AK47" s="216"/>
      <c r="AL47" s="3"/>
      <c r="AM47" s="3"/>
      <c r="AN47" s="3"/>
      <c r="AO47" s="3"/>
      <c r="AP47" s="3"/>
      <c r="AQ47" s="3"/>
      <c r="AR47" s="109"/>
      <c r="AS47" s="109"/>
      <c r="AT47" s="348"/>
      <c r="AU47" s="368" t="s">
        <v>269</v>
      </c>
      <c r="AV47" s="368"/>
      <c r="AW47" s="362"/>
      <c r="AX47" s="3"/>
      <c r="AY47" s="3"/>
      <c r="AZ47" s="3"/>
      <c r="BA47" s="109"/>
      <c r="BB47" s="109"/>
      <c r="BC47" s="109"/>
      <c r="BD47" s="369"/>
      <c r="BE47" s="369"/>
      <c r="BF47" s="369"/>
      <c r="BG47" s="370"/>
      <c r="BH47" s="371"/>
      <c r="BI47" s="371"/>
      <c r="BJ47" s="371"/>
      <c r="BK47" s="371"/>
      <c r="BL47" s="371"/>
      <c r="BM47" s="371"/>
      <c r="BN47" s="371"/>
      <c r="BO47" s="366"/>
      <c r="BP47" s="366"/>
      <c r="BQ47" s="366"/>
      <c r="BR47" s="366"/>
      <c r="BS47" s="366"/>
      <c r="BT47" s="366"/>
      <c r="BU47" s="36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359"/>
      <c r="CI47" s="359"/>
      <c r="CJ47" s="359"/>
      <c r="CK47" s="359"/>
      <c r="CL47" s="359"/>
      <c r="CM47" s="359"/>
      <c r="CN47" s="359"/>
      <c r="CO47" s="359"/>
      <c r="CP47" s="47"/>
      <c r="CQ47" s="47"/>
      <c r="CR47" s="47"/>
      <c r="CS47" s="47"/>
      <c r="CT47" s="47"/>
      <c r="CU47" s="17"/>
      <c r="CV47" s="17"/>
      <c r="CW47" s="17"/>
      <c r="CX47" s="1"/>
      <c r="CY47" s="1"/>
      <c r="CZ47" s="1"/>
      <c r="DA47" s="1"/>
      <c r="DB47" s="2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</row>
    <row r="48" spans="1:197" ht="21.75" thickBot="1" x14ac:dyDescent="0.4">
      <c r="A48" s="173"/>
      <c r="B48" s="173"/>
      <c r="C48" s="173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637"/>
      <c r="R48" s="638"/>
      <c r="S48" s="638"/>
      <c r="T48" s="639"/>
      <c r="U48" s="372"/>
      <c r="V48" s="372"/>
      <c r="W48" s="372"/>
      <c r="X48" s="372"/>
      <c r="Y48" s="373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5"/>
      <c r="AK48" s="216"/>
      <c r="AL48" s="5"/>
      <c r="AM48" s="58"/>
      <c r="AN48" s="58"/>
      <c r="AO48" s="109"/>
      <c r="AP48" s="109"/>
      <c r="AQ48" s="109"/>
      <c r="AR48" s="109"/>
      <c r="AS48" s="109"/>
      <c r="AT48" s="376"/>
      <c r="AU48" s="377"/>
      <c r="AV48" s="377"/>
      <c r="AW48" s="378"/>
      <c r="AX48" s="3"/>
      <c r="AY48" s="109"/>
      <c r="AZ48" s="109"/>
      <c r="BA48" s="109"/>
      <c r="BB48" s="109"/>
      <c r="BC48" s="109"/>
      <c r="BD48" s="109"/>
      <c r="BE48" s="109"/>
      <c r="BF48" s="109"/>
      <c r="BG48" s="379"/>
      <c r="BH48" s="380"/>
      <c r="BI48" s="380"/>
      <c r="BJ48" s="380"/>
      <c r="BK48" s="380"/>
      <c r="BL48" s="380"/>
      <c r="BM48" s="380"/>
      <c r="BN48" s="380"/>
      <c r="BO48" s="380"/>
      <c r="BP48" s="380"/>
      <c r="BQ48" s="380"/>
      <c r="BR48" s="380"/>
      <c r="BS48" s="380"/>
      <c r="BT48" s="380"/>
      <c r="BU48" s="381"/>
      <c r="BV48" s="47"/>
      <c r="BW48" s="47"/>
      <c r="BX48" s="47"/>
      <c r="BY48" s="47"/>
      <c r="BZ48" s="47"/>
      <c r="CA48" s="47"/>
      <c r="CB48" s="47"/>
      <c r="CC48" s="47"/>
      <c r="CD48" s="47"/>
      <c r="CE48" s="47"/>
      <c r="CF48" s="47"/>
      <c r="CG48" s="47"/>
      <c r="CH48" s="359"/>
      <c r="CI48" s="359"/>
      <c r="CJ48" s="359"/>
      <c r="CK48" s="359"/>
      <c r="CL48" s="359"/>
      <c r="CM48" s="359"/>
      <c r="CN48" s="359"/>
      <c r="CO48" s="359"/>
      <c r="CP48" s="47"/>
      <c r="CQ48" s="47"/>
      <c r="CR48" s="47"/>
      <c r="CS48" s="47"/>
      <c r="CT48" s="47"/>
      <c r="CU48" s="17"/>
      <c r="CV48" s="17"/>
      <c r="CW48" s="17"/>
      <c r="CX48" s="1"/>
      <c r="CY48" s="1"/>
      <c r="CZ48" s="1"/>
      <c r="DA48" s="1"/>
      <c r="DB48" s="2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</row>
    <row r="49" spans="1:197" ht="18.75" x14ac:dyDescent="0.25">
      <c r="A49" s="5"/>
      <c r="B49" s="5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5"/>
      <c r="AM49" s="2"/>
      <c r="AN49" s="2"/>
      <c r="AO49" s="2"/>
      <c r="AP49" s="2"/>
      <c r="AQ49" s="2"/>
      <c r="AR49" s="2"/>
      <c r="AS49" s="2"/>
      <c r="AT49" s="2"/>
      <c r="AU49" s="3"/>
      <c r="AV49" s="3"/>
      <c r="AW49" s="3"/>
      <c r="AX49" s="3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47"/>
      <c r="BW49" s="47"/>
      <c r="BX49" s="47"/>
      <c r="BY49" s="47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1"/>
      <c r="DA49" s="1"/>
      <c r="DB49" s="2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</row>
    <row r="50" spans="1:197" ht="18.75" x14ac:dyDescent="0.25">
      <c r="A50" s="5"/>
      <c r="B50" s="5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5"/>
      <c r="AL50" s="3"/>
      <c r="AM50" s="3"/>
      <c r="AN50" s="3"/>
      <c r="AO50" s="3"/>
      <c r="AP50" s="2"/>
      <c r="AQ50" s="2"/>
      <c r="AR50" s="2"/>
      <c r="AS50" s="2"/>
      <c r="AT50" s="2"/>
      <c r="AU50" s="3"/>
      <c r="AV50" s="3"/>
      <c r="AW50" s="3"/>
      <c r="AX50" s="3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47"/>
      <c r="BW50" s="47"/>
      <c r="BX50" s="47"/>
      <c r="BY50" s="47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</row>
    <row r="51" spans="1:197" ht="18.75" x14ac:dyDescent="0.25">
      <c r="A51" s="5"/>
      <c r="B51" s="5"/>
      <c r="C51" s="5"/>
      <c r="D51" s="2"/>
      <c r="E51" s="2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47"/>
      <c r="BW51" s="47"/>
      <c r="BX51" s="47"/>
      <c r="BY51" s="47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</row>
    <row r="52" spans="1:197" ht="18.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47"/>
      <c r="BW52" s="47"/>
      <c r="BX52" s="47"/>
      <c r="BY52" s="47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1"/>
      <c r="CL52" s="1"/>
      <c r="CM52" s="1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</row>
    <row r="53" spans="1:197" ht="18.7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47"/>
      <c r="BW53" s="47"/>
      <c r="BX53" s="47"/>
      <c r="BY53" s="47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</row>
    <row r="54" spans="1:197" ht="18.7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3"/>
      <c r="M54" s="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47"/>
      <c r="BW54" s="47"/>
      <c r="BX54" s="47"/>
      <c r="BY54" s="47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</row>
    <row r="55" spans="1:197" ht="18.7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47"/>
      <c r="BW55" s="47"/>
      <c r="BX55" s="47"/>
      <c r="BY55" s="47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</row>
    <row r="56" spans="1:197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</row>
    <row r="57" spans="1:197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</row>
    <row r="58" spans="1:197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</row>
    <row r="59" spans="1:197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</row>
    <row r="60" spans="1:197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</row>
    <row r="61" spans="1:197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</row>
    <row r="62" spans="1:197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</row>
  </sheetData>
  <mergeCells count="53">
    <mergeCell ref="F9:G9"/>
    <mergeCell ref="T9:U9"/>
    <mergeCell ref="A1:CV1"/>
    <mergeCell ref="O2:P2"/>
    <mergeCell ref="X2:AD2"/>
    <mergeCell ref="AQ2:AT2"/>
    <mergeCell ref="AU2:AX2"/>
    <mergeCell ref="AY2:BB2"/>
    <mergeCell ref="BV3:BW7"/>
    <mergeCell ref="CF3:CS5"/>
    <mergeCell ref="AK4:AM4"/>
    <mergeCell ref="BB4:BD4"/>
    <mergeCell ref="F8:G8"/>
    <mergeCell ref="F10:G10"/>
    <mergeCell ref="V10:Y10"/>
    <mergeCell ref="BB10:BE10"/>
    <mergeCell ref="F11:G11"/>
    <mergeCell ref="AA11:AC11"/>
    <mergeCell ref="AW11:AY11"/>
    <mergeCell ref="BU11:BU16"/>
    <mergeCell ref="CF12:CH12"/>
    <mergeCell ref="CN12:CQ31"/>
    <mergeCell ref="H15:H16"/>
    <mergeCell ref="A16:B16"/>
    <mergeCell ref="T16:U16"/>
    <mergeCell ref="AJ16:AM16"/>
    <mergeCell ref="BZ19:CC19"/>
    <mergeCell ref="T21:V21"/>
    <mergeCell ref="W21:Y21"/>
    <mergeCell ref="P38:Q38"/>
    <mergeCell ref="AB21:AD21"/>
    <mergeCell ref="AP23:AS23"/>
    <mergeCell ref="A24:B24"/>
    <mergeCell ref="BZ26:CC26"/>
    <mergeCell ref="V28:Y28"/>
    <mergeCell ref="AL28:AM28"/>
    <mergeCell ref="AK30:AN30"/>
    <mergeCell ref="AX30:AZ30"/>
    <mergeCell ref="BW36:BY40"/>
    <mergeCell ref="AP37:AR37"/>
    <mergeCell ref="BG37:BI37"/>
    <mergeCell ref="E39:H39"/>
    <mergeCell ref="BT41:BV41"/>
    <mergeCell ref="Q44:T48"/>
    <mergeCell ref="BI44:BJ44"/>
    <mergeCell ref="BK44:BL44"/>
    <mergeCell ref="AM45:AP45"/>
    <mergeCell ref="AQ45:AR45"/>
    <mergeCell ref="AY45:BC45"/>
    <mergeCell ref="AB46:AG46"/>
    <mergeCell ref="BK46:BQ46"/>
    <mergeCell ref="BB41:BD41"/>
    <mergeCell ref="BP41:BR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GO62"/>
  <sheetViews>
    <sheetView tabSelected="1" zoomScale="40" zoomScaleNormal="40" workbookViewId="0">
      <selection sqref="A1:XFD1048576"/>
    </sheetView>
  </sheetViews>
  <sheetFormatPr baseColWidth="10" defaultColWidth="16" defaultRowHeight="12.75" x14ac:dyDescent="0.25"/>
  <cols>
    <col min="1" max="16384" width="16" style="793"/>
  </cols>
  <sheetData>
    <row r="1" spans="1:197" ht="34.5" thickBot="1" x14ac:dyDescent="0.3">
      <c r="A1" s="787" t="s">
        <v>162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788"/>
      <c r="BK1" s="788"/>
      <c r="BL1" s="788"/>
      <c r="BM1" s="788"/>
      <c r="BN1" s="788"/>
      <c r="BO1" s="788"/>
      <c r="BP1" s="788"/>
      <c r="BQ1" s="788"/>
      <c r="BR1" s="788"/>
      <c r="BS1" s="788"/>
      <c r="BT1" s="788"/>
      <c r="BU1" s="788"/>
      <c r="BV1" s="788"/>
      <c r="BW1" s="788"/>
      <c r="BX1" s="788"/>
      <c r="BY1" s="788"/>
      <c r="BZ1" s="788"/>
      <c r="CA1" s="788"/>
      <c r="CB1" s="788"/>
      <c r="CC1" s="788"/>
      <c r="CD1" s="788"/>
      <c r="CE1" s="788"/>
      <c r="CF1" s="788"/>
      <c r="CG1" s="788"/>
      <c r="CH1" s="788"/>
      <c r="CI1" s="788"/>
      <c r="CJ1" s="788"/>
      <c r="CK1" s="788"/>
      <c r="CL1" s="788"/>
      <c r="CM1" s="788"/>
      <c r="CN1" s="788"/>
      <c r="CO1" s="788"/>
      <c r="CP1" s="788"/>
      <c r="CQ1" s="788"/>
      <c r="CR1" s="788"/>
      <c r="CS1" s="788"/>
      <c r="CT1" s="788"/>
      <c r="CU1" s="788"/>
      <c r="CV1" s="789"/>
      <c r="CW1" s="790"/>
      <c r="CX1" s="790"/>
      <c r="CY1" s="790"/>
      <c r="CZ1" s="791"/>
      <c r="DA1" s="791"/>
      <c r="DB1" s="791"/>
      <c r="DC1" s="792"/>
      <c r="DD1" s="792"/>
      <c r="DE1" s="792"/>
      <c r="DF1" s="792"/>
      <c r="DG1" s="792"/>
      <c r="DH1" s="792"/>
      <c r="DI1" s="792"/>
      <c r="DJ1" s="792"/>
      <c r="DK1" s="792"/>
      <c r="DL1" s="792"/>
      <c r="DM1" s="792"/>
      <c r="DN1" s="792"/>
      <c r="DO1" s="792"/>
      <c r="DP1" s="792"/>
      <c r="DQ1" s="792"/>
      <c r="DR1" s="792"/>
      <c r="DS1" s="792"/>
      <c r="DT1" s="792"/>
      <c r="DU1" s="792"/>
      <c r="DV1" s="792"/>
      <c r="DW1" s="792"/>
      <c r="DX1" s="792"/>
      <c r="DY1" s="792"/>
      <c r="DZ1" s="792"/>
      <c r="EA1" s="792"/>
      <c r="EB1" s="792"/>
      <c r="EC1" s="792"/>
      <c r="ED1" s="792"/>
      <c r="EE1" s="792"/>
      <c r="EF1" s="792"/>
      <c r="EG1" s="792"/>
      <c r="EH1" s="792"/>
      <c r="EI1" s="792"/>
      <c r="EJ1" s="792"/>
      <c r="EK1" s="792"/>
      <c r="EL1" s="792"/>
      <c r="EM1" s="792"/>
      <c r="EN1" s="792"/>
      <c r="EO1" s="792"/>
      <c r="EP1" s="792"/>
      <c r="EQ1" s="792"/>
      <c r="ER1" s="792"/>
      <c r="ES1" s="792"/>
      <c r="ET1" s="792"/>
      <c r="EU1" s="792"/>
      <c r="EV1" s="792"/>
      <c r="EW1" s="792"/>
      <c r="EX1" s="792"/>
      <c r="EY1" s="792"/>
      <c r="EZ1" s="792"/>
      <c r="FA1" s="792"/>
      <c r="FB1" s="792"/>
      <c r="FC1" s="792"/>
      <c r="FD1" s="792"/>
      <c r="FE1" s="792"/>
      <c r="FF1" s="792"/>
      <c r="FG1" s="792"/>
      <c r="FH1" s="792"/>
      <c r="FI1" s="792"/>
      <c r="FJ1" s="792"/>
      <c r="FK1" s="792"/>
      <c r="FL1" s="792"/>
      <c r="FM1" s="792"/>
      <c r="FN1" s="792"/>
      <c r="FO1" s="792"/>
      <c r="FP1" s="792"/>
      <c r="FQ1" s="792"/>
      <c r="FR1" s="792"/>
      <c r="FS1" s="792"/>
      <c r="FT1" s="792"/>
      <c r="FU1" s="792"/>
      <c r="FV1" s="792"/>
      <c r="FW1" s="792"/>
      <c r="FX1" s="792"/>
      <c r="FY1" s="792"/>
      <c r="FZ1" s="792"/>
      <c r="GA1" s="792"/>
      <c r="GB1" s="792"/>
      <c r="GC1" s="792"/>
      <c r="GD1" s="792"/>
      <c r="GE1" s="792"/>
      <c r="GF1" s="792"/>
      <c r="GG1" s="792"/>
      <c r="GH1" s="792"/>
      <c r="GI1" s="792"/>
      <c r="GJ1" s="792"/>
      <c r="GK1" s="792"/>
      <c r="GL1" s="792"/>
      <c r="GM1" s="792"/>
      <c r="GN1" s="792"/>
      <c r="GO1" s="792"/>
    </row>
    <row r="2" spans="1:197" ht="29.25" thickBot="1" x14ac:dyDescent="0.45">
      <c r="A2" s="794"/>
      <c r="B2" s="794"/>
      <c r="C2" s="794"/>
      <c r="D2" s="795"/>
      <c r="E2" s="795"/>
      <c r="F2" s="795"/>
      <c r="G2" s="795"/>
      <c r="H2" s="795"/>
      <c r="I2" s="795"/>
      <c r="J2" s="795"/>
      <c r="K2" s="795"/>
      <c r="L2" s="795"/>
      <c r="M2" s="795"/>
      <c r="N2" s="795"/>
      <c r="O2" s="796" t="s">
        <v>163</v>
      </c>
      <c r="P2" s="797"/>
      <c r="Q2" s="798"/>
      <c r="R2" s="799"/>
      <c r="S2" s="790"/>
      <c r="T2" s="790"/>
      <c r="U2" s="800"/>
      <c r="V2" s="801"/>
      <c r="W2" s="801"/>
      <c r="X2" s="802" t="s">
        <v>164</v>
      </c>
      <c r="Y2" s="802"/>
      <c r="Z2" s="802"/>
      <c r="AA2" s="802"/>
      <c r="AB2" s="802"/>
      <c r="AC2" s="802"/>
      <c r="AD2" s="803"/>
      <c r="AE2" s="801"/>
      <c r="AF2" s="801"/>
      <c r="AG2" s="801"/>
      <c r="AH2" s="801"/>
      <c r="AI2" s="801"/>
      <c r="AJ2" s="801"/>
      <c r="AK2" s="801"/>
      <c r="AL2" s="801"/>
      <c r="AM2" s="801"/>
      <c r="AN2" s="801"/>
      <c r="AO2" s="804"/>
      <c r="AP2" s="804"/>
      <c r="AQ2" s="805" t="s">
        <v>164</v>
      </c>
      <c r="AR2" s="805"/>
      <c r="AS2" s="805"/>
      <c r="AT2" s="805"/>
      <c r="AU2" s="806" t="s">
        <v>165</v>
      </c>
      <c r="AV2" s="806"/>
      <c r="AW2" s="806"/>
      <c r="AX2" s="806"/>
      <c r="AY2" s="807"/>
      <c r="AZ2" s="807"/>
      <c r="BA2" s="807"/>
      <c r="BB2" s="807"/>
      <c r="BC2" s="808"/>
      <c r="BD2" s="808"/>
      <c r="BE2" s="799"/>
      <c r="BF2" s="795"/>
      <c r="BG2" s="795"/>
      <c r="BH2" s="804"/>
      <c r="BI2" s="804"/>
      <c r="BJ2" s="804"/>
      <c r="BK2" s="804"/>
      <c r="BL2" s="804"/>
      <c r="BM2" s="804"/>
      <c r="BN2" s="804"/>
      <c r="BO2" s="804"/>
      <c r="BP2" s="804"/>
      <c r="BQ2" s="804"/>
      <c r="BR2" s="804"/>
      <c r="BS2" s="804"/>
      <c r="BT2" s="804"/>
      <c r="BU2" s="804"/>
      <c r="BV2" s="804"/>
      <c r="BW2" s="804"/>
      <c r="BX2" s="809"/>
      <c r="BY2" s="809"/>
      <c r="BZ2" s="809"/>
      <c r="CA2" s="809"/>
      <c r="CB2" s="809"/>
      <c r="CC2" s="809"/>
      <c r="CD2" s="809"/>
      <c r="CE2" s="809"/>
      <c r="CF2" s="809"/>
      <c r="CG2" s="809"/>
      <c r="CH2" s="809"/>
      <c r="CI2" s="809"/>
      <c r="CJ2" s="810"/>
      <c r="CK2" s="810"/>
      <c r="CL2" s="810"/>
      <c r="CM2" s="810"/>
      <c r="CN2" s="810"/>
      <c r="CO2" s="810"/>
      <c r="CP2" s="810"/>
      <c r="CQ2" s="810"/>
      <c r="CR2" s="810"/>
      <c r="CS2" s="810"/>
      <c r="CT2" s="811"/>
      <c r="CU2" s="812"/>
      <c r="CV2" s="812"/>
      <c r="CW2" s="812"/>
      <c r="CX2" s="811"/>
      <c r="CY2" s="790"/>
      <c r="CZ2" s="790"/>
      <c r="DA2" s="813"/>
      <c r="DB2" s="791"/>
      <c r="DC2" s="792"/>
      <c r="DD2" s="792"/>
      <c r="DE2" s="792"/>
      <c r="DF2" s="792"/>
      <c r="DG2" s="792"/>
      <c r="DH2" s="792"/>
      <c r="DI2" s="792"/>
      <c r="DJ2" s="792"/>
      <c r="DK2" s="792"/>
      <c r="DL2" s="792"/>
      <c r="DM2" s="792"/>
      <c r="DN2" s="792"/>
      <c r="DO2" s="792"/>
      <c r="DP2" s="792"/>
      <c r="DQ2" s="792"/>
      <c r="DR2" s="792"/>
      <c r="DS2" s="792"/>
      <c r="DT2" s="792"/>
      <c r="DU2" s="792"/>
      <c r="DV2" s="792"/>
      <c r="DW2" s="792"/>
      <c r="DX2" s="792"/>
      <c r="DY2" s="792"/>
      <c r="DZ2" s="792"/>
      <c r="EA2" s="792"/>
      <c r="EB2" s="792"/>
      <c r="EC2" s="792"/>
      <c r="ED2" s="792"/>
      <c r="EE2" s="792"/>
      <c r="EF2" s="792"/>
      <c r="EG2" s="792"/>
      <c r="EH2" s="792"/>
      <c r="EI2" s="792"/>
      <c r="EJ2" s="792"/>
      <c r="EK2" s="792"/>
      <c r="EL2" s="792"/>
      <c r="EM2" s="792"/>
      <c r="EN2" s="792"/>
      <c r="EO2" s="792"/>
      <c r="EP2" s="792"/>
      <c r="EQ2" s="792"/>
      <c r="ER2" s="792"/>
      <c r="ES2" s="792"/>
      <c r="ET2" s="792"/>
      <c r="EU2" s="792"/>
      <c r="EV2" s="792"/>
      <c r="EW2" s="792"/>
      <c r="EX2" s="792"/>
      <c r="EY2" s="792"/>
      <c r="EZ2" s="792"/>
      <c r="FA2" s="792"/>
      <c r="FB2" s="792"/>
      <c r="FC2" s="792"/>
      <c r="FD2" s="792"/>
      <c r="FE2" s="792"/>
      <c r="FF2" s="792"/>
      <c r="FG2" s="792"/>
      <c r="FH2" s="792"/>
      <c r="FI2" s="792"/>
      <c r="FJ2" s="792"/>
      <c r="FK2" s="792"/>
      <c r="FL2" s="792"/>
      <c r="FM2" s="792"/>
      <c r="FN2" s="792"/>
      <c r="FO2" s="792"/>
      <c r="FP2" s="792"/>
      <c r="FQ2" s="792"/>
      <c r="FR2" s="792"/>
      <c r="FS2" s="792"/>
      <c r="FT2" s="792"/>
      <c r="FU2" s="792"/>
      <c r="FV2" s="792"/>
      <c r="FW2" s="792"/>
      <c r="FX2" s="792"/>
      <c r="FY2" s="792"/>
      <c r="FZ2" s="792"/>
      <c r="GA2" s="792"/>
      <c r="GB2" s="792"/>
      <c r="GC2" s="792"/>
      <c r="GD2" s="792"/>
      <c r="GE2" s="792"/>
      <c r="GF2" s="792"/>
      <c r="GG2" s="792"/>
      <c r="GH2" s="792"/>
      <c r="GI2" s="792"/>
      <c r="GJ2" s="792"/>
      <c r="GK2" s="792"/>
      <c r="GL2" s="792"/>
      <c r="GM2" s="792"/>
      <c r="GN2" s="792"/>
      <c r="GO2" s="792"/>
    </row>
    <row r="3" spans="1:197" ht="15" customHeight="1" x14ac:dyDescent="0.35">
      <c r="A3" s="814"/>
      <c r="B3" s="815"/>
      <c r="C3" s="815"/>
      <c r="D3" s="815"/>
      <c r="E3" s="816"/>
      <c r="F3" s="817"/>
      <c r="G3" s="818"/>
      <c r="H3" s="794"/>
      <c r="I3" s="794"/>
      <c r="J3" s="792"/>
      <c r="K3" s="819"/>
      <c r="L3" s="820"/>
      <c r="M3" s="820"/>
      <c r="N3" s="821"/>
      <c r="O3" s="794"/>
      <c r="P3" s="790"/>
      <c r="Q3" s="792"/>
      <c r="R3" s="822"/>
      <c r="S3" s="815"/>
      <c r="T3" s="823"/>
      <c r="U3" s="824"/>
      <c r="V3" s="825"/>
      <c r="W3" s="826"/>
      <c r="X3" s="827">
        <v>340</v>
      </c>
      <c r="Y3" s="827">
        <v>340</v>
      </c>
      <c r="Z3" s="827">
        <v>340</v>
      </c>
      <c r="AA3" s="827">
        <v>340</v>
      </c>
      <c r="AB3" s="827">
        <v>340</v>
      </c>
      <c r="AC3" s="827">
        <v>340</v>
      </c>
      <c r="AD3" s="827">
        <v>340</v>
      </c>
      <c r="AE3" s="790"/>
      <c r="AF3" s="790"/>
      <c r="AG3" s="828"/>
      <c r="AH3" s="828"/>
      <c r="AI3" s="828"/>
      <c r="AJ3" s="828"/>
      <c r="AK3" s="828"/>
      <c r="AL3" s="828"/>
      <c r="AM3" s="828"/>
      <c r="AN3" s="828"/>
      <c r="AO3" s="792"/>
      <c r="AP3" s="829"/>
      <c r="AQ3" s="830">
        <v>340</v>
      </c>
      <c r="AR3" s="830">
        <v>340</v>
      </c>
      <c r="AS3" s="830">
        <v>340</v>
      </c>
      <c r="AT3" s="830">
        <v>340</v>
      </c>
      <c r="AU3" s="831">
        <v>440</v>
      </c>
      <c r="AV3" s="831">
        <v>440</v>
      </c>
      <c r="AW3" s="831">
        <v>440</v>
      </c>
      <c r="AX3" s="831">
        <v>440</v>
      </c>
      <c r="AY3" s="829"/>
      <c r="AZ3" s="792"/>
      <c r="BA3" s="792"/>
      <c r="BB3" s="792"/>
      <c r="BC3" s="792"/>
      <c r="BD3" s="792"/>
      <c r="BE3" s="792"/>
      <c r="BF3" s="792"/>
      <c r="BG3" s="792"/>
      <c r="BH3" s="832"/>
      <c r="BI3" s="833"/>
      <c r="BJ3" s="834"/>
      <c r="BK3" s="835"/>
      <c r="BL3" s="835"/>
      <c r="BM3" s="836"/>
      <c r="BN3" s="837"/>
      <c r="BO3" s="837"/>
      <c r="BP3" s="837"/>
      <c r="BQ3" s="838"/>
      <c r="BR3" s="817"/>
      <c r="BS3" s="839"/>
      <c r="BT3" s="840"/>
      <c r="BU3" s="841"/>
      <c r="BV3" s="842" t="s">
        <v>169</v>
      </c>
      <c r="BW3" s="843"/>
      <c r="BX3" s="844"/>
      <c r="BY3" s="844"/>
      <c r="BZ3" s="844"/>
      <c r="CA3" s="844"/>
      <c r="CB3" s="844"/>
      <c r="CC3" s="844"/>
      <c r="CD3" s="845"/>
      <c r="CE3" s="841"/>
      <c r="CF3" s="846" t="s">
        <v>170</v>
      </c>
      <c r="CG3" s="847"/>
      <c r="CH3" s="847"/>
      <c r="CI3" s="847"/>
      <c r="CJ3" s="847"/>
      <c r="CK3" s="847"/>
      <c r="CL3" s="847"/>
      <c r="CM3" s="847"/>
      <c r="CN3" s="847"/>
      <c r="CO3" s="847"/>
      <c r="CP3" s="847"/>
      <c r="CQ3" s="847"/>
      <c r="CR3" s="847"/>
      <c r="CS3" s="847"/>
      <c r="CT3" s="848"/>
      <c r="CU3" s="812"/>
      <c r="CV3" s="812"/>
      <c r="CW3" s="812"/>
      <c r="CX3" s="811"/>
      <c r="CY3" s="790"/>
      <c r="CZ3" s="790"/>
      <c r="DA3" s="790"/>
      <c r="DB3" s="791"/>
      <c r="DC3" s="792"/>
      <c r="DD3" s="792"/>
      <c r="DE3" s="792"/>
      <c r="DF3" s="792"/>
      <c r="DG3" s="792"/>
      <c r="DH3" s="792"/>
      <c r="DI3" s="792"/>
      <c r="DJ3" s="792"/>
      <c r="DK3" s="792"/>
      <c r="DL3" s="792"/>
      <c r="DM3" s="792"/>
      <c r="DN3" s="792"/>
      <c r="DO3" s="792"/>
      <c r="DP3" s="792"/>
      <c r="DQ3" s="792"/>
      <c r="DR3" s="792"/>
      <c r="DS3" s="792"/>
      <c r="DT3" s="792"/>
      <c r="DU3" s="792"/>
      <c r="DV3" s="792"/>
      <c r="DW3" s="792"/>
      <c r="DX3" s="792"/>
      <c r="DY3" s="792"/>
      <c r="DZ3" s="792"/>
      <c r="EA3" s="792"/>
      <c r="EB3" s="792"/>
      <c r="EC3" s="792"/>
      <c r="ED3" s="792"/>
      <c r="EE3" s="792"/>
      <c r="EF3" s="792"/>
      <c r="EG3" s="792"/>
      <c r="EH3" s="792"/>
      <c r="EI3" s="792"/>
      <c r="EJ3" s="792"/>
      <c r="EK3" s="792"/>
      <c r="EL3" s="792"/>
      <c r="EM3" s="792"/>
      <c r="EN3" s="792"/>
      <c r="EO3" s="792"/>
      <c r="EP3" s="792"/>
      <c r="EQ3" s="792"/>
      <c r="ER3" s="792"/>
      <c r="ES3" s="792"/>
      <c r="ET3" s="792"/>
      <c r="EU3" s="792"/>
      <c r="EV3" s="792"/>
      <c r="EW3" s="792"/>
      <c r="EX3" s="792"/>
      <c r="EY3" s="792"/>
      <c r="EZ3" s="792"/>
      <c r="FA3" s="792"/>
      <c r="FB3" s="792"/>
      <c r="FC3" s="792"/>
      <c r="FD3" s="792"/>
      <c r="FE3" s="792"/>
      <c r="FF3" s="792"/>
      <c r="FG3" s="792"/>
      <c r="FH3" s="792"/>
      <c r="FI3" s="792"/>
      <c r="FJ3" s="792"/>
      <c r="FK3" s="792"/>
      <c r="FL3" s="792"/>
      <c r="FM3" s="792"/>
      <c r="FN3" s="792"/>
      <c r="FO3" s="792"/>
      <c r="FP3" s="792"/>
      <c r="FQ3" s="792"/>
      <c r="FR3" s="792"/>
      <c r="FS3" s="792"/>
      <c r="FT3" s="792"/>
      <c r="FU3" s="792"/>
      <c r="FV3" s="792"/>
      <c r="FW3" s="792"/>
      <c r="FX3" s="792"/>
      <c r="FY3" s="792"/>
      <c r="FZ3" s="792"/>
      <c r="GA3" s="792"/>
      <c r="GB3" s="792"/>
      <c r="GC3" s="792"/>
      <c r="GD3" s="792"/>
      <c r="GE3" s="792"/>
      <c r="GF3" s="792"/>
      <c r="GG3" s="792"/>
      <c r="GH3" s="792"/>
      <c r="GI3" s="792"/>
      <c r="GJ3" s="792"/>
      <c r="GK3" s="792"/>
      <c r="GL3" s="792"/>
      <c r="GM3" s="792"/>
      <c r="GN3" s="792"/>
      <c r="GO3" s="792"/>
    </row>
    <row r="4" spans="1:197" ht="28.5" x14ac:dyDescent="0.35">
      <c r="A4" s="849"/>
      <c r="B4" s="790"/>
      <c r="C4" s="790"/>
      <c r="D4" s="790"/>
      <c r="E4" s="850"/>
      <c r="F4" s="820"/>
      <c r="G4" s="819"/>
      <c r="H4" s="851"/>
      <c r="I4" s="794"/>
      <c r="J4" s="792"/>
      <c r="K4" s="852"/>
      <c r="L4" s="853"/>
      <c r="M4" s="853"/>
      <c r="N4" s="854"/>
      <c r="O4" s="854"/>
      <c r="P4" s="790"/>
      <c r="Q4" s="792"/>
      <c r="R4" s="855"/>
      <c r="S4" s="790"/>
      <c r="T4" s="856"/>
      <c r="U4" s="857"/>
      <c r="V4" s="825"/>
      <c r="W4" s="858" t="s">
        <v>174</v>
      </c>
      <c r="X4" s="826" t="s">
        <v>175</v>
      </c>
      <c r="Y4" s="826" t="s">
        <v>175</v>
      </c>
      <c r="Z4" s="826" t="s">
        <v>175</v>
      </c>
      <c r="AA4" s="826" t="s">
        <v>175</v>
      </c>
      <c r="AB4" s="826" t="s">
        <v>175</v>
      </c>
      <c r="AC4" s="826" t="s">
        <v>175</v>
      </c>
      <c r="AD4" s="826" t="s">
        <v>175</v>
      </c>
      <c r="AE4" s="825"/>
      <c r="AF4" s="790"/>
      <c r="AG4" s="859"/>
      <c r="AH4" s="859"/>
      <c r="AI4" s="859"/>
      <c r="AJ4" s="828"/>
      <c r="AK4" s="860" t="s">
        <v>176</v>
      </c>
      <c r="AL4" s="860"/>
      <c r="AM4" s="860"/>
      <c r="AN4" s="790"/>
      <c r="AO4" s="861"/>
      <c r="AP4" s="792"/>
      <c r="AQ4" s="829" t="s">
        <v>175</v>
      </c>
      <c r="AR4" s="829" t="s">
        <v>175</v>
      </c>
      <c r="AS4" s="829" t="s">
        <v>175</v>
      </c>
      <c r="AT4" s="829" t="s">
        <v>175</v>
      </c>
      <c r="AU4" s="829" t="s">
        <v>175</v>
      </c>
      <c r="AV4" s="829" t="s">
        <v>175</v>
      </c>
      <c r="AW4" s="829" t="s">
        <v>175</v>
      </c>
      <c r="AX4" s="829" t="s">
        <v>175</v>
      </c>
      <c r="AY4" s="862" t="s">
        <v>177</v>
      </c>
      <c r="AZ4" s="833"/>
      <c r="BA4" s="792"/>
      <c r="BB4" s="863" t="s">
        <v>164</v>
      </c>
      <c r="BC4" s="863"/>
      <c r="BD4" s="863"/>
      <c r="BE4" s="833"/>
      <c r="BF4" s="833"/>
      <c r="BG4" s="833"/>
      <c r="BH4" s="833"/>
      <c r="BI4" s="833"/>
      <c r="BJ4" s="845"/>
      <c r="BK4" s="845"/>
      <c r="BL4" s="845"/>
      <c r="BM4" s="864"/>
      <c r="BN4" s="865"/>
      <c r="BO4" s="838"/>
      <c r="BP4" s="865"/>
      <c r="BQ4" s="792"/>
      <c r="BR4" s="791"/>
      <c r="BS4" s="791"/>
      <c r="BT4" s="791"/>
      <c r="BU4" s="866"/>
      <c r="BV4" s="867"/>
      <c r="BW4" s="868"/>
      <c r="BX4" s="869"/>
      <c r="BY4" s="869"/>
      <c r="BZ4" s="869"/>
      <c r="CA4" s="869"/>
      <c r="CB4" s="869"/>
      <c r="CC4" s="869"/>
      <c r="CD4" s="845"/>
      <c r="CE4" s="845"/>
      <c r="CF4" s="870"/>
      <c r="CG4" s="871"/>
      <c r="CH4" s="871"/>
      <c r="CI4" s="871"/>
      <c r="CJ4" s="871"/>
      <c r="CK4" s="871"/>
      <c r="CL4" s="871"/>
      <c r="CM4" s="871"/>
      <c r="CN4" s="871"/>
      <c r="CO4" s="871"/>
      <c r="CP4" s="871"/>
      <c r="CQ4" s="871"/>
      <c r="CR4" s="871"/>
      <c r="CS4" s="871"/>
      <c r="CT4" s="848"/>
      <c r="CU4" s="812"/>
      <c r="CV4" s="812"/>
      <c r="CW4" s="812"/>
      <c r="CX4" s="811"/>
      <c r="CY4" s="790"/>
      <c r="CZ4" s="790"/>
      <c r="DA4" s="790"/>
      <c r="DB4" s="791"/>
      <c r="DC4" s="792"/>
      <c r="DD4" s="792"/>
      <c r="DE4" s="792"/>
      <c r="DF4" s="792"/>
      <c r="DG4" s="792"/>
      <c r="DH4" s="792"/>
      <c r="DI4" s="792"/>
      <c r="DJ4" s="792"/>
      <c r="DK4" s="792"/>
      <c r="DL4" s="792"/>
      <c r="DM4" s="792"/>
      <c r="DN4" s="792"/>
      <c r="DO4" s="792"/>
      <c r="DP4" s="792"/>
      <c r="DQ4" s="792"/>
      <c r="DR4" s="792"/>
      <c r="DS4" s="792"/>
      <c r="DT4" s="792"/>
      <c r="DU4" s="792"/>
      <c r="DV4" s="792"/>
      <c r="DW4" s="792"/>
      <c r="DX4" s="792"/>
      <c r="DY4" s="792"/>
      <c r="DZ4" s="792"/>
      <c r="EA4" s="792"/>
      <c r="EB4" s="792"/>
      <c r="EC4" s="792"/>
      <c r="ED4" s="792"/>
      <c r="EE4" s="792"/>
      <c r="EF4" s="792"/>
      <c r="EG4" s="792"/>
      <c r="EH4" s="792"/>
      <c r="EI4" s="792"/>
      <c r="EJ4" s="792"/>
      <c r="EK4" s="792"/>
      <c r="EL4" s="792"/>
      <c r="EM4" s="792"/>
      <c r="EN4" s="792"/>
      <c r="EO4" s="792"/>
      <c r="EP4" s="792"/>
      <c r="EQ4" s="792"/>
      <c r="ER4" s="792"/>
      <c r="ES4" s="792"/>
      <c r="ET4" s="792"/>
      <c r="EU4" s="792"/>
      <c r="EV4" s="792"/>
      <c r="EW4" s="792"/>
      <c r="EX4" s="792"/>
      <c r="EY4" s="792"/>
      <c r="EZ4" s="792"/>
      <c r="FA4" s="792"/>
      <c r="FB4" s="792"/>
      <c r="FC4" s="792"/>
      <c r="FD4" s="792"/>
      <c r="FE4" s="792"/>
      <c r="FF4" s="792"/>
      <c r="FG4" s="792"/>
      <c r="FH4" s="792"/>
      <c r="FI4" s="792"/>
      <c r="FJ4" s="792"/>
      <c r="FK4" s="792"/>
      <c r="FL4" s="792"/>
      <c r="FM4" s="792"/>
      <c r="FN4" s="792"/>
      <c r="FO4" s="792"/>
      <c r="FP4" s="792"/>
      <c r="FQ4" s="792"/>
      <c r="FR4" s="792"/>
      <c r="FS4" s="792"/>
      <c r="FT4" s="792"/>
      <c r="FU4" s="792"/>
      <c r="FV4" s="792"/>
      <c r="FW4" s="792"/>
      <c r="FX4" s="792"/>
      <c r="FY4" s="792"/>
      <c r="FZ4" s="792"/>
      <c r="GA4" s="792"/>
      <c r="GB4" s="792"/>
      <c r="GC4" s="792"/>
      <c r="GD4" s="792"/>
      <c r="GE4" s="792"/>
      <c r="GF4" s="792"/>
      <c r="GG4" s="792"/>
      <c r="GH4" s="792"/>
      <c r="GI4" s="792"/>
      <c r="GJ4" s="792"/>
      <c r="GK4" s="792"/>
      <c r="GL4" s="792"/>
      <c r="GM4" s="792"/>
      <c r="GN4" s="792"/>
      <c r="GO4" s="792"/>
    </row>
    <row r="5" spans="1:197" ht="29.25" thickBot="1" x14ac:dyDescent="0.35">
      <c r="A5" s="849"/>
      <c r="B5" s="790"/>
      <c r="C5" s="790"/>
      <c r="D5" s="790"/>
      <c r="E5" s="850"/>
      <c r="F5" s="792"/>
      <c r="G5" s="792"/>
      <c r="H5" s="851"/>
      <c r="I5" s="794"/>
      <c r="J5" s="825"/>
      <c r="K5" s="872"/>
      <c r="L5" s="851"/>
      <c r="M5" s="851"/>
      <c r="N5" s="821"/>
      <c r="O5" s="794"/>
      <c r="P5" s="794"/>
      <c r="Q5" s="792"/>
      <c r="R5" s="855"/>
      <c r="S5" s="790"/>
      <c r="T5" s="873"/>
      <c r="U5" s="857"/>
      <c r="V5" s="790"/>
      <c r="W5" s="874"/>
      <c r="X5" s="875"/>
      <c r="Y5" s="875"/>
      <c r="Z5" s="875"/>
      <c r="AA5" s="875"/>
      <c r="AB5" s="875"/>
      <c r="AC5" s="875"/>
      <c r="AD5" s="875"/>
      <c r="AE5" s="825"/>
      <c r="AF5" s="790"/>
      <c r="AG5" s="859"/>
      <c r="AH5" s="792"/>
      <c r="AI5" s="792"/>
      <c r="AJ5" s="828"/>
      <c r="AK5" s="875"/>
      <c r="AL5" s="875"/>
      <c r="AM5" s="875"/>
      <c r="AN5" s="790"/>
      <c r="AO5" s="861"/>
      <c r="AP5" s="792"/>
      <c r="AQ5" s="875"/>
      <c r="AR5" s="875"/>
      <c r="AS5" s="875"/>
      <c r="AT5" s="875"/>
      <c r="AU5" s="875"/>
      <c r="AV5" s="875"/>
      <c r="AW5" s="875"/>
      <c r="AX5" s="875"/>
      <c r="AY5" s="875"/>
      <c r="AZ5" s="875"/>
      <c r="BA5" s="875"/>
      <c r="BB5" s="875"/>
      <c r="BC5" s="875"/>
      <c r="BD5" s="875"/>
      <c r="BE5" s="876"/>
      <c r="BF5" s="794"/>
      <c r="BG5" s="833"/>
      <c r="BH5" s="833"/>
      <c r="BI5" s="845"/>
      <c r="BJ5" s="845"/>
      <c r="BK5" s="791"/>
      <c r="BL5" s="845"/>
      <c r="BM5" s="792"/>
      <c r="BN5" s="792"/>
      <c r="BO5" s="792"/>
      <c r="BP5" s="792"/>
      <c r="BQ5" s="819"/>
      <c r="BR5" s="791"/>
      <c r="BS5" s="791"/>
      <c r="BT5" s="791"/>
      <c r="BU5" s="866"/>
      <c r="BV5" s="867"/>
      <c r="BW5" s="868"/>
      <c r="BX5" s="877"/>
      <c r="BY5" s="877"/>
      <c r="BZ5" s="877"/>
      <c r="CA5" s="877"/>
      <c r="CB5" s="877"/>
      <c r="CC5" s="877"/>
      <c r="CD5" s="845"/>
      <c r="CE5" s="845"/>
      <c r="CF5" s="878"/>
      <c r="CG5" s="879"/>
      <c r="CH5" s="879"/>
      <c r="CI5" s="879"/>
      <c r="CJ5" s="879"/>
      <c r="CK5" s="879"/>
      <c r="CL5" s="879"/>
      <c r="CM5" s="879"/>
      <c r="CN5" s="879"/>
      <c r="CO5" s="879"/>
      <c r="CP5" s="879"/>
      <c r="CQ5" s="879"/>
      <c r="CR5" s="879"/>
      <c r="CS5" s="879"/>
      <c r="CT5" s="848"/>
      <c r="CU5" s="812"/>
      <c r="CV5" s="812"/>
      <c r="CW5" s="812"/>
      <c r="CX5" s="811"/>
      <c r="CY5" s="790"/>
      <c r="CZ5" s="790"/>
      <c r="DA5" s="790"/>
      <c r="DB5" s="791"/>
      <c r="DC5" s="792"/>
      <c r="DD5" s="792"/>
      <c r="DE5" s="792"/>
      <c r="DF5" s="792"/>
      <c r="DG5" s="792"/>
      <c r="DH5" s="792"/>
      <c r="DI5" s="792"/>
      <c r="DJ5" s="792"/>
      <c r="DK5" s="792"/>
      <c r="DL5" s="792"/>
      <c r="DM5" s="792"/>
      <c r="DN5" s="792"/>
      <c r="DO5" s="792"/>
      <c r="DP5" s="792"/>
      <c r="DQ5" s="792"/>
      <c r="DR5" s="792"/>
      <c r="DS5" s="792"/>
      <c r="DT5" s="792"/>
      <c r="DU5" s="792"/>
      <c r="DV5" s="792"/>
      <c r="DW5" s="792"/>
      <c r="DX5" s="792"/>
      <c r="DY5" s="792"/>
      <c r="DZ5" s="792"/>
      <c r="EA5" s="792"/>
      <c r="EB5" s="792"/>
      <c r="EC5" s="792"/>
      <c r="ED5" s="792"/>
      <c r="EE5" s="792"/>
      <c r="EF5" s="792"/>
      <c r="EG5" s="792"/>
      <c r="EH5" s="792"/>
      <c r="EI5" s="792"/>
      <c r="EJ5" s="792"/>
      <c r="EK5" s="792"/>
      <c r="EL5" s="792"/>
      <c r="EM5" s="792"/>
      <c r="EN5" s="792"/>
      <c r="EO5" s="792"/>
      <c r="EP5" s="792"/>
      <c r="EQ5" s="792"/>
      <c r="ER5" s="792"/>
      <c r="ES5" s="792"/>
      <c r="ET5" s="792"/>
      <c r="EU5" s="792"/>
      <c r="EV5" s="792"/>
      <c r="EW5" s="792"/>
      <c r="EX5" s="792"/>
      <c r="EY5" s="792"/>
      <c r="EZ5" s="792"/>
      <c r="FA5" s="792"/>
      <c r="FB5" s="792"/>
      <c r="FC5" s="792"/>
      <c r="FD5" s="792"/>
      <c r="FE5" s="792"/>
      <c r="FF5" s="792"/>
      <c r="FG5" s="792"/>
      <c r="FH5" s="792"/>
      <c r="FI5" s="792"/>
      <c r="FJ5" s="792"/>
      <c r="FK5" s="792"/>
      <c r="FL5" s="792"/>
      <c r="FM5" s="792"/>
      <c r="FN5" s="792"/>
      <c r="FO5" s="792"/>
      <c r="FP5" s="792"/>
      <c r="FQ5" s="792"/>
      <c r="FR5" s="792"/>
      <c r="FS5" s="792"/>
      <c r="FT5" s="792"/>
      <c r="FU5" s="792"/>
      <c r="FV5" s="792"/>
      <c r="FW5" s="792"/>
      <c r="FX5" s="792"/>
      <c r="FY5" s="792"/>
      <c r="FZ5" s="792"/>
      <c r="GA5" s="792"/>
      <c r="GB5" s="792"/>
      <c r="GC5" s="792"/>
      <c r="GD5" s="792"/>
      <c r="GE5" s="792"/>
      <c r="GF5" s="792"/>
      <c r="GG5" s="792"/>
      <c r="GH5" s="792"/>
      <c r="GI5" s="792"/>
      <c r="GJ5" s="792"/>
      <c r="GK5" s="792"/>
      <c r="GL5" s="792"/>
      <c r="GM5" s="792"/>
      <c r="GN5" s="792"/>
      <c r="GO5" s="792"/>
    </row>
    <row r="6" spans="1:197" ht="28.5" x14ac:dyDescent="0.35">
      <c r="A6" s="880"/>
      <c r="B6" s="791"/>
      <c r="C6" s="790"/>
      <c r="D6" s="790"/>
      <c r="E6" s="850"/>
      <c r="F6" s="820"/>
      <c r="G6" s="819"/>
      <c r="H6" s="851"/>
      <c r="I6" s="794"/>
      <c r="J6" s="792"/>
      <c r="K6" s="852"/>
      <c r="L6" s="853"/>
      <c r="M6" s="853"/>
      <c r="N6" s="854"/>
      <c r="O6" s="794"/>
      <c r="P6" s="794"/>
      <c r="Q6" s="792"/>
      <c r="R6" s="881"/>
      <c r="S6" s="790"/>
      <c r="T6" s="873"/>
      <c r="U6" s="857"/>
      <c r="V6" s="790"/>
      <c r="W6" s="792"/>
      <c r="X6" s="825"/>
      <c r="Y6" s="792"/>
      <c r="Z6" s="858" t="s">
        <v>181</v>
      </c>
      <c r="AA6" s="882" t="s">
        <v>182</v>
      </c>
      <c r="AB6" s="882" t="s">
        <v>182</v>
      </c>
      <c r="AC6" s="882" t="s">
        <v>182</v>
      </c>
      <c r="AD6" s="883" t="s">
        <v>183</v>
      </c>
      <c r="AE6" s="825"/>
      <c r="AF6" s="790"/>
      <c r="AG6" s="859"/>
      <c r="AH6" s="792"/>
      <c r="AI6" s="792"/>
      <c r="AJ6" s="794"/>
      <c r="AK6" s="884" t="s">
        <v>175</v>
      </c>
      <c r="AL6" s="884" t="s">
        <v>175</v>
      </c>
      <c r="AM6" s="884" t="s">
        <v>175</v>
      </c>
      <c r="AN6" s="858" t="s">
        <v>184</v>
      </c>
      <c r="AO6" s="861"/>
      <c r="AP6" s="792"/>
      <c r="AQ6" s="792"/>
      <c r="AR6" s="885"/>
      <c r="AS6" s="792"/>
      <c r="AT6" s="886"/>
      <c r="AU6" s="792"/>
      <c r="AV6" s="858" t="s">
        <v>186</v>
      </c>
      <c r="AW6" s="826" t="s">
        <v>175</v>
      </c>
      <c r="AX6" s="826" t="s">
        <v>175</v>
      </c>
      <c r="AY6" s="826" t="s">
        <v>175</v>
      </c>
      <c r="AZ6" s="887"/>
      <c r="BA6" s="792"/>
      <c r="BB6" s="888" t="s">
        <v>175</v>
      </c>
      <c r="BC6" s="888" t="s">
        <v>175</v>
      </c>
      <c r="BD6" s="888" t="s">
        <v>175</v>
      </c>
      <c r="BE6" s="889" t="s">
        <v>187</v>
      </c>
      <c r="BF6" s="890"/>
      <c r="BG6" s="890"/>
      <c r="BH6" s="845"/>
      <c r="BI6" s="891"/>
      <c r="BJ6" s="891"/>
      <c r="BK6" s="845"/>
      <c r="BL6" s="845"/>
      <c r="BM6" s="792"/>
      <c r="BN6" s="792"/>
      <c r="BO6" s="792"/>
      <c r="BP6" s="792"/>
      <c r="BQ6" s="792"/>
      <c r="BR6" s="892"/>
      <c r="BS6" s="839"/>
      <c r="BT6" s="840"/>
      <c r="BU6" s="841"/>
      <c r="BV6" s="867"/>
      <c r="BW6" s="868"/>
      <c r="BX6" s="877"/>
      <c r="BY6" s="877"/>
      <c r="BZ6" s="877"/>
      <c r="CA6" s="877"/>
      <c r="CB6" s="877"/>
      <c r="CC6" s="877"/>
      <c r="CD6" s="845"/>
      <c r="CE6" s="845"/>
      <c r="CF6" s="845"/>
      <c r="CG6" s="845"/>
      <c r="CH6" s="845"/>
      <c r="CI6" s="845"/>
      <c r="CJ6" s="845"/>
      <c r="CK6" s="845"/>
      <c r="CL6" s="845"/>
      <c r="CM6" s="845"/>
      <c r="CN6" s="845"/>
      <c r="CO6" s="845"/>
      <c r="CP6" s="845"/>
      <c r="CQ6" s="791"/>
      <c r="CR6" s="791"/>
      <c r="CS6" s="791"/>
      <c r="CT6" s="848"/>
      <c r="CU6" s="812"/>
      <c r="CV6" s="812"/>
      <c r="CW6" s="812"/>
      <c r="CX6" s="811"/>
      <c r="CY6" s="790"/>
      <c r="CZ6" s="790"/>
      <c r="DA6" s="790"/>
      <c r="DB6" s="791"/>
      <c r="DC6" s="792"/>
      <c r="DD6" s="792"/>
      <c r="DE6" s="792"/>
      <c r="DF6" s="792"/>
      <c r="DG6" s="792"/>
      <c r="DH6" s="792"/>
      <c r="DI6" s="792"/>
      <c r="DJ6" s="792"/>
      <c r="DK6" s="792"/>
      <c r="DL6" s="792"/>
      <c r="DM6" s="792"/>
      <c r="DN6" s="792"/>
      <c r="DO6" s="792"/>
      <c r="DP6" s="792"/>
      <c r="DQ6" s="792"/>
      <c r="DR6" s="792"/>
      <c r="DS6" s="792"/>
      <c r="DT6" s="792"/>
      <c r="DU6" s="792"/>
      <c r="DV6" s="792"/>
      <c r="DW6" s="792"/>
      <c r="DX6" s="792"/>
      <c r="DY6" s="792"/>
      <c r="DZ6" s="792"/>
      <c r="EA6" s="792"/>
      <c r="EB6" s="792"/>
      <c r="EC6" s="792"/>
      <c r="ED6" s="792"/>
      <c r="EE6" s="792"/>
      <c r="EF6" s="792"/>
      <c r="EG6" s="792"/>
      <c r="EH6" s="792"/>
      <c r="EI6" s="792"/>
      <c r="EJ6" s="792"/>
      <c r="EK6" s="792"/>
      <c r="EL6" s="792"/>
      <c r="EM6" s="792"/>
      <c r="EN6" s="792"/>
      <c r="EO6" s="792"/>
      <c r="EP6" s="792"/>
      <c r="EQ6" s="792"/>
      <c r="ER6" s="792"/>
      <c r="ES6" s="792"/>
      <c r="ET6" s="792"/>
      <c r="EU6" s="792"/>
      <c r="EV6" s="792"/>
      <c r="EW6" s="792"/>
      <c r="EX6" s="792"/>
      <c r="EY6" s="792"/>
      <c r="EZ6" s="792"/>
      <c r="FA6" s="792"/>
      <c r="FB6" s="792"/>
      <c r="FC6" s="792"/>
      <c r="FD6" s="792"/>
      <c r="FE6" s="792"/>
      <c r="FF6" s="792"/>
      <c r="FG6" s="792"/>
      <c r="FH6" s="792"/>
      <c r="FI6" s="792"/>
      <c r="FJ6" s="792"/>
      <c r="FK6" s="792"/>
      <c r="FL6" s="792"/>
      <c r="FM6" s="792"/>
      <c r="FN6" s="792"/>
      <c r="FO6" s="792"/>
      <c r="FP6" s="792"/>
      <c r="FQ6" s="792"/>
      <c r="FR6" s="792"/>
      <c r="FS6" s="792"/>
      <c r="FT6" s="792"/>
      <c r="FU6" s="792"/>
      <c r="FV6" s="792"/>
      <c r="FW6" s="792"/>
      <c r="FX6" s="792"/>
      <c r="FY6" s="792"/>
      <c r="FZ6" s="792"/>
      <c r="GA6" s="792"/>
      <c r="GB6" s="792"/>
      <c r="GC6" s="792"/>
      <c r="GD6" s="792"/>
      <c r="GE6" s="792"/>
      <c r="GF6" s="792"/>
      <c r="GG6" s="792"/>
      <c r="GH6" s="792"/>
      <c r="GI6" s="792"/>
      <c r="GJ6" s="792"/>
      <c r="GK6" s="792"/>
      <c r="GL6" s="792"/>
      <c r="GM6" s="792"/>
      <c r="GN6" s="792"/>
      <c r="GO6" s="792"/>
    </row>
    <row r="7" spans="1:197" ht="29.25" thickBot="1" x14ac:dyDescent="0.4">
      <c r="A7" s="893"/>
      <c r="B7" s="791"/>
      <c r="C7" s="790"/>
      <c r="D7" s="790"/>
      <c r="E7" s="894"/>
      <c r="F7" s="819"/>
      <c r="G7" s="854"/>
      <c r="H7" s="792"/>
      <c r="I7" s="794"/>
      <c r="J7" s="895"/>
      <c r="K7" s="821"/>
      <c r="L7" s="820"/>
      <c r="M7" s="820"/>
      <c r="N7" s="821"/>
      <c r="O7" s="794"/>
      <c r="P7" s="791"/>
      <c r="Q7" s="792"/>
      <c r="R7" s="849"/>
      <c r="S7" s="794"/>
      <c r="T7" s="794"/>
      <c r="U7" s="857"/>
      <c r="V7" s="896"/>
      <c r="W7" s="897"/>
      <c r="X7" s="897"/>
      <c r="Y7" s="792"/>
      <c r="Z7" s="882"/>
      <c r="AA7" s="898">
        <v>250</v>
      </c>
      <c r="AB7" s="898">
        <v>250</v>
      </c>
      <c r="AC7" s="898">
        <v>250</v>
      </c>
      <c r="AD7" s="882"/>
      <c r="AE7" s="790"/>
      <c r="AF7" s="792"/>
      <c r="AG7" s="899"/>
      <c r="AH7" s="899"/>
      <c r="AI7" s="899"/>
      <c r="AJ7" s="884"/>
      <c r="AK7" s="900">
        <v>340</v>
      </c>
      <c r="AL7" s="900">
        <v>340</v>
      </c>
      <c r="AM7" s="900">
        <v>340</v>
      </c>
      <c r="AN7" s="884"/>
      <c r="AO7" s="861"/>
      <c r="AP7" s="901"/>
      <c r="AQ7" s="901"/>
      <c r="AR7" s="901"/>
      <c r="AS7" s="901"/>
      <c r="AT7" s="792"/>
      <c r="AU7" s="792"/>
      <c r="AV7" s="826"/>
      <c r="AW7" s="827">
        <v>440</v>
      </c>
      <c r="AX7" s="827">
        <v>440</v>
      </c>
      <c r="AY7" s="827">
        <v>440</v>
      </c>
      <c r="AZ7" s="826"/>
      <c r="BA7" s="888"/>
      <c r="BB7" s="902">
        <v>440</v>
      </c>
      <c r="BC7" s="902">
        <v>440</v>
      </c>
      <c r="BD7" s="902">
        <v>440</v>
      </c>
      <c r="BE7" s="888"/>
      <c r="BF7" s="890"/>
      <c r="BG7" s="903"/>
      <c r="BH7" s="891"/>
      <c r="BI7" s="820"/>
      <c r="BJ7" s="820"/>
      <c r="BK7" s="891"/>
      <c r="BL7" s="794"/>
      <c r="BM7" s="792"/>
      <c r="BN7" s="865"/>
      <c r="BO7" s="904"/>
      <c r="BP7" s="904"/>
      <c r="BQ7" s="905"/>
      <c r="BR7" s="892"/>
      <c r="BS7" s="839"/>
      <c r="BT7" s="840"/>
      <c r="BU7" s="906"/>
      <c r="BV7" s="907"/>
      <c r="BW7" s="908"/>
      <c r="BX7" s="877"/>
      <c r="BY7" s="877"/>
      <c r="BZ7" s="877"/>
      <c r="CA7" s="877"/>
      <c r="CB7" s="877"/>
      <c r="CC7" s="877"/>
      <c r="CD7" s="791"/>
      <c r="CE7" s="909"/>
      <c r="CF7" s="790"/>
      <c r="CG7" s="790"/>
      <c r="CH7" s="791"/>
      <c r="CI7" s="909"/>
      <c r="CJ7" s="791"/>
      <c r="CK7" s="791"/>
      <c r="CL7" s="845"/>
      <c r="CM7" s="845"/>
      <c r="CN7" s="845"/>
      <c r="CO7" s="845"/>
      <c r="CP7" s="790"/>
      <c r="CQ7" s="791"/>
      <c r="CR7" s="791"/>
      <c r="CS7" s="791"/>
      <c r="CT7" s="848"/>
      <c r="CU7" s="812"/>
      <c r="CV7" s="812"/>
      <c r="CW7" s="812"/>
      <c r="CX7" s="811"/>
      <c r="CY7" s="790"/>
      <c r="CZ7" s="790"/>
      <c r="DA7" s="790"/>
      <c r="DB7" s="791"/>
      <c r="DC7" s="792"/>
      <c r="DD7" s="792"/>
      <c r="DE7" s="792"/>
      <c r="DF7" s="792"/>
      <c r="DG7" s="792"/>
      <c r="DH7" s="792"/>
      <c r="DI7" s="792"/>
      <c r="DJ7" s="792"/>
      <c r="DK7" s="792"/>
      <c r="DL7" s="792"/>
      <c r="DM7" s="792"/>
      <c r="DN7" s="792"/>
      <c r="DO7" s="792"/>
      <c r="DP7" s="792"/>
      <c r="DQ7" s="792"/>
      <c r="DR7" s="792"/>
      <c r="DS7" s="792"/>
      <c r="DT7" s="792"/>
      <c r="DU7" s="792"/>
      <c r="DV7" s="792"/>
      <c r="DW7" s="792"/>
      <c r="DX7" s="792"/>
      <c r="DY7" s="792"/>
      <c r="DZ7" s="792"/>
      <c r="EA7" s="792"/>
      <c r="EB7" s="792"/>
      <c r="EC7" s="792"/>
      <c r="ED7" s="792"/>
      <c r="EE7" s="792"/>
      <c r="EF7" s="792"/>
      <c r="EG7" s="792"/>
      <c r="EH7" s="792"/>
      <c r="EI7" s="792"/>
      <c r="EJ7" s="792"/>
      <c r="EK7" s="792"/>
      <c r="EL7" s="792"/>
      <c r="EM7" s="792"/>
      <c r="EN7" s="792"/>
      <c r="EO7" s="792"/>
      <c r="EP7" s="792"/>
      <c r="EQ7" s="792"/>
      <c r="ER7" s="792"/>
      <c r="ES7" s="792"/>
      <c r="ET7" s="792"/>
      <c r="EU7" s="792"/>
      <c r="EV7" s="792"/>
      <c r="EW7" s="792"/>
      <c r="EX7" s="792"/>
      <c r="EY7" s="792"/>
      <c r="EZ7" s="792"/>
      <c r="FA7" s="792"/>
      <c r="FB7" s="792"/>
      <c r="FC7" s="792"/>
      <c r="FD7" s="792"/>
      <c r="FE7" s="792"/>
      <c r="FF7" s="792"/>
      <c r="FG7" s="792"/>
      <c r="FH7" s="792"/>
      <c r="FI7" s="792"/>
      <c r="FJ7" s="792"/>
      <c r="FK7" s="792"/>
      <c r="FL7" s="792"/>
      <c r="FM7" s="792"/>
      <c r="FN7" s="792"/>
      <c r="FO7" s="792"/>
      <c r="FP7" s="792"/>
      <c r="FQ7" s="792"/>
      <c r="FR7" s="792"/>
      <c r="FS7" s="792"/>
      <c r="FT7" s="792"/>
      <c r="FU7" s="792"/>
      <c r="FV7" s="792"/>
      <c r="FW7" s="792"/>
      <c r="FX7" s="792"/>
      <c r="FY7" s="792"/>
      <c r="FZ7" s="792"/>
      <c r="GA7" s="792"/>
      <c r="GB7" s="792"/>
      <c r="GC7" s="792"/>
      <c r="GD7" s="792"/>
      <c r="GE7" s="792"/>
      <c r="GF7" s="792"/>
      <c r="GG7" s="792"/>
      <c r="GH7" s="792"/>
      <c r="GI7" s="792"/>
      <c r="GJ7" s="792"/>
      <c r="GK7" s="792"/>
      <c r="GL7" s="792"/>
      <c r="GM7" s="792"/>
      <c r="GN7" s="792"/>
      <c r="GO7" s="792"/>
    </row>
    <row r="8" spans="1:197" ht="29.25" thickBot="1" x14ac:dyDescent="0.45">
      <c r="A8" s="893"/>
      <c r="B8" s="791"/>
      <c r="C8" s="790"/>
      <c r="D8" s="790"/>
      <c r="E8" s="850"/>
      <c r="F8" s="910"/>
      <c r="G8" s="910"/>
      <c r="H8" s="790"/>
      <c r="I8" s="794"/>
      <c r="J8" s="895"/>
      <c r="K8" s="821"/>
      <c r="L8" s="820"/>
      <c r="M8" s="820"/>
      <c r="N8" s="821"/>
      <c r="O8" s="794"/>
      <c r="P8" s="911"/>
      <c r="Q8" s="792"/>
      <c r="R8" s="912"/>
      <c r="S8" s="913"/>
      <c r="T8" s="914"/>
      <c r="U8" s="915"/>
      <c r="V8" s="794"/>
      <c r="W8" s="897"/>
      <c r="X8" s="897"/>
      <c r="Y8" s="792"/>
      <c r="Z8" s="916"/>
      <c r="AA8" s="898">
        <v>250</v>
      </c>
      <c r="AB8" s="898">
        <v>250</v>
      </c>
      <c r="AC8" s="898">
        <v>250</v>
      </c>
      <c r="AD8" s="882"/>
      <c r="AE8" s="790"/>
      <c r="AF8" s="792"/>
      <c r="AG8" s="899"/>
      <c r="AH8" s="899"/>
      <c r="AI8" s="899"/>
      <c r="AJ8" s="884"/>
      <c r="AK8" s="917">
        <v>340</v>
      </c>
      <c r="AL8" s="917">
        <v>340</v>
      </c>
      <c r="AM8" s="917">
        <v>340</v>
      </c>
      <c r="AN8" s="884"/>
      <c r="AO8" s="909"/>
      <c r="AP8" s="901"/>
      <c r="AQ8" s="901"/>
      <c r="AR8" s="901"/>
      <c r="AS8" s="901"/>
      <c r="AT8" s="792"/>
      <c r="AU8" s="792"/>
      <c r="AV8" s="826"/>
      <c r="AW8" s="827">
        <v>440</v>
      </c>
      <c r="AX8" s="827">
        <v>440</v>
      </c>
      <c r="AY8" s="827">
        <v>440</v>
      </c>
      <c r="AZ8" s="826"/>
      <c r="BA8" s="888"/>
      <c r="BB8" s="902">
        <v>440</v>
      </c>
      <c r="BC8" s="902">
        <v>440</v>
      </c>
      <c r="BD8" s="902">
        <v>440</v>
      </c>
      <c r="BE8" s="888"/>
      <c r="BF8" s="890"/>
      <c r="BG8" s="903"/>
      <c r="BH8" s="891"/>
      <c r="BI8" s="820"/>
      <c r="BJ8" s="820"/>
      <c r="BK8" s="891"/>
      <c r="BL8" s="794"/>
      <c r="BM8" s="792"/>
      <c r="BN8" s="865"/>
      <c r="BO8" s="904"/>
      <c r="BP8" s="904"/>
      <c r="BQ8" s="918"/>
      <c r="BR8" s="892"/>
      <c r="BS8" s="839"/>
      <c r="BT8" s="840"/>
      <c r="BU8" s="866"/>
      <c r="BV8" s="919"/>
      <c r="BW8" s="869"/>
      <c r="BX8" s="920"/>
      <c r="BY8" s="790"/>
      <c r="BZ8" s="869"/>
      <c r="CA8" s="792"/>
      <c r="CB8" s="792"/>
      <c r="CC8" s="792"/>
      <c r="CD8" s="921"/>
      <c r="CE8" s="790"/>
      <c r="CF8" s="790"/>
      <c r="CG8" s="790"/>
      <c r="CH8" s="790"/>
      <c r="CI8" s="790"/>
      <c r="CJ8" s="790"/>
      <c r="CK8" s="791"/>
      <c r="CL8" s="845"/>
      <c r="CM8" s="845"/>
      <c r="CN8" s="845"/>
      <c r="CO8" s="845"/>
      <c r="CP8" s="794"/>
      <c r="CQ8" s="791"/>
      <c r="CR8" s="791"/>
      <c r="CS8" s="791"/>
      <c r="CT8" s="848"/>
      <c r="CU8" s="812"/>
      <c r="CV8" s="812"/>
      <c r="CW8" s="812"/>
      <c r="CX8" s="811"/>
      <c r="CY8" s="812"/>
      <c r="CZ8" s="790"/>
      <c r="DA8" s="790"/>
      <c r="DB8" s="791"/>
      <c r="DC8" s="792"/>
      <c r="DD8" s="792"/>
      <c r="DE8" s="792"/>
      <c r="DF8" s="792"/>
      <c r="DG8" s="792"/>
      <c r="DH8" s="792"/>
      <c r="DI8" s="792"/>
      <c r="DJ8" s="792"/>
      <c r="DK8" s="792"/>
      <c r="DL8" s="792"/>
      <c r="DM8" s="792"/>
      <c r="DN8" s="792"/>
      <c r="DO8" s="792"/>
      <c r="DP8" s="792"/>
      <c r="DQ8" s="792"/>
      <c r="DR8" s="792"/>
      <c r="DS8" s="792"/>
      <c r="DT8" s="792"/>
      <c r="DU8" s="792"/>
      <c r="DV8" s="792"/>
      <c r="DW8" s="792"/>
      <c r="DX8" s="792"/>
      <c r="DY8" s="792"/>
      <c r="DZ8" s="792"/>
      <c r="EA8" s="792"/>
      <c r="EB8" s="792"/>
      <c r="EC8" s="792"/>
      <c r="ED8" s="792"/>
      <c r="EE8" s="792"/>
      <c r="EF8" s="792"/>
      <c r="EG8" s="792"/>
      <c r="EH8" s="792"/>
      <c r="EI8" s="792"/>
      <c r="EJ8" s="792"/>
      <c r="EK8" s="792"/>
      <c r="EL8" s="792"/>
      <c r="EM8" s="792"/>
      <c r="EN8" s="792"/>
      <c r="EO8" s="792"/>
      <c r="EP8" s="792"/>
      <c r="EQ8" s="792"/>
      <c r="ER8" s="792"/>
      <c r="ES8" s="792"/>
      <c r="ET8" s="792"/>
      <c r="EU8" s="792"/>
      <c r="EV8" s="792"/>
      <c r="EW8" s="792"/>
      <c r="EX8" s="792"/>
      <c r="EY8" s="792"/>
      <c r="EZ8" s="792"/>
      <c r="FA8" s="792"/>
      <c r="FB8" s="792"/>
      <c r="FC8" s="792"/>
      <c r="FD8" s="792"/>
      <c r="FE8" s="792"/>
      <c r="FF8" s="792"/>
      <c r="FG8" s="792"/>
      <c r="FH8" s="792"/>
      <c r="FI8" s="792"/>
      <c r="FJ8" s="792"/>
      <c r="FK8" s="792"/>
      <c r="FL8" s="792"/>
      <c r="FM8" s="792"/>
      <c r="FN8" s="792"/>
      <c r="FO8" s="792"/>
      <c r="FP8" s="792"/>
      <c r="FQ8" s="792"/>
      <c r="FR8" s="792"/>
      <c r="FS8" s="792"/>
      <c r="FT8" s="792"/>
      <c r="FU8" s="792"/>
      <c r="FV8" s="792"/>
      <c r="FW8" s="792"/>
      <c r="FX8" s="792"/>
      <c r="FY8" s="792"/>
      <c r="FZ8" s="792"/>
      <c r="GA8" s="792"/>
      <c r="GB8" s="792"/>
      <c r="GC8" s="792"/>
      <c r="GD8" s="792"/>
      <c r="GE8" s="792"/>
      <c r="GF8" s="792"/>
      <c r="GG8" s="792"/>
      <c r="GH8" s="792"/>
      <c r="GI8" s="792"/>
      <c r="GJ8" s="792"/>
      <c r="GK8" s="792"/>
      <c r="GL8" s="792"/>
      <c r="GM8" s="792"/>
      <c r="GN8" s="792"/>
      <c r="GO8" s="792"/>
    </row>
    <row r="9" spans="1:197" ht="28.5" x14ac:dyDescent="0.4">
      <c r="A9" s="849"/>
      <c r="B9" s="791"/>
      <c r="C9" s="790"/>
      <c r="D9" s="790"/>
      <c r="E9" s="850"/>
      <c r="F9" s="910"/>
      <c r="G9" s="910"/>
      <c r="H9" s="790"/>
      <c r="I9" s="794"/>
      <c r="J9" s="922"/>
      <c r="K9" s="851"/>
      <c r="L9" s="820"/>
      <c r="M9" s="820"/>
      <c r="N9" s="851"/>
      <c r="O9" s="792"/>
      <c r="P9" s="792"/>
      <c r="Q9" s="923"/>
      <c r="R9" s="924"/>
      <c r="S9" s="924"/>
      <c r="T9" s="805" t="s">
        <v>164</v>
      </c>
      <c r="U9" s="805"/>
      <c r="V9" s="794"/>
      <c r="W9" s="794"/>
      <c r="X9" s="794"/>
      <c r="Y9" s="790"/>
      <c r="Z9" s="896"/>
      <c r="AA9" s="882" t="s">
        <v>182</v>
      </c>
      <c r="AB9" s="882" t="s">
        <v>182</v>
      </c>
      <c r="AC9" s="882" t="s">
        <v>182</v>
      </c>
      <c r="AD9" s="896"/>
      <c r="AE9" s="790"/>
      <c r="AF9" s="896"/>
      <c r="AG9" s="792"/>
      <c r="AH9" s="792"/>
      <c r="AI9" s="792"/>
      <c r="AJ9" s="794"/>
      <c r="AK9" s="884" t="s">
        <v>175</v>
      </c>
      <c r="AL9" s="884" t="s">
        <v>175</v>
      </c>
      <c r="AM9" s="884" t="s">
        <v>175</v>
      </c>
      <c r="AN9" s="792"/>
      <c r="AO9" s="861"/>
      <c r="AP9" s="856"/>
      <c r="AQ9" s="856"/>
      <c r="AR9" s="791"/>
      <c r="AS9" s="791"/>
      <c r="AT9" s="845"/>
      <c r="AU9" s="792"/>
      <c r="AV9" s="875"/>
      <c r="AW9" s="826" t="s">
        <v>175</v>
      </c>
      <c r="AX9" s="826" t="s">
        <v>175</v>
      </c>
      <c r="AY9" s="826" t="s">
        <v>175</v>
      </c>
      <c r="AZ9" s="925"/>
      <c r="BA9" s="792"/>
      <c r="BB9" s="888" t="s">
        <v>175</v>
      </c>
      <c r="BC9" s="888" t="s">
        <v>175</v>
      </c>
      <c r="BD9" s="888" t="s">
        <v>175</v>
      </c>
      <c r="BE9" s="792"/>
      <c r="BF9" s="926"/>
      <c r="BG9" s="903"/>
      <c r="BH9" s="845"/>
      <c r="BI9" s="891"/>
      <c r="BJ9" s="891"/>
      <c r="BK9" s="845"/>
      <c r="BL9" s="794"/>
      <c r="BM9" s="792"/>
      <c r="BN9" s="865"/>
      <c r="BO9" s="904"/>
      <c r="BP9" s="904"/>
      <c r="BQ9" s="918"/>
      <c r="BR9" s="838"/>
      <c r="BS9" s="839"/>
      <c r="BT9" s="840"/>
      <c r="BU9" s="841"/>
      <c r="BV9" s="927"/>
      <c r="BW9" s="927"/>
      <c r="BX9" s="927"/>
      <c r="CB9" s="792"/>
      <c r="CC9" s="792"/>
      <c r="CD9" s="792"/>
      <c r="CE9" s="854"/>
      <c r="CF9" s="928"/>
      <c r="CG9" s="928"/>
      <c r="CH9" s="928"/>
      <c r="CI9" s="928"/>
      <c r="CJ9" s="791"/>
      <c r="CK9" s="928"/>
      <c r="CL9" s="928"/>
      <c r="CM9" s="928"/>
      <c r="CN9" s="928"/>
      <c r="CO9" s="845"/>
      <c r="CP9" s="794"/>
      <c r="CQ9" s="791"/>
      <c r="CR9" s="791"/>
      <c r="CS9" s="791"/>
      <c r="CT9" s="848"/>
      <c r="CU9" s="812"/>
      <c r="CV9" s="812"/>
      <c r="CW9" s="812"/>
      <c r="CX9" s="811"/>
      <c r="CY9" s="812"/>
      <c r="CZ9" s="790"/>
      <c r="DA9" s="790"/>
      <c r="DB9" s="791"/>
      <c r="DC9" s="792"/>
      <c r="DD9" s="792"/>
      <c r="DE9" s="792"/>
      <c r="DF9" s="792"/>
      <c r="DG9" s="792"/>
      <c r="DH9" s="792"/>
      <c r="DI9" s="792"/>
      <c r="DJ9" s="792"/>
      <c r="DK9" s="792"/>
      <c r="DL9" s="792"/>
      <c r="DM9" s="792"/>
      <c r="DN9" s="792"/>
      <c r="DO9" s="792"/>
      <c r="DP9" s="792"/>
      <c r="DQ9" s="792"/>
      <c r="DR9" s="792"/>
      <c r="DS9" s="792"/>
      <c r="DT9" s="792"/>
      <c r="DU9" s="792"/>
      <c r="DV9" s="792"/>
      <c r="DW9" s="792"/>
      <c r="DX9" s="792"/>
      <c r="DY9" s="792"/>
      <c r="DZ9" s="792"/>
      <c r="EA9" s="792"/>
      <c r="EB9" s="792"/>
      <c r="EC9" s="792"/>
      <c r="ED9" s="792"/>
      <c r="EE9" s="792"/>
      <c r="EF9" s="792"/>
      <c r="EG9" s="792"/>
      <c r="EH9" s="792"/>
      <c r="EI9" s="792"/>
      <c r="EJ9" s="792"/>
      <c r="EK9" s="792"/>
      <c r="EL9" s="792"/>
      <c r="EM9" s="792"/>
      <c r="EN9" s="792"/>
      <c r="EO9" s="792"/>
      <c r="EP9" s="792"/>
      <c r="EQ9" s="792"/>
      <c r="ER9" s="792"/>
      <c r="ES9" s="792"/>
      <c r="ET9" s="792"/>
      <c r="EU9" s="792"/>
      <c r="EV9" s="792"/>
      <c r="EW9" s="792"/>
      <c r="EX9" s="792"/>
      <c r="EY9" s="792"/>
      <c r="EZ9" s="792"/>
      <c r="FA9" s="792"/>
      <c r="FB9" s="792"/>
      <c r="FC9" s="792"/>
      <c r="FD9" s="792"/>
      <c r="FE9" s="792"/>
      <c r="FF9" s="792"/>
      <c r="FG9" s="792"/>
      <c r="FH9" s="792"/>
      <c r="FI9" s="792"/>
      <c r="FJ9" s="792"/>
      <c r="FK9" s="792"/>
      <c r="FL9" s="792"/>
      <c r="FM9" s="792"/>
      <c r="FN9" s="792"/>
      <c r="FO9" s="792"/>
      <c r="FP9" s="792"/>
      <c r="FQ9" s="792"/>
      <c r="FR9" s="792"/>
      <c r="FS9" s="792"/>
      <c r="FT9" s="792"/>
      <c r="FU9" s="792"/>
      <c r="FV9" s="792"/>
      <c r="FW9" s="792"/>
      <c r="FX9" s="792"/>
      <c r="FY9" s="792"/>
      <c r="FZ9" s="792"/>
      <c r="GA9" s="792"/>
      <c r="GB9" s="792"/>
      <c r="GC9" s="792"/>
      <c r="GD9" s="792"/>
      <c r="GE9" s="792"/>
      <c r="GF9" s="792"/>
      <c r="GG9" s="792"/>
      <c r="GH9" s="792"/>
      <c r="GI9" s="792"/>
      <c r="GJ9" s="792"/>
      <c r="GK9" s="792"/>
      <c r="GL9" s="792"/>
      <c r="GM9" s="792"/>
      <c r="GN9" s="792"/>
      <c r="GO9" s="792"/>
    </row>
    <row r="10" spans="1:197" ht="29.25" thickBot="1" x14ac:dyDescent="0.45">
      <c r="A10" s="849"/>
      <c r="B10" s="791"/>
      <c r="C10" s="790"/>
      <c r="D10" s="794"/>
      <c r="E10" s="850"/>
      <c r="F10" s="910"/>
      <c r="G10" s="910"/>
      <c r="H10" s="794"/>
      <c r="I10" s="794"/>
      <c r="J10" s="922"/>
      <c r="K10" s="852"/>
      <c r="L10" s="929"/>
      <c r="M10" s="929"/>
      <c r="N10" s="854"/>
      <c r="O10" s="794"/>
      <c r="P10" s="930"/>
      <c r="Q10" s="930"/>
      <c r="R10" s="930"/>
      <c r="S10" s="931"/>
      <c r="T10" s="932"/>
      <c r="U10" s="858" t="s">
        <v>197</v>
      </c>
      <c r="V10" s="860" t="s">
        <v>198</v>
      </c>
      <c r="W10" s="860"/>
      <c r="X10" s="860"/>
      <c r="Y10" s="860"/>
      <c r="Z10" s="792"/>
      <c r="AA10" s="875"/>
      <c r="AB10" s="875"/>
      <c r="AC10" s="875"/>
      <c r="AD10" s="896"/>
      <c r="AE10" s="792"/>
      <c r="AF10" s="792"/>
      <c r="AG10" s="792"/>
      <c r="AH10" s="792"/>
      <c r="AI10" s="792"/>
      <c r="AJ10" s="896"/>
      <c r="AK10" s="875"/>
      <c r="AL10" s="875"/>
      <c r="AM10" s="875"/>
      <c r="AN10" s="933"/>
      <c r="AO10" s="861"/>
      <c r="AP10" s="934"/>
      <c r="AQ10" s="934"/>
      <c r="AR10" s="934"/>
      <c r="AS10" s="934"/>
      <c r="AT10" s="792"/>
      <c r="AU10" s="792"/>
      <c r="AV10" s="875"/>
      <c r="AW10" s="875"/>
      <c r="AX10" s="875"/>
      <c r="AY10" s="875"/>
      <c r="AZ10" s="925"/>
      <c r="BA10" s="859"/>
      <c r="BB10" s="805" t="s">
        <v>199</v>
      </c>
      <c r="BC10" s="805"/>
      <c r="BD10" s="805"/>
      <c r="BE10" s="805"/>
      <c r="BF10" s="794"/>
      <c r="BG10" s="794"/>
      <c r="BH10" s="794"/>
      <c r="BI10" s="845"/>
      <c r="BJ10" s="845"/>
      <c r="BK10" s="935"/>
      <c r="BL10" s="936"/>
      <c r="BM10" s="792"/>
      <c r="BN10" s="838"/>
      <c r="BO10" s="838"/>
      <c r="BP10" s="819"/>
      <c r="BQ10" s="792"/>
      <c r="BR10" s="937"/>
      <c r="BS10" s="845"/>
      <c r="BT10" s="845"/>
      <c r="BU10" s="841"/>
      <c r="BV10" s="927"/>
      <c r="BW10" s="927"/>
      <c r="BX10" s="927"/>
      <c r="CB10" s="792"/>
      <c r="CC10" s="792"/>
      <c r="CD10" s="792"/>
      <c r="CE10" s="818"/>
      <c r="CF10" s="794"/>
      <c r="CG10" s="794"/>
      <c r="CH10" s="794"/>
      <c r="CI10" s="794"/>
      <c r="CJ10" s="818"/>
      <c r="CK10" s="817"/>
      <c r="CL10" s="794"/>
      <c r="CM10" s="817"/>
      <c r="CN10" s="817"/>
      <c r="CO10" s="854"/>
      <c r="CP10" s="794"/>
      <c r="CQ10" s="791"/>
      <c r="CR10" s="791"/>
      <c r="CS10" s="791"/>
      <c r="CT10" s="848"/>
      <c r="CU10" s="812"/>
      <c r="CV10" s="812"/>
      <c r="CW10" s="812"/>
      <c r="CX10" s="811"/>
      <c r="CY10" s="812"/>
      <c r="CZ10" s="790"/>
      <c r="DA10" s="790"/>
      <c r="DB10" s="791"/>
      <c r="DC10" s="792"/>
      <c r="DD10" s="792"/>
      <c r="DE10" s="792"/>
      <c r="DF10" s="792"/>
      <c r="DG10" s="792"/>
      <c r="DH10" s="792"/>
      <c r="DI10" s="792"/>
      <c r="DJ10" s="792"/>
      <c r="DK10" s="792"/>
      <c r="DL10" s="792"/>
      <c r="DM10" s="792"/>
      <c r="DN10" s="792"/>
      <c r="DO10" s="792"/>
      <c r="DP10" s="792"/>
      <c r="DQ10" s="792"/>
      <c r="DR10" s="792"/>
      <c r="DS10" s="792"/>
      <c r="DT10" s="792"/>
      <c r="DU10" s="792"/>
      <c r="DV10" s="792"/>
      <c r="DW10" s="792"/>
      <c r="DX10" s="792"/>
      <c r="DY10" s="792"/>
      <c r="DZ10" s="792"/>
      <c r="EA10" s="792"/>
      <c r="EB10" s="792"/>
      <c r="EC10" s="792"/>
      <c r="ED10" s="792"/>
      <c r="EE10" s="792"/>
      <c r="EF10" s="792"/>
      <c r="EG10" s="792"/>
      <c r="EH10" s="792"/>
      <c r="EI10" s="792"/>
      <c r="EJ10" s="792"/>
      <c r="EK10" s="792"/>
      <c r="EL10" s="792"/>
      <c r="EM10" s="792"/>
      <c r="EN10" s="792"/>
      <c r="EO10" s="792"/>
      <c r="EP10" s="792"/>
      <c r="EQ10" s="792"/>
      <c r="ER10" s="792"/>
      <c r="ES10" s="792"/>
      <c r="ET10" s="792"/>
      <c r="EU10" s="792"/>
      <c r="EV10" s="792"/>
      <c r="EW10" s="792"/>
      <c r="EX10" s="792"/>
      <c r="EY10" s="792"/>
      <c r="EZ10" s="792"/>
      <c r="FA10" s="792"/>
      <c r="FB10" s="792"/>
      <c r="FC10" s="792"/>
      <c r="FD10" s="792"/>
      <c r="FE10" s="792"/>
      <c r="FF10" s="792"/>
      <c r="FG10" s="792"/>
      <c r="FH10" s="792"/>
      <c r="FI10" s="792"/>
      <c r="FJ10" s="792"/>
      <c r="FK10" s="792"/>
      <c r="FL10" s="792"/>
      <c r="FM10" s="792"/>
      <c r="FN10" s="792"/>
      <c r="FO10" s="792"/>
      <c r="FP10" s="792"/>
      <c r="FQ10" s="792"/>
      <c r="FR10" s="792"/>
      <c r="FS10" s="792"/>
      <c r="FT10" s="792"/>
      <c r="FU10" s="792"/>
      <c r="FV10" s="792"/>
      <c r="FW10" s="792"/>
      <c r="FX10" s="792"/>
      <c r="FY10" s="792"/>
      <c r="FZ10" s="792"/>
      <c r="GA10" s="792"/>
      <c r="GB10" s="792"/>
      <c r="GC10" s="792"/>
      <c r="GD10" s="792"/>
      <c r="GE10" s="792"/>
      <c r="GF10" s="792"/>
      <c r="GG10" s="792"/>
      <c r="GH10" s="792"/>
      <c r="GI10" s="792"/>
      <c r="GJ10" s="792"/>
      <c r="GK10" s="792"/>
      <c r="GL10" s="792"/>
      <c r="GM10" s="792"/>
      <c r="GN10" s="792"/>
      <c r="GO10" s="792"/>
    </row>
    <row r="11" spans="1:197" ht="29.25" thickBot="1" x14ac:dyDescent="0.35">
      <c r="A11" s="794"/>
      <c r="B11" s="794"/>
      <c r="C11" s="794"/>
      <c r="D11" s="794"/>
      <c r="E11" s="850"/>
      <c r="F11" s="910"/>
      <c r="G11" s="910"/>
      <c r="H11" s="794"/>
      <c r="I11" s="794"/>
      <c r="J11" s="895"/>
      <c r="K11" s="821"/>
      <c r="L11" s="820"/>
      <c r="M11" s="820"/>
      <c r="N11" s="821"/>
      <c r="O11" s="792"/>
      <c r="P11" s="911"/>
      <c r="Q11" s="911"/>
      <c r="R11" s="911"/>
      <c r="S11" s="938"/>
      <c r="T11" s="830">
        <v>340</v>
      </c>
      <c r="U11" s="939" t="s">
        <v>175</v>
      </c>
      <c r="V11" s="792"/>
      <c r="W11" s="940"/>
      <c r="X11" s="941"/>
      <c r="Y11" s="940"/>
      <c r="Z11" s="794"/>
      <c r="AA11" s="942" t="s">
        <v>200</v>
      </c>
      <c r="AB11" s="942"/>
      <c r="AC11" s="942"/>
      <c r="AD11" s="940"/>
      <c r="AE11" s="792"/>
      <c r="AF11" s="896"/>
      <c r="AG11" s="792"/>
      <c r="AH11" s="792"/>
      <c r="AI11" s="792"/>
      <c r="AJ11" s="896"/>
      <c r="AK11" s="896"/>
      <c r="AL11" s="885"/>
      <c r="AM11" s="885"/>
      <c r="AN11" s="885"/>
      <c r="AO11" s="854"/>
      <c r="AP11" s="885"/>
      <c r="AQ11" s="885"/>
      <c r="AR11" s="885"/>
      <c r="AS11" s="885"/>
      <c r="AT11" s="887"/>
      <c r="AU11" s="887"/>
      <c r="AV11" s="887"/>
      <c r="AW11" s="863" t="s">
        <v>164</v>
      </c>
      <c r="AX11" s="863"/>
      <c r="AY11" s="863"/>
      <c r="AZ11" s="887"/>
      <c r="BA11" s="887"/>
      <c r="BB11" s="887"/>
      <c r="BC11" s="875"/>
      <c r="BD11" s="875"/>
      <c r="BE11" s="792"/>
      <c r="BF11" s="854"/>
      <c r="BG11" s="794"/>
      <c r="BH11" s="885"/>
      <c r="BI11" s="885"/>
      <c r="BJ11" s="885"/>
      <c r="BK11" s="943"/>
      <c r="BL11" s="792"/>
      <c r="BM11" s="792"/>
      <c r="BN11" s="792"/>
      <c r="BO11" s="792"/>
      <c r="BP11" s="792"/>
      <c r="BQ11" s="792"/>
      <c r="BR11" s="944"/>
      <c r="BS11" s="845"/>
      <c r="BT11" s="839"/>
      <c r="BU11" s="945" t="s">
        <v>201</v>
      </c>
      <c r="BV11" s="927"/>
      <c r="BW11" s="927"/>
      <c r="BX11" s="927"/>
      <c r="CB11" s="792"/>
      <c r="CC11" s="927"/>
      <c r="CD11" s="927"/>
      <c r="CE11" s="817"/>
      <c r="CF11" s="794"/>
      <c r="CG11" s="794"/>
      <c r="CH11" s="794"/>
      <c r="CI11" s="794"/>
      <c r="CJ11" s="946"/>
      <c r="CK11" s="794"/>
      <c r="CL11" s="794"/>
      <c r="CM11" s="794"/>
      <c r="CN11" s="794"/>
      <c r="CO11" s="817"/>
      <c r="CP11" s="794"/>
      <c r="CQ11" s="791"/>
      <c r="CR11" s="791"/>
      <c r="CS11" s="791"/>
      <c r="CT11" s="848"/>
      <c r="CU11" s="812"/>
      <c r="CV11" s="812"/>
      <c r="CW11" s="812"/>
      <c r="CX11" s="811"/>
      <c r="CY11" s="812"/>
      <c r="CZ11" s="790"/>
      <c r="DA11" s="790"/>
      <c r="DB11" s="791"/>
      <c r="DC11" s="792"/>
      <c r="DD11" s="792"/>
      <c r="DE11" s="792"/>
      <c r="DF11" s="792"/>
      <c r="DG11" s="792"/>
      <c r="DH11" s="792"/>
      <c r="DI11" s="792"/>
      <c r="DJ11" s="792"/>
      <c r="DK11" s="792"/>
      <c r="DL11" s="792"/>
      <c r="DM11" s="792"/>
      <c r="DN11" s="792"/>
      <c r="DO11" s="792"/>
      <c r="DP11" s="792"/>
      <c r="DQ11" s="792"/>
      <c r="DR11" s="792"/>
      <c r="DS11" s="792"/>
      <c r="DT11" s="792"/>
      <c r="DU11" s="792"/>
      <c r="DV11" s="792"/>
      <c r="DW11" s="792"/>
      <c r="DX11" s="792"/>
      <c r="DY11" s="792"/>
      <c r="DZ11" s="792"/>
      <c r="EA11" s="792"/>
      <c r="EB11" s="792"/>
      <c r="EC11" s="792"/>
      <c r="ED11" s="792"/>
      <c r="EE11" s="792"/>
      <c r="EF11" s="792"/>
      <c r="EG11" s="792"/>
      <c r="EH11" s="792"/>
      <c r="EI11" s="792"/>
      <c r="EJ11" s="792"/>
      <c r="EK11" s="792"/>
      <c r="EL11" s="792"/>
      <c r="EM11" s="792"/>
      <c r="EN11" s="792"/>
      <c r="EO11" s="792"/>
      <c r="EP11" s="792"/>
      <c r="EQ11" s="792"/>
      <c r="ER11" s="792"/>
      <c r="ES11" s="792"/>
      <c r="ET11" s="792"/>
      <c r="EU11" s="792"/>
      <c r="EV11" s="792"/>
      <c r="EW11" s="792"/>
      <c r="EX11" s="792"/>
      <c r="EY11" s="792"/>
      <c r="EZ11" s="792"/>
      <c r="FA11" s="792"/>
      <c r="FB11" s="792"/>
      <c r="FC11" s="792"/>
      <c r="FD11" s="792"/>
      <c r="FE11" s="792"/>
      <c r="FF11" s="792"/>
      <c r="FG11" s="792"/>
      <c r="FH11" s="792"/>
      <c r="FI11" s="792"/>
      <c r="FJ11" s="792"/>
      <c r="FK11" s="792"/>
      <c r="FL11" s="792"/>
      <c r="FM11" s="792"/>
      <c r="FN11" s="792"/>
      <c r="FO11" s="792"/>
      <c r="FP11" s="792"/>
      <c r="FQ11" s="792"/>
      <c r="FR11" s="792"/>
      <c r="FS11" s="792"/>
      <c r="FT11" s="792"/>
      <c r="FU11" s="792"/>
      <c r="FV11" s="792"/>
      <c r="FW11" s="792"/>
      <c r="FX11" s="792"/>
      <c r="FY11" s="792"/>
      <c r="FZ11" s="792"/>
      <c r="GA11" s="792"/>
      <c r="GB11" s="792"/>
      <c r="GC11" s="792"/>
      <c r="GD11" s="792"/>
      <c r="GE11" s="792"/>
      <c r="GF11" s="792"/>
      <c r="GG11" s="792"/>
      <c r="GH11" s="792"/>
      <c r="GI11" s="792"/>
      <c r="GJ11" s="792"/>
      <c r="GK11" s="792"/>
      <c r="GL11" s="792"/>
      <c r="GM11" s="792"/>
      <c r="GN11" s="792"/>
      <c r="GO11" s="792"/>
    </row>
    <row r="12" spans="1:197" ht="28.5" x14ac:dyDescent="0.3">
      <c r="A12" s="794"/>
      <c r="B12" s="794"/>
      <c r="C12" s="794"/>
      <c r="D12" s="794"/>
      <c r="E12" s="850"/>
      <c r="F12" s="794"/>
      <c r="G12" s="794"/>
      <c r="H12" s="794"/>
      <c r="I12" s="794"/>
      <c r="J12" s="895"/>
      <c r="K12" s="821"/>
      <c r="L12" s="820"/>
      <c r="M12" s="820"/>
      <c r="N12" s="821"/>
      <c r="O12" s="792"/>
      <c r="P12" s="911"/>
      <c r="Q12" s="911"/>
      <c r="R12" s="911"/>
      <c r="S12" s="938"/>
      <c r="T12" s="830">
        <v>340</v>
      </c>
      <c r="U12" s="947" t="s">
        <v>175</v>
      </c>
      <c r="V12" s="792"/>
      <c r="W12" s="948" t="s">
        <v>202</v>
      </c>
      <c r="X12" s="948" t="s">
        <v>202</v>
      </c>
      <c r="Y12" s="948" t="s">
        <v>202</v>
      </c>
      <c r="Z12" s="949" t="s">
        <v>203</v>
      </c>
      <c r="AA12" s="792"/>
      <c r="AB12" s="792"/>
      <c r="AC12" s="792"/>
      <c r="AD12" s="792"/>
      <c r="AE12" s="792"/>
      <c r="AF12" s="896"/>
      <c r="AG12" s="950"/>
      <c r="AH12" s="794"/>
      <c r="AI12" s="790"/>
      <c r="AJ12" s="790"/>
      <c r="AK12" s="885"/>
      <c r="AL12" s="885"/>
      <c r="AM12" s="885"/>
      <c r="AN12" s="885"/>
      <c r="AO12" s="885"/>
      <c r="AP12" s="792"/>
      <c r="AQ12" s="792"/>
      <c r="AR12" s="792"/>
      <c r="AS12" s="792"/>
      <c r="AT12" s="887"/>
      <c r="AU12" s="887"/>
      <c r="AV12" s="887"/>
      <c r="AW12" s="887"/>
      <c r="AX12" s="887"/>
      <c r="AY12" s="887"/>
      <c r="AZ12" s="887"/>
      <c r="BA12" s="887"/>
      <c r="BB12" s="887"/>
      <c r="BC12" s="951" t="s">
        <v>175</v>
      </c>
      <c r="BD12" s="951" t="s">
        <v>175</v>
      </c>
      <c r="BE12" s="952"/>
      <c r="BF12" s="854"/>
      <c r="BG12" s="953"/>
      <c r="BH12" s="891"/>
      <c r="BI12" s="891"/>
      <c r="BJ12" s="891"/>
      <c r="BK12" s="845"/>
      <c r="BL12" s="792"/>
      <c r="BM12" s="792"/>
      <c r="BN12" s="792"/>
      <c r="BO12" s="792"/>
      <c r="BP12" s="792"/>
      <c r="BQ12" s="792"/>
      <c r="BR12" s="944"/>
      <c r="BS12" s="791"/>
      <c r="BT12" s="946"/>
      <c r="BU12" s="954"/>
      <c r="BV12" s="927"/>
      <c r="BW12" s="927"/>
      <c r="BX12" s="794"/>
      <c r="BY12" s="794"/>
      <c r="BZ12" s="927"/>
      <c r="CA12" s="927"/>
      <c r="CB12" s="927"/>
      <c r="CC12" s="794"/>
      <c r="CD12" s="794"/>
      <c r="CE12" s="794"/>
      <c r="CF12" s="863" t="s">
        <v>164</v>
      </c>
      <c r="CG12" s="863"/>
      <c r="CH12" s="863"/>
      <c r="CI12" s="794"/>
      <c r="CJ12" s="794"/>
      <c r="CK12" s="955" t="s">
        <v>164</v>
      </c>
      <c r="CL12" s="956"/>
      <c r="CM12" s="817"/>
      <c r="CN12" s="957" t="s">
        <v>205</v>
      </c>
      <c r="CO12" s="958"/>
      <c r="CP12" s="958"/>
      <c r="CQ12" s="959"/>
      <c r="CR12" s="791"/>
      <c r="CS12" s="791"/>
      <c r="CT12" s="848"/>
      <c r="CU12" s="812"/>
      <c r="CV12" s="812"/>
      <c r="CW12" s="812"/>
      <c r="CX12" s="811"/>
      <c r="CY12" s="812"/>
      <c r="CZ12" s="790"/>
      <c r="DA12" s="790"/>
      <c r="DB12" s="791"/>
      <c r="DC12" s="792"/>
      <c r="DD12" s="792"/>
      <c r="DE12" s="792"/>
      <c r="DF12" s="792"/>
      <c r="DG12" s="792"/>
      <c r="DH12" s="792"/>
      <c r="DI12" s="792"/>
      <c r="DJ12" s="792"/>
      <c r="DK12" s="792"/>
      <c r="DL12" s="792"/>
      <c r="DM12" s="792"/>
      <c r="DN12" s="792"/>
      <c r="DO12" s="792"/>
      <c r="DP12" s="792"/>
      <c r="DQ12" s="792"/>
      <c r="DR12" s="792"/>
      <c r="DS12" s="792"/>
      <c r="DT12" s="792"/>
      <c r="DU12" s="792"/>
      <c r="DV12" s="792"/>
      <c r="DW12" s="792"/>
      <c r="DX12" s="792"/>
      <c r="DY12" s="792"/>
      <c r="DZ12" s="792"/>
      <c r="EA12" s="792"/>
      <c r="EB12" s="792"/>
      <c r="EC12" s="792"/>
      <c r="ED12" s="792"/>
      <c r="EE12" s="792"/>
      <c r="EF12" s="792"/>
      <c r="EG12" s="792"/>
      <c r="EH12" s="792"/>
      <c r="EI12" s="792"/>
      <c r="EJ12" s="792"/>
      <c r="EK12" s="792"/>
      <c r="EL12" s="792"/>
      <c r="EM12" s="792"/>
      <c r="EN12" s="792"/>
      <c r="EO12" s="792"/>
      <c r="EP12" s="792"/>
      <c r="EQ12" s="792"/>
      <c r="ER12" s="792"/>
      <c r="ES12" s="792"/>
      <c r="ET12" s="792"/>
      <c r="EU12" s="792"/>
      <c r="EV12" s="792"/>
      <c r="EW12" s="792"/>
      <c r="EX12" s="792"/>
      <c r="EY12" s="792"/>
      <c r="EZ12" s="792"/>
      <c r="FA12" s="792"/>
      <c r="FB12" s="792"/>
      <c r="FC12" s="792"/>
      <c r="FD12" s="792"/>
      <c r="FE12" s="792"/>
      <c r="FF12" s="792"/>
      <c r="FG12" s="792"/>
      <c r="FH12" s="792"/>
      <c r="FI12" s="792"/>
      <c r="FJ12" s="792"/>
      <c r="FK12" s="792"/>
      <c r="FL12" s="792"/>
      <c r="FM12" s="792"/>
      <c r="FN12" s="792"/>
      <c r="FO12" s="792"/>
      <c r="FP12" s="792"/>
      <c r="FQ12" s="792"/>
      <c r="FR12" s="792"/>
      <c r="FS12" s="792"/>
      <c r="FT12" s="792"/>
      <c r="FU12" s="792"/>
      <c r="FV12" s="792"/>
      <c r="FW12" s="792"/>
      <c r="FX12" s="792"/>
      <c r="FY12" s="792"/>
      <c r="FZ12" s="792"/>
      <c r="GA12" s="792"/>
      <c r="GB12" s="792"/>
      <c r="GC12" s="792"/>
      <c r="GD12" s="792"/>
      <c r="GE12" s="792"/>
      <c r="GF12" s="792"/>
      <c r="GG12" s="792"/>
      <c r="GH12" s="792"/>
      <c r="GI12" s="792"/>
      <c r="GJ12" s="792"/>
      <c r="GK12" s="792"/>
      <c r="GL12" s="792"/>
      <c r="GM12" s="792"/>
      <c r="GN12" s="792"/>
      <c r="GO12" s="792"/>
    </row>
    <row r="13" spans="1:197" ht="28.5" x14ac:dyDescent="0.3">
      <c r="A13" s="849"/>
      <c r="B13" s="791"/>
      <c r="C13" s="790"/>
      <c r="D13" s="794"/>
      <c r="E13" s="894"/>
      <c r="F13" s="911"/>
      <c r="G13" s="911"/>
      <c r="H13" s="818"/>
      <c r="I13" s="790"/>
      <c r="J13" s="895"/>
      <c r="K13" s="821"/>
      <c r="L13" s="820"/>
      <c r="M13" s="820"/>
      <c r="N13" s="821"/>
      <c r="O13" s="792"/>
      <c r="P13" s="960"/>
      <c r="Q13" s="960"/>
      <c r="R13" s="960"/>
      <c r="S13" s="938"/>
      <c r="T13" s="961">
        <v>375</v>
      </c>
      <c r="U13" s="947" t="s">
        <v>175</v>
      </c>
      <c r="V13" s="948"/>
      <c r="W13" s="962">
        <v>500</v>
      </c>
      <c r="X13" s="962">
        <v>500</v>
      </c>
      <c r="Y13" s="962">
        <v>500</v>
      </c>
      <c r="Z13" s="948"/>
      <c r="AA13" s="792"/>
      <c r="AB13" s="792"/>
      <c r="AC13" s="792"/>
      <c r="AD13" s="792"/>
      <c r="AE13" s="792"/>
      <c r="AF13" s="963"/>
      <c r="AG13" s="963"/>
      <c r="AH13" s="963"/>
      <c r="AI13" s="790"/>
      <c r="AJ13" s="790"/>
      <c r="AK13" s="885"/>
      <c r="AL13" s="885"/>
      <c r="AM13" s="885"/>
      <c r="AN13" s="885"/>
      <c r="AO13" s="885"/>
      <c r="AP13" s="792"/>
      <c r="AQ13" s="792"/>
      <c r="AR13" s="792"/>
      <c r="AS13" s="792"/>
      <c r="AT13" s="887"/>
      <c r="AU13" s="887"/>
      <c r="AV13" s="887"/>
      <c r="AW13" s="887"/>
      <c r="AX13" s="887"/>
      <c r="AY13" s="887"/>
      <c r="AZ13" s="887"/>
      <c r="BA13" s="887"/>
      <c r="BB13" s="951"/>
      <c r="BC13" s="964">
        <v>400</v>
      </c>
      <c r="BD13" s="964">
        <v>400</v>
      </c>
      <c r="BE13" s="951"/>
      <c r="BF13" s="854"/>
      <c r="BG13" s="891"/>
      <c r="BH13" s="820"/>
      <c r="BI13" s="820"/>
      <c r="BJ13" s="820"/>
      <c r="BK13" s="891"/>
      <c r="BL13" s="792"/>
      <c r="BM13" s="792"/>
      <c r="BN13" s="837"/>
      <c r="BO13" s="837"/>
      <c r="BP13" s="837"/>
      <c r="BQ13" s="837"/>
      <c r="BR13" s="944"/>
      <c r="BS13" s="791"/>
      <c r="BT13" s="839"/>
      <c r="BU13" s="954"/>
      <c r="BV13" s="927"/>
      <c r="BW13" s="927"/>
      <c r="BX13" s="794"/>
      <c r="BY13" s="794"/>
      <c r="BZ13" s="794"/>
      <c r="CA13" s="794"/>
      <c r="CB13" s="794"/>
      <c r="CC13" s="794"/>
      <c r="CD13" s="794"/>
      <c r="CE13" s="794"/>
      <c r="CF13" s="875"/>
      <c r="CG13" s="875"/>
      <c r="CH13" s="875"/>
      <c r="CI13" s="794"/>
      <c r="CJ13" s="794"/>
      <c r="CK13" s="965"/>
      <c r="CL13" s="965"/>
      <c r="CM13" s="817"/>
      <c r="CN13" s="966"/>
      <c r="CO13" s="967"/>
      <c r="CP13" s="967"/>
      <c r="CQ13" s="968"/>
      <c r="CR13" s="791"/>
      <c r="CS13" s="791"/>
      <c r="CT13" s="848"/>
      <c r="CU13" s="812"/>
      <c r="CV13" s="812"/>
      <c r="CW13" s="812"/>
      <c r="CX13" s="811"/>
      <c r="CY13" s="812"/>
      <c r="CZ13" s="790"/>
      <c r="DA13" s="790"/>
      <c r="DB13" s="791"/>
      <c r="DC13" s="792"/>
      <c r="DD13" s="792"/>
      <c r="DE13" s="792"/>
      <c r="DF13" s="792"/>
      <c r="DG13" s="792"/>
      <c r="DH13" s="792"/>
      <c r="DI13" s="792"/>
      <c r="DJ13" s="792"/>
      <c r="DK13" s="792"/>
      <c r="DL13" s="792"/>
      <c r="DM13" s="792"/>
      <c r="DN13" s="792"/>
      <c r="DO13" s="792"/>
      <c r="DP13" s="792"/>
      <c r="DQ13" s="792"/>
      <c r="DR13" s="792"/>
      <c r="DS13" s="792"/>
      <c r="DT13" s="792"/>
      <c r="DU13" s="792"/>
      <c r="DV13" s="792"/>
      <c r="DW13" s="792"/>
      <c r="DX13" s="792"/>
      <c r="DY13" s="792"/>
      <c r="DZ13" s="792"/>
      <c r="EA13" s="792"/>
      <c r="EB13" s="792"/>
      <c r="EC13" s="792"/>
      <c r="ED13" s="792"/>
      <c r="EE13" s="792"/>
      <c r="EF13" s="792"/>
      <c r="EG13" s="792"/>
      <c r="EH13" s="792"/>
      <c r="EI13" s="792"/>
      <c r="EJ13" s="792"/>
      <c r="EK13" s="792"/>
      <c r="EL13" s="792"/>
      <c r="EM13" s="792"/>
      <c r="EN13" s="792"/>
      <c r="EO13" s="792"/>
      <c r="EP13" s="792"/>
      <c r="EQ13" s="792"/>
      <c r="ER13" s="792"/>
      <c r="ES13" s="792"/>
      <c r="ET13" s="792"/>
      <c r="EU13" s="792"/>
      <c r="EV13" s="792"/>
      <c r="EW13" s="792"/>
      <c r="EX13" s="792"/>
      <c r="EY13" s="792"/>
      <c r="EZ13" s="792"/>
      <c r="FA13" s="792"/>
      <c r="FB13" s="792"/>
      <c r="FC13" s="792"/>
      <c r="FD13" s="792"/>
      <c r="FE13" s="792"/>
      <c r="FF13" s="792"/>
      <c r="FG13" s="792"/>
      <c r="FH13" s="792"/>
      <c r="FI13" s="792"/>
      <c r="FJ13" s="792"/>
      <c r="FK13" s="792"/>
      <c r="FL13" s="792"/>
      <c r="FM13" s="792"/>
      <c r="FN13" s="792"/>
      <c r="FO13" s="792"/>
      <c r="FP13" s="792"/>
      <c r="FQ13" s="792"/>
      <c r="FR13" s="792"/>
      <c r="FS13" s="792"/>
      <c r="FT13" s="792"/>
      <c r="FU13" s="792"/>
      <c r="FV13" s="792"/>
      <c r="FW13" s="792"/>
      <c r="FX13" s="792"/>
      <c r="FY13" s="792"/>
      <c r="FZ13" s="792"/>
      <c r="GA13" s="792"/>
      <c r="GB13" s="792"/>
      <c r="GC13" s="792"/>
      <c r="GD13" s="792"/>
      <c r="GE13" s="792"/>
      <c r="GF13" s="792"/>
      <c r="GG13" s="792"/>
      <c r="GH13" s="792"/>
      <c r="GI13" s="792"/>
      <c r="GJ13" s="792"/>
      <c r="GK13" s="792"/>
      <c r="GL13" s="792"/>
      <c r="GM13" s="792"/>
      <c r="GN13" s="792"/>
      <c r="GO13" s="792"/>
    </row>
    <row r="14" spans="1:197" ht="28.5" x14ac:dyDescent="0.35">
      <c r="A14" s="849"/>
      <c r="B14" s="790"/>
      <c r="C14" s="794"/>
      <c r="D14" s="794"/>
      <c r="E14" s="906"/>
      <c r="F14" s="817"/>
      <c r="G14" s="817"/>
      <c r="H14" s="854"/>
      <c r="I14" s="854"/>
      <c r="J14" s="922"/>
      <c r="K14" s="821"/>
      <c r="L14" s="820"/>
      <c r="M14" s="820"/>
      <c r="N14" s="821"/>
      <c r="O14" s="792"/>
      <c r="P14" s="960"/>
      <c r="Q14" s="960"/>
      <c r="R14" s="960"/>
      <c r="S14" s="938"/>
      <c r="T14" s="961">
        <v>375</v>
      </c>
      <c r="U14" s="947" t="s">
        <v>175</v>
      </c>
      <c r="V14" s="969"/>
      <c r="W14" s="962">
        <v>500</v>
      </c>
      <c r="X14" s="962">
        <v>500</v>
      </c>
      <c r="Y14" s="962">
        <v>500</v>
      </c>
      <c r="Z14" s="948"/>
      <c r="AA14" s="792"/>
      <c r="AB14" s="792"/>
      <c r="AC14" s="792"/>
      <c r="AD14" s="792"/>
      <c r="AE14" s="792"/>
      <c r="AF14" s="963"/>
      <c r="AG14" s="963"/>
      <c r="AH14" s="963"/>
      <c r="AI14" s="790"/>
      <c r="AJ14" s="790"/>
      <c r="AK14" s="885"/>
      <c r="AL14" s="885"/>
      <c r="AM14" s="885"/>
      <c r="AN14" s="885"/>
      <c r="AO14" s="885"/>
      <c r="AP14" s="792"/>
      <c r="AQ14" s="792"/>
      <c r="AR14" s="792"/>
      <c r="AS14" s="792"/>
      <c r="AT14" s="887"/>
      <c r="AU14" s="887"/>
      <c r="AV14" s="887"/>
      <c r="AW14" s="887"/>
      <c r="AX14" s="887"/>
      <c r="AY14" s="887"/>
      <c r="AZ14" s="887"/>
      <c r="BA14" s="887"/>
      <c r="BB14" s="951"/>
      <c r="BC14" s="964">
        <v>400</v>
      </c>
      <c r="BD14" s="964">
        <v>400</v>
      </c>
      <c r="BE14" s="951"/>
      <c r="BF14" s="854"/>
      <c r="BG14" s="891"/>
      <c r="BH14" s="820"/>
      <c r="BI14" s="820"/>
      <c r="BJ14" s="820"/>
      <c r="BK14" s="891"/>
      <c r="BL14" s="792"/>
      <c r="BM14" s="792"/>
      <c r="BN14" s="837"/>
      <c r="BO14" s="837"/>
      <c r="BP14" s="837"/>
      <c r="BQ14" s="837"/>
      <c r="BR14" s="838"/>
      <c r="BS14" s="791"/>
      <c r="BT14" s="839"/>
      <c r="BU14" s="954"/>
      <c r="BV14" s="927"/>
      <c r="BW14" s="927"/>
      <c r="BX14" s="794"/>
      <c r="BY14" s="792"/>
      <c r="BZ14" s="792"/>
      <c r="CA14" s="792"/>
      <c r="CB14" s="792"/>
      <c r="CC14" s="792"/>
      <c r="CD14" s="792"/>
      <c r="CE14" s="792"/>
      <c r="CF14" s="970" t="s">
        <v>175</v>
      </c>
      <c r="CG14" s="970" t="s">
        <v>175</v>
      </c>
      <c r="CH14" s="970" t="s">
        <v>175</v>
      </c>
      <c r="CI14" s="889" t="s">
        <v>209</v>
      </c>
      <c r="CJ14" s="792"/>
      <c r="CK14" s="971" t="s">
        <v>175</v>
      </c>
      <c r="CL14" s="971" t="s">
        <v>175</v>
      </c>
      <c r="CM14" s="792"/>
      <c r="CN14" s="966"/>
      <c r="CO14" s="967"/>
      <c r="CP14" s="967"/>
      <c r="CQ14" s="968"/>
      <c r="CR14" s="791"/>
      <c r="CS14" s="791"/>
      <c r="CT14" s="848"/>
      <c r="CU14" s="812"/>
      <c r="CV14" s="812"/>
      <c r="CW14" s="812"/>
      <c r="CX14" s="811"/>
      <c r="CY14" s="812"/>
      <c r="CZ14" s="790"/>
      <c r="DA14" s="790"/>
      <c r="DB14" s="791"/>
      <c r="DC14" s="792"/>
      <c r="DD14" s="792"/>
      <c r="DE14" s="792"/>
      <c r="DF14" s="792"/>
      <c r="DG14" s="792"/>
      <c r="DH14" s="792"/>
      <c r="DI14" s="792"/>
      <c r="DJ14" s="792"/>
      <c r="DK14" s="792"/>
      <c r="DL14" s="792"/>
      <c r="DM14" s="792"/>
      <c r="DN14" s="792"/>
      <c r="DO14" s="792"/>
      <c r="DP14" s="792"/>
      <c r="DQ14" s="792"/>
      <c r="DR14" s="792"/>
      <c r="DS14" s="792"/>
      <c r="DT14" s="792"/>
      <c r="DU14" s="792"/>
      <c r="DV14" s="792"/>
      <c r="DW14" s="792"/>
      <c r="DX14" s="792"/>
      <c r="DY14" s="792"/>
      <c r="DZ14" s="792"/>
      <c r="EA14" s="792"/>
      <c r="EB14" s="792"/>
      <c r="EC14" s="792"/>
      <c r="ED14" s="792"/>
      <c r="EE14" s="792"/>
      <c r="EF14" s="792"/>
      <c r="EG14" s="792"/>
      <c r="EH14" s="792"/>
      <c r="EI14" s="792"/>
      <c r="EJ14" s="792"/>
      <c r="EK14" s="792"/>
      <c r="EL14" s="792"/>
      <c r="EM14" s="792"/>
      <c r="EN14" s="792"/>
      <c r="EO14" s="792"/>
      <c r="EP14" s="792"/>
      <c r="EQ14" s="792"/>
      <c r="ER14" s="792"/>
      <c r="ES14" s="792"/>
      <c r="ET14" s="792"/>
      <c r="EU14" s="792"/>
      <c r="EV14" s="792"/>
      <c r="EW14" s="792"/>
      <c r="EX14" s="792"/>
      <c r="EY14" s="792"/>
      <c r="EZ14" s="792"/>
      <c r="FA14" s="792"/>
      <c r="FB14" s="792"/>
      <c r="FC14" s="792"/>
      <c r="FD14" s="792"/>
      <c r="FE14" s="792"/>
      <c r="FF14" s="792"/>
      <c r="FG14" s="792"/>
      <c r="FH14" s="792"/>
      <c r="FI14" s="792"/>
      <c r="FJ14" s="792"/>
      <c r="FK14" s="792"/>
      <c r="FL14" s="792"/>
      <c r="FM14" s="792"/>
      <c r="FN14" s="792"/>
      <c r="FO14" s="792"/>
      <c r="FP14" s="792"/>
      <c r="FQ14" s="792"/>
      <c r="FR14" s="792"/>
      <c r="FS14" s="792"/>
      <c r="FT14" s="792"/>
      <c r="FU14" s="792"/>
      <c r="FV14" s="792"/>
      <c r="FW14" s="792"/>
      <c r="FX14" s="792"/>
      <c r="FY14" s="792"/>
      <c r="FZ14" s="792"/>
      <c r="GA14" s="792"/>
      <c r="GB14" s="792"/>
      <c r="GC14" s="792"/>
      <c r="GD14" s="792"/>
      <c r="GE14" s="792"/>
      <c r="GF14" s="792"/>
      <c r="GG14" s="792"/>
      <c r="GH14" s="792"/>
      <c r="GI14" s="792"/>
      <c r="GJ14" s="792"/>
      <c r="GK14" s="792"/>
      <c r="GL14" s="792"/>
      <c r="GM14" s="792"/>
      <c r="GN14" s="792"/>
      <c r="GO14" s="792"/>
    </row>
    <row r="15" spans="1:197" ht="28.5" x14ac:dyDescent="0.35">
      <c r="A15" s="849"/>
      <c r="B15" s="791"/>
      <c r="C15" s="794"/>
      <c r="D15" s="794"/>
      <c r="E15" s="906"/>
      <c r="F15" s="820"/>
      <c r="G15" s="820"/>
      <c r="H15" s="972"/>
      <c r="I15" s="792"/>
      <c r="J15" s="922"/>
      <c r="K15" s="872"/>
      <c r="L15" s="929"/>
      <c r="M15" s="929"/>
      <c r="N15" s="973"/>
      <c r="O15" s="792"/>
      <c r="P15" s="911"/>
      <c r="Q15" s="911"/>
      <c r="R15" s="911"/>
      <c r="S15" s="938"/>
      <c r="T15" s="932"/>
      <c r="U15" s="794"/>
      <c r="V15" s="792"/>
      <c r="W15" s="948" t="s">
        <v>202</v>
      </c>
      <c r="X15" s="948" t="s">
        <v>202</v>
      </c>
      <c r="Y15" s="948" t="s">
        <v>202</v>
      </c>
      <c r="Z15" s="858" t="s">
        <v>210</v>
      </c>
      <c r="AA15" s="792"/>
      <c r="AB15" s="792"/>
      <c r="AC15" s="792"/>
      <c r="AD15" s="792"/>
      <c r="AE15" s="792"/>
      <c r="AF15" s="896"/>
      <c r="AG15" s="896"/>
      <c r="AH15" s="896"/>
      <c r="AI15" s="896"/>
      <c r="AJ15" s="974"/>
      <c r="AK15" s="885"/>
      <c r="AL15" s="885"/>
      <c r="AM15" s="885"/>
      <c r="AN15" s="885"/>
      <c r="AO15" s="885"/>
      <c r="AP15" s="792"/>
      <c r="AQ15" s="792"/>
      <c r="AR15" s="792"/>
      <c r="AS15" s="792"/>
      <c r="AT15" s="887"/>
      <c r="AU15" s="887"/>
      <c r="AV15" s="887"/>
      <c r="AW15" s="887"/>
      <c r="AX15" s="887"/>
      <c r="AY15" s="887"/>
      <c r="AZ15" s="887"/>
      <c r="BA15" s="887"/>
      <c r="BB15" s="887"/>
      <c r="BC15" s="951" t="s">
        <v>175</v>
      </c>
      <c r="BD15" s="951" t="s">
        <v>175</v>
      </c>
      <c r="BE15" s="952"/>
      <c r="BF15" s="854"/>
      <c r="BG15" s="953"/>
      <c r="BH15" s="891"/>
      <c r="BI15" s="891"/>
      <c r="BJ15" s="891"/>
      <c r="BK15" s="791"/>
      <c r="BL15" s="845"/>
      <c r="BM15" s="794"/>
      <c r="BN15" s="794"/>
      <c r="BO15" s="794"/>
      <c r="BP15" s="794"/>
      <c r="BQ15" s="794"/>
      <c r="BR15" s="794"/>
      <c r="BS15" s="794"/>
      <c r="BT15" s="794"/>
      <c r="BU15" s="954"/>
      <c r="BV15" s="927"/>
      <c r="BW15" s="927"/>
      <c r="BX15" s="927"/>
      <c r="BY15" s="892"/>
      <c r="BZ15" s="975"/>
      <c r="CA15" s="975"/>
      <c r="CB15" s="975"/>
      <c r="CC15" s="975"/>
      <c r="CD15" s="792"/>
      <c r="CE15" s="792"/>
      <c r="CF15" s="976">
        <v>340</v>
      </c>
      <c r="CG15" s="976">
        <v>340</v>
      </c>
      <c r="CH15" s="976">
        <v>340</v>
      </c>
      <c r="CI15" s="970"/>
      <c r="CJ15" s="971"/>
      <c r="CK15" s="977">
        <v>340</v>
      </c>
      <c r="CL15" s="977">
        <v>340</v>
      </c>
      <c r="CM15" s="971"/>
      <c r="CN15" s="966"/>
      <c r="CO15" s="967"/>
      <c r="CP15" s="967"/>
      <c r="CQ15" s="968"/>
      <c r="CR15" s="791"/>
      <c r="CS15" s="791"/>
      <c r="CT15" s="848"/>
      <c r="CU15" s="812"/>
      <c r="CV15" s="812"/>
      <c r="CW15" s="812"/>
      <c r="CX15" s="811"/>
      <c r="CY15" s="812"/>
      <c r="CZ15" s="790"/>
      <c r="DA15" s="790"/>
      <c r="DB15" s="791"/>
      <c r="DC15" s="792"/>
      <c r="DD15" s="792"/>
      <c r="DE15" s="792"/>
      <c r="DF15" s="792"/>
      <c r="DG15" s="792"/>
      <c r="DH15" s="792"/>
      <c r="DI15" s="792"/>
      <c r="DJ15" s="792"/>
      <c r="DK15" s="792"/>
      <c r="DL15" s="792"/>
      <c r="DM15" s="792"/>
      <c r="DN15" s="792"/>
      <c r="DO15" s="792"/>
      <c r="DP15" s="792"/>
      <c r="DQ15" s="792"/>
      <c r="DR15" s="792"/>
      <c r="DS15" s="792"/>
      <c r="DT15" s="792"/>
      <c r="DU15" s="792"/>
      <c r="DV15" s="792"/>
      <c r="DW15" s="792"/>
      <c r="DX15" s="792"/>
      <c r="DY15" s="792"/>
      <c r="DZ15" s="792"/>
      <c r="EA15" s="792"/>
      <c r="EB15" s="792"/>
      <c r="EC15" s="792"/>
      <c r="ED15" s="792"/>
      <c r="EE15" s="792"/>
      <c r="EF15" s="792"/>
      <c r="EG15" s="792"/>
      <c r="EH15" s="792"/>
      <c r="EI15" s="792"/>
      <c r="EJ15" s="792"/>
      <c r="EK15" s="792"/>
      <c r="EL15" s="792"/>
      <c r="EM15" s="792"/>
      <c r="EN15" s="792"/>
      <c r="EO15" s="792"/>
      <c r="EP15" s="792"/>
      <c r="EQ15" s="792"/>
      <c r="ER15" s="792"/>
      <c r="ES15" s="792"/>
      <c r="ET15" s="792"/>
      <c r="EU15" s="792"/>
      <c r="EV15" s="792"/>
      <c r="EW15" s="792"/>
      <c r="EX15" s="792"/>
      <c r="EY15" s="792"/>
      <c r="EZ15" s="792"/>
      <c r="FA15" s="792"/>
      <c r="FB15" s="792"/>
      <c r="FC15" s="792"/>
      <c r="FD15" s="792"/>
      <c r="FE15" s="792"/>
      <c r="FF15" s="792"/>
      <c r="FG15" s="792"/>
      <c r="FH15" s="792"/>
      <c r="FI15" s="792"/>
      <c r="FJ15" s="792"/>
      <c r="FK15" s="792"/>
      <c r="FL15" s="792"/>
      <c r="FM15" s="792"/>
      <c r="FN15" s="792"/>
      <c r="FO15" s="792"/>
      <c r="FP15" s="792"/>
      <c r="FQ15" s="792"/>
      <c r="FR15" s="792"/>
      <c r="FS15" s="792"/>
      <c r="FT15" s="792"/>
      <c r="FU15" s="792"/>
      <c r="FV15" s="792"/>
      <c r="FW15" s="792"/>
      <c r="FX15" s="792"/>
      <c r="FY15" s="792"/>
      <c r="FZ15" s="792"/>
      <c r="GA15" s="792"/>
      <c r="GB15" s="792"/>
      <c r="GC15" s="792"/>
      <c r="GD15" s="792"/>
      <c r="GE15" s="792"/>
      <c r="GF15" s="792"/>
      <c r="GG15" s="792"/>
      <c r="GH15" s="792"/>
      <c r="GI15" s="792"/>
      <c r="GJ15" s="792"/>
      <c r="GK15" s="792"/>
      <c r="GL15" s="792"/>
      <c r="GM15" s="792"/>
      <c r="GN15" s="792"/>
      <c r="GO15" s="792"/>
    </row>
    <row r="16" spans="1:197" ht="29.25" thickBot="1" x14ac:dyDescent="0.45">
      <c r="A16" s="805" t="s">
        <v>164</v>
      </c>
      <c r="B16" s="805"/>
      <c r="C16" s="795"/>
      <c r="D16" s="978"/>
      <c r="E16" s="979"/>
      <c r="F16" s="820"/>
      <c r="G16" s="820"/>
      <c r="H16" s="980"/>
      <c r="I16" s="911"/>
      <c r="J16" s="895"/>
      <c r="K16" s="929"/>
      <c r="L16" s="820"/>
      <c r="M16" s="820"/>
      <c r="N16" s="792"/>
      <c r="O16" s="792"/>
      <c r="P16" s="792"/>
      <c r="Q16" s="792"/>
      <c r="R16" s="911"/>
      <c r="S16" s="938"/>
      <c r="T16" s="805" t="s">
        <v>211</v>
      </c>
      <c r="U16" s="805"/>
      <c r="V16" s="792"/>
      <c r="W16" s="981"/>
      <c r="X16" s="982"/>
      <c r="Y16" s="982"/>
      <c r="Z16" s="983"/>
      <c r="AA16" s="792"/>
      <c r="AB16" s="792"/>
      <c r="AC16" s="792"/>
      <c r="AD16" s="792"/>
      <c r="AE16" s="792"/>
      <c r="AF16" s="794"/>
      <c r="AG16" s="794"/>
      <c r="AH16" s="794"/>
      <c r="AI16" s="896"/>
      <c r="AJ16" s="860" t="s">
        <v>198</v>
      </c>
      <c r="AK16" s="860"/>
      <c r="AL16" s="860"/>
      <c r="AM16" s="860"/>
      <c r="AN16" s="885"/>
      <c r="AO16" s="885"/>
      <c r="AP16" s="792"/>
      <c r="AQ16" s="792"/>
      <c r="AR16" s="792"/>
      <c r="AS16" s="792"/>
      <c r="AT16" s="887"/>
      <c r="AU16" s="887"/>
      <c r="AV16" s="887"/>
      <c r="AW16" s="887"/>
      <c r="AX16" s="887"/>
      <c r="AY16" s="887"/>
      <c r="AZ16" s="887"/>
      <c r="BA16" s="887"/>
      <c r="BB16" s="887"/>
      <c r="BC16" s="875"/>
      <c r="BD16" s="875"/>
      <c r="BE16" s="887"/>
      <c r="BF16" s="791"/>
      <c r="BG16" s="791"/>
      <c r="BH16" s="791"/>
      <c r="BI16" s="885"/>
      <c r="BJ16" s="885"/>
      <c r="BK16" s="791"/>
      <c r="BL16" s="790"/>
      <c r="BM16" s="794"/>
      <c r="BN16" s="794"/>
      <c r="BO16" s="794"/>
      <c r="BP16" s="794"/>
      <c r="BQ16" s="794"/>
      <c r="BR16" s="794"/>
      <c r="BS16" s="794"/>
      <c r="BT16" s="794"/>
      <c r="BU16" s="984"/>
      <c r="BV16" s="927"/>
      <c r="BW16" s="927"/>
      <c r="BX16" s="927"/>
      <c r="BY16" s="892"/>
      <c r="BZ16" s="975"/>
      <c r="CA16" s="975"/>
      <c r="CB16" s="975"/>
      <c r="CC16" s="975"/>
      <c r="CD16" s="985"/>
      <c r="CE16" s="985"/>
      <c r="CF16" s="976">
        <v>340</v>
      </c>
      <c r="CG16" s="976">
        <v>340</v>
      </c>
      <c r="CH16" s="976">
        <v>340</v>
      </c>
      <c r="CI16" s="970"/>
      <c r="CJ16" s="971"/>
      <c r="CK16" s="977">
        <v>340</v>
      </c>
      <c r="CL16" s="977">
        <v>340</v>
      </c>
      <c r="CM16" s="971"/>
      <c r="CN16" s="966"/>
      <c r="CO16" s="967"/>
      <c r="CP16" s="967"/>
      <c r="CQ16" s="968"/>
      <c r="CR16" s="791"/>
      <c r="CS16" s="791"/>
      <c r="CT16" s="848"/>
      <c r="CU16" s="812"/>
      <c r="CV16" s="812"/>
      <c r="CW16" s="812"/>
      <c r="CX16" s="811"/>
      <c r="CY16" s="812"/>
      <c r="CZ16" s="790"/>
      <c r="DA16" s="790"/>
      <c r="DB16" s="791"/>
      <c r="DC16" s="792"/>
      <c r="DD16" s="792"/>
      <c r="DE16" s="792"/>
      <c r="DF16" s="792"/>
      <c r="DG16" s="792"/>
      <c r="DH16" s="792"/>
      <c r="DI16" s="792"/>
      <c r="DJ16" s="792"/>
      <c r="DK16" s="792"/>
      <c r="DL16" s="792"/>
      <c r="DM16" s="792"/>
      <c r="DN16" s="792"/>
      <c r="DO16" s="792"/>
      <c r="DP16" s="792"/>
      <c r="DQ16" s="792"/>
      <c r="DR16" s="792"/>
      <c r="DS16" s="792"/>
      <c r="DT16" s="792"/>
      <c r="DU16" s="792"/>
      <c r="DV16" s="792"/>
      <c r="DW16" s="792"/>
      <c r="DX16" s="792"/>
      <c r="DY16" s="792"/>
      <c r="DZ16" s="792"/>
      <c r="EA16" s="792"/>
      <c r="EB16" s="792"/>
      <c r="EC16" s="792"/>
      <c r="ED16" s="792"/>
      <c r="EE16" s="792"/>
      <c r="EF16" s="792"/>
      <c r="EG16" s="792"/>
      <c r="EH16" s="792"/>
      <c r="EI16" s="792"/>
      <c r="EJ16" s="792"/>
      <c r="EK16" s="792"/>
      <c r="EL16" s="792"/>
      <c r="EM16" s="792"/>
      <c r="EN16" s="792"/>
      <c r="EO16" s="792"/>
      <c r="EP16" s="792"/>
      <c r="EQ16" s="792"/>
      <c r="ER16" s="792"/>
      <c r="ES16" s="792"/>
      <c r="ET16" s="792"/>
      <c r="EU16" s="792"/>
      <c r="EV16" s="792"/>
      <c r="EW16" s="792"/>
      <c r="EX16" s="792"/>
      <c r="EY16" s="792"/>
      <c r="EZ16" s="792"/>
      <c r="FA16" s="792"/>
      <c r="FB16" s="792"/>
      <c r="FC16" s="792"/>
      <c r="FD16" s="792"/>
      <c r="FE16" s="792"/>
      <c r="FF16" s="792"/>
      <c r="FG16" s="792"/>
      <c r="FH16" s="792"/>
      <c r="FI16" s="792"/>
      <c r="FJ16" s="792"/>
      <c r="FK16" s="792"/>
      <c r="FL16" s="792"/>
      <c r="FM16" s="792"/>
      <c r="FN16" s="792"/>
      <c r="FO16" s="792"/>
      <c r="FP16" s="792"/>
      <c r="FQ16" s="792"/>
      <c r="FR16" s="792"/>
      <c r="FS16" s="792"/>
      <c r="FT16" s="792"/>
      <c r="FU16" s="792"/>
      <c r="FV16" s="792"/>
      <c r="FW16" s="792"/>
      <c r="FX16" s="792"/>
      <c r="FY16" s="792"/>
      <c r="FZ16" s="792"/>
      <c r="GA16" s="792"/>
      <c r="GB16" s="792"/>
      <c r="GC16" s="792"/>
      <c r="GD16" s="792"/>
      <c r="GE16" s="792"/>
      <c r="GF16" s="792"/>
      <c r="GG16" s="792"/>
      <c r="GH16" s="792"/>
      <c r="GI16" s="792"/>
      <c r="GJ16" s="792"/>
      <c r="GK16" s="792"/>
      <c r="GL16" s="792"/>
      <c r="GM16" s="792"/>
      <c r="GN16" s="792"/>
      <c r="GO16" s="792"/>
    </row>
    <row r="17" spans="1:197" ht="28.5" x14ac:dyDescent="0.4">
      <c r="A17" s="830">
        <v>340</v>
      </c>
      <c r="B17" s="829" t="s">
        <v>175</v>
      </c>
      <c r="C17" s="825"/>
      <c r="D17" s="794"/>
      <c r="E17" s="790"/>
      <c r="F17" s="817"/>
      <c r="G17" s="817"/>
      <c r="H17" s="928"/>
      <c r="I17" s="928"/>
      <c r="J17" s="911"/>
      <c r="K17" s="986"/>
      <c r="L17" s="820"/>
      <c r="M17" s="820"/>
      <c r="N17" s="922"/>
      <c r="O17" s="852"/>
      <c r="P17" s="929"/>
      <c r="Q17" s="929"/>
      <c r="R17" s="854"/>
      <c r="S17" s="938"/>
      <c r="T17" s="794"/>
      <c r="U17" s="794"/>
      <c r="V17" s="794"/>
      <c r="W17" s="794"/>
      <c r="X17" s="794"/>
      <c r="Y17" s="794"/>
      <c r="Z17" s="794"/>
      <c r="AA17" s="946"/>
      <c r="AE17" s="794"/>
      <c r="AF17" s="794"/>
      <c r="AG17" s="794"/>
      <c r="AH17" s="794"/>
      <c r="AI17" s="854"/>
      <c r="AJ17" s="911"/>
      <c r="AK17" s="911"/>
      <c r="AL17" s="911"/>
      <c r="AM17" s="911"/>
      <c r="AN17" s="812"/>
      <c r="AO17" s="854" t="s">
        <v>213</v>
      </c>
      <c r="AP17" s="885"/>
      <c r="AQ17" s="885"/>
      <c r="AR17" s="885"/>
      <c r="AS17" s="934"/>
      <c r="AT17" s="790"/>
      <c r="AU17" s="887"/>
      <c r="AV17" s="887"/>
      <c r="AW17" s="887"/>
      <c r="AX17" s="887"/>
      <c r="AY17" s="885"/>
      <c r="AZ17" s="792"/>
      <c r="BA17" s="854"/>
      <c r="BB17" s="885"/>
      <c r="BC17" s="885"/>
      <c r="BD17" s="885"/>
      <c r="BE17" s="791"/>
      <c r="BF17" s="854"/>
      <c r="BG17" s="885"/>
      <c r="BH17" s="885"/>
      <c r="BI17" s="885"/>
      <c r="BJ17" s="885"/>
      <c r="BK17" s="791"/>
      <c r="BL17" s="790"/>
      <c r="BM17" s="794"/>
      <c r="BN17" s="794"/>
      <c r="BO17" s="794"/>
      <c r="BP17" s="794"/>
      <c r="BQ17" s="794"/>
      <c r="BR17" s="794"/>
      <c r="BS17" s="794"/>
      <c r="BT17" s="794"/>
      <c r="BU17" s="866"/>
      <c r="BV17" s="927"/>
      <c r="BW17" s="927"/>
      <c r="BX17" s="927"/>
      <c r="BY17" s="987"/>
      <c r="BZ17" s="987"/>
      <c r="CA17" s="987"/>
      <c r="CB17" s="987"/>
      <c r="CC17" s="987"/>
      <c r="CD17" s="825"/>
      <c r="CE17" s="988"/>
      <c r="CF17" s="970" t="s">
        <v>175</v>
      </c>
      <c r="CG17" s="970" t="s">
        <v>175</v>
      </c>
      <c r="CH17" s="970" t="s">
        <v>175</v>
      </c>
      <c r="CI17" s="792"/>
      <c r="CJ17" s="792"/>
      <c r="CK17" s="971" t="s">
        <v>175</v>
      </c>
      <c r="CL17" s="971" t="s">
        <v>175</v>
      </c>
      <c r="CM17" s="792"/>
      <c r="CN17" s="966"/>
      <c r="CO17" s="967"/>
      <c r="CP17" s="967"/>
      <c r="CQ17" s="968"/>
      <c r="CR17" s="791"/>
      <c r="CS17" s="791"/>
      <c r="CT17" s="848"/>
      <c r="CU17" s="812"/>
      <c r="CV17" s="812"/>
      <c r="CW17" s="812"/>
      <c r="CX17" s="811"/>
      <c r="CY17" s="812"/>
      <c r="CZ17" s="790"/>
      <c r="DA17" s="790"/>
      <c r="DB17" s="791"/>
      <c r="DC17" s="792"/>
      <c r="DD17" s="792"/>
      <c r="DE17" s="792"/>
      <c r="DF17" s="792"/>
      <c r="DG17" s="792"/>
      <c r="DH17" s="792"/>
      <c r="DI17" s="792"/>
      <c r="DJ17" s="792"/>
      <c r="DK17" s="792"/>
      <c r="DL17" s="792"/>
      <c r="DM17" s="792"/>
      <c r="DN17" s="792"/>
      <c r="DO17" s="792"/>
      <c r="DP17" s="792"/>
      <c r="DQ17" s="792"/>
      <c r="DR17" s="792"/>
      <c r="DS17" s="792"/>
      <c r="DT17" s="792"/>
      <c r="DU17" s="792"/>
      <c r="DV17" s="792"/>
      <c r="DW17" s="792"/>
      <c r="DX17" s="792"/>
      <c r="DY17" s="792"/>
      <c r="DZ17" s="792"/>
      <c r="EA17" s="792"/>
      <c r="EB17" s="792"/>
      <c r="EC17" s="792"/>
      <c r="ED17" s="792"/>
      <c r="EE17" s="792"/>
      <c r="EF17" s="792"/>
      <c r="EG17" s="792"/>
      <c r="EH17" s="792"/>
      <c r="EI17" s="792"/>
      <c r="EJ17" s="792"/>
      <c r="EK17" s="792"/>
      <c r="EL17" s="792"/>
      <c r="EM17" s="792"/>
      <c r="EN17" s="792"/>
      <c r="EO17" s="792"/>
      <c r="EP17" s="792"/>
      <c r="EQ17" s="792"/>
      <c r="ER17" s="792"/>
      <c r="ES17" s="792"/>
      <c r="ET17" s="792"/>
      <c r="EU17" s="792"/>
      <c r="EV17" s="792"/>
      <c r="EW17" s="792"/>
      <c r="EX17" s="792"/>
      <c r="EY17" s="792"/>
      <c r="EZ17" s="792"/>
      <c r="FA17" s="792"/>
      <c r="FB17" s="792"/>
      <c r="FC17" s="792"/>
      <c r="FD17" s="792"/>
      <c r="FE17" s="792"/>
      <c r="FF17" s="792"/>
      <c r="FG17" s="792"/>
      <c r="FH17" s="792"/>
      <c r="FI17" s="792"/>
      <c r="FJ17" s="792"/>
      <c r="FK17" s="792"/>
      <c r="FL17" s="792"/>
      <c r="FM17" s="792"/>
      <c r="FN17" s="792"/>
      <c r="FO17" s="792"/>
      <c r="FP17" s="792"/>
      <c r="FQ17" s="792"/>
      <c r="FR17" s="792"/>
      <c r="FS17" s="792"/>
      <c r="FT17" s="792"/>
      <c r="FU17" s="792"/>
      <c r="FV17" s="792"/>
      <c r="FW17" s="792"/>
      <c r="FX17" s="792"/>
      <c r="FY17" s="792"/>
      <c r="FZ17" s="792"/>
      <c r="GA17" s="792"/>
      <c r="GB17" s="792"/>
      <c r="GC17" s="792"/>
      <c r="GD17" s="792"/>
      <c r="GE17" s="792"/>
      <c r="GF17" s="792"/>
      <c r="GG17" s="792"/>
      <c r="GH17" s="792"/>
      <c r="GI17" s="792"/>
      <c r="GJ17" s="792"/>
      <c r="GK17" s="792"/>
      <c r="GL17" s="792"/>
      <c r="GM17" s="792"/>
      <c r="GN17" s="792"/>
      <c r="GO17" s="792"/>
    </row>
    <row r="18" spans="1:197" ht="28.5" x14ac:dyDescent="0.3">
      <c r="A18" s="792"/>
      <c r="B18" s="852"/>
      <c r="C18" s="792"/>
      <c r="D18" s="794"/>
      <c r="E18" s="790"/>
      <c r="F18" s="911"/>
      <c r="G18" s="911"/>
      <c r="H18" s="905"/>
      <c r="I18" s="790"/>
      <c r="J18" s="794"/>
      <c r="K18" s="818"/>
      <c r="L18" s="986"/>
      <c r="M18" s="986"/>
      <c r="N18" s="895"/>
      <c r="O18" s="821"/>
      <c r="P18" s="820"/>
      <c r="Q18" s="820"/>
      <c r="R18" s="821"/>
      <c r="S18" s="938"/>
      <c r="T18" s="989">
        <v>500</v>
      </c>
      <c r="U18" s="948" t="s">
        <v>202</v>
      </c>
      <c r="V18" s="792"/>
      <c r="W18" s="990"/>
      <c r="X18" s="991"/>
      <c r="Y18" s="991"/>
      <c r="Z18" s="794"/>
      <c r="AA18" s="794"/>
      <c r="AB18" s="794"/>
      <c r="AC18" s="856"/>
      <c r="AD18" s="856"/>
      <c r="AE18" s="794"/>
      <c r="AF18" s="992"/>
      <c r="AG18" s="794"/>
      <c r="AH18" s="856"/>
      <c r="AI18" s="794"/>
      <c r="AJ18" s="794"/>
      <c r="AK18" s="993" t="s">
        <v>202</v>
      </c>
      <c r="AL18" s="993" t="s">
        <v>202</v>
      </c>
      <c r="AM18" s="993" t="s">
        <v>202</v>
      </c>
      <c r="AN18" s="949" t="s">
        <v>219</v>
      </c>
      <c r="AO18" s="862" t="s">
        <v>220</v>
      </c>
      <c r="AP18" s="994" t="s">
        <v>182</v>
      </c>
      <c r="AQ18" s="994" t="s">
        <v>182</v>
      </c>
      <c r="AR18" s="994" t="s">
        <v>182</v>
      </c>
      <c r="AS18" s="791"/>
      <c r="AT18" s="792"/>
      <c r="AU18" s="887"/>
      <c r="AV18" s="887"/>
      <c r="AW18" s="887"/>
      <c r="AX18" s="887"/>
      <c r="AY18" s="791"/>
      <c r="AZ18" s="792"/>
      <c r="BA18" s="818"/>
      <c r="BB18" s="817"/>
      <c r="BC18" s="817"/>
      <c r="BD18" s="817"/>
      <c r="BE18" s="995"/>
      <c r="BF18" s="818"/>
      <c r="BG18" s="817"/>
      <c r="BH18" s="817"/>
      <c r="BI18" s="817"/>
      <c r="BJ18" s="817"/>
      <c r="BK18" s="791"/>
      <c r="BL18" s="790"/>
      <c r="BM18" s="794"/>
      <c r="BN18" s="794"/>
      <c r="BO18" s="794"/>
      <c r="BP18" s="794"/>
      <c r="BQ18" s="794"/>
      <c r="BR18" s="794"/>
      <c r="BS18" s="794"/>
      <c r="BT18" s="794"/>
      <c r="BU18" s="866"/>
      <c r="BV18" s="927"/>
      <c r="BW18" s="927"/>
      <c r="BX18" s="927"/>
      <c r="BY18" s="987"/>
      <c r="BZ18" s="792"/>
      <c r="CA18" s="792"/>
      <c r="CB18" s="792"/>
      <c r="CC18" s="792"/>
      <c r="CD18" s="792"/>
      <c r="CE18" s="792"/>
      <c r="CF18" s="875"/>
      <c r="CG18" s="875"/>
      <c r="CH18" s="875"/>
      <c r="CI18" s="792"/>
      <c r="CJ18" s="792"/>
      <c r="CK18" s="885"/>
      <c r="CL18" s="885"/>
      <c r="CM18" s="792"/>
      <c r="CN18" s="966"/>
      <c r="CO18" s="967"/>
      <c r="CP18" s="967"/>
      <c r="CQ18" s="968"/>
      <c r="CR18" s="791"/>
      <c r="CS18" s="791"/>
      <c r="CT18" s="848"/>
      <c r="CU18" s="812"/>
      <c r="CV18" s="812"/>
      <c r="CW18" s="812"/>
      <c r="CX18" s="811"/>
      <c r="CY18" s="812"/>
      <c r="CZ18" s="790"/>
      <c r="DA18" s="790"/>
      <c r="DB18" s="791"/>
      <c r="DC18" s="792"/>
      <c r="DD18" s="792"/>
      <c r="DE18" s="792"/>
      <c r="DF18" s="792"/>
      <c r="DG18" s="792"/>
      <c r="DH18" s="792"/>
      <c r="DI18" s="792"/>
      <c r="DJ18" s="792"/>
      <c r="DK18" s="792"/>
      <c r="DL18" s="792"/>
      <c r="DM18" s="792"/>
      <c r="DN18" s="792"/>
      <c r="DO18" s="792"/>
      <c r="DP18" s="792"/>
      <c r="DQ18" s="792"/>
      <c r="DR18" s="792"/>
      <c r="DS18" s="792"/>
      <c r="DT18" s="792"/>
      <c r="DU18" s="792"/>
      <c r="DV18" s="792"/>
      <c r="DW18" s="792"/>
      <c r="DX18" s="792"/>
      <c r="DY18" s="792"/>
      <c r="DZ18" s="792"/>
      <c r="EA18" s="792"/>
      <c r="EB18" s="792"/>
      <c r="EC18" s="792"/>
      <c r="ED18" s="792"/>
      <c r="EE18" s="792"/>
      <c r="EF18" s="792"/>
      <c r="EG18" s="792"/>
      <c r="EH18" s="792"/>
      <c r="EI18" s="792"/>
      <c r="EJ18" s="792"/>
      <c r="EK18" s="792"/>
      <c r="EL18" s="792"/>
      <c r="EM18" s="792"/>
      <c r="EN18" s="792"/>
      <c r="EO18" s="792"/>
      <c r="EP18" s="792"/>
      <c r="EQ18" s="792"/>
      <c r="ER18" s="792"/>
      <c r="ES18" s="792"/>
      <c r="ET18" s="792"/>
      <c r="EU18" s="792"/>
      <c r="EV18" s="792"/>
      <c r="EW18" s="792"/>
      <c r="EX18" s="792"/>
      <c r="EY18" s="792"/>
      <c r="EZ18" s="792"/>
      <c r="FA18" s="792"/>
      <c r="FB18" s="792"/>
      <c r="FC18" s="792"/>
      <c r="FD18" s="792"/>
      <c r="FE18" s="792"/>
      <c r="FF18" s="792"/>
      <c r="FG18" s="792"/>
      <c r="FH18" s="792"/>
      <c r="FI18" s="792"/>
      <c r="FJ18" s="792"/>
      <c r="FK18" s="792"/>
      <c r="FL18" s="792"/>
      <c r="FM18" s="792"/>
      <c r="FN18" s="792"/>
      <c r="FO18" s="792"/>
      <c r="FP18" s="792"/>
      <c r="FQ18" s="792"/>
      <c r="FR18" s="792"/>
      <c r="FS18" s="792"/>
      <c r="FT18" s="792"/>
      <c r="FU18" s="792"/>
      <c r="FV18" s="792"/>
      <c r="FW18" s="792"/>
      <c r="FX18" s="792"/>
      <c r="FY18" s="792"/>
      <c r="FZ18" s="792"/>
      <c r="GA18" s="792"/>
      <c r="GB18" s="792"/>
      <c r="GC18" s="792"/>
      <c r="GD18" s="792"/>
      <c r="GE18" s="792"/>
      <c r="GF18" s="792"/>
      <c r="GG18" s="792"/>
      <c r="GH18" s="792"/>
      <c r="GI18" s="792"/>
      <c r="GJ18" s="792"/>
      <c r="GK18" s="792"/>
      <c r="GL18" s="792"/>
      <c r="GM18" s="792"/>
      <c r="GN18" s="792"/>
      <c r="GO18" s="792"/>
    </row>
    <row r="19" spans="1:197" ht="28.5" x14ac:dyDescent="0.35">
      <c r="A19" s="830">
        <v>340</v>
      </c>
      <c r="B19" s="829" t="s">
        <v>175</v>
      </c>
      <c r="C19" s="851"/>
      <c r="D19" s="996"/>
      <c r="E19" s="792"/>
      <c r="F19" s="792"/>
      <c r="G19" s="792"/>
      <c r="H19" s="792"/>
      <c r="I19" s="794"/>
      <c r="J19" s="997"/>
      <c r="K19" s="998"/>
      <c r="L19" s="792"/>
      <c r="M19" s="792"/>
      <c r="N19" s="895"/>
      <c r="O19" s="821"/>
      <c r="P19" s="820"/>
      <c r="Q19" s="820"/>
      <c r="R19" s="821"/>
      <c r="S19" s="938"/>
      <c r="T19" s="989">
        <v>500</v>
      </c>
      <c r="U19" s="948" t="s">
        <v>202</v>
      </c>
      <c r="V19" s="899"/>
      <c r="W19" s="899"/>
      <c r="X19" s="899"/>
      <c r="Y19" s="899"/>
      <c r="Z19" s="794"/>
      <c r="AA19" s="899"/>
      <c r="AB19" s="899"/>
      <c r="AC19" s="899"/>
      <c r="AD19" s="792"/>
      <c r="AE19" s="794"/>
      <c r="AF19" s="899"/>
      <c r="AG19" s="899"/>
      <c r="AH19" s="899"/>
      <c r="AI19" s="794"/>
      <c r="AJ19" s="794"/>
      <c r="AK19" s="999">
        <v>500</v>
      </c>
      <c r="AL19" s="999">
        <v>500</v>
      </c>
      <c r="AM19" s="999">
        <v>500</v>
      </c>
      <c r="AN19" s="993"/>
      <c r="AO19" s="1000"/>
      <c r="AP19" s="1001">
        <v>340</v>
      </c>
      <c r="AQ19" s="1001">
        <v>340</v>
      </c>
      <c r="AR19" s="1002">
        <v>340</v>
      </c>
      <c r="AS19" s="1003"/>
      <c r="AT19" s="792"/>
      <c r="AU19" s="887"/>
      <c r="AV19" s="887"/>
      <c r="AW19" s="887"/>
      <c r="AX19" s="887"/>
      <c r="AY19" s="791"/>
      <c r="AZ19" s="792"/>
      <c r="BA19" s="817"/>
      <c r="BB19" s="820"/>
      <c r="BC19" s="820"/>
      <c r="BD19" s="820"/>
      <c r="BE19" s="817"/>
      <c r="BF19" s="817"/>
      <c r="BG19" s="817"/>
      <c r="BH19" s="820"/>
      <c r="BI19" s="820"/>
      <c r="BJ19" s="820"/>
      <c r="BK19" s="817"/>
      <c r="BL19" s="790"/>
      <c r="BM19" s="794"/>
      <c r="BN19" s="794"/>
      <c r="BO19" s="794"/>
      <c r="BP19" s="794"/>
      <c r="BQ19" s="794"/>
      <c r="BR19" s="794"/>
      <c r="BS19" s="794"/>
      <c r="BT19" s="794"/>
      <c r="BU19" s="845"/>
      <c r="BV19" s="1004"/>
      <c r="BW19" s="927"/>
      <c r="BX19" s="927"/>
      <c r="BY19" s="987"/>
      <c r="BZ19" s="1005" t="s">
        <v>176</v>
      </c>
      <c r="CA19" s="1005"/>
      <c r="CB19" s="1005"/>
      <c r="CC19" s="1005"/>
      <c r="CD19" s="852"/>
      <c r="CJ19" s="819"/>
      <c r="CK19" s="819"/>
      <c r="CL19" s="819"/>
      <c r="CM19" s="792"/>
      <c r="CN19" s="966"/>
      <c r="CO19" s="967"/>
      <c r="CP19" s="967"/>
      <c r="CQ19" s="968"/>
      <c r="CR19" s="791"/>
      <c r="CS19" s="791"/>
      <c r="CT19" s="848"/>
      <c r="CU19" s="812"/>
      <c r="CV19" s="812"/>
      <c r="CW19" s="812"/>
      <c r="CX19" s="811"/>
      <c r="CY19" s="812"/>
      <c r="CZ19" s="790"/>
      <c r="DA19" s="790"/>
      <c r="DB19" s="791"/>
      <c r="DC19" s="792"/>
      <c r="DD19" s="792"/>
      <c r="DE19" s="792"/>
      <c r="DF19" s="792"/>
      <c r="DG19" s="792"/>
      <c r="DH19" s="792"/>
      <c r="DI19" s="792"/>
      <c r="DJ19" s="792"/>
      <c r="DK19" s="792"/>
      <c r="DL19" s="792"/>
      <c r="DM19" s="792"/>
      <c r="DN19" s="792"/>
      <c r="DO19" s="792"/>
      <c r="DP19" s="792"/>
      <c r="DQ19" s="792"/>
      <c r="DR19" s="792"/>
      <c r="DS19" s="792"/>
      <c r="DT19" s="792"/>
      <c r="DU19" s="792"/>
      <c r="DV19" s="792"/>
      <c r="DW19" s="792"/>
      <c r="DX19" s="792"/>
      <c r="DY19" s="792"/>
      <c r="DZ19" s="792"/>
      <c r="EA19" s="792"/>
      <c r="EB19" s="792"/>
      <c r="EC19" s="792"/>
      <c r="ED19" s="792"/>
      <c r="EE19" s="792"/>
      <c r="EF19" s="792"/>
      <c r="EG19" s="792"/>
      <c r="EH19" s="792"/>
      <c r="EI19" s="792"/>
      <c r="EJ19" s="792"/>
      <c r="EK19" s="792"/>
      <c r="EL19" s="792"/>
      <c r="EM19" s="792"/>
      <c r="EN19" s="792"/>
      <c r="EO19" s="792"/>
      <c r="EP19" s="792"/>
      <c r="EQ19" s="792"/>
      <c r="ER19" s="792"/>
      <c r="ES19" s="792"/>
      <c r="ET19" s="792"/>
      <c r="EU19" s="792"/>
      <c r="EV19" s="792"/>
      <c r="EW19" s="792"/>
      <c r="EX19" s="792"/>
      <c r="EY19" s="792"/>
      <c r="EZ19" s="792"/>
      <c r="FA19" s="792"/>
      <c r="FB19" s="792"/>
      <c r="FC19" s="792"/>
      <c r="FD19" s="792"/>
      <c r="FE19" s="792"/>
      <c r="FF19" s="792"/>
      <c r="FG19" s="792"/>
      <c r="FH19" s="792"/>
      <c r="FI19" s="792"/>
      <c r="FJ19" s="792"/>
      <c r="FK19" s="792"/>
      <c r="FL19" s="792"/>
      <c r="FM19" s="792"/>
      <c r="FN19" s="792"/>
      <c r="FO19" s="792"/>
      <c r="FP19" s="792"/>
      <c r="FQ19" s="792"/>
      <c r="FR19" s="792"/>
      <c r="FS19" s="792"/>
      <c r="FT19" s="792"/>
      <c r="FU19" s="792"/>
      <c r="FV19" s="792"/>
      <c r="FW19" s="792"/>
      <c r="FX19" s="792"/>
      <c r="FY19" s="792"/>
      <c r="FZ19" s="792"/>
      <c r="GA19" s="792"/>
      <c r="GB19" s="792"/>
      <c r="GC19" s="792"/>
      <c r="GD19" s="792"/>
      <c r="GE19" s="792"/>
      <c r="GF19" s="792"/>
      <c r="GG19" s="792"/>
      <c r="GH19" s="792"/>
      <c r="GI19" s="792"/>
      <c r="GJ19" s="792"/>
      <c r="GK19" s="792"/>
      <c r="GL19" s="792"/>
      <c r="GM19" s="792"/>
      <c r="GN19" s="792"/>
      <c r="GO19" s="792"/>
    </row>
    <row r="20" spans="1:197" ht="28.5" x14ac:dyDescent="0.4">
      <c r="A20" s="934"/>
      <c r="B20" s="934"/>
      <c r="C20" s="851"/>
      <c r="D20" s="1006"/>
      <c r="E20" s="1007" t="s">
        <v>223</v>
      </c>
      <c r="F20" s="1007"/>
      <c r="G20" s="1007"/>
      <c r="H20" s="1007"/>
      <c r="I20" s="1008"/>
      <c r="J20" s="1006"/>
      <c r="K20" s="792"/>
      <c r="L20" s="792"/>
      <c r="M20" s="792"/>
      <c r="N20" s="895"/>
      <c r="O20" s="821"/>
      <c r="P20" s="820"/>
      <c r="Q20" s="820"/>
      <c r="R20" s="821"/>
      <c r="S20" s="938"/>
      <c r="T20" s="962">
        <v>500</v>
      </c>
      <c r="U20" s="948" t="s">
        <v>202</v>
      </c>
      <c r="V20" s="899"/>
      <c r="W20" s="899"/>
      <c r="X20" s="899"/>
      <c r="Y20" s="899"/>
      <c r="Z20" s="794"/>
      <c r="AA20" s="899"/>
      <c r="AB20" s="899"/>
      <c r="AC20" s="899"/>
      <c r="AD20" s="792"/>
      <c r="AE20" s="794"/>
      <c r="AF20" s="899"/>
      <c r="AG20" s="899"/>
      <c r="AH20" s="899"/>
      <c r="AI20" s="794"/>
      <c r="AJ20" s="794"/>
      <c r="AK20" s="999">
        <v>500</v>
      </c>
      <c r="AL20" s="999">
        <v>500</v>
      </c>
      <c r="AM20" s="999">
        <v>500</v>
      </c>
      <c r="AN20" s="993"/>
      <c r="AO20" s="1000"/>
      <c r="AP20" s="1002">
        <v>340</v>
      </c>
      <c r="AQ20" s="1002">
        <v>340</v>
      </c>
      <c r="AR20" s="1002">
        <v>340</v>
      </c>
      <c r="AS20" s="1009"/>
      <c r="AT20" s="792"/>
      <c r="AU20" s="887"/>
      <c r="AV20" s="887"/>
      <c r="AW20" s="887"/>
      <c r="AX20" s="887"/>
      <c r="AY20" s="791"/>
      <c r="AZ20" s="792"/>
      <c r="BA20" s="817"/>
      <c r="BB20" s="820"/>
      <c r="BC20" s="820"/>
      <c r="BD20" s="820"/>
      <c r="BE20" s="817"/>
      <c r="BF20" s="817"/>
      <c r="BG20" s="817"/>
      <c r="BH20" s="820"/>
      <c r="BI20" s="820"/>
      <c r="BJ20" s="820"/>
      <c r="BK20" s="817"/>
      <c r="BL20" s="790"/>
      <c r="BM20" s="794"/>
      <c r="BN20" s="794"/>
      <c r="BO20" s="794"/>
      <c r="BP20" s="794"/>
      <c r="BQ20" s="794"/>
      <c r="BR20" s="794"/>
      <c r="BS20" s="794"/>
      <c r="BT20" s="794"/>
      <c r="BU20" s="845"/>
      <c r="BV20" s="1004"/>
      <c r="BW20" s="927"/>
      <c r="BX20" s="927"/>
      <c r="BY20" s="987"/>
      <c r="BZ20" s="885"/>
      <c r="CA20" s="885"/>
      <c r="CB20" s="885"/>
      <c r="CC20" s="885"/>
      <c r="CD20" s="929"/>
      <c r="CJ20" s="792"/>
      <c r="CK20" s="825"/>
      <c r="CL20" s="825"/>
      <c r="CM20" s="792"/>
      <c r="CN20" s="966"/>
      <c r="CO20" s="967"/>
      <c r="CP20" s="967"/>
      <c r="CQ20" s="968"/>
      <c r="CR20" s="791"/>
      <c r="CS20" s="791"/>
      <c r="CT20" s="848"/>
      <c r="CU20" s="812"/>
      <c r="CV20" s="812"/>
      <c r="CW20" s="812"/>
      <c r="CX20" s="811"/>
      <c r="CY20" s="812"/>
      <c r="CZ20" s="790"/>
      <c r="DA20" s="790"/>
      <c r="DB20" s="791"/>
      <c r="DC20" s="792"/>
      <c r="DD20" s="792"/>
      <c r="DE20" s="792"/>
      <c r="DF20" s="792"/>
      <c r="DG20" s="792"/>
      <c r="DH20" s="792"/>
      <c r="DI20" s="792"/>
      <c r="DJ20" s="792"/>
      <c r="DK20" s="792"/>
      <c r="DL20" s="792"/>
      <c r="DM20" s="792"/>
      <c r="DN20" s="792"/>
      <c r="DO20" s="792"/>
      <c r="DP20" s="792"/>
      <c r="DQ20" s="792"/>
      <c r="DR20" s="792"/>
      <c r="DS20" s="792"/>
      <c r="DT20" s="792"/>
      <c r="DU20" s="792"/>
      <c r="DV20" s="792"/>
      <c r="DW20" s="792"/>
      <c r="DX20" s="792"/>
      <c r="DY20" s="792"/>
      <c r="DZ20" s="792"/>
      <c r="EA20" s="792"/>
      <c r="EB20" s="792"/>
      <c r="EC20" s="792"/>
      <c r="ED20" s="792"/>
      <c r="EE20" s="792"/>
      <c r="EF20" s="792"/>
      <c r="EG20" s="792"/>
      <c r="EH20" s="792"/>
      <c r="EI20" s="792"/>
      <c r="EJ20" s="792"/>
      <c r="EK20" s="792"/>
      <c r="EL20" s="792"/>
      <c r="EM20" s="792"/>
      <c r="EN20" s="792"/>
      <c r="EO20" s="792"/>
      <c r="EP20" s="792"/>
      <c r="EQ20" s="792"/>
      <c r="ER20" s="792"/>
      <c r="ES20" s="792"/>
      <c r="ET20" s="792"/>
      <c r="EU20" s="792"/>
      <c r="EV20" s="792"/>
      <c r="EW20" s="792"/>
      <c r="EX20" s="792"/>
      <c r="EY20" s="792"/>
      <c r="EZ20" s="792"/>
      <c r="FA20" s="792"/>
      <c r="FB20" s="792"/>
      <c r="FC20" s="792"/>
      <c r="FD20" s="792"/>
      <c r="FE20" s="792"/>
      <c r="FF20" s="792"/>
      <c r="FG20" s="792"/>
      <c r="FH20" s="792"/>
      <c r="FI20" s="792"/>
      <c r="FJ20" s="792"/>
      <c r="FK20" s="792"/>
      <c r="FL20" s="792"/>
      <c r="FM20" s="792"/>
      <c r="FN20" s="792"/>
      <c r="FO20" s="792"/>
      <c r="FP20" s="792"/>
      <c r="FQ20" s="792"/>
      <c r="FR20" s="792"/>
      <c r="FS20" s="792"/>
      <c r="FT20" s="792"/>
      <c r="FU20" s="792"/>
      <c r="FV20" s="792"/>
      <c r="FW20" s="792"/>
      <c r="FX20" s="792"/>
      <c r="FY20" s="792"/>
      <c r="FZ20" s="792"/>
      <c r="GA20" s="792"/>
      <c r="GB20" s="792"/>
      <c r="GC20" s="792"/>
      <c r="GD20" s="792"/>
      <c r="GE20" s="792"/>
      <c r="GF20" s="792"/>
      <c r="GG20" s="792"/>
      <c r="GH20" s="792"/>
      <c r="GI20" s="792"/>
      <c r="GJ20" s="792"/>
      <c r="GK20" s="792"/>
      <c r="GL20" s="792"/>
      <c r="GM20" s="792"/>
      <c r="GN20" s="792"/>
      <c r="GO20" s="792"/>
    </row>
    <row r="21" spans="1:197" ht="29.25" thickBot="1" x14ac:dyDescent="0.35">
      <c r="A21" s="830">
        <v>340</v>
      </c>
      <c r="B21" s="829" t="s">
        <v>175</v>
      </c>
      <c r="C21" s="851"/>
      <c r="D21" s="1006"/>
      <c r="E21" s="858" t="s">
        <v>178</v>
      </c>
      <c r="F21" s="1010"/>
      <c r="G21" s="1010"/>
      <c r="H21" s="949" t="s">
        <v>219</v>
      </c>
      <c r="I21" s="1008"/>
      <c r="J21" s="1006"/>
      <c r="K21" s="792"/>
      <c r="L21" s="792"/>
      <c r="M21" s="792"/>
      <c r="N21" s="922"/>
      <c r="O21" s="872"/>
      <c r="P21" s="929"/>
      <c r="Q21" s="929"/>
      <c r="R21" s="973"/>
      <c r="S21" s="938"/>
      <c r="T21" s="1011" t="s">
        <v>224</v>
      </c>
      <c r="U21" s="1011"/>
      <c r="V21" s="1011"/>
      <c r="W21" s="1012"/>
      <c r="X21" s="1012"/>
      <c r="Y21" s="1012"/>
      <c r="Z21" s="794"/>
      <c r="AA21" s="792"/>
      <c r="AB21" s="860" t="s">
        <v>223</v>
      </c>
      <c r="AC21" s="860"/>
      <c r="AD21" s="860"/>
      <c r="AE21" s="794"/>
      <c r="AF21" s="794"/>
      <c r="AG21" s="794"/>
      <c r="AH21" s="794"/>
      <c r="AI21" s="794"/>
      <c r="AJ21" s="794"/>
      <c r="AK21" s="993" t="s">
        <v>202</v>
      </c>
      <c r="AL21" s="993" t="s">
        <v>202</v>
      </c>
      <c r="AM21" s="993" t="s">
        <v>202</v>
      </c>
      <c r="AN21" s="812"/>
      <c r="AO21" s="856"/>
      <c r="AP21" s="994" t="s">
        <v>182</v>
      </c>
      <c r="AQ21" s="994" t="s">
        <v>182</v>
      </c>
      <c r="AR21" s="994" t="s">
        <v>182</v>
      </c>
      <c r="AS21" s="856"/>
      <c r="AT21" s="792"/>
      <c r="AU21" s="887"/>
      <c r="AV21" s="887"/>
      <c r="AW21" s="887"/>
      <c r="AX21" s="887"/>
      <c r="AY21" s="791"/>
      <c r="AZ21" s="792"/>
      <c r="BA21" s="817"/>
      <c r="BB21" s="817"/>
      <c r="BC21" s="817"/>
      <c r="BD21" s="817"/>
      <c r="BE21" s="953"/>
      <c r="BF21" s="817"/>
      <c r="BG21" s="817"/>
      <c r="BH21" s="817"/>
      <c r="BI21" s="817"/>
      <c r="BJ21" s="817"/>
      <c r="BK21" s="817"/>
      <c r="BL21" s="790"/>
      <c r="BM21" s="794"/>
      <c r="BN21" s="794"/>
      <c r="BO21" s="794"/>
      <c r="BP21" s="794"/>
      <c r="BQ21" s="794"/>
      <c r="BR21" s="794"/>
      <c r="BS21" s="794"/>
      <c r="BT21" s="794"/>
      <c r="BU21" s="845"/>
      <c r="BV21" s="1013"/>
      <c r="BW21" s="927"/>
      <c r="BX21" s="927"/>
      <c r="BY21" s="858" t="s">
        <v>226</v>
      </c>
      <c r="BZ21" s="1014" t="s">
        <v>175</v>
      </c>
      <c r="CA21" s="1014" t="s">
        <v>175</v>
      </c>
      <c r="CB21" s="1014" t="s">
        <v>175</v>
      </c>
      <c r="CC21" s="1014" t="s">
        <v>175</v>
      </c>
      <c r="CD21" s="1015" t="s">
        <v>958</v>
      </c>
      <c r="CJ21" s="1016"/>
      <c r="CK21" s="792"/>
      <c r="CL21" s="792"/>
      <c r="CN21" s="966"/>
      <c r="CO21" s="967"/>
      <c r="CP21" s="967"/>
      <c r="CQ21" s="968"/>
      <c r="CR21" s="791"/>
      <c r="CS21" s="791"/>
      <c r="CT21" s="848"/>
      <c r="CU21" s="812"/>
      <c r="CV21" s="812"/>
      <c r="CW21" s="812"/>
      <c r="CX21" s="811"/>
      <c r="CY21" s="812"/>
      <c r="CZ21" s="790"/>
      <c r="DA21" s="790"/>
      <c r="DB21" s="791"/>
      <c r="DC21" s="792"/>
      <c r="DD21" s="792"/>
      <c r="DE21" s="792"/>
      <c r="DF21" s="792"/>
      <c r="DG21" s="792"/>
      <c r="DH21" s="792"/>
      <c r="DI21" s="792"/>
      <c r="DJ21" s="792"/>
      <c r="DK21" s="792"/>
      <c r="DL21" s="792"/>
      <c r="DM21" s="792"/>
      <c r="DN21" s="792"/>
      <c r="DO21" s="792"/>
      <c r="DP21" s="792"/>
      <c r="DQ21" s="792"/>
      <c r="DR21" s="792"/>
      <c r="DS21" s="792"/>
      <c r="DT21" s="792"/>
      <c r="DU21" s="792"/>
      <c r="DV21" s="792"/>
      <c r="DW21" s="792"/>
      <c r="DX21" s="792"/>
      <c r="DY21" s="792"/>
      <c r="DZ21" s="792"/>
      <c r="EA21" s="792"/>
      <c r="EB21" s="792"/>
      <c r="EC21" s="792"/>
      <c r="ED21" s="792"/>
      <c r="EE21" s="792"/>
      <c r="EF21" s="792"/>
      <c r="EG21" s="792"/>
      <c r="EH21" s="792"/>
      <c r="EI21" s="792"/>
      <c r="EJ21" s="792"/>
      <c r="EK21" s="792"/>
      <c r="EL21" s="792"/>
      <c r="EM21" s="792"/>
      <c r="EN21" s="792"/>
      <c r="EO21" s="792"/>
      <c r="EP21" s="792"/>
      <c r="EQ21" s="792"/>
      <c r="ER21" s="792"/>
      <c r="ES21" s="792"/>
      <c r="ET21" s="792"/>
      <c r="EU21" s="792"/>
      <c r="EV21" s="792"/>
      <c r="EW21" s="792"/>
      <c r="EX21" s="792"/>
      <c r="EY21" s="792"/>
      <c r="EZ21" s="792"/>
      <c r="FA21" s="792"/>
      <c r="FB21" s="792"/>
      <c r="FC21" s="792"/>
      <c r="FD21" s="792"/>
      <c r="FE21" s="792"/>
      <c r="FF21" s="792"/>
      <c r="FG21" s="792"/>
      <c r="FH21" s="792"/>
      <c r="FI21" s="792"/>
      <c r="FJ21" s="792"/>
      <c r="FK21" s="792"/>
      <c r="FL21" s="792"/>
      <c r="FM21" s="792"/>
      <c r="FN21" s="792"/>
      <c r="FO21" s="792"/>
      <c r="FP21" s="792"/>
      <c r="FQ21" s="792"/>
      <c r="FR21" s="792"/>
      <c r="FS21" s="792"/>
      <c r="FT21" s="792"/>
      <c r="FU21" s="792"/>
      <c r="FV21" s="792"/>
      <c r="FW21" s="792"/>
      <c r="FX21" s="792"/>
      <c r="FY21" s="792"/>
      <c r="FZ21" s="792"/>
      <c r="GA21" s="792"/>
      <c r="GB21" s="792"/>
      <c r="GC21" s="792"/>
      <c r="GD21" s="792"/>
      <c r="GE21" s="792"/>
      <c r="GF21" s="792"/>
      <c r="GG21" s="792"/>
      <c r="GH21" s="792"/>
      <c r="GI21" s="792"/>
      <c r="GJ21" s="792"/>
      <c r="GK21" s="792"/>
      <c r="GL21" s="792"/>
      <c r="GM21" s="792"/>
      <c r="GN21" s="792"/>
      <c r="GO21" s="792"/>
    </row>
    <row r="22" spans="1:197" ht="29.25" thickBot="1" x14ac:dyDescent="0.45">
      <c r="A22" s="792"/>
      <c r="B22" s="792"/>
      <c r="C22" s="851"/>
      <c r="D22" s="851"/>
      <c r="E22" s="993" t="s">
        <v>202</v>
      </c>
      <c r="F22" s="999">
        <v>500</v>
      </c>
      <c r="G22" s="999">
        <v>500</v>
      </c>
      <c r="H22" s="993" t="s">
        <v>202</v>
      </c>
      <c r="I22" s="851"/>
      <c r="J22" s="1006"/>
      <c r="K22" s="792"/>
      <c r="L22" s="792"/>
      <c r="M22" s="792"/>
      <c r="N22" s="792"/>
      <c r="O22" s="792"/>
      <c r="P22" s="792"/>
      <c r="Q22" s="792"/>
      <c r="R22" s="930"/>
      <c r="S22" s="938"/>
      <c r="T22" s="792"/>
      <c r="U22" s="1017"/>
      <c r="V22" s="996"/>
      <c r="W22" s="996"/>
      <c r="X22" s="996"/>
      <c r="Y22" s="1018"/>
      <c r="Z22" s="794"/>
      <c r="AA22" s="794"/>
      <c r="AB22" s="996"/>
      <c r="AC22" s="996"/>
      <c r="AD22" s="1018"/>
      <c r="AE22" s="794"/>
      <c r="AF22" s="794"/>
      <c r="AG22" s="794"/>
      <c r="AH22" s="794"/>
      <c r="AI22" s="794"/>
      <c r="AJ22" s="996"/>
      <c r="AK22" s="996"/>
      <c r="AL22" s="996"/>
      <c r="AM22" s="1018"/>
      <c r="AN22" s="812"/>
      <c r="AO22" s="856"/>
      <c r="AP22" s="885"/>
      <c r="AQ22" s="885"/>
      <c r="AR22" s="885"/>
      <c r="AS22" s="792"/>
      <c r="AT22" s="885"/>
      <c r="AU22" s="887"/>
      <c r="AV22" s="887"/>
      <c r="AW22" s="887"/>
      <c r="AX22" s="887"/>
      <c r="AY22" s="791"/>
      <c r="AZ22" s="885"/>
      <c r="BA22" s="887"/>
      <c r="BB22" s="885"/>
      <c r="BC22" s="885"/>
      <c r="BD22" s="885"/>
      <c r="BE22" s="885"/>
      <c r="BF22" s="885"/>
      <c r="BG22" s="885"/>
      <c r="BH22" s="885"/>
      <c r="BI22" s="885"/>
      <c r="BJ22" s="885"/>
      <c r="BK22" s="885"/>
      <c r="BL22" s="790"/>
      <c r="BM22" s="794"/>
      <c r="BN22" s="794"/>
      <c r="BO22" s="794"/>
      <c r="BP22" s="794"/>
      <c r="BQ22" s="794"/>
      <c r="BR22" s="794"/>
      <c r="BS22" s="794"/>
      <c r="BT22" s="794"/>
      <c r="BU22" s="845"/>
      <c r="BV22" s="1019"/>
      <c r="BW22" s="927"/>
      <c r="BX22" s="927"/>
      <c r="BY22" s="1014"/>
      <c r="BZ22" s="1020">
        <v>340</v>
      </c>
      <c r="CA22" s="1020">
        <v>340</v>
      </c>
      <c r="CB22" s="1020">
        <v>340</v>
      </c>
      <c r="CC22" s="900">
        <v>340</v>
      </c>
      <c r="CD22" s="1014"/>
      <c r="CJ22" s="1021"/>
      <c r="CK22" s="1021"/>
      <c r="CL22" s="1021"/>
      <c r="CN22" s="966"/>
      <c r="CO22" s="967"/>
      <c r="CP22" s="967"/>
      <c r="CQ22" s="968"/>
      <c r="CR22" s="791"/>
      <c r="CS22" s="791"/>
      <c r="CT22" s="848"/>
      <c r="CU22" s="812"/>
      <c r="CV22" s="812"/>
      <c r="CW22" s="812"/>
      <c r="CX22" s="811"/>
      <c r="CY22" s="812"/>
      <c r="CZ22" s="790"/>
      <c r="DA22" s="790"/>
      <c r="DB22" s="791"/>
      <c r="DC22" s="792"/>
      <c r="DD22" s="792"/>
      <c r="DE22" s="792"/>
      <c r="DF22" s="792"/>
      <c r="DG22" s="792"/>
      <c r="DH22" s="792"/>
      <c r="DI22" s="792"/>
      <c r="DJ22" s="792"/>
      <c r="DK22" s="792"/>
      <c r="DL22" s="792"/>
      <c r="DM22" s="792"/>
      <c r="DN22" s="792"/>
      <c r="DO22" s="792"/>
      <c r="DP22" s="792"/>
      <c r="DQ22" s="792"/>
      <c r="DR22" s="792"/>
      <c r="DS22" s="792"/>
      <c r="DT22" s="792"/>
      <c r="DU22" s="792"/>
      <c r="DV22" s="792"/>
      <c r="DW22" s="792"/>
      <c r="DX22" s="792"/>
      <c r="DY22" s="792"/>
      <c r="DZ22" s="792"/>
      <c r="EA22" s="792"/>
      <c r="EB22" s="792"/>
      <c r="EC22" s="792"/>
      <c r="ED22" s="792"/>
      <c r="EE22" s="792"/>
      <c r="EF22" s="792"/>
      <c r="EG22" s="792"/>
      <c r="EH22" s="792"/>
      <c r="EI22" s="792"/>
      <c r="EJ22" s="792"/>
      <c r="EK22" s="792"/>
      <c r="EL22" s="792"/>
      <c r="EM22" s="792"/>
      <c r="EN22" s="792"/>
      <c r="EO22" s="792"/>
      <c r="EP22" s="792"/>
      <c r="EQ22" s="792"/>
      <c r="ER22" s="792"/>
      <c r="ES22" s="792"/>
      <c r="ET22" s="792"/>
      <c r="EU22" s="792"/>
      <c r="EV22" s="792"/>
      <c r="EW22" s="792"/>
      <c r="EX22" s="792"/>
      <c r="EY22" s="792"/>
      <c r="EZ22" s="792"/>
      <c r="FA22" s="792"/>
      <c r="FB22" s="792"/>
      <c r="FC22" s="792"/>
      <c r="FD22" s="792"/>
      <c r="FE22" s="792"/>
      <c r="FF22" s="792"/>
      <c r="FG22" s="792"/>
      <c r="FH22" s="792"/>
      <c r="FI22" s="792"/>
      <c r="FJ22" s="792"/>
      <c r="FK22" s="792"/>
      <c r="FL22" s="792"/>
      <c r="FM22" s="792"/>
      <c r="FN22" s="792"/>
      <c r="FO22" s="792"/>
      <c r="FP22" s="792"/>
      <c r="FQ22" s="792"/>
      <c r="FR22" s="792"/>
      <c r="FS22" s="792"/>
      <c r="FT22" s="792"/>
      <c r="FU22" s="792"/>
      <c r="FV22" s="792"/>
      <c r="FW22" s="792"/>
      <c r="FX22" s="792"/>
      <c r="FY22" s="792"/>
      <c r="FZ22" s="792"/>
      <c r="GA22" s="792"/>
      <c r="GB22" s="792"/>
      <c r="GC22" s="792"/>
      <c r="GD22" s="792"/>
      <c r="GE22" s="792"/>
      <c r="GF22" s="792"/>
      <c r="GG22" s="792"/>
      <c r="GH22" s="792"/>
      <c r="GI22" s="792"/>
      <c r="GJ22" s="792"/>
      <c r="GK22" s="792"/>
      <c r="GL22" s="792"/>
      <c r="GM22" s="792"/>
      <c r="GN22" s="792"/>
      <c r="GO22" s="792"/>
    </row>
    <row r="23" spans="1:197" ht="29.25" thickBot="1" x14ac:dyDescent="0.45">
      <c r="A23" s="830">
        <v>340</v>
      </c>
      <c r="B23" s="829" t="s">
        <v>175</v>
      </c>
      <c r="C23" s="851"/>
      <c r="D23" s="851"/>
      <c r="E23" s="993" t="s">
        <v>202</v>
      </c>
      <c r="F23" s="999">
        <v>500</v>
      </c>
      <c r="G23" s="999">
        <v>500</v>
      </c>
      <c r="H23" s="993" t="s">
        <v>202</v>
      </c>
      <c r="I23" s="851"/>
      <c r="J23" s="997"/>
      <c r="K23" s="792"/>
      <c r="L23" s="792"/>
      <c r="M23" s="792"/>
      <c r="N23" s="792"/>
      <c r="O23" s="792"/>
      <c r="P23" s="792"/>
      <c r="Q23" s="792"/>
      <c r="R23" s="792"/>
      <c r="S23" s="790"/>
      <c r="T23" s="792"/>
      <c r="U23" s="792"/>
      <c r="V23" s="949" t="s">
        <v>228</v>
      </c>
      <c r="W23" s="1022" t="s">
        <v>182</v>
      </c>
      <c r="X23" s="1022" t="s">
        <v>182</v>
      </c>
      <c r="Y23" s="1022" t="s">
        <v>182</v>
      </c>
      <c r="Z23" s="858" t="s">
        <v>229</v>
      </c>
      <c r="AA23" s="794"/>
      <c r="AB23" s="948" t="s">
        <v>202</v>
      </c>
      <c r="AC23" s="948" t="s">
        <v>202</v>
      </c>
      <c r="AD23" s="948" t="s">
        <v>202</v>
      </c>
      <c r="AE23" s="794"/>
      <c r="AF23" s="1023"/>
      <c r="AG23" s="794"/>
      <c r="AH23" s="794"/>
      <c r="AI23" s="790"/>
      <c r="AJ23" s="790"/>
      <c r="AK23" s="790"/>
      <c r="AL23" s="993" t="s">
        <v>202</v>
      </c>
      <c r="AM23" s="993" t="s">
        <v>202</v>
      </c>
      <c r="AN23" s="812"/>
      <c r="AO23" s="856"/>
      <c r="AP23" s="805" t="s">
        <v>164</v>
      </c>
      <c r="AQ23" s="805"/>
      <c r="AR23" s="805"/>
      <c r="AS23" s="805"/>
      <c r="AT23" s="791"/>
      <c r="AU23" s="854"/>
      <c r="AV23" s="885"/>
      <c r="AW23" s="885"/>
      <c r="AX23" s="885"/>
      <c r="AY23" s="885"/>
      <c r="AZ23" s="854"/>
      <c r="BA23" s="885"/>
      <c r="BB23" s="885"/>
      <c r="BC23" s="885"/>
      <c r="BD23" s="885"/>
      <c r="BE23" s="885"/>
      <c r="BF23" s="854"/>
      <c r="BG23" s="885"/>
      <c r="BH23" s="885"/>
      <c r="BI23" s="885"/>
      <c r="BJ23" s="885"/>
      <c r="BK23" s="885"/>
      <c r="BL23" s="885"/>
      <c r="BM23" s="791"/>
      <c r="BN23" s="791"/>
      <c r="BO23" s="794"/>
      <c r="BP23" s="794"/>
      <c r="BQ23" s="794"/>
      <c r="BR23" s="794"/>
      <c r="BS23" s="794"/>
      <c r="BT23" s="794"/>
      <c r="BU23" s="845"/>
      <c r="BV23" s="845"/>
      <c r="BW23" s="927"/>
      <c r="BX23" s="927"/>
      <c r="BY23" s="826"/>
      <c r="BZ23" s="827">
        <v>340</v>
      </c>
      <c r="CA23" s="827">
        <v>340</v>
      </c>
      <c r="CB23" s="827">
        <v>340</v>
      </c>
      <c r="CC23" s="827">
        <v>340</v>
      </c>
      <c r="CD23" s="826"/>
      <c r="CJ23" s="1021"/>
      <c r="CK23" s="1021"/>
      <c r="CL23" s="1021"/>
      <c r="CN23" s="966"/>
      <c r="CO23" s="967"/>
      <c r="CP23" s="967"/>
      <c r="CQ23" s="968"/>
      <c r="CR23" s="791"/>
      <c r="CS23" s="791"/>
      <c r="CT23" s="848"/>
      <c r="CU23" s="812"/>
      <c r="CV23" s="812"/>
      <c r="CW23" s="812"/>
      <c r="CX23" s="811"/>
      <c r="CY23" s="812"/>
      <c r="CZ23" s="790"/>
      <c r="DA23" s="790"/>
      <c r="DB23" s="791"/>
      <c r="DC23" s="792"/>
      <c r="DD23" s="792"/>
      <c r="DE23" s="792"/>
      <c r="DF23" s="792"/>
      <c r="DG23" s="792"/>
      <c r="DH23" s="792"/>
      <c r="DI23" s="792"/>
      <c r="DJ23" s="792"/>
      <c r="DK23" s="792"/>
      <c r="DL23" s="792"/>
      <c r="DM23" s="792"/>
      <c r="DN23" s="792"/>
      <c r="DO23" s="792"/>
      <c r="DP23" s="792"/>
      <c r="DQ23" s="792"/>
      <c r="DR23" s="792"/>
      <c r="DS23" s="792"/>
      <c r="DT23" s="792"/>
      <c r="DU23" s="792"/>
      <c r="DV23" s="792"/>
      <c r="DW23" s="792"/>
      <c r="DX23" s="792"/>
      <c r="DY23" s="792"/>
      <c r="DZ23" s="792"/>
      <c r="EA23" s="792"/>
      <c r="EB23" s="792"/>
      <c r="EC23" s="792"/>
      <c r="ED23" s="792"/>
      <c r="EE23" s="792"/>
      <c r="EF23" s="792"/>
      <c r="EG23" s="792"/>
      <c r="EH23" s="792"/>
      <c r="EI23" s="792"/>
      <c r="EJ23" s="792"/>
      <c r="EK23" s="792"/>
      <c r="EL23" s="792"/>
      <c r="EM23" s="792"/>
      <c r="EN23" s="792"/>
      <c r="EO23" s="792"/>
      <c r="EP23" s="792"/>
      <c r="EQ23" s="792"/>
      <c r="ER23" s="792"/>
      <c r="ES23" s="792"/>
      <c r="ET23" s="792"/>
      <c r="EU23" s="792"/>
      <c r="EV23" s="792"/>
      <c r="EW23" s="792"/>
      <c r="EX23" s="792"/>
      <c r="EY23" s="792"/>
      <c r="EZ23" s="792"/>
      <c r="FA23" s="792"/>
      <c r="FB23" s="792"/>
      <c r="FC23" s="792"/>
      <c r="FD23" s="792"/>
      <c r="FE23" s="792"/>
      <c r="FF23" s="792"/>
      <c r="FG23" s="792"/>
      <c r="FH23" s="792"/>
      <c r="FI23" s="792"/>
      <c r="FJ23" s="792"/>
      <c r="FK23" s="792"/>
      <c r="FL23" s="792"/>
      <c r="FM23" s="792"/>
      <c r="FN23" s="792"/>
      <c r="FO23" s="792"/>
      <c r="FP23" s="792"/>
      <c r="FQ23" s="792"/>
      <c r="FR23" s="792"/>
      <c r="FS23" s="792"/>
      <c r="FT23" s="792"/>
      <c r="FU23" s="792"/>
      <c r="FV23" s="792"/>
      <c r="FW23" s="792"/>
      <c r="FX23" s="792"/>
      <c r="FY23" s="792"/>
      <c r="FZ23" s="792"/>
      <c r="GA23" s="792"/>
      <c r="GB23" s="792"/>
      <c r="GC23" s="792"/>
      <c r="GD23" s="792"/>
      <c r="GE23" s="792"/>
      <c r="GF23" s="792"/>
      <c r="GG23" s="792"/>
      <c r="GH23" s="792"/>
      <c r="GI23" s="792"/>
      <c r="GJ23" s="792"/>
      <c r="GK23" s="792"/>
      <c r="GL23" s="792"/>
      <c r="GM23" s="792"/>
      <c r="GN23" s="792"/>
      <c r="GO23" s="792"/>
    </row>
    <row r="24" spans="1:197" ht="28.5" x14ac:dyDescent="0.4">
      <c r="A24" s="805" t="s">
        <v>164</v>
      </c>
      <c r="B24" s="805"/>
      <c r="C24" s="792"/>
      <c r="D24" s="851"/>
      <c r="E24" s="993" t="s">
        <v>202</v>
      </c>
      <c r="F24" s="999">
        <v>500</v>
      </c>
      <c r="G24" s="999">
        <v>500</v>
      </c>
      <c r="H24" s="993" t="s">
        <v>202</v>
      </c>
      <c r="I24" s="851"/>
      <c r="J24" s="792"/>
      <c r="K24" s="792"/>
      <c r="L24" s="792"/>
      <c r="M24" s="792"/>
      <c r="N24" s="792"/>
      <c r="O24" s="792"/>
      <c r="P24" s="792"/>
      <c r="Q24" s="792"/>
      <c r="R24" s="792"/>
      <c r="S24" s="792"/>
      <c r="T24" s="792"/>
      <c r="U24" s="792"/>
      <c r="V24" s="1022"/>
      <c r="W24" s="1024">
        <v>300</v>
      </c>
      <c r="X24" s="1024">
        <v>300</v>
      </c>
      <c r="Y24" s="1024">
        <v>300</v>
      </c>
      <c r="Z24" s="1022"/>
      <c r="AA24" s="1025"/>
      <c r="AB24" s="989">
        <v>500</v>
      </c>
      <c r="AC24" s="989">
        <v>500</v>
      </c>
      <c r="AD24" s="989">
        <v>500</v>
      </c>
      <c r="AE24" s="1025"/>
      <c r="AF24" s="963"/>
      <c r="AG24" s="963"/>
      <c r="AH24" s="963"/>
      <c r="AI24" s="794"/>
      <c r="AJ24" s="790"/>
      <c r="AK24" s="812"/>
      <c r="AL24" s="999">
        <v>500</v>
      </c>
      <c r="AM24" s="999">
        <v>500</v>
      </c>
      <c r="AN24" s="792"/>
      <c r="AO24" s="856"/>
      <c r="AP24" s="794"/>
      <c r="AQ24" s="794"/>
      <c r="AR24" s="794"/>
      <c r="AS24" s="791"/>
      <c r="AT24" s="791"/>
      <c r="AU24" s="818"/>
      <c r="AV24" s="817"/>
      <c r="AW24" s="817"/>
      <c r="AX24" s="817"/>
      <c r="AY24" s="817"/>
      <c r="AZ24" s="818"/>
      <c r="BA24" s="817"/>
      <c r="BB24" s="817"/>
      <c r="BC24" s="817"/>
      <c r="BD24" s="817"/>
      <c r="BE24" s="817"/>
      <c r="BF24" s="818"/>
      <c r="BG24" s="817"/>
      <c r="BH24" s="817"/>
      <c r="BI24" s="817"/>
      <c r="BJ24" s="817"/>
      <c r="BK24" s="817"/>
      <c r="BL24" s="791"/>
      <c r="BM24" s="817"/>
      <c r="BN24" s="817"/>
      <c r="BO24" s="791"/>
      <c r="BP24" s="794"/>
      <c r="BQ24" s="794"/>
      <c r="BR24" s="794"/>
      <c r="BS24" s="794"/>
      <c r="BT24" s="794"/>
      <c r="BU24" s="845"/>
      <c r="BV24" s="1019"/>
      <c r="BW24" s="794"/>
      <c r="BX24" s="794"/>
      <c r="BY24" s="792"/>
      <c r="BZ24" s="826" t="s">
        <v>175</v>
      </c>
      <c r="CA24" s="826" t="s">
        <v>175</v>
      </c>
      <c r="CB24" s="826" t="s">
        <v>175</v>
      </c>
      <c r="CC24" s="826" t="s">
        <v>175</v>
      </c>
      <c r="CD24" s="845"/>
      <c r="CN24" s="966"/>
      <c r="CO24" s="967"/>
      <c r="CP24" s="967"/>
      <c r="CQ24" s="968"/>
      <c r="CR24" s="791"/>
      <c r="CS24" s="791"/>
      <c r="CT24" s="848"/>
      <c r="CU24" s="812"/>
      <c r="CV24" s="812"/>
      <c r="CW24" s="812"/>
      <c r="CX24" s="811"/>
      <c r="CY24" s="812"/>
      <c r="CZ24" s="790"/>
      <c r="DA24" s="790"/>
      <c r="DB24" s="791"/>
      <c r="DC24" s="792"/>
      <c r="DD24" s="792"/>
      <c r="DE24" s="792"/>
      <c r="DF24" s="792"/>
      <c r="DG24" s="792"/>
      <c r="DH24" s="792"/>
      <c r="DI24" s="792"/>
      <c r="DJ24" s="792"/>
      <c r="DK24" s="792"/>
      <c r="DL24" s="792"/>
      <c r="DM24" s="792"/>
      <c r="DN24" s="792"/>
      <c r="DO24" s="792"/>
      <c r="DP24" s="792"/>
      <c r="DQ24" s="792"/>
      <c r="DR24" s="792"/>
      <c r="DS24" s="792"/>
      <c r="DT24" s="792"/>
      <c r="DU24" s="792"/>
      <c r="DV24" s="792"/>
      <c r="DW24" s="792"/>
      <c r="DX24" s="792"/>
      <c r="DY24" s="792"/>
      <c r="DZ24" s="792"/>
      <c r="EA24" s="792"/>
      <c r="EB24" s="792"/>
      <c r="EC24" s="792"/>
      <c r="ED24" s="792"/>
      <c r="EE24" s="792"/>
      <c r="EF24" s="792"/>
      <c r="EG24" s="792"/>
      <c r="EH24" s="792"/>
      <c r="EI24" s="792"/>
      <c r="EJ24" s="792"/>
      <c r="EK24" s="792"/>
      <c r="EL24" s="792"/>
      <c r="EM24" s="792"/>
      <c r="EN24" s="792"/>
      <c r="EO24" s="792"/>
      <c r="EP24" s="792"/>
      <c r="EQ24" s="792"/>
      <c r="ER24" s="792"/>
      <c r="ES24" s="792"/>
      <c r="ET24" s="792"/>
      <c r="EU24" s="792"/>
      <c r="EV24" s="792"/>
      <c r="EW24" s="792"/>
      <c r="EX24" s="792"/>
      <c r="EY24" s="792"/>
      <c r="EZ24" s="792"/>
      <c r="FA24" s="792"/>
      <c r="FB24" s="792"/>
      <c r="FC24" s="792"/>
      <c r="FD24" s="792"/>
      <c r="FE24" s="792"/>
      <c r="FF24" s="792"/>
      <c r="FG24" s="792"/>
      <c r="FH24" s="792"/>
      <c r="FI24" s="792"/>
      <c r="FJ24" s="792"/>
      <c r="FK24" s="792"/>
      <c r="FL24" s="792"/>
      <c r="FM24" s="792"/>
      <c r="FN24" s="792"/>
      <c r="FO24" s="792"/>
      <c r="FP24" s="792"/>
      <c r="FQ24" s="792"/>
      <c r="FR24" s="792"/>
      <c r="FS24" s="792"/>
      <c r="FT24" s="792"/>
      <c r="FU24" s="792"/>
      <c r="FV24" s="792"/>
      <c r="FW24" s="792"/>
      <c r="FX24" s="792"/>
      <c r="FY24" s="792"/>
      <c r="FZ24" s="792"/>
      <c r="GA24" s="792"/>
      <c r="GB24" s="792"/>
      <c r="GC24" s="792"/>
      <c r="GD24" s="792"/>
      <c r="GE24" s="792"/>
      <c r="GF24" s="792"/>
      <c r="GG24" s="792"/>
      <c r="GH24" s="792"/>
      <c r="GI24" s="792"/>
      <c r="GJ24" s="792"/>
      <c r="GK24" s="792"/>
      <c r="GL24" s="792"/>
      <c r="GM24" s="792"/>
      <c r="GN24" s="792"/>
      <c r="GO24" s="792"/>
    </row>
    <row r="25" spans="1:197" ht="28.5" x14ac:dyDescent="0.35">
      <c r="A25" s="827">
        <v>340</v>
      </c>
      <c r="B25" s="826" t="s">
        <v>175</v>
      </c>
      <c r="C25" s="851"/>
      <c r="D25" s="851"/>
      <c r="E25" s="993" t="s">
        <v>202</v>
      </c>
      <c r="F25" s="999">
        <v>500</v>
      </c>
      <c r="G25" s="999">
        <v>500</v>
      </c>
      <c r="H25" s="993" t="s">
        <v>202</v>
      </c>
      <c r="I25" s="851"/>
      <c r="J25" s="792"/>
      <c r="K25" s="858"/>
      <c r="L25" s="858"/>
      <c r="M25" s="792"/>
      <c r="N25" s="792"/>
      <c r="O25" s="792"/>
      <c r="P25" s="792"/>
      <c r="Q25" s="792"/>
      <c r="R25" s="792"/>
      <c r="S25" s="792"/>
      <c r="T25" s="1026"/>
      <c r="U25" s="792"/>
      <c r="V25" s="1022"/>
      <c r="W25" s="1024">
        <v>300</v>
      </c>
      <c r="X25" s="1024">
        <v>300</v>
      </c>
      <c r="Y25" s="1024">
        <v>300</v>
      </c>
      <c r="Z25" s="1022"/>
      <c r="AA25" s="1025"/>
      <c r="AB25" s="989">
        <v>500</v>
      </c>
      <c r="AC25" s="989">
        <v>500</v>
      </c>
      <c r="AD25" s="989">
        <v>500</v>
      </c>
      <c r="AE25" s="1025"/>
      <c r="AF25" s="963"/>
      <c r="AG25" s="963"/>
      <c r="AH25" s="963"/>
      <c r="AI25" s="794"/>
      <c r="AJ25" s="790"/>
      <c r="AK25" s="1027"/>
      <c r="AL25" s="999">
        <v>500</v>
      </c>
      <c r="AM25" s="999">
        <v>500</v>
      </c>
      <c r="AN25" s="862" t="s">
        <v>235</v>
      </c>
      <c r="AO25" s="856"/>
      <c r="AP25" s="963"/>
      <c r="AQ25" s="963"/>
      <c r="AR25" s="963"/>
      <c r="AS25" s="791"/>
      <c r="AT25" s="856"/>
      <c r="AU25" s="817"/>
      <c r="AV25" s="820"/>
      <c r="AW25" s="820"/>
      <c r="AX25" s="820"/>
      <c r="AY25" s="820"/>
      <c r="AZ25" s="817"/>
      <c r="BA25" s="820"/>
      <c r="BB25" s="820"/>
      <c r="BC25" s="820"/>
      <c r="BD25" s="820"/>
      <c r="BE25" s="817"/>
      <c r="BF25" s="817"/>
      <c r="BG25" s="820"/>
      <c r="BH25" s="820"/>
      <c r="BI25" s="820"/>
      <c r="BJ25" s="820"/>
      <c r="BK25" s="817"/>
      <c r="BL25" s="817"/>
      <c r="BM25" s="820"/>
      <c r="BN25" s="820"/>
      <c r="BO25" s="817"/>
      <c r="BP25" s="794"/>
      <c r="BQ25" s="794"/>
      <c r="BR25" s="794"/>
      <c r="BS25" s="794"/>
      <c r="BT25" s="794"/>
      <c r="BU25" s="845"/>
      <c r="BV25" s="1019"/>
      <c r="BW25" s="794"/>
      <c r="BX25" s="794"/>
      <c r="BY25" s="792"/>
      <c r="BZ25" s="885"/>
      <c r="CA25" s="885"/>
      <c r="CB25" s="885"/>
      <c r="CC25" s="885"/>
      <c r="CD25" s="845"/>
      <c r="CN25" s="966"/>
      <c r="CO25" s="967"/>
      <c r="CP25" s="967"/>
      <c r="CQ25" s="968"/>
      <c r="CR25" s="791"/>
      <c r="CS25" s="791"/>
      <c r="CT25" s="848"/>
      <c r="CU25" s="812"/>
      <c r="CV25" s="812"/>
      <c r="CW25" s="812"/>
      <c r="CX25" s="811"/>
      <c r="CY25" s="812"/>
      <c r="CZ25" s="790"/>
      <c r="DA25" s="790"/>
      <c r="DB25" s="791"/>
      <c r="DC25" s="792"/>
      <c r="DD25" s="792"/>
      <c r="DE25" s="792"/>
      <c r="DF25" s="792"/>
      <c r="DG25" s="792"/>
      <c r="DH25" s="792"/>
      <c r="DI25" s="792"/>
      <c r="DJ25" s="792"/>
      <c r="DK25" s="792"/>
      <c r="DL25" s="792"/>
      <c r="DM25" s="792"/>
      <c r="DN25" s="792"/>
      <c r="DO25" s="792"/>
      <c r="DP25" s="792"/>
      <c r="DQ25" s="792"/>
      <c r="DR25" s="792"/>
      <c r="DS25" s="792"/>
      <c r="DT25" s="792"/>
      <c r="DU25" s="792"/>
      <c r="DV25" s="792"/>
      <c r="DW25" s="792"/>
      <c r="DX25" s="792"/>
      <c r="DY25" s="792"/>
      <c r="DZ25" s="792"/>
      <c r="EA25" s="792"/>
      <c r="EB25" s="792"/>
      <c r="EC25" s="792"/>
      <c r="ED25" s="792"/>
      <c r="EE25" s="792"/>
      <c r="EF25" s="792"/>
      <c r="EG25" s="792"/>
      <c r="EH25" s="792"/>
      <c r="EI25" s="792"/>
      <c r="EJ25" s="792"/>
      <c r="EK25" s="792"/>
      <c r="EL25" s="792"/>
      <c r="EM25" s="792"/>
      <c r="EN25" s="792"/>
      <c r="EO25" s="792"/>
      <c r="EP25" s="792"/>
      <c r="EQ25" s="792"/>
      <c r="ER25" s="792"/>
      <c r="ES25" s="792"/>
      <c r="ET25" s="792"/>
      <c r="EU25" s="792"/>
      <c r="EV25" s="792"/>
      <c r="EW25" s="792"/>
      <c r="EX25" s="792"/>
      <c r="EY25" s="792"/>
      <c r="EZ25" s="792"/>
      <c r="FA25" s="792"/>
      <c r="FB25" s="792"/>
      <c r="FC25" s="792"/>
      <c r="FD25" s="792"/>
      <c r="FE25" s="792"/>
      <c r="FF25" s="792"/>
      <c r="FG25" s="792"/>
      <c r="FH25" s="792"/>
      <c r="FI25" s="792"/>
      <c r="FJ25" s="792"/>
      <c r="FK25" s="792"/>
      <c r="FL25" s="792"/>
      <c r="FM25" s="792"/>
      <c r="FN25" s="792"/>
      <c r="FO25" s="792"/>
      <c r="FP25" s="792"/>
      <c r="FQ25" s="792"/>
      <c r="FR25" s="792"/>
      <c r="FS25" s="792"/>
      <c r="FT25" s="792"/>
      <c r="FU25" s="792"/>
      <c r="FV25" s="792"/>
      <c r="FW25" s="792"/>
      <c r="FX25" s="792"/>
      <c r="FY25" s="792"/>
      <c r="FZ25" s="792"/>
      <c r="GA25" s="792"/>
      <c r="GB25" s="792"/>
      <c r="GC25" s="792"/>
      <c r="GD25" s="792"/>
      <c r="GE25" s="792"/>
      <c r="GF25" s="792"/>
      <c r="GG25" s="792"/>
      <c r="GH25" s="792"/>
      <c r="GI25" s="792"/>
      <c r="GJ25" s="792"/>
      <c r="GK25" s="792"/>
      <c r="GL25" s="792"/>
      <c r="GM25" s="792"/>
      <c r="GN25" s="792"/>
      <c r="GO25" s="792"/>
    </row>
    <row r="26" spans="1:197" ht="28.5" x14ac:dyDescent="0.3">
      <c r="C26" s="858" t="s">
        <v>166</v>
      </c>
      <c r="J26" s="792"/>
      <c r="K26" s="792"/>
      <c r="L26" s="792"/>
      <c r="M26" s="792"/>
      <c r="N26" s="792"/>
      <c r="O26" s="792"/>
      <c r="P26" s="792"/>
      <c r="Q26" s="792"/>
      <c r="R26" s="792"/>
      <c r="S26" s="792"/>
      <c r="T26" s="1026"/>
      <c r="U26" s="1017"/>
      <c r="V26" s="1017"/>
      <c r="W26" s="1022" t="s">
        <v>182</v>
      </c>
      <c r="X26" s="1022" t="s">
        <v>182</v>
      </c>
      <c r="Y26" s="1022" t="s">
        <v>182</v>
      </c>
      <c r="Z26" s="923" t="s">
        <v>237</v>
      </c>
      <c r="AA26" s="794"/>
      <c r="AB26" s="948" t="s">
        <v>202</v>
      </c>
      <c r="AC26" s="948" t="s">
        <v>202</v>
      </c>
      <c r="AD26" s="948" t="s">
        <v>202</v>
      </c>
      <c r="AE26" s="858" t="s">
        <v>238</v>
      </c>
      <c r="AF26" s="794"/>
      <c r="AG26" s="856"/>
      <c r="AH26" s="1028"/>
      <c r="AI26" s="1028"/>
      <c r="AJ26" s="812"/>
      <c r="AK26" s="794"/>
      <c r="AL26" s="993" t="s">
        <v>202</v>
      </c>
      <c r="AM26" s="993" t="s">
        <v>202</v>
      </c>
      <c r="AN26" s="1029"/>
      <c r="AO26" s="856"/>
      <c r="AP26" s="963"/>
      <c r="AQ26" s="963"/>
      <c r="AR26" s="963"/>
      <c r="AS26" s="791"/>
      <c r="AT26" s="791"/>
      <c r="AU26" s="817"/>
      <c r="AV26" s="820"/>
      <c r="AW26" s="820"/>
      <c r="AX26" s="820"/>
      <c r="AY26" s="820"/>
      <c r="AZ26" s="817"/>
      <c r="BA26" s="820"/>
      <c r="BB26" s="820"/>
      <c r="BC26" s="820"/>
      <c r="BD26" s="820"/>
      <c r="BE26" s="817"/>
      <c r="BF26" s="817"/>
      <c r="BG26" s="820"/>
      <c r="BH26" s="820"/>
      <c r="BI26" s="820"/>
      <c r="BJ26" s="820"/>
      <c r="BK26" s="817"/>
      <c r="BL26" s="817"/>
      <c r="BM26" s="820"/>
      <c r="BN26" s="820"/>
      <c r="BO26" s="817"/>
      <c r="BP26" s="794"/>
      <c r="BQ26" s="794"/>
      <c r="BR26" s="794"/>
      <c r="BS26" s="794"/>
      <c r="BT26" s="794"/>
      <c r="BU26" s="845"/>
      <c r="BV26" s="1019"/>
      <c r="BW26" s="845"/>
      <c r="BX26" s="845"/>
      <c r="BY26" s="792"/>
      <c r="BZ26" s="1030" t="s">
        <v>239</v>
      </c>
      <c r="CA26" s="1030"/>
      <c r="CB26" s="1030"/>
      <c r="CC26" s="1030"/>
      <c r="CD26" s="792"/>
      <c r="CE26" s="792"/>
      <c r="CF26" s="1031" t="s">
        <v>211</v>
      </c>
      <c r="CG26" s="1031"/>
      <c r="CH26" s="1031"/>
      <c r="CI26" s="852"/>
      <c r="CN26" s="966"/>
      <c r="CO26" s="967"/>
      <c r="CP26" s="967"/>
      <c r="CQ26" s="968"/>
      <c r="CR26" s="791"/>
      <c r="CS26" s="791"/>
      <c r="CT26" s="848"/>
      <c r="CU26" s="812"/>
      <c r="CV26" s="812"/>
      <c r="CW26" s="812"/>
      <c r="CX26" s="811"/>
      <c r="CY26" s="812"/>
      <c r="CZ26" s="790"/>
      <c r="DA26" s="790"/>
      <c r="DB26" s="791"/>
      <c r="DC26" s="792"/>
      <c r="DD26" s="792"/>
      <c r="DE26" s="792"/>
      <c r="DF26" s="792"/>
      <c r="DG26" s="792"/>
      <c r="DH26" s="792"/>
      <c r="DI26" s="792"/>
      <c r="DJ26" s="792"/>
      <c r="DK26" s="792"/>
      <c r="DL26" s="792"/>
      <c r="DM26" s="792"/>
      <c r="DN26" s="792"/>
      <c r="DO26" s="792"/>
      <c r="DP26" s="792"/>
      <c r="DQ26" s="792"/>
      <c r="DR26" s="792"/>
      <c r="DS26" s="792"/>
      <c r="DT26" s="792"/>
      <c r="DU26" s="792"/>
      <c r="DV26" s="792"/>
      <c r="DW26" s="792"/>
      <c r="DX26" s="792"/>
      <c r="DY26" s="792"/>
      <c r="DZ26" s="792"/>
      <c r="EA26" s="792"/>
      <c r="EB26" s="792"/>
      <c r="EC26" s="792"/>
      <c r="ED26" s="792"/>
      <c r="EE26" s="792"/>
      <c r="EF26" s="792"/>
      <c r="EG26" s="792"/>
      <c r="EH26" s="792"/>
      <c r="EI26" s="792"/>
      <c r="EJ26" s="792"/>
      <c r="EK26" s="792"/>
      <c r="EL26" s="792"/>
      <c r="EM26" s="792"/>
      <c r="EN26" s="792"/>
      <c r="EO26" s="792"/>
      <c r="EP26" s="792"/>
      <c r="EQ26" s="792"/>
      <c r="ER26" s="792"/>
      <c r="ES26" s="792"/>
      <c r="ET26" s="792"/>
      <c r="EU26" s="792"/>
      <c r="EV26" s="792"/>
      <c r="EW26" s="792"/>
      <c r="EX26" s="792"/>
      <c r="EY26" s="792"/>
      <c r="EZ26" s="792"/>
      <c r="FA26" s="792"/>
      <c r="FB26" s="792"/>
      <c r="FC26" s="792"/>
      <c r="FD26" s="792"/>
      <c r="FE26" s="792"/>
      <c r="FF26" s="792"/>
      <c r="FG26" s="792"/>
      <c r="FH26" s="792"/>
      <c r="FI26" s="792"/>
      <c r="FJ26" s="792"/>
      <c r="FK26" s="792"/>
      <c r="FL26" s="792"/>
      <c r="FM26" s="792"/>
      <c r="FN26" s="792"/>
      <c r="FO26" s="792"/>
      <c r="FP26" s="792"/>
      <c r="FQ26" s="792"/>
      <c r="FR26" s="792"/>
      <c r="FS26" s="792"/>
      <c r="FT26" s="792"/>
      <c r="FU26" s="792"/>
      <c r="FV26" s="792"/>
      <c r="FW26" s="792"/>
      <c r="FX26" s="792"/>
      <c r="FY26" s="792"/>
      <c r="FZ26" s="792"/>
      <c r="GA26" s="792"/>
      <c r="GB26" s="792"/>
      <c r="GC26" s="792"/>
      <c r="GD26" s="792"/>
      <c r="GE26" s="792"/>
      <c r="GF26" s="792"/>
      <c r="GG26" s="792"/>
      <c r="GH26" s="792"/>
      <c r="GI26" s="792"/>
      <c r="GJ26" s="792"/>
      <c r="GK26" s="792"/>
      <c r="GL26" s="792"/>
      <c r="GM26" s="792"/>
      <c r="GN26" s="792"/>
      <c r="GO26" s="792"/>
    </row>
    <row r="27" spans="1:197" ht="29.25" thickBot="1" x14ac:dyDescent="0.4">
      <c r="A27" s="827">
        <v>340</v>
      </c>
      <c r="B27" s="826" t="s">
        <v>175</v>
      </c>
      <c r="C27" s="792"/>
      <c r="J27" s="792"/>
      <c r="K27" s="792"/>
      <c r="L27" s="792"/>
      <c r="M27" s="792"/>
      <c r="N27" s="792"/>
      <c r="O27" s="792"/>
      <c r="P27" s="792"/>
      <c r="Q27" s="792"/>
      <c r="R27" s="792"/>
      <c r="S27" s="792"/>
      <c r="T27" s="1026"/>
      <c r="U27" s="1032"/>
      <c r="V27" s="1017"/>
      <c r="W27" s="996"/>
      <c r="X27" s="996"/>
      <c r="Y27" s="1018"/>
      <c r="Z27" s="1033"/>
      <c r="AA27" s="794"/>
      <c r="AB27" s="996"/>
      <c r="AC27" s="996"/>
      <c r="AD27" s="1018"/>
      <c r="AE27" s="794"/>
      <c r="AF27" s="1034"/>
      <c r="AG27" s="812"/>
      <c r="AH27" s="812"/>
      <c r="AI27" s="1035"/>
      <c r="AJ27" s="812"/>
      <c r="AK27" s="794"/>
      <c r="AL27" s="1036"/>
      <c r="AM27" s="1037"/>
      <c r="AN27" s="1029"/>
      <c r="AO27" s="856"/>
      <c r="AP27" s="791"/>
      <c r="AQ27" s="791"/>
      <c r="AR27" s="909"/>
      <c r="AS27" s="1038"/>
      <c r="AT27" s="817"/>
      <c r="AU27" s="1039"/>
      <c r="AV27" s="817"/>
      <c r="AW27" s="817"/>
      <c r="AX27" s="817"/>
      <c r="AY27" s="817"/>
      <c r="AZ27" s="817"/>
      <c r="BA27" s="817"/>
      <c r="BB27" s="817"/>
      <c r="BC27" s="817"/>
      <c r="BD27" s="817"/>
      <c r="BE27" s="817"/>
      <c r="BF27" s="817"/>
      <c r="BG27" s="817"/>
      <c r="BH27" s="817"/>
      <c r="BI27" s="817"/>
      <c r="BJ27" s="817"/>
      <c r="BK27" s="817"/>
      <c r="BL27" s="791"/>
      <c r="BM27" s="817"/>
      <c r="BN27" s="817"/>
      <c r="BO27" s="817"/>
      <c r="BP27" s="794"/>
      <c r="BQ27" s="794"/>
      <c r="BR27" s="794"/>
      <c r="BS27" s="794"/>
      <c r="BT27" s="794"/>
      <c r="BU27" s="845"/>
      <c r="BV27" s="1019"/>
      <c r="BW27" s="845"/>
      <c r="BX27" s="845"/>
      <c r="BY27" s="792"/>
      <c r="BZ27" s="792"/>
      <c r="CA27" s="792"/>
      <c r="CB27" s="792"/>
      <c r="CC27" s="792"/>
      <c r="CD27" s="792"/>
      <c r="CE27" s="792"/>
      <c r="CF27" s="875"/>
      <c r="CG27" s="875"/>
      <c r="CH27" s="875"/>
      <c r="CI27" s="819"/>
      <c r="CJ27" s="1040"/>
      <c r="CK27" s="825"/>
      <c r="CL27" s="825"/>
      <c r="CM27" s="1040"/>
      <c r="CN27" s="966"/>
      <c r="CO27" s="967"/>
      <c r="CP27" s="967"/>
      <c r="CQ27" s="968"/>
      <c r="CR27" s="791"/>
      <c r="CS27" s="791"/>
      <c r="CT27" s="848"/>
      <c r="CU27" s="812"/>
      <c r="CV27" s="812"/>
      <c r="CW27" s="812"/>
      <c r="CX27" s="811"/>
      <c r="CY27" s="812"/>
      <c r="CZ27" s="790"/>
      <c r="DA27" s="790"/>
      <c r="DB27" s="791"/>
      <c r="DC27" s="792"/>
      <c r="DD27" s="792"/>
      <c r="DE27" s="792"/>
      <c r="DF27" s="792"/>
      <c r="DG27" s="792"/>
      <c r="DH27" s="792"/>
      <c r="DI27" s="792"/>
      <c r="DJ27" s="792"/>
      <c r="DK27" s="792"/>
      <c r="DL27" s="792"/>
      <c r="DM27" s="792"/>
      <c r="DN27" s="792"/>
      <c r="DO27" s="792"/>
      <c r="DP27" s="792"/>
      <c r="DQ27" s="792"/>
      <c r="DR27" s="792"/>
      <c r="DS27" s="792"/>
      <c r="DT27" s="792"/>
      <c r="DU27" s="792"/>
      <c r="DV27" s="792"/>
      <c r="DW27" s="792"/>
      <c r="DX27" s="792"/>
      <c r="DY27" s="792"/>
      <c r="DZ27" s="792"/>
      <c r="EA27" s="792"/>
      <c r="EB27" s="792"/>
      <c r="EC27" s="792"/>
      <c r="ED27" s="792"/>
      <c r="EE27" s="792"/>
      <c r="EF27" s="792"/>
      <c r="EG27" s="792"/>
      <c r="EH27" s="792"/>
      <c r="EI27" s="792"/>
      <c r="EJ27" s="792"/>
      <c r="EK27" s="792"/>
      <c r="EL27" s="792"/>
      <c r="EM27" s="792"/>
      <c r="EN27" s="792"/>
      <c r="EO27" s="792"/>
      <c r="EP27" s="792"/>
      <c r="EQ27" s="792"/>
      <c r="ER27" s="792"/>
      <c r="ES27" s="792"/>
      <c r="ET27" s="792"/>
      <c r="EU27" s="792"/>
      <c r="EV27" s="792"/>
      <c r="EW27" s="792"/>
      <c r="EX27" s="792"/>
      <c r="EY27" s="792"/>
      <c r="EZ27" s="792"/>
      <c r="FA27" s="792"/>
      <c r="FB27" s="792"/>
      <c r="FC27" s="792"/>
      <c r="FD27" s="792"/>
      <c r="FE27" s="792"/>
      <c r="FF27" s="792"/>
      <c r="FG27" s="792"/>
      <c r="FH27" s="792"/>
      <c r="FI27" s="792"/>
      <c r="FJ27" s="792"/>
      <c r="FK27" s="792"/>
      <c r="FL27" s="792"/>
      <c r="FM27" s="792"/>
      <c r="FN27" s="792"/>
      <c r="FO27" s="792"/>
      <c r="FP27" s="792"/>
      <c r="FQ27" s="792"/>
      <c r="FR27" s="792"/>
      <c r="FS27" s="792"/>
      <c r="FT27" s="792"/>
      <c r="FU27" s="792"/>
      <c r="FV27" s="792"/>
      <c r="FW27" s="792"/>
      <c r="FX27" s="792"/>
      <c r="FY27" s="792"/>
      <c r="FZ27" s="792"/>
      <c r="GA27" s="792"/>
      <c r="GB27" s="792"/>
      <c r="GC27" s="792"/>
      <c r="GD27" s="792"/>
      <c r="GE27" s="792"/>
      <c r="GF27" s="792"/>
      <c r="GG27" s="792"/>
      <c r="GH27" s="792"/>
      <c r="GI27" s="792"/>
      <c r="GJ27" s="792"/>
      <c r="GK27" s="792"/>
      <c r="GL27" s="792"/>
      <c r="GM27" s="792"/>
      <c r="GN27" s="792"/>
      <c r="GO27" s="792"/>
    </row>
    <row r="28" spans="1:197" ht="28.5" x14ac:dyDescent="0.25">
      <c r="C28" s="851"/>
      <c r="F28" s="1041"/>
      <c r="G28" s="1042"/>
      <c r="J28" s="792"/>
      <c r="K28" s="792"/>
      <c r="L28" s="792"/>
      <c r="M28" s="792"/>
      <c r="N28" s="792"/>
      <c r="O28" s="792"/>
      <c r="P28" s="792"/>
      <c r="Q28" s="792"/>
      <c r="R28" s="792"/>
      <c r="S28" s="792"/>
      <c r="T28" s="1043"/>
      <c r="U28" s="856"/>
      <c r="V28" s="910"/>
      <c r="W28" s="910"/>
      <c r="X28" s="910"/>
      <c r="Y28" s="910"/>
      <c r="Z28" s="812"/>
      <c r="AA28" s="812"/>
      <c r="AB28" s="812"/>
      <c r="AC28" s="1035"/>
      <c r="AD28" s="1035"/>
      <c r="AE28" s="812"/>
      <c r="AF28" s="1034"/>
      <c r="AG28" s="812"/>
      <c r="AH28" s="812"/>
      <c r="AI28" s="812"/>
      <c r="AJ28" s="812"/>
      <c r="AK28" s="812"/>
      <c r="AL28" s="1044" t="s">
        <v>223</v>
      </c>
      <c r="AM28" s="1044"/>
      <c r="AN28" s="812"/>
      <c r="AO28" s="856"/>
      <c r="AP28" s="856"/>
      <c r="AQ28" s="791"/>
      <c r="AR28" s="791"/>
      <c r="AS28" s="791"/>
      <c r="AT28" s="885"/>
      <c r="AU28" s="791"/>
      <c r="AV28" s="885"/>
      <c r="AW28" s="885"/>
      <c r="AX28" s="885"/>
      <c r="AY28" s="885"/>
      <c r="AZ28" s="885"/>
      <c r="BA28" s="885"/>
      <c r="BB28" s="885"/>
      <c r="BC28" s="885"/>
      <c r="BD28" s="885"/>
      <c r="BE28" s="885"/>
      <c r="BF28" s="1045"/>
      <c r="BG28" s="885"/>
      <c r="BH28" s="885"/>
      <c r="BI28" s="885"/>
      <c r="BJ28" s="885"/>
      <c r="BK28" s="794"/>
      <c r="BL28" s="885"/>
      <c r="BM28" s="794"/>
      <c r="BN28" s="794"/>
      <c r="BO28" s="794"/>
      <c r="BP28" s="794"/>
      <c r="BQ28" s="794"/>
      <c r="BR28" s="794"/>
      <c r="BS28" s="794"/>
      <c r="BT28" s="794"/>
      <c r="BU28" s="845"/>
      <c r="BV28" s="1019"/>
      <c r="BW28" s="1046"/>
      <c r="BX28" s="1046"/>
      <c r="BY28" s="792"/>
      <c r="BZ28" s="792"/>
      <c r="CA28" s="792"/>
      <c r="CB28" s="792"/>
      <c r="CC28" s="792"/>
      <c r="CE28" s="792"/>
      <c r="CF28" s="1047" t="s">
        <v>175</v>
      </c>
      <c r="CG28" s="1047" t="s">
        <v>175</v>
      </c>
      <c r="CH28" s="1047" t="s">
        <v>175</v>
      </c>
      <c r="CI28" s="889" t="s">
        <v>241</v>
      </c>
      <c r="CJ28" s="792"/>
      <c r="CK28" s="971" t="s">
        <v>175</v>
      </c>
      <c r="CL28" s="971" t="s">
        <v>175</v>
      </c>
      <c r="CM28" s="792"/>
      <c r="CN28" s="966"/>
      <c r="CO28" s="967"/>
      <c r="CP28" s="967"/>
      <c r="CQ28" s="968"/>
      <c r="CR28" s="791"/>
      <c r="CS28" s="791"/>
      <c r="CT28" s="848"/>
      <c r="CU28" s="812"/>
      <c r="CV28" s="812"/>
      <c r="CW28" s="812"/>
      <c r="CX28" s="811"/>
      <c r="CY28" s="812"/>
      <c r="CZ28" s="790"/>
      <c r="DA28" s="790"/>
      <c r="DB28" s="791"/>
      <c r="DC28" s="792"/>
      <c r="DD28" s="792"/>
      <c r="DE28" s="792"/>
      <c r="DF28" s="792"/>
      <c r="DG28" s="792"/>
      <c r="DH28" s="792"/>
      <c r="DI28" s="792"/>
      <c r="DJ28" s="792"/>
      <c r="DK28" s="792"/>
      <c r="DL28" s="792"/>
      <c r="DM28" s="792"/>
      <c r="DN28" s="792"/>
      <c r="DO28" s="792"/>
      <c r="DP28" s="792"/>
      <c r="DQ28" s="792"/>
      <c r="DR28" s="792"/>
      <c r="DS28" s="792"/>
      <c r="DT28" s="792"/>
      <c r="DU28" s="792"/>
      <c r="DV28" s="792"/>
      <c r="DW28" s="792"/>
      <c r="DX28" s="792"/>
      <c r="DY28" s="792"/>
      <c r="DZ28" s="792"/>
      <c r="EA28" s="792"/>
      <c r="EB28" s="792"/>
      <c r="EC28" s="792"/>
      <c r="ED28" s="792"/>
      <c r="EE28" s="792"/>
      <c r="EF28" s="792"/>
      <c r="EG28" s="792"/>
      <c r="EH28" s="792"/>
      <c r="EI28" s="792"/>
      <c r="EJ28" s="792"/>
      <c r="EK28" s="792"/>
      <c r="EL28" s="792"/>
      <c r="EM28" s="792"/>
      <c r="EN28" s="792"/>
      <c r="EO28" s="792"/>
      <c r="EP28" s="792"/>
      <c r="EQ28" s="792"/>
      <c r="ER28" s="792"/>
      <c r="ES28" s="792"/>
      <c r="ET28" s="792"/>
      <c r="EU28" s="792"/>
      <c r="EV28" s="792"/>
      <c r="EW28" s="792"/>
      <c r="EX28" s="792"/>
      <c r="EY28" s="792"/>
      <c r="EZ28" s="792"/>
      <c r="FA28" s="792"/>
      <c r="FB28" s="792"/>
      <c r="FC28" s="792"/>
      <c r="FD28" s="792"/>
      <c r="FE28" s="792"/>
      <c r="FF28" s="792"/>
      <c r="FG28" s="792"/>
      <c r="FH28" s="792"/>
      <c r="FI28" s="792"/>
      <c r="FJ28" s="792"/>
      <c r="FK28" s="792"/>
      <c r="FL28" s="792"/>
      <c r="FM28" s="792"/>
      <c r="FN28" s="792"/>
      <c r="FO28" s="792"/>
      <c r="FP28" s="792"/>
      <c r="FQ28" s="792"/>
      <c r="FR28" s="792"/>
      <c r="FS28" s="792"/>
      <c r="FT28" s="792"/>
      <c r="FU28" s="792"/>
      <c r="FV28" s="792"/>
      <c r="FW28" s="792"/>
      <c r="FX28" s="792"/>
      <c r="FY28" s="792"/>
      <c r="FZ28" s="792"/>
      <c r="GA28" s="792"/>
      <c r="GB28" s="792"/>
      <c r="GC28" s="792"/>
      <c r="GD28" s="792"/>
      <c r="GE28" s="792"/>
      <c r="GF28" s="792"/>
      <c r="GG28" s="792"/>
      <c r="GH28" s="792"/>
      <c r="GI28" s="792"/>
      <c r="GJ28" s="792"/>
      <c r="GK28" s="792"/>
      <c r="GL28" s="792"/>
      <c r="GM28" s="792"/>
      <c r="GN28" s="792"/>
      <c r="GO28" s="792"/>
    </row>
    <row r="29" spans="1:197" ht="29.25" thickBot="1" x14ac:dyDescent="0.4">
      <c r="A29" s="827">
        <v>340</v>
      </c>
      <c r="B29" s="826" t="s">
        <v>175</v>
      </c>
      <c r="C29" s="851"/>
      <c r="F29" s="1048"/>
      <c r="G29" s="1049"/>
      <c r="J29" s="792"/>
      <c r="K29" s="792"/>
      <c r="L29" s="792"/>
      <c r="M29" s="792"/>
      <c r="N29" s="792"/>
      <c r="O29" s="792"/>
      <c r="P29" s="792"/>
      <c r="Q29" s="792"/>
      <c r="R29" s="792"/>
      <c r="S29" s="792"/>
      <c r="T29" s="1050"/>
      <c r="U29" s="812"/>
      <c r="V29" s="792"/>
      <c r="W29" s="792"/>
      <c r="X29" s="792"/>
      <c r="Y29" s="792"/>
      <c r="Z29" s="812"/>
      <c r="AA29" s="812"/>
      <c r="AB29" s="812"/>
      <c r="AC29" s="1035"/>
      <c r="AD29" s="1035"/>
      <c r="AE29" s="812"/>
      <c r="AF29" s="1034"/>
      <c r="AG29" s="812"/>
      <c r="AH29" s="812"/>
      <c r="AI29" s="812"/>
      <c r="AJ29" s="812"/>
      <c r="AK29" s="1051"/>
      <c r="AL29" s="1051"/>
      <c r="AM29" s="812"/>
      <c r="AN29" s="812"/>
      <c r="AO29" s="790"/>
      <c r="AP29" s="791"/>
      <c r="AQ29" s="791"/>
      <c r="AR29" s="791"/>
      <c r="AS29" s="791"/>
      <c r="AT29" s="1052"/>
      <c r="AU29" s="791"/>
      <c r="AV29" s="791"/>
      <c r="AW29" s="790"/>
      <c r="AX29" s="790"/>
      <c r="AY29" s="845"/>
      <c r="AZ29" s="1053"/>
      <c r="BA29" s="1053"/>
      <c r="BB29" s="1053"/>
      <c r="BC29" s="1053"/>
      <c r="BD29" s="845"/>
      <c r="BE29" s="845"/>
      <c r="BF29" s="1054"/>
      <c r="BG29" s="1055"/>
      <c r="BH29" s="845"/>
      <c r="BI29" s="791"/>
      <c r="BJ29" s="1056"/>
      <c r="BK29" s="1056"/>
      <c r="BL29" s="946"/>
      <c r="BM29" s="845"/>
      <c r="BN29" s="946"/>
      <c r="BO29" s="946"/>
      <c r="BP29" s="946"/>
      <c r="BQ29" s="845"/>
      <c r="BR29" s="1057"/>
      <c r="BS29" s="1057"/>
      <c r="BT29" s="791"/>
      <c r="BU29" s="1058"/>
      <c r="BV29" s="845"/>
      <c r="BW29" s="1046"/>
      <c r="BX29" s="1046"/>
      <c r="BY29" s="792"/>
      <c r="BZ29" s="792"/>
      <c r="CA29" s="792"/>
      <c r="CB29" s="792"/>
      <c r="CC29" s="792"/>
      <c r="CE29" s="1059"/>
      <c r="CF29" s="1060">
        <v>375</v>
      </c>
      <c r="CG29" s="1060">
        <v>375</v>
      </c>
      <c r="CH29" s="1060">
        <v>375</v>
      </c>
      <c r="CI29" s="1059"/>
      <c r="CJ29" s="971"/>
      <c r="CK29" s="1061">
        <v>340</v>
      </c>
      <c r="CL29" s="1061">
        <v>340</v>
      </c>
      <c r="CM29" s="971"/>
      <c r="CN29" s="966"/>
      <c r="CO29" s="967"/>
      <c r="CP29" s="967"/>
      <c r="CQ29" s="968"/>
      <c r="CR29" s="1062"/>
      <c r="CS29" s="1063"/>
      <c r="CT29" s="811"/>
      <c r="CU29" s="812"/>
      <c r="CV29" s="812"/>
      <c r="CW29" s="812"/>
      <c r="CX29" s="811"/>
      <c r="CY29" s="812"/>
      <c r="CZ29" s="790"/>
      <c r="DA29" s="790"/>
      <c r="DB29" s="791"/>
      <c r="DC29" s="792"/>
      <c r="DD29" s="792"/>
      <c r="DE29" s="792"/>
      <c r="DF29" s="792"/>
      <c r="DG29" s="792"/>
      <c r="DH29" s="792"/>
      <c r="DI29" s="792"/>
      <c r="DJ29" s="792"/>
      <c r="DK29" s="792"/>
      <c r="DL29" s="792"/>
      <c r="DM29" s="792"/>
      <c r="DN29" s="792"/>
      <c r="DO29" s="792"/>
      <c r="DP29" s="792"/>
      <c r="DQ29" s="792"/>
      <c r="DR29" s="792"/>
      <c r="DS29" s="792"/>
      <c r="DT29" s="792"/>
      <c r="DU29" s="792"/>
      <c r="DV29" s="792"/>
      <c r="DW29" s="792"/>
      <c r="DX29" s="792"/>
      <c r="DY29" s="792"/>
      <c r="DZ29" s="792"/>
      <c r="EA29" s="792"/>
      <c r="EB29" s="792"/>
      <c r="EC29" s="792"/>
      <c r="ED29" s="792"/>
      <c r="EE29" s="792"/>
      <c r="EF29" s="792"/>
      <c r="EG29" s="792"/>
      <c r="EH29" s="792"/>
      <c r="EI29" s="792"/>
      <c r="EJ29" s="792"/>
      <c r="EK29" s="792"/>
      <c r="EL29" s="792"/>
      <c r="EM29" s="792"/>
      <c r="EN29" s="792"/>
      <c r="EO29" s="792"/>
      <c r="EP29" s="792"/>
      <c r="EQ29" s="792"/>
      <c r="ER29" s="792"/>
      <c r="ES29" s="792"/>
      <c r="ET29" s="792"/>
      <c r="EU29" s="792"/>
      <c r="EV29" s="792"/>
      <c r="EW29" s="792"/>
      <c r="EX29" s="792"/>
      <c r="EY29" s="792"/>
      <c r="EZ29" s="792"/>
      <c r="FA29" s="792"/>
      <c r="FB29" s="792"/>
      <c r="FC29" s="792"/>
      <c r="FD29" s="792"/>
      <c r="FE29" s="792"/>
      <c r="FF29" s="792"/>
      <c r="FG29" s="792"/>
      <c r="FH29" s="792"/>
      <c r="FI29" s="792"/>
      <c r="FJ29" s="792"/>
      <c r="FK29" s="792"/>
      <c r="FL29" s="792"/>
      <c r="FM29" s="792"/>
      <c r="FN29" s="792"/>
      <c r="FO29" s="792"/>
      <c r="FP29" s="792"/>
      <c r="FQ29" s="792"/>
      <c r="FR29" s="792"/>
      <c r="FS29" s="792"/>
      <c r="FT29" s="792"/>
      <c r="FU29" s="792"/>
      <c r="FV29" s="792"/>
      <c r="FW29" s="792"/>
      <c r="FX29" s="792"/>
      <c r="FY29" s="792"/>
      <c r="FZ29" s="792"/>
      <c r="GA29" s="792"/>
      <c r="GB29" s="792"/>
      <c r="GC29" s="792"/>
      <c r="GD29" s="792"/>
      <c r="GE29" s="792"/>
      <c r="GF29" s="792"/>
      <c r="GG29" s="792"/>
      <c r="GH29" s="792"/>
      <c r="GI29" s="792"/>
      <c r="GJ29" s="792"/>
      <c r="GK29" s="792"/>
      <c r="GL29" s="792"/>
      <c r="GM29" s="792"/>
      <c r="GN29" s="792"/>
      <c r="GO29" s="792"/>
    </row>
    <row r="30" spans="1:197" ht="29.25" thickBot="1" x14ac:dyDescent="0.3">
      <c r="C30" s="851"/>
      <c r="F30" s="1064"/>
      <c r="G30" s="1065"/>
      <c r="J30" s="792"/>
      <c r="K30" s="792"/>
      <c r="L30" s="792"/>
      <c r="M30" s="792"/>
      <c r="N30" s="792"/>
      <c r="O30" s="792"/>
      <c r="P30" s="792"/>
      <c r="Q30" s="792"/>
      <c r="R30" s="792"/>
      <c r="S30" s="792"/>
      <c r="T30" s="1066"/>
      <c r="U30" s="1067"/>
      <c r="V30" s="1067"/>
      <c r="W30" s="1067"/>
      <c r="X30" s="1067"/>
      <c r="Y30" s="1067"/>
      <c r="Z30" s="1067"/>
      <c r="AA30" s="1067"/>
      <c r="AB30" s="1067"/>
      <c r="AC30" s="1067"/>
      <c r="AD30" s="1067"/>
      <c r="AE30" s="1067"/>
      <c r="AF30" s="1068"/>
      <c r="AG30" s="1067"/>
      <c r="AH30" s="1067"/>
      <c r="AI30" s="1067"/>
      <c r="AJ30" s="795"/>
      <c r="AK30" s="1069" t="s">
        <v>201</v>
      </c>
      <c r="AL30" s="1070"/>
      <c r="AM30" s="1070"/>
      <c r="AN30" s="1071"/>
      <c r="AO30" s="1072"/>
      <c r="AP30" s="1073"/>
      <c r="AQ30" s="1073"/>
      <c r="AR30" s="1073"/>
      <c r="AS30" s="1073"/>
      <c r="AT30" s="1073"/>
      <c r="AU30" s="1072"/>
      <c r="AV30" s="1074"/>
      <c r="AW30" s="1072"/>
      <c r="AX30" s="1075" t="s">
        <v>198</v>
      </c>
      <c r="AY30" s="1075"/>
      <c r="AZ30" s="1075"/>
      <c r="BA30" s="1076"/>
      <c r="BB30" s="1077"/>
      <c r="BC30" s="1077"/>
      <c r="BD30" s="1077"/>
      <c r="BE30" s="1077"/>
      <c r="BF30" s="1072"/>
      <c r="BG30" s="792"/>
      <c r="BH30" s="792"/>
      <c r="BI30" s="792"/>
      <c r="BJ30" s="1078"/>
      <c r="BK30" s="1079"/>
      <c r="BL30" s="1073"/>
      <c r="BM30" s="1072"/>
      <c r="BN30" s="1072"/>
      <c r="BO30" s="1072"/>
      <c r="BP30" s="1072"/>
      <c r="BQ30" s="1072"/>
      <c r="BR30" s="1072"/>
      <c r="BS30" s="1072"/>
      <c r="BT30" s="1072"/>
      <c r="BU30" s="1080"/>
      <c r="BV30" s="845"/>
      <c r="BW30" s="1046"/>
      <c r="BX30" s="1046"/>
      <c r="BY30" s="792"/>
      <c r="BZ30" s="792"/>
      <c r="CA30" s="792"/>
      <c r="CB30" s="792"/>
      <c r="CC30" s="792"/>
      <c r="CE30" s="1059"/>
      <c r="CF30" s="1060">
        <v>375</v>
      </c>
      <c r="CG30" s="1060">
        <v>375</v>
      </c>
      <c r="CH30" s="1060">
        <v>375</v>
      </c>
      <c r="CI30" s="1059"/>
      <c r="CJ30" s="971"/>
      <c r="CK30" s="1061">
        <v>340</v>
      </c>
      <c r="CL30" s="1061">
        <v>340</v>
      </c>
      <c r="CM30" s="971"/>
      <c r="CN30" s="966"/>
      <c r="CO30" s="967"/>
      <c r="CP30" s="967"/>
      <c r="CQ30" s="968"/>
      <c r="CR30" s="1062"/>
      <c r="CS30" s="1063"/>
      <c r="CT30" s="811"/>
      <c r="CU30" s="812"/>
      <c r="CV30" s="812"/>
      <c r="CW30" s="812"/>
      <c r="CX30" s="811"/>
      <c r="CY30" s="790"/>
      <c r="CZ30" s="790"/>
      <c r="DA30" s="790"/>
      <c r="DB30" s="791"/>
      <c r="DC30" s="792"/>
      <c r="DD30" s="792"/>
      <c r="DE30" s="792"/>
      <c r="DF30" s="792"/>
      <c r="DG30" s="792"/>
      <c r="DH30" s="792"/>
      <c r="DI30" s="792"/>
      <c r="DJ30" s="792"/>
      <c r="DK30" s="792"/>
      <c r="DL30" s="792"/>
      <c r="DM30" s="792"/>
      <c r="DN30" s="792"/>
      <c r="DO30" s="792"/>
      <c r="DP30" s="792"/>
      <c r="DQ30" s="792"/>
      <c r="DR30" s="792"/>
      <c r="DS30" s="792"/>
      <c r="DT30" s="792"/>
      <c r="DU30" s="792"/>
      <c r="DV30" s="792"/>
      <c r="DW30" s="792"/>
      <c r="DX30" s="792"/>
      <c r="DY30" s="792"/>
      <c r="DZ30" s="792"/>
      <c r="EA30" s="792"/>
      <c r="EB30" s="792"/>
      <c r="EC30" s="792"/>
      <c r="ED30" s="792"/>
      <c r="EE30" s="792"/>
      <c r="EF30" s="792"/>
      <c r="EG30" s="792"/>
      <c r="EH30" s="792"/>
      <c r="EI30" s="792"/>
      <c r="EJ30" s="792"/>
      <c r="EK30" s="792"/>
      <c r="EL30" s="792"/>
      <c r="EM30" s="792"/>
      <c r="EN30" s="792"/>
      <c r="EO30" s="792"/>
      <c r="EP30" s="792"/>
      <c r="EQ30" s="792"/>
      <c r="ER30" s="792"/>
      <c r="ES30" s="792"/>
      <c r="ET30" s="792"/>
      <c r="EU30" s="792"/>
      <c r="EV30" s="792"/>
      <c r="EW30" s="792"/>
      <c r="EX30" s="792"/>
      <c r="EY30" s="792"/>
      <c r="EZ30" s="792"/>
      <c r="FA30" s="792"/>
      <c r="FB30" s="792"/>
      <c r="FC30" s="792"/>
      <c r="FD30" s="792"/>
      <c r="FE30" s="792"/>
      <c r="FF30" s="792"/>
      <c r="FG30" s="792"/>
      <c r="FH30" s="792"/>
      <c r="FI30" s="792"/>
      <c r="FJ30" s="792"/>
      <c r="FK30" s="792"/>
      <c r="FL30" s="792"/>
      <c r="FM30" s="792"/>
      <c r="FN30" s="792"/>
      <c r="FO30" s="792"/>
      <c r="FP30" s="792"/>
      <c r="FQ30" s="792"/>
      <c r="FR30" s="792"/>
      <c r="FS30" s="792"/>
      <c r="FT30" s="792"/>
      <c r="FU30" s="792"/>
      <c r="FV30" s="792"/>
      <c r="FW30" s="792"/>
      <c r="FX30" s="792"/>
      <c r="FY30" s="792"/>
      <c r="FZ30" s="792"/>
      <c r="GA30" s="792"/>
      <c r="GB30" s="792"/>
      <c r="GC30" s="792"/>
      <c r="GD30" s="792"/>
      <c r="GE30" s="792"/>
      <c r="GF30" s="792"/>
      <c r="GG30" s="792"/>
      <c r="GH30" s="792"/>
      <c r="GI30" s="792"/>
      <c r="GJ30" s="792"/>
      <c r="GK30" s="792"/>
      <c r="GL30" s="792"/>
      <c r="GM30" s="792"/>
      <c r="GN30" s="792"/>
      <c r="GO30" s="792"/>
    </row>
    <row r="31" spans="1:197" ht="29.25" thickBot="1" x14ac:dyDescent="0.4">
      <c r="A31" s="827">
        <v>340</v>
      </c>
      <c r="B31" s="826" t="s">
        <v>175</v>
      </c>
      <c r="C31" s="851"/>
      <c r="D31" s="790"/>
      <c r="E31" s="794"/>
      <c r="F31" s="794"/>
      <c r="G31" s="794"/>
      <c r="H31" s="792"/>
      <c r="I31" s="792"/>
      <c r="J31" s="790"/>
      <c r="K31" s="792"/>
      <c r="L31" s="792"/>
      <c r="M31" s="792"/>
      <c r="N31" s="792"/>
      <c r="O31" s="792"/>
      <c r="P31" s="792"/>
      <c r="Q31" s="792"/>
      <c r="R31" s="792"/>
      <c r="S31" s="792"/>
      <c r="T31" s="794"/>
      <c r="U31" s="1081"/>
      <c r="V31" s="1081"/>
      <c r="W31" s="1081"/>
      <c r="X31" s="1081"/>
      <c r="Y31" s="1081"/>
      <c r="Z31" s="1081"/>
      <c r="AA31" s="856"/>
      <c r="AB31" s="791"/>
      <c r="AC31" s="791"/>
      <c r="AD31" s="791"/>
      <c r="AE31" s="791"/>
      <c r="AF31" s="791"/>
      <c r="AG31" s="791"/>
      <c r="AH31" s="791"/>
      <c r="AI31" s="791"/>
      <c r="AJ31" s="791"/>
      <c r="AK31" s="791"/>
      <c r="AL31" s="791"/>
      <c r="AM31" s="856"/>
      <c r="AN31" s="856"/>
      <c r="AO31" s="909"/>
      <c r="AP31" s="885"/>
      <c r="AQ31" s="885"/>
      <c r="AR31" s="885"/>
      <c r="AS31" s="791"/>
      <c r="AT31" s="946"/>
      <c r="AU31" s="946"/>
      <c r="AV31" s="1082"/>
      <c r="AW31" s="858" t="s">
        <v>244</v>
      </c>
      <c r="AX31" s="996"/>
      <c r="AY31" s="996"/>
      <c r="AZ31" s="996"/>
      <c r="BA31" s="856"/>
      <c r="BB31" s="792"/>
      <c r="BC31" s="891"/>
      <c r="BD31" s="891"/>
      <c r="BE31" s="891"/>
      <c r="BF31" s="1082"/>
      <c r="BG31" s="909"/>
      <c r="BH31" s="792"/>
      <c r="BI31" s="792"/>
      <c r="BJ31" s="851"/>
      <c r="BK31" s="851"/>
      <c r="BL31" s="885"/>
      <c r="BM31" s="885"/>
      <c r="BN31" s="885"/>
      <c r="BO31" s="794"/>
      <c r="BP31" s="794"/>
      <c r="BQ31" s="794"/>
      <c r="BR31" s="794"/>
      <c r="BS31" s="1082"/>
      <c r="BT31" s="1082"/>
      <c r="BU31" s="1082"/>
      <c r="BV31" s="845"/>
      <c r="BW31" s="1046"/>
      <c r="BX31" s="1046"/>
      <c r="BY31" s="792"/>
      <c r="BZ31" s="792"/>
      <c r="CA31" s="792"/>
      <c r="CB31" s="792"/>
      <c r="CC31" s="792"/>
      <c r="CE31" s="794"/>
      <c r="CF31" s="1047" t="s">
        <v>175</v>
      </c>
      <c r="CG31" s="1047" t="s">
        <v>175</v>
      </c>
      <c r="CH31" s="1047" t="s">
        <v>175</v>
      </c>
      <c r="CI31" s="794"/>
      <c r="CJ31" s="794"/>
      <c r="CK31" s="971" t="s">
        <v>175</v>
      </c>
      <c r="CL31" s="971" t="s">
        <v>175</v>
      </c>
      <c r="CM31" s="817"/>
      <c r="CN31" s="1083"/>
      <c r="CO31" s="1084"/>
      <c r="CP31" s="1084"/>
      <c r="CQ31" s="1085"/>
      <c r="CR31" s="1062"/>
      <c r="CS31" s="1063"/>
      <c r="CT31" s="811"/>
      <c r="CU31" s="812"/>
      <c r="CV31" s="812"/>
      <c r="CW31" s="812"/>
      <c r="CX31" s="811"/>
      <c r="CY31" s="812"/>
      <c r="CZ31" s="790"/>
      <c r="DA31" s="790"/>
      <c r="DB31" s="791"/>
      <c r="DC31" s="792"/>
      <c r="DD31" s="792"/>
      <c r="DE31" s="792"/>
      <c r="DF31" s="792"/>
      <c r="DG31" s="792"/>
      <c r="DH31" s="792"/>
      <c r="DI31" s="792"/>
      <c r="DJ31" s="792"/>
      <c r="DK31" s="792"/>
      <c r="DL31" s="792"/>
      <c r="DM31" s="792"/>
      <c r="DN31" s="792"/>
      <c r="DO31" s="792"/>
      <c r="DP31" s="792"/>
      <c r="DQ31" s="792"/>
      <c r="DR31" s="792"/>
      <c r="DS31" s="792"/>
      <c r="DT31" s="792"/>
      <c r="DU31" s="792"/>
      <c r="DV31" s="792"/>
      <c r="DW31" s="792"/>
      <c r="DX31" s="792"/>
      <c r="DY31" s="792"/>
      <c r="DZ31" s="792"/>
      <c r="EA31" s="792"/>
      <c r="EB31" s="792"/>
      <c r="EC31" s="792"/>
      <c r="ED31" s="792"/>
      <c r="EE31" s="792"/>
      <c r="EF31" s="792"/>
      <c r="EG31" s="792"/>
      <c r="EH31" s="792"/>
      <c r="EI31" s="792"/>
      <c r="EJ31" s="792"/>
      <c r="EK31" s="792"/>
      <c r="EL31" s="792"/>
      <c r="EM31" s="792"/>
      <c r="EN31" s="792"/>
      <c r="EO31" s="792"/>
      <c r="EP31" s="792"/>
      <c r="EQ31" s="792"/>
      <c r="ER31" s="792"/>
      <c r="ES31" s="792"/>
      <c r="ET31" s="792"/>
      <c r="EU31" s="792"/>
      <c r="EV31" s="792"/>
      <c r="EW31" s="792"/>
      <c r="EX31" s="792"/>
      <c r="EY31" s="792"/>
      <c r="EZ31" s="792"/>
      <c r="FA31" s="792"/>
      <c r="FB31" s="792"/>
      <c r="FC31" s="792"/>
      <c r="FD31" s="792"/>
      <c r="FE31" s="792"/>
      <c r="FF31" s="792"/>
      <c r="FG31" s="792"/>
      <c r="FH31" s="792"/>
      <c r="FI31" s="792"/>
      <c r="FJ31" s="792"/>
      <c r="FK31" s="792"/>
      <c r="FL31" s="792"/>
      <c r="FM31" s="792"/>
      <c r="FN31" s="792"/>
      <c r="FO31" s="792"/>
      <c r="FP31" s="792"/>
      <c r="FQ31" s="792"/>
      <c r="FR31" s="792"/>
      <c r="FS31" s="792"/>
      <c r="FT31" s="792"/>
      <c r="FU31" s="792"/>
      <c r="FV31" s="792"/>
      <c r="FW31" s="792"/>
      <c r="FX31" s="792"/>
      <c r="FY31" s="792"/>
      <c r="FZ31" s="792"/>
      <c r="GA31" s="792"/>
      <c r="GB31" s="792"/>
      <c r="GC31" s="792"/>
      <c r="GD31" s="792"/>
      <c r="GE31" s="792"/>
      <c r="GF31" s="792"/>
      <c r="GG31" s="792"/>
      <c r="GH31" s="792"/>
      <c r="GI31" s="792"/>
      <c r="GJ31" s="792"/>
      <c r="GK31" s="792"/>
      <c r="GL31" s="792"/>
      <c r="GM31" s="792"/>
      <c r="GN31" s="792"/>
      <c r="GO31" s="792"/>
    </row>
    <row r="32" spans="1:197" ht="28.5" x14ac:dyDescent="0.35">
      <c r="C32" s="996"/>
      <c r="D32" s="923"/>
      <c r="E32" s="794"/>
      <c r="F32" s="794"/>
      <c r="G32" s="794"/>
      <c r="H32" s="794"/>
      <c r="I32" s="792"/>
      <c r="J32" s="792"/>
      <c r="K32" s="792"/>
      <c r="L32" s="792"/>
      <c r="M32" s="792"/>
      <c r="N32" s="792"/>
      <c r="O32" s="792"/>
      <c r="P32" s="792"/>
      <c r="Q32" s="792"/>
      <c r="R32" s="792"/>
      <c r="S32" s="792"/>
      <c r="T32" s="792"/>
      <c r="U32" s="792"/>
      <c r="V32" s="794"/>
      <c r="W32" s="794"/>
      <c r="X32" s="794"/>
      <c r="Y32" s="794"/>
      <c r="Z32" s="794"/>
      <c r="AA32" s="856"/>
      <c r="AB32" s="1086"/>
      <c r="AC32" s="856"/>
      <c r="AD32" s="856"/>
      <c r="AE32" s="856"/>
      <c r="AF32" s="856"/>
      <c r="AG32" s="856"/>
      <c r="AH32" s="856"/>
      <c r="AI32" s="856"/>
      <c r="AJ32" s="856"/>
      <c r="AK32" s="1086"/>
      <c r="AL32" s="856"/>
      <c r="AM32" s="856"/>
      <c r="AN32" s="909"/>
      <c r="AO32" s="858" t="s">
        <v>195</v>
      </c>
      <c r="AP32" s="826" t="s">
        <v>175</v>
      </c>
      <c r="AQ32" s="826" t="s">
        <v>175</v>
      </c>
      <c r="AR32" s="826" t="s">
        <v>175</v>
      </c>
      <c r="AS32" s="909"/>
      <c r="AT32" s="1087"/>
      <c r="AU32" s="792"/>
      <c r="AV32" s="794"/>
      <c r="AW32" s="949" t="s">
        <v>247</v>
      </c>
      <c r="AX32" s="948" t="s">
        <v>202</v>
      </c>
      <c r="AY32" s="948" t="s">
        <v>202</v>
      </c>
      <c r="AZ32" s="948" t="s">
        <v>202</v>
      </c>
      <c r="BA32" s="856"/>
      <c r="BB32" s="909"/>
      <c r="BC32" s="909"/>
      <c r="BD32" s="909"/>
      <c r="BE32" s="909"/>
      <c r="BF32" s="858" t="s">
        <v>248</v>
      </c>
      <c r="BG32" s="994" t="s">
        <v>182</v>
      </c>
      <c r="BH32" s="994" t="s">
        <v>182</v>
      </c>
      <c r="BI32" s="994" t="s">
        <v>182</v>
      </c>
      <c r="BJ32" s="885"/>
      <c r="BP32" s="794"/>
      <c r="BQ32" s="794"/>
      <c r="BR32" s="794"/>
      <c r="BS32" s="909"/>
      <c r="BT32" s="909"/>
      <c r="BU32" s="909"/>
      <c r="BV32" s="845"/>
      <c r="BW32" s="845"/>
      <c r="BX32" s="1088"/>
      <c r="BY32" s="1088"/>
      <c r="BZ32" s="1089"/>
      <c r="CA32" s="1089"/>
      <c r="CB32" s="1089"/>
      <c r="CC32" s="794"/>
      <c r="CD32" s="885"/>
      <c r="CE32" s="891"/>
      <c r="CF32" s="875"/>
      <c r="CG32" s="875"/>
      <c r="CH32" s="875"/>
      <c r="CI32" s="794"/>
      <c r="CJ32" s="794"/>
      <c r="CK32" s="885"/>
      <c r="CL32" s="885"/>
      <c r="CM32" s="817"/>
      <c r="CN32" s="1062"/>
      <c r="CO32" s="1062"/>
      <c r="CP32" s="1062"/>
      <c r="CQ32" s="1062"/>
      <c r="CR32" s="1062"/>
      <c r="CS32" s="1063"/>
      <c r="CT32" s="811"/>
      <c r="CU32" s="812"/>
      <c r="CV32" s="812"/>
      <c r="CW32" s="812"/>
      <c r="CX32" s="811"/>
      <c r="CY32" s="812"/>
      <c r="CZ32" s="790"/>
      <c r="DA32" s="790"/>
      <c r="DB32" s="791"/>
      <c r="DC32" s="792"/>
      <c r="DD32" s="792"/>
      <c r="DE32" s="792"/>
      <c r="DF32" s="792"/>
      <c r="DG32" s="792"/>
      <c r="DH32" s="792"/>
      <c r="DI32" s="792"/>
      <c r="DJ32" s="792"/>
      <c r="DK32" s="792"/>
      <c r="DL32" s="792"/>
      <c r="DM32" s="792"/>
      <c r="DN32" s="792"/>
      <c r="DO32" s="792"/>
      <c r="DP32" s="792"/>
      <c r="DQ32" s="792"/>
      <c r="DR32" s="792"/>
      <c r="DS32" s="792"/>
      <c r="DT32" s="792"/>
      <c r="DU32" s="792"/>
      <c r="DV32" s="792"/>
      <c r="DW32" s="792"/>
      <c r="DX32" s="792"/>
      <c r="DY32" s="792"/>
      <c r="DZ32" s="792"/>
      <c r="EA32" s="792"/>
      <c r="EB32" s="792"/>
      <c r="EC32" s="792"/>
      <c r="ED32" s="792"/>
      <c r="EE32" s="792"/>
      <c r="EF32" s="792"/>
      <c r="EG32" s="792"/>
      <c r="EH32" s="792"/>
      <c r="EI32" s="792"/>
      <c r="EJ32" s="792"/>
      <c r="EK32" s="792"/>
      <c r="EL32" s="792"/>
      <c r="EM32" s="792"/>
      <c r="EN32" s="792"/>
      <c r="EO32" s="792"/>
      <c r="EP32" s="792"/>
      <c r="EQ32" s="792"/>
      <c r="ER32" s="792"/>
      <c r="ES32" s="792"/>
      <c r="ET32" s="792"/>
      <c r="EU32" s="792"/>
      <c r="EV32" s="792"/>
      <c r="EW32" s="792"/>
      <c r="EX32" s="792"/>
      <c r="EY32" s="792"/>
      <c r="EZ32" s="792"/>
      <c r="FA32" s="792"/>
      <c r="FB32" s="792"/>
      <c r="FC32" s="792"/>
      <c r="FD32" s="792"/>
      <c r="FE32" s="792"/>
      <c r="FF32" s="792"/>
      <c r="FG32" s="792"/>
      <c r="FH32" s="792"/>
      <c r="FI32" s="792"/>
      <c r="FJ32" s="792"/>
      <c r="FK32" s="792"/>
      <c r="FL32" s="792"/>
      <c r="FM32" s="792"/>
      <c r="FN32" s="792"/>
      <c r="FO32" s="792"/>
      <c r="FP32" s="792"/>
      <c r="FQ32" s="792"/>
      <c r="FR32" s="792"/>
      <c r="FS32" s="792"/>
      <c r="FT32" s="792"/>
      <c r="FU32" s="792"/>
      <c r="FV32" s="792"/>
      <c r="FW32" s="792"/>
      <c r="FX32" s="792"/>
      <c r="FY32" s="792"/>
      <c r="FZ32" s="792"/>
      <c r="GA32" s="792"/>
      <c r="GB32" s="792"/>
      <c r="GC32" s="792"/>
      <c r="GD32" s="792"/>
      <c r="GE32" s="792"/>
      <c r="GF32" s="792"/>
      <c r="GG32" s="792"/>
      <c r="GH32" s="792"/>
      <c r="GI32" s="792"/>
      <c r="GJ32" s="792"/>
      <c r="GK32" s="792"/>
      <c r="GL32" s="792"/>
      <c r="GM32" s="792"/>
      <c r="GN32" s="792"/>
      <c r="GO32" s="792"/>
    </row>
    <row r="33" spans="1:197" ht="29.25" thickBot="1" x14ac:dyDescent="0.4">
      <c r="A33" s="827">
        <v>340</v>
      </c>
      <c r="B33" s="826" t="s">
        <v>175</v>
      </c>
      <c r="C33" s="851"/>
      <c r="D33" s="794"/>
      <c r="E33" s="794"/>
      <c r="F33" s="877"/>
      <c r="G33" s="877"/>
      <c r="H33" s="794"/>
      <c r="I33" s="794"/>
      <c r="J33" s="792"/>
      <c r="K33" s="792"/>
      <c r="L33" s="792"/>
      <c r="M33" s="792"/>
      <c r="N33" s="792"/>
      <c r="O33" s="792"/>
      <c r="P33" s="792"/>
      <c r="Q33" s="792"/>
      <c r="R33" s="792"/>
      <c r="S33" s="792"/>
      <c r="T33" s="792"/>
      <c r="U33" s="792"/>
      <c r="V33" s="1090"/>
      <c r="W33" s="1017"/>
      <c r="X33" s="1091"/>
      <c r="Y33" s="1017"/>
      <c r="Z33" s="791"/>
      <c r="AA33" s="794"/>
      <c r="AB33" s="1086"/>
      <c r="AC33" s="1092"/>
      <c r="AD33" s="1093"/>
      <c r="AE33" s="1093"/>
      <c r="AF33" s="1017"/>
      <c r="AG33" s="1094"/>
      <c r="AH33" s="1017"/>
      <c r="AI33" s="792"/>
      <c r="AJ33" s="856"/>
      <c r="AK33" s="1086"/>
      <c r="AL33" s="856"/>
      <c r="AM33" s="1038"/>
      <c r="AN33" s="794"/>
      <c r="AO33" s="1095"/>
      <c r="AP33" s="827">
        <v>340</v>
      </c>
      <c r="AQ33" s="827">
        <v>340</v>
      </c>
      <c r="AR33" s="827">
        <v>340</v>
      </c>
      <c r="AS33" s="826"/>
      <c r="AT33" s="1096"/>
      <c r="AU33" s="1096"/>
      <c r="AV33" s="1096"/>
      <c r="AW33" s="1097"/>
      <c r="AX33" s="989">
        <v>500</v>
      </c>
      <c r="AY33" s="989">
        <v>500</v>
      </c>
      <c r="AZ33" s="989">
        <v>500</v>
      </c>
      <c r="BA33" s="1025"/>
      <c r="BB33" s="909"/>
      <c r="BC33" s="909"/>
      <c r="BD33" s="909"/>
      <c r="BE33" s="909"/>
      <c r="BF33" s="994"/>
      <c r="BG33" s="1098">
        <v>340</v>
      </c>
      <c r="BH33" s="1098">
        <v>340</v>
      </c>
      <c r="BI33" s="1098">
        <v>340</v>
      </c>
      <c r="BJ33" s="994"/>
      <c r="BP33" s="792"/>
      <c r="BQ33" s="792"/>
      <c r="BR33" s="792"/>
      <c r="BS33" s="792"/>
      <c r="BT33" s="794"/>
      <c r="BU33" s="794"/>
      <c r="BV33" s="794"/>
      <c r="BW33" s="794"/>
      <c r="BX33" s="794"/>
      <c r="BY33" s="845"/>
      <c r="BZ33" s="845"/>
      <c r="CA33" s="845"/>
      <c r="CB33" s="845"/>
      <c r="CC33" s="845"/>
      <c r="CD33" s="997"/>
      <c r="CI33" s="1099"/>
      <c r="CJ33" s="1076"/>
      <c r="CK33" s="1100" t="s">
        <v>164</v>
      </c>
      <c r="CL33" s="1101"/>
      <c r="CM33" s="1074"/>
      <c r="CN33" s="1102"/>
      <c r="CO33" s="1103"/>
      <c r="CP33" s="1103"/>
      <c r="CQ33" s="1103"/>
      <c r="CR33" s="1103"/>
      <c r="CS33" s="1104"/>
      <c r="CT33" s="811"/>
      <c r="CU33" s="812"/>
      <c r="CV33" s="812"/>
      <c r="CW33" s="812"/>
      <c r="CX33" s="811"/>
      <c r="CY33" s="812"/>
      <c r="CZ33" s="790"/>
      <c r="DA33" s="790"/>
      <c r="DB33" s="791"/>
      <c r="DC33" s="792"/>
      <c r="DD33" s="792"/>
      <c r="DE33" s="792"/>
      <c r="DF33" s="792"/>
      <c r="DG33" s="792"/>
      <c r="DH33" s="792"/>
      <c r="DI33" s="792"/>
      <c r="DJ33" s="792"/>
      <c r="DK33" s="792"/>
      <c r="DL33" s="792"/>
      <c r="DM33" s="792"/>
      <c r="DN33" s="792"/>
      <c r="DO33" s="792"/>
      <c r="DP33" s="792"/>
      <c r="DQ33" s="792"/>
      <c r="DR33" s="792"/>
      <c r="DS33" s="792"/>
      <c r="DT33" s="792"/>
      <c r="DU33" s="792"/>
      <c r="DV33" s="792"/>
      <c r="DW33" s="792"/>
      <c r="DX33" s="792"/>
      <c r="DY33" s="792"/>
      <c r="DZ33" s="792"/>
      <c r="EA33" s="792"/>
      <c r="EB33" s="792"/>
      <c r="EC33" s="792"/>
      <c r="ED33" s="792"/>
      <c r="EE33" s="792"/>
      <c r="EF33" s="792"/>
      <c r="EG33" s="792"/>
      <c r="EH33" s="792"/>
      <c r="EI33" s="792"/>
      <c r="EJ33" s="792"/>
      <c r="EK33" s="792"/>
      <c r="EL33" s="792"/>
      <c r="EM33" s="792"/>
      <c r="EN33" s="792"/>
      <c r="EO33" s="792"/>
      <c r="EP33" s="792"/>
      <c r="EQ33" s="792"/>
      <c r="ER33" s="792"/>
      <c r="ES33" s="792"/>
      <c r="ET33" s="792"/>
      <c r="EU33" s="792"/>
      <c r="EV33" s="792"/>
      <c r="EW33" s="792"/>
      <c r="EX33" s="792"/>
      <c r="EY33" s="792"/>
      <c r="EZ33" s="792"/>
      <c r="FA33" s="792"/>
      <c r="FB33" s="792"/>
      <c r="FC33" s="792"/>
      <c r="FD33" s="792"/>
      <c r="FE33" s="792"/>
      <c r="FF33" s="792"/>
      <c r="FG33" s="792"/>
      <c r="FH33" s="792"/>
      <c r="FI33" s="792"/>
      <c r="FJ33" s="792"/>
      <c r="FK33" s="792"/>
      <c r="FL33" s="792"/>
      <c r="FM33" s="792"/>
      <c r="FN33" s="792"/>
      <c r="FO33" s="792"/>
      <c r="FP33" s="792"/>
      <c r="FQ33" s="792"/>
      <c r="FR33" s="792"/>
      <c r="FS33" s="792"/>
      <c r="FT33" s="792"/>
      <c r="FU33" s="792"/>
      <c r="FV33" s="792"/>
      <c r="FW33" s="792"/>
      <c r="FX33" s="792"/>
      <c r="FY33" s="792"/>
      <c r="FZ33" s="792"/>
      <c r="GA33" s="792"/>
      <c r="GB33" s="792"/>
      <c r="GC33" s="792"/>
      <c r="GD33" s="792"/>
      <c r="GE33" s="792"/>
      <c r="GF33" s="792"/>
      <c r="GG33" s="792"/>
      <c r="GH33" s="792"/>
      <c r="GI33" s="792"/>
      <c r="GJ33" s="792"/>
      <c r="GK33" s="792"/>
      <c r="GL33" s="792"/>
      <c r="GM33" s="792"/>
      <c r="GN33" s="792"/>
      <c r="GO33" s="792"/>
    </row>
    <row r="34" spans="1:197" ht="28.5" x14ac:dyDescent="0.35">
      <c r="C34" s="851"/>
      <c r="D34" s="1006"/>
      <c r="E34" s="794"/>
      <c r="F34" s="877"/>
      <c r="G34" s="877"/>
      <c r="H34" s="794"/>
      <c r="I34" s="1105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2"/>
      <c r="U34" s="792"/>
      <c r="V34" s="1106"/>
      <c r="W34" s="1106"/>
      <c r="X34" s="1106"/>
      <c r="Y34" s="792"/>
      <c r="Z34" s="1107"/>
      <c r="AA34" s="1107"/>
      <c r="AB34" s="1107"/>
      <c r="AC34" s="792"/>
      <c r="AD34" s="1108"/>
      <c r="AE34" s="1108"/>
      <c r="AF34" s="792"/>
      <c r="AG34" s="792"/>
      <c r="AH34" s="792"/>
      <c r="AI34" s="792"/>
      <c r="AJ34" s="856"/>
      <c r="AK34" s="1086"/>
      <c r="AL34" s="856"/>
      <c r="AM34" s="1038"/>
      <c r="AN34" s="794"/>
      <c r="AO34" s="826"/>
      <c r="AP34" s="827">
        <v>340</v>
      </c>
      <c r="AQ34" s="827">
        <v>340</v>
      </c>
      <c r="AR34" s="827">
        <v>340</v>
      </c>
      <c r="AS34" s="826"/>
      <c r="AT34" s="1096"/>
      <c r="AU34" s="1096"/>
      <c r="AV34" s="1096"/>
      <c r="AW34" s="1025"/>
      <c r="AX34" s="989">
        <v>500</v>
      </c>
      <c r="AY34" s="989">
        <v>500</v>
      </c>
      <c r="AZ34" s="989">
        <v>500</v>
      </c>
      <c r="BA34" s="1025"/>
      <c r="BB34" s="909"/>
      <c r="BC34" s="909"/>
      <c r="BD34" s="909"/>
      <c r="BE34" s="909"/>
      <c r="BF34" s="994"/>
      <c r="BG34" s="1001">
        <v>340</v>
      </c>
      <c r="BH34" s="1001">
        <v>340</v>
      </c>
      <c r="BI34" s="1109">
        <v>340</v>
      </c>
      <c r="BJ34" s="994"/>
      <c r="BP34" s="792"/>
      <c r="BQ34" s="792"/>
      <c r="BR34" s="792"/>
      <c r="BS34" s="792"/>
      <c r="BT34" s="794"/>
      <c r="BU34" s="794"/>
      <c r="BV34" s="794"/>
      <c r="BW34" s="794"/>
      <c r="BX34" s="794"/>
      <c r="BY34" s="946"/>
      <c r="BZ34" s="1110"/>
      <c r="CA34" s="1111"/>
      <c r="CB34" s="1111"/>
      <c r="CC34" s="1111"/>
      <c r="CD34" s="1111"/>
      <c r="CE34" s="1111"/>
      <c r="CF34" s="1111"/>
      <c r="CG34" s="1111"/>
      <c r="CH34" s="1111"/>
      <c r="CI34" s="845"/>
      <c r="CJ34" s="845"/>
      <c r="CK34" s="845"/>
      <c r="CL34" s="845"/>
      <c r="CM34" s="845"/>
      <c r="CN34" s="845"/>
      <c r="CO34" s="845"/>
      <c r="CP34" s="845"/>
      <c r="CQ34" s="812"/>
      <c r="CR34" s="812"/>
      <c r="CS34" s="812"/>
      <c r="CT34" s="811"/>
      <c r="CU34" s="812"/>
      <c r="CV34" s="812"/>
      <c r="CW34" s="812"/>
      <c r="CX34" s="811"/>
      <c r="CY34" s="812"/>
      <c r="CZ34" s="790"/>
      <c r="DA34" s="790"/>
      <c r="DB34" s="791"/>
      <c r="DC34" s="792"/>
      <c r="DD34" s="792"/>
      <c r="DE34" s="792"/>
      <c r="DF34" s="792"/>
      <c r="DG34" s="792"/>
      <c r="DH34" s="792"/>
      <c r="DI34" s="792"/>
      <c r="DJ34" s="792"/>
      <c r="DK34" s="792"/>
      <c r="DL34" s="792"/>
      <c r="DM34" s="792"/>
      <c r="DN34" s="792"/>
      <c r="DO34" s="792"/>
      <c r="DP34" s="792"/>
      <c r="DQ34" s="792"/>
      <c r="DR34" s="792"/>
      <c r="DS34" s="792"/>
      <c r="DT34" s="792"/>
      <c r="DU34" s="792"/>
      <c r="DV34" s="792"/>
      <c r="DW34" s="792"/>
      <c r="DX34" s="792"/>
      <c r="DY34" s="792"/>
      <c r="DZ34" s="792"/>
      <c r="EA34" s="792"/>
      <c r="EB34" s="792"/>
      <c r="EC34" s="792"/>
      <c r="ED34" s="792"/>
      <c r="EE34" s="792"/>
      <c r="EF34" s="792"/>
      <c r="EG34" s="792"/>
      <c r="EH34" s="792"/>
      <c r="EI34" s="792"/>
      <c r="EJ34" s="792"/>
      <c r="EK34" s="792"/>
      <c r="EL34" s="792"/>
      <c r="EM34" s="792"/>
      <c r="EN34" s="792"/>
      <c r="EO34" s="792"/>
      <c r="EP34" s="792"/>
      <c r="EQ34" s="792"/>
      <c r="ER34" s="792"/>
      <c r="ES34" s="792"/>
      <c r="ET34" s="792"/>
      <c r="EU34" s="792"/>
      <c r="EV34" s="792"/>
      <c r="EW34" s="792"/>
      <c r="EX34" s="792"/>
      <c r="EY34" s="792"/>
      <c r="EZ34" s="792"/>
      <c r="FA34" s="792"/>
      <c r="FB34" s="792"/>
      <c r="FC34" s="792"/>
      <c r="FD34" s="792"/>
      <c r="FE34" s="792"/>
      <c r="FF34" s="792"/>
      <c r="FG34" s="792"/>
      <c r="FH34" s="792"/>
      <c r="FI34" s="792"/>
      <c r="FJ34" s="792"/>
      <c r="FK34" s="792"/>
      <c r="FL34" s="792"/>
      <c r="FM34" s="792"/>
      <c r="FN34" s="792"/>
      <c r="FO34" s="792"/>
      <c r="FP34" s="792"/>
      <c r="FQ34" s="792"/>
      <c r="FR34" s="792"/>
      <c r="FS34" s="792"/>
      <c r="FT34" s="792"/>
      <c r="FU34" s="792"/>
      <c r="FV34" s="792"/>
      <c r="FW34" s="792"/>
      <c r="FX34" s="792"/>
      <c r="FY34" s="792"/>
      <c r="FZ34" s="792"/>
      <c r="GA34" s="792"/>
      <c r="GB34" s="792"/>
      <c r="GC34" s="792"/>
      <c r="GD34" s="792"/>
      <c r="GE34" s="792"/>
      <c r="GF34" s="792"/>
      <c r="GG34" s="792"/>
      <c r="GH34" s="792"/>
      <c r="GI34" s="792"/>
      <c r="GJ34" s="792"/>
      <c r="GK34" s="792"/>
      <c r="GL34" s="792"/>
      <c r="GM34" s="792"/>
      <c r="GN34" s="792"/>
      <c r="GO34" s="792"/>
    </row>
    <row r="35" spans="1:197" ht="29.25" thickBot="1" x14ac:dyDescent="0.4">
      <c r="A35" s="827">
        <v>340</v>
      </c>
      <c r="B35" s="826" t="s">
        <v>175</v>
      </c>
      <c r="C35" s="851"/>
      <c r="D35" s="1006"/>
      <c r="E35" s="1112"/>
      <c r="F35" s="1010"/>
      <c r="G35" s="1010"/>
      <c r="H35" s="949" t="s">
        <v>959</v>
      </c>
      <c r="I35" s="1105"/>
      <c r="J35" s="792"/>
      <c r="K35" s="792"/>
      <c r="L35" s="792"/>
      <c r="M35" s="792"/>
      <c r="N35" s="792"/>
      <c r="O35" s="792"/>
      <c r="P35" s="792"/>
      <c r="Q35" s="792"/>
      <c r="R35" s="792"/>
      <c r="S35" s="792"/>
      <c r="T35" s="792"/>
      <c r="U35" s="792"/>
      <c r="V35" s="1106"/>
      <c r="W35" s="1106"/>
      <c r="X35" s="1106"/>
      <c r="Y35" s="792"/>
      <c r="Z35" s="1107"/>
      <c r="AA35" s="1107"/>
      <c r="AB35" s="1107"/>
      <c r="AC35" s="792"/>
      <c r="AD35" s="1108"/>
      <c r="AE35" s="1108"/>
      <c r="AF35" s="792"/>
      <c r="AG35" s="792"/>
      <c r="AH35" s="792"/>
      <c r="AI35" s="792"/>
      <c r="AJ35" s="856"/>
      <c r="AK35" s="1090"/>
      <c r="AL35" s="856"/>
      <c r="AM35" s="1038"/>
      <c r="AN35" s="794"/>
      <c r="AO35" s="1031" t="s">
        <v>253</v>
      </c>
      <c r="AP35" s="826" t="s">
        <v>175</v>
      </c>
      <c r="AQ35" s="826" t="s">
        <v>175</v>
      </c>
      <c r="AR35" s="826" t="s">
        <v>175</v>
      </c>
      <c r="AS35" s="790"/>
      <c r="AT35" s="1038"/>
      <c r="AU35" s="794"/>
      <c r="AV35" s="792"/>
      <c r="AW35" s="790"/>
      <c r="AX35" s="948" t="s">
        <v>202</v>
      </c>
      <c r="AY35" s="948" t="s">
        <v>202</v>
      </c>
      <c r="AZ35" s="948" t="s">
        <v>202</v>
      </c>
      <c r="BA35" s="1113"/>
      <c r="BB35" s="909"/>
      <c r="BC35" s="909"/>
      <c r="BD35" s="909"/>
      <c r="BE35" s="909"/>
      <c r="BF35" s="909"/>
      <c r="BG35" s="994" t="s">
        <v>182</v>
      </c>
      <c r="BH35" s="994" t="s">
        <v>182</v>
      </c>
      <c r="BI35" s="994" t="s">
        <v>182</v>
      </c>
      <c r="BJ35" s="885"/>
      <c r="BP35" s="792"/>
      <c r="BQ35" s="792"/>
      <c r="BR35" s="792"/>
      <c r="BS35" s="792"/>
      <c r="BT35" s="1114"/>
      <c r="BU35" s="794"/>
      <c r="BV35" s="794"/>
      <c r="BW35" s="794"/>
      <c r="BX35" s="794"/>
      <c r="BY35" s="946"/>
      <c r="BZ35" s="1115"/>
      <c r="CA35" s="946"/>
      <c r="CB35" s="946"/>
      <c r="CH35" s="909"/>
      <c r="CI35" s="845"/>
      <c r="CJ35" s="845"/>
      <c r="CK35" s="845"/>
      <c r="CL35" s="845"/>
      <c r="CM35" s="845"/>
      <c r="CN35" s="845"/>
      <c r="CO35" s="845"/>
      <c r="CP35" s="845"/>
      <c r="CQ35" s="812"/>
      <c r="CR35" s="812"/>
      <c r="CS35" s="812"/>
      <c r="CT35" s="811"/>
      <c r="CU35" s="812"/>
      <c r="CV35" s="812"/>
      <c r="CW35" s="812"/>
      <c r="CX35" s="811"/>
      <c r="CY35" s="812"/>
      <c r="CZ35" s="790"/>
      <c r="DA35" s="790"/>
      <c r="DB35" s="791"/>
      <c r="DC35" s="792"/>
      <c r="DD35" s="792"/>
      <c r="DE35" s="792"/>
      <c r="DF35" s="792"/>
      <c r="DG35" s="792"/>
      <c r="DH35" s="792"/>
      <c r="DI35" s="792"/>
      <c r="DJ35" s="792"/>
      <c r="DK35" s="792"/>
      <c r="DL35" s="792"/>
      <c r="DM35" s="792"/>
      <c r="DN35" s="792"/>
      <c r="DO35" s="792"/>
      <c r="DP35" s="792"/>
      <c r="DQ35" s="792"/>
      <c r="DR35" s="792"/>
      <c r="DS35" s="792"/>
      <c r="DT35" s="792"/>
      <c r="DU35" s="792"/>
      <c r="DV35" s="792"/>
      <c r="DW35" s="792"/>
      <c r="DX35" s="792"/>
      <c r="DY35" s="792"/>
      <c r="DZ35" s="792"/>
      <c r="EA35" s="792"/>
      <c r="EB35" s="792"/>
      <c r="EC35" s="792"/>
      <c r="ED35" s="792"/>
      <c r="EE35" s="792"/>
      <c r="EF35" s="792"/>
      <c r="EG35" s="792"/>
      <c r="EH35" s="792"/>
      <c r="EI35" s="792"/>
      <c r="EJ35" s="792"/>
      <c r="EK35" s="792"/>
      <c r="EL35" s="792"/>
      <c r="EM35" s="792"/>
      <c r="EN35" s="792"/>
      <c r="EO35" s="792"/>
      <c r="EP35" s="792"/>
      <c r="EQ35" s="792"/>
      <c r="ER35" s="792"/>
      <c r="ES35" s="792"/>
      <c r="ET35" s="792"/>
      <c r="EU35" s="792"/>
      <c r="EV35" s="792"/>
      <c r="EW35" s="792"/>
      <c r="EX35" s="792"/>
      <c r="EY35" s="792"/>
      <c r="EZ35" s="792"/>
      <c r="FA35" s="792"/>
      <c r="FB35" s="792"/>
      <c r="FC35" s="792"/>
      <c r="FD35" s="792"/>
      <c r="FE35" s="792"/>
      <c r="FF35" s="792"/>
      <c r="FG35" s="792"/>
      <c r="FH35" s="792"/>
      <c r="FI35" s="792"/>
      <c r="FJ35" s="792"/>
      <c r="FK35" s="792"/>
      <c r="FL35" s="792"/>
      <c r="FM35" s="792"/>
      <c r="FN35" s="792"/>
      <c r="FO35" s="792"/>
      <c r="FP35" s="792"/>
      <c r="FQ35" s="792"/>
      <c r="FR35" s="792"/>
      <c r="FS35" s="792"/>
      <c r="FT35" s="792"/>
      <c r="FU35" s="792"/>
      <c r="FV35" s="792"/>
      <c r="FW35" s="792"/>
      <c r="FX35" s="792"/>
      <c r="FY35" s="792"/>
      <c r="FZ35" s="792"/>
      <c r="GA35" s="792"/>
      <c r="GB35" s="792"/>
      <c r="GC35" s="792"/>
      <c r="GD35" s="792"/>
      <c r="GE35" s="792"/>
      <c r="GF35" s="792"/>
      <c r="GG35" s="792"/>
      <c r="GH35" s="792"/>
      <c r="GI35" s="792"/>
      <c r="GJ35" s="792"/>
      <c r="GK35" s="792"/>
      <c r="GL35" s="792"/>
      <c r="GM35" s="792"/>
      <c r="GN35" s="792"/>
      <c r="GO35" s="792"/>
    </row>
    <row r="36" spans="1:197" ht="23.25" x14ac:dyDescent="0.3">
      <c r="C36" s="851"/>
      <c r="D36" s="851"/>
      <c r="E36" s="993" t="s">
        <v>202</v>
      </c>
      <c r="F36" s="1116">
        <v>500</v>
      </c>
      <c r="G36" s="1117">
        <v>500</v>
      </c>
      <c r="H36" s="993" t="s">
        <v>202</v>
      </c>
      <c r="I36" s="851"/>
      <c r="J36" s="792"/>
      <c r="K36" s="792"/>
      <c r="L36" s="792"/>
      <c r="M36" s="792"/>
      <c r="N36" s="792"/>
      <c r="O36" s="792"/>
      <c r="P36" s="792"/>
      <c r="Q36" s="792"/>
      <c r="R36" s="792"/>
      <c r="S36" s="792"/>
      <c r="T36" s="792"/>
      <c r="U36" s="792"/>
      <c r="V36" s="933"/>
      <c r="W36" s="933"/>
      <c r="X36" s="1118"/>
      <c r="Y36" s="859"/>
      <c r="Z36" s="794"/>
      <c r="AA36" s="1119"/>
      <c r="AB36" s="794"/>
      <c r="AC36" s="792"/>
      <c r="AD36" s="792"/>
      <c r="AE36" s="792"/>
      <c r="AF36" s="1113"/>
      <c r="AG36" s="1017"/>
      <c r="AH36" s="1017"/>
      <c r="AI36" s="1017"/>
      <c r="AJ36" s="856"/>
      <c r="AK36" s="1090"/>
      <c r="AL36" s="856"/>
      <c r="AM36" s="856"/>
      <c r="AN36" s="1038"/>
      <c r="AO36" s="1038"/>
      <c r="AP36" s="1120"/>
      <c r="AQ36" s="1120"/>
      <c r="AR36" s="885"/>
      <c r="AS36" s="794"/>
      <c r="AT36" s="794"/>
      <c r="AU36" s="1038"/>
      <c r="AV36" s="794"/>
      <c r="AW36" s="996"/>
      <c r="AX36" s="996"/>
      <c r="AY36" s="996"/>
      <c r="AZ36" s="996"/>
      <c r="BA36" s="996"/>
      <c r="BB36" s="792"/>
      <c r="BC36" s="885"/>
      <c r="BD36" s="885"/>
      <c r="BE36" s="885"/>
      <c r="BF36" s="909"/>
      <c r="BG36" s="792"/>
      <c r="BH36" s="792"/>
      <c r="BI36" s="792"/>
      <c r="BJ36" s="885"/>
      <c r="BP36" s="885"/>
      <c r="BQ36" s="885"/>
      <c r="BR36" s="885"/>
      <c r="BS36" s="885"/>
      <c r="BT36" s="885"/>
      <c r="BU36" s="885"/>
      <c r="BV36" s="885"/>
      <c r="BW36" s="1121"/>
      <c r="BX36" s="1122"/>
      <c r="BY36" s="1123"/>
      <c r="BZ36" s="1115"/>
      <c r="CA36" s="946"/>
      <c r="CB36" s="946"/>
      <c r="CH36" s="909"/>
      <c r="CI36" s="946"/>
      <c r="CJ36" s="946"/>
      <c r="CM36" s="845"/>
      <c r="CN36" s="845"/>
      <c r="CO36" s="845"/>
      <c r="CP36" s="845"/>
      <c r="CQ36" s="845"/>
      <c r="CR36" s="845"/>
      <c r="CS36" s="845"/>
      <c r="CT36" s="845"/>
      <c r="CU36" s="812"/>
      <c r="CV36" s="812"/>
      <c r="CW36" s="812"/>
      <c r="CX36" s="812"/>
      <c r="CY36" s="812"/>
      <c r="CZ36" s="790"/>
      <c r="DA36" s="790"/>
      <c r="DB36" s="791"/>
      <c r="DC36" s="792"/>
      <c r="DD36" s="792"/>
      <c r="DE36" s="792"/>
      <c r="DF36" s="792"/>
      <c r="DG36" s="792"/>
      <c r="DH36" s="792"/>
      <c r="DI36" s="792"/>
      <c r="DJ36" s="792"/>
      <c r="DK36" s="792"/>
      <c r="DL36" s="792"/>
      <c r="DM36" s="792"/>
      <c r="DN36" s="792"/>
      <c r="DO36" s="792"/>
      <c r="DP36" s="792"/>
      <c r="DQ36" s="792"/>
      <c r="DR36" s="792"/>
      <c r="DS36" s="792"/>
      <c r="DT36" s="792"/>
      <c r="DU36" s="792"/>
      <c r="DV36" s="792"/>
      <c r="DW36" s="792"/>
      <c r="DX36" s="792"/>
      <c r="DY36" s="792"/>
      <c r="DZ36" s="792"/>
      <c r="EA36" s="792"/>
      <c r="EB36" s="792"/>
      <c r="EC36" s="792"/>
      <c r="ED36" s="792"/>
      <c r="EE36" s="792"/>
      <c r="EF36" s="792"/>
      <c r="EG36" s="792"/>
      <c r="EH36" s="792"/>
      <c r="EI36" s="792"/>
      <c r="EJ36" s="792"/>
      <c r="EK36" s="792"/>
      <c r="EL36" s="792"/>
      <c r="EM36" s="792"/>
      <c r="EN36" s="792"/>
      <c r="EO36" s="792"/>
      <c r="EP36" s="792"/>
      <c r="EQ36" s="792"/>
      <c r="ER36" s="792"/>
      <c r="ES36" s="792"/>
      <c r="ET36" s="792"/>
      <c r="EU36" s="792"/>
      <c r="EV36" s="792"/>
      <c r="EW36" s="792"/>
      <c r="EX36" s="792"/>
      <c r="EY36" s="792"/>
      <c r="EZ36" s="792"/>
      <c r="FA36" s="792"/>
      <c r="FB36" s="792"/>
      <c r="FC36" s="792"/>
      <c r="FD36" s="792"/>
      <c r="FE36" s="792"/>
      <c r="FF36" s="792"/>
      <c r="FG36" s="792"/>
      <c r="FH36" s="792"/>
      <c r="FI36" s="792"/>
      <c r="FJ36" s="792"/>
      <c r="FK36" s="792"/>
      <c r="FL36" s="792"/>
      <c r="FM36" s="792"/>
      <c r="FN36" s="792"/>
      <c r="FO36" s="792"/>
      <c r="FP36" s="792"/>
      <c r="FQ36" s="792"/>
      <c r="FR36" s="792"/>
      <c r="FS36" s="792"/>
      <c r="FT36" s="792"/>
      <c r="FU36" s="792"/>
      <c r="FV36" s="792"/>
      <c r="FW36" s="792"/>
      <c r="FX36" s="792"/>
      <c r="FY36" s="792"/>
      <c r="FZ36" s="792"/>
      <c r="GA36" s="792"/>
      <c r="GB36" s="792"/>
      <c r="GC36" s="792"/>
      <c r="GD36" s="792"/>
      <c r="GE36" s="792"/>
      <c r="GF36" s="792"/>
      <c r="GG36" s="792"/>
      <c r="GH36" s="792"/>
      <c r="GI36" s="792"/>
      <c r="GJ36" s="792"/>
      <c r="GK36" s="792"/>
      <c r="GL36" s="792"/>
      <c r="GM36" s="792"/>
      <c r="GN36" s="792"/>
      <c r="GO36" s="792"/>
    </row>
    <row r="37" spans="1:197" ht="26.25" x14ac:dyDescent="0.4">
      <c r="A37" s="827">
        <v>340</v>
      </c>
      <c r="B37" s="826" t="s">
        <v>175</v>
      </c>
      <c r="C37" s="851"/>
      <c r="D37" s="851"/>
      <c r="E37" s="993" t="s">
        <v>202</v>
      </c>
      <c r="F37" s="1116">
        <v>500</v>
      </c>
      <c r="G37" s="1117">
        <v>500</v>
      </c>
      <c r="H37" s="993" t="s">
        <v>202</v>
      </c>
      <c r="I37" s="851"/>
      <c r="J37" s="792"/>
      <c r="K37" s="792"/>
      <c r="L37" s="792"/>
      <c r="M37" s="792"/>
      <c r="N37" s="792"/>
      <c r="O37" s="792"/>
      <c r="P37" s="792"/>
      <c r="Q37" s="792"/>
      <c r="R37" s="792"/>
      <c r="S37" s="792"/>
      <c r="T37" s="792"/>
      <c r="U37" s="792"/>
      <c r="V37" s="794"/>
      <c r="W37" s="794"/>
      <c r="X37" s="792"/>
      <c r="Y37" s="1124" t="s">
        <v>255</v>
      </c>
      <c r="Z37" s="1124"/>
      <c r="AA37" s="1124"/>
      <c r="AB37" s="1124"/>
      <c r="AC37" s="856"/>
      <c r="AD37" s="856"/>
      <c r="AE37" s="856"/>
      <c r="AF37" s="856"/>
      <c r="AG37" s="856"/>
      <c r="AH37" s="856"/>
      <c r="AI37" s="856"/>
      <c r="AJ37" s="856"/>
      <c r="AK37" s="1086"/>
      <c r="AL37" s="856"/>
      <c r="AM37" s="856"/>
      <c r="AN37" s="1125"/>
      <c r="AO37" s="792"/>
      <c r="AP37" s="1011" t="s">
        <v>176</v>
      </c>
      <c r="AQ37" s="1011"/>
      <c r="AR37" s="1011"/>
      <c r="AS37" s="792"/>
      <c r="AT37" s="1038"/>
      <c r="AU37" s="909"/>
      <c r="AV37" s="794"/>
      <c r="AW37" s="909"/>
      <c r="AX37" s="794"/>
      <c r="AY37" s="909"/>
      <c r="AZ37" s="792"/>
      <c r="BA37" s="826" t="s">
        <v>175</v>
      </c>
      <c r="BB37" s="1126"/>
      <c r="BC37" s="1126"/>
      <c r="BD37" s="1126"/>
      <c r="BE37" s="1126"/>
      <c r="BF37" s="1126"/>
      <c r="BG37" s="1011" t="s">
        <v>176</v>
      </c>
      <c r="BH37" s="1011"/>
      <c r="BI37" s="1011"/>
      <c r="BJ37" s="934"/>
      <c r="BP37" s="930"/>
      <c r="BQ37" s="930"/>
      <c r="BR37" s="930"/>
      <c r="BS37" s="885"/>
      <c r="BT37" s="885"/>
      <c r="BU37" s="885"/>
      <c r="BV37" s="885"/>
      <c r="BW37" s="1127"/>
      <c r="BX37" s="1128"/>
      <c r="BY37" s="1129"/>
      <c r="BZ37" s="946"/>
      <c r="CA37" s="946"/>
      <c r="CB37" s="946"/>
      <c r="CH37" s="909"/>
      <c r="CI37" s="946"/>
      <c r="CJ37" s="946"/>
      <c r="CM37" s="946"/>
      <c r="CN37" s="946"/>
      <c r="CO37" s="946"/>
      <c r="CP37" s="946"/>
      <c r="CQ37" s="946"/>
      <c r="CR37" s="845"/>
      <c r="CS37" s="845"/>
      <c r="CT37" s="845"/>
      <c r="CU37" s="812"/>
      <c r="CV37" s="812"/>
      <c r="CW37" s="812"/>
      <c r="CX37" s="812"/>
      <c r="CY37" s="812"/>
      <c r="CZ37" s="790"/>
      <c r="DA37" s="790"/>
      <c r="DB37" s="791"/>
      <c r="DC37" s="792"/>
      <c r="DD37" s="792"/>
      <c r="DE37" s="792"/>
      <c r="DF37" s="792"/>
      <c r="DG37" s="792"/>
      <c r="DH37" s="792"/>
      <c r="DI37" s="792"/>
      <c r="DJ37" s="792"/>
      <c r="DK37" s="792"/>
      <c r="DL37" s="792"/>
      <c r="DM37" s="792"/>
      <c r="DN37" s="792"/>
      <c r="DO37" s="792"/>
      <c r="DP37" s="792"/>
      <c r="DQ37" s="792"/>
      <c r="DR37" s="792"/>
      <c r="DS37" s="792"/>
      <c r="DT37" s="792"/>
      <c r="DU37" s="792"/>
      <c r="DV37" s="792"/>
      <c r="DW37" s="792"/>
      <c r="DX37" s="792"/>
      <c r="DY37" s="792"/>
      <c r="DZ37" s="792"/>
      <c r="EA37" s="792"/>
      <c r="EB37" s="792"/>
      <c r="EC37" s="792"/>
      <c r="ED37" s="792"/>
      <c r="EE37" s="792"/>
      <c r="EF37" s="792"/>
      <c r="EG37" s="792"/>
      <c r="EH37" s="792"/>
      <c r="EI37" s="792"/>
      <c r="EJ37" s="792"/>
      <c r="EK37" s="792"/>
      <c r="EL37" s="792"/>
      <c r="EM37" s="792"/>
      <c r="EN37" s="792"/>
      <c r="EO37" s="792"/>
      <c r="EP37" s="792"/>
      <c r="EQ37" s="792"/>
      <c r="ER37" s="792"/>
      <c r="ES37" s="792"/>
      <c r="ET37" s="792"/>
      <c r="EU37" s="792"/>
      <c r="EV37" s="792"/>
      <c r="EW37" s="792"/>
      <c r="EX37" s="792"/>
      <c r="EY37" s="792"/>
      <c r="EZ37" s="792"/>
      <c r="FA37" s="792"/>
      <c r="FB37" s="792"/>
      <c r="FC37" s="792"/>
      <c r="FD37" s="792"/>
      <c r="FE37" s="792"/>
      <c r="FF37" s="792"/>
      <c r="FG37" s="792"/>
      <c r="FH37" s="792"/>
      <c r="FI37" s="792"/>
      <c r="FJ37" s="792"/>
      <c r="FK37" s="792"/>
      <c r="FL37" s="792"/>
      <c r="FM37" s="792"/>
      <c r="FN37" s="792"/>
      <c r="FO37" s="792"/>
      <c r="FP37" s="792"/>
      <c r="FQ37" s="792"/>
      <c r="FR37" s="792"/>
      <c r="FS37" s="792"/>
      <c r="FT37" s="792"/>
      <c r="FU37" s="792"/>
      <c r="FV37" s="792"/>
      <c r="FW37" s="792"/>
      <c r="FX37" s="792"/>
      <c r="FY37" s="792"/>
      <c r="FZ37" s="792"/>
      <c r="GA37" s="792"/>
      <c r="GB37" s="792"/>
      <c r="GC37" s="792"/>
      <c r="GD37" s="792"/>
      <c r="GE37" s="792"/>
      <c r="GF37" s="792"/>
      <c r="GG37" s="792"/>
      <c r="GH37" s="792"/>
      <c r="GI37" s="792"/>
      <c r="GJ37" s="792"/>
      <c r="GK37" s="792"/>
      <c r="GL37" s="792"/>
      <c r="GM37" s="792"/>
      <c r="GN37" s="792"/>
      <c r="GO37" s="792"/>
    </row>
    <row r="38" spans="1:197" ht="26.25" x14ac:dyDescent="0.4">
      <c r="A38" s="826"/>
      <c r="B38" s="1130"/>
      <c r="C38" s="851"/>
      <c r="D38" s="851"/>
      <c r="E38" s="993" t="s">
        <v>202</v>
      </c>
      <c r="F38" s="1116">
        <v>500</v>
      </c>
      <c r="G38" s="1117">
        <v>500</v>
      </c>
      <c r="H38" s="993" t="s">
        <v>202</v>
      </c>
      <c r="I38" s="851"/>
      <c r="J38" s="794"/>
      <c r="K38" s="792"/>
      <c r="L38" s="792"/>
      <c r="M38" s="792"/>
      <c r="N38" s="792"/>
      <c r="O38" s="794"/>
      <c r="P38" s="1131"/>
      <c r="Q38" s="1131"/>
      <c r="R38" s="792"/>
      <c r="S38" s="792"/>
      <c r="T38" s="792"/>
      <c r="U38" s="792"/>
      <c r="V38" s="1113"/>
      <c r="W38" s="856"/>
      <c r="X38" s="792"/>
      <c r="Y38" s="792"/>
      <c r="Z38" s="911"/>
      <c r="AA38" s="911"/>
      <c r="AB38" s="930"/>
      <c r="AC38" s="856"/>
      <c r="AD38" s="856"/>
      <c r="AE38" s="856"/>
      <c r="AF38" s="856"/>
      <c r="AG38" s="856"/>
      <c r="AH38" s="1017"/>
      <c r="AI38" s="1091"/>
      <c r="AJ38" s="1081"/>
      <c r="AK38" s="1086"/>
      <c r="AL38" s="856"/>
      <c r="AM38" s="856"/>
      <c r="AN38" s="792"/>
      <c r="AO38" s="792"/>
      <c r="AP38" s="792"/>
      <c r="AQ38" s="792"/>
      <c r="AR38" s="792"/>
      <c r="AS38" s="792"/>
      <c r="AT38" s="960"/>
      <c r="AU38" s="960"/>
      <c r="AV38" s="792"/>
      <c r="AW38" s="792"/>
      <c r="AX38" s="792"/>
      <c r="AY38" s="858" t="s">
        <v>256</v>
      </c>
      <c r="AZ38" s="1132" t="s">
        <v>257</v>
      </c>
      <c r="BA38" s="827">
        <v>340</v>
      </c>
      <c r="BB38" s="1132" t="s">
        <v>257</v>
      </c>
      <c r="BC38" s="792"/>
      <c r="BD38" s="792"/>
      <c r="BE38" s="909"/>
      <c r="BF38" s="909"/>
      <c r="BG38" s="909"/>
      <c r="BH38" s="909"/>
      <c r="BI38" s="909"/>
      <c r="BJ38" s="909"/>
      <c r="BK38" s="794"/>
      <c r="BL38" s="794"/>
      <c r="BM38" s="794"/>
      <c r="BN38" s="794"/>
      <c r="BO38" s="794"/>
      <c r="BP38" s="909"/>
      <c r="BQ38" s="909"/>
      <c r="BR38" s="909"/>
      <c r="BS38" s="1133"/>
      <c r="BT38" s="1133"/>
      <c r="BU38" s="794"/>
      <c r="BV38" s="794"/>
      <c r="BW38" s="1127"/>
      <c r="BX38" s="1128"/>
      <c r="BY38" s="1129"/>
      <c r="BZ38" s="946"/>
      <c r="CA38" s="946"/>
      <c r="CB38" s="946"/>
      <c r="CH38" s="794"/>
      <c r="CI38" s="794"/>
      <c r="CJ38" s="946"/>
      <c r="CK38" s="946"/>
      <c r="CL38" s="946"/>
      <c r="CM38" s="946"/>
      <c r="CN38" s="946"/>
      <c r="CO38" s="946"/>
      <c r="CP38" s="946"/>
      <c r="CQ38" s="946"/>
      <c r="CR38" s="845"/>
      <c r="CS38" s="845"/>
      <c r="CT38" s="845"/>
      <c r="CU38" s="812"/>
      <c r="CV38" s="812"/>
      <c r="CW38" s="812"/>
      <c r="CX38" s="812"/>
      <c r="CY38" s="812"/>
      <c r="CZ38" s="790"/>
      <c r="DA38" s="790"/>
      <c r="DB38" s="791"/>
      <c r="DC38" s="792"/>
      <c r="DD38" s="792"/>
      <c r="DE38" s="792"/>
      <c r="DF38" s="792"/>
      <c r="DG38" s="792"/>
      <c r="DH38" s="792"/>
      <c r="DI38" s="792"/>
      <c r="DJ38" s="792"/>
      <c r="DK38" s="792"/>
      <c r="DL38" s="792"/>
      <c r="DM38" s="792"/>
      <c r="DN38" s="792"/>
      <c r="DO38" s="792"/>
      <c r="DP38" s="792"/>
      <c r="DQ38" s="792"/>
      <c r="DR38" s="792"/>
      <c r="DS38" s="792"/>
      <c r="DT38" s="792"/>
      <c r="DU38" s="792"/>
      <c r="DV38" s="792"/>
      <c r="DW38" s="792"/>
      <c r="DX38" s="792"/>
      <c r="DY38" s="792"/>
      <c r="DZ38" s="792"/>
      <c r="EA38" s="792"/>
      <c r="EB38" s="792"/>
      <c r="EC38" s="792"/>
      <c r="ED38" s="792"/>
      <c r="EE38" s="792"/>
      <c r="EF38" s="792"/>
      <c r="EG38" s="792"/>
      <c r="EH38" s="792"/>
      <c r="EI38" s="792"/>
      <c r="EJ38" s="792"/>
      <c r="EK38" s="792"/>
      <c r="EL38" s="792"/>
      <c r="EM38" s="792"/>
      <c r="EN38" s="792"/>
      <c r="EO38" s="792"/>
      <c r="EP38" s="792"/>
      <c r="EQ38" s="792"/>
      <c r="ER38" s="792"/>
      <c r="ES38" s="792"/>
      <c r="ET38" s="792"/>
      <c r="EU38" s="792"/>
      <c r="EV38" s="792"/>
      <c r="EW38" s="792"/>
      <c r="EX38" s="792"/>
      <c r="EY38" s="792"/>
      <c r="EZ38" s="792"/>
      <c r="FA38" s="792"/>
      <c r="FB38" s="792"/>
      <c r="FC38" s="792"/>
      <c r="FD38" s="792"/>
      <c r="FE38" s="792"/>
      <c r="FF38" s="792"/>
      <c r="FG38" s="792"/>
      <c r="FH38" s="792"/>
      <c r="FI38" s="792"/>
      <c r="FJ38" s="792"/>
      <c r="FK38" s="792"/>
      <c r="FL38" s="792"/>
      <c r="FM38" s="792"/>
      <c r="FN38" s="792"/>
      <c r="FO38" s="792"/>
      <c r="FP38" s="792"/>
      <c r="FQ38" s="792"/>
      <c r="FR38" s="792"/>
      <c r="FS38" s="792"/>
      <c r="FT38" s="792"/>
      <c r="FU38" s="792"/>
      <c r="FV38" s="792"/>
      <c r="FW38" s="792"/>
      <c r="FX38" s="792"/>
      <c r="FY38" s="792"/>
      <c r="FZ38" s="792"/>
      <c r="GA38" s="792"/>
      <c r="GB38" s="792"/>
      <c r="GC38" s="792"/>
      <c r="GD38" s="792"/>
      <c r="GE38" s="792"/>
      <c r="GF38" s="792"/>
      <c r="GG38" s="792"/>
      <c r="GH38" s="792"/>
      <c r="GI38" s="792"/>
      <c r="GJ38" s="792"/>
      <c r="GK38" s="792"/>
      <c r="GL38" s="792"/>
      <c r="GM38" s="792"/>
      <c r="GN38" s="792"/>
      <c r="GO38" s="792"/>
    </row>
    <row r="39" spans="1:197" ht="23.25" x14ac:dyDescent="0.35">
      <c r="C39" s="851"/>
      <c r="D39" s="792"/>
      <c r="E39" s="860" t="s">
        <v>224</v>
      </c>
      <c r="F39" s="860"/>
      <c r="G39" s="860"/>
      <c r="H39" s="860"/>
      <c r="I39" s="794"/>
      <c r="J39" s="794"/>
      <c r="K39" s="792"/>
      <c r="L39" s="792"/>
      <c r="M39" s="792"/>
      <c r="N39" s="792"/>
      <c r="O39" s="794"/>
      <c r="P39" s="790"/>
      <c r="Q39" s="794"/>
      <c r="R39" s="794"/>
      <c r="S39" s="794"/>
      <c r="T39" s="790"/>
      <c r="U39" s="856"/>
      <c r="V39" s="856"/>
      <c r="W39" s="856"/>
      <c r="X39" s="792"/>
      <c r="Y39" s="854" t="s">
        <v>258</v>
      </c>
      <c r="Z39" s="1134" t="s">
        <v>182</v>
      </c>
      <c r="AA39" s="1134" t="s">
        <v>182</v>
      </c>
      <c r="AB39" s="858" t="s">
        <v>259</v>
      </c>
      <c r="AC39" s="856"/>
      <c r="AD39" s="856"/>
      <c r="AE39" s="856"/>
      <c r="AF39" s="856"/>
      <c r="AG39" s="856"/>
      <c r="AH39" s="1017"/>
      <c r="AI39" s="1091"/>
      <c r="AJ39" s="1113"/>
      <c r="AK39" s="1113"/>
      <c r="AL39" s="856"/>
      <c r="AM39" s="856"/>
      <c r="AN39" s="792"/>
      <c r="AO39" s="792"/>
      <c r="AP39" s="792"/>
      <c r="AQ39" s="792"/>
      <c r="AR39" s="792"/>
      <c r="AS39" s="792"/>
      <c r="AT39" s="960"/>
      <c r="AU39" s="960"/>
      <c r="AV39" s="792"/>
      <c r="AW39" s="792"/>
      <c r="AX39" s="792"/>
      <c r="AY39" s="826" t="s">
        <v>175</v>
      </c>
      <c r="AZ39" s="827">
        <v>340</v>
      </c>
      <c r="BA39" s="1135" t="s">
        <v>260</v>
      </c>
      <c r="BB39" s="827">
        <v>340</v>
      </c>
      <c r="BC39" s="826" t="s">
        <v>175</v>
      </c>
      <c r="BD39" s="1136"/>
      <c r="BE39" s="909"/>
      <c r="BF39" s="909"/>
      <c r="BG39" s="909"/>
      <c r="BH39" s="909"/>
      <c r="BI39" s="909"/>
      <c r="BJ39" s="909"/>
      <c r="BK39" s="909"/>
      <c r="BL39" s="909"/>
      <c r="BM39" s="909"/>
      <c r="BN39" s="909"/>
      <c r="BO39" s="909"/>
      <c r="BP39" s="909"/>
      <c r="BQ39" s="909"/>
      <c r="BR39" s="909"/>
      <c r="BS39" s="1133"/>
      <c r="BT39" s="1133"/>
      <c r="BU39" s="794"/>
      <c r="BV39" s="794"/>
      <c r="BW39" s="1127"/>
      <c r="BX39" s="1128"/>
      <c r="BY39" s="1129"/>
      <c r="BZ39" s="946"/>
      <c r="CA39" s="946"/>
      <c r="CB39" s="946"/>
      <c r="CH39" s="794"/>
      <c r="CI39" s="794"/>
      <c r="CJ39" s="946"/>
      <c r="CM39" s="946"/>
      <c r="CN39" s="946"/>
      <c r="CO39" s="946"/>
      <c r="CP39" s="946"/>
      <c r="CQ39" s="946"/>
      <c r="CR39" s="845"/>
      <c r="CS39" s="845"/>
      <c r="CT39" s="845"/>
      <c r="CU39" s="812"/>
      <c r="CV39" s="812"/>
      <c r="CW39" s="812"/>
      <c r="CX39" s="812"/>
      <c r="CY39" s="812"/>
      <c r="CZ39" s="790"/>
      <c r="DA39" s="790"/>
      <c r="DB39" s="791"/>
      <c r="DC39" s="792"/>
      <c r="DD39" s="792"/>
      <c r="DE39" s="792"/>
      <c r="DF39" s="792"/>
      <c r="DG39" s="792"/>
      <c r="DH39" s="792"/>
      <c r="DI39" s="792"/>
      <c r="DJ39" s="792"/>
      <c r="DK39" s="792"/>
      <c r="DL39" s="792"/>
      <c r="DM39" s="792"/>
      <c r="DN39" s="792"/>
      <c r="DO39" s="792"/>
      <c r="DP39" s="792"/>
      <c r="DQ39" s="792"/>
      <c r="DR39" s="792"/>
      <c r="DS39" s="792"/>
      <c r="DT39" s="792"/>
      <c r="DU39" s="792"/>
      <c r="DV39" s="792"/>
      <c r="DW39" s="792"/>
      <c r="DX39" s="792"/>
      <c r="DY39" s="792"/>
      <c r="DZ39" s="792"/>
      <c r="EA39" s="792"/>
      <c r="EB39" s="792"/>
      <c r="EC39" s="792"/>
      <c r="ED39" s="792"/>
      <c r="EE39" s="792"/>
      <c r="EF39" s="792"/>
      <c r="EG39" s="792"/>
      <c r="EH39" s="792"/>
      <c r="EI39" s="792"/>
      <c r="EJ39" s="792"/>
      <c r="EK39" s="792"/>
      <c r="EL39" s="792"/>
      <c r="EM39" s="792"/>
      <c r="EN39" s="792"/>
      <c r="EO39" s="792"/>
      <c r="EP39" s="792"/>
      <c r="EQ39" s="792"/>
      <c r="ER39" s="792"/>
      <c r="ES39" s="792"/>
      <c r="ET39" s="792"/>
      <c r="EU39" s="792"/>
      <c r="EV39" s="792"/>
      <c r="EW39" s="792"/>
      <c r="EX39" s="792"/>
      <c r="EY39" s="792"/>
      <c r="EZ39" s="792"/>
      <c r="FA39" s="792"/>
      <c r="FB39" s="792"/>
      <c r="FC39" s="792"/>
      <c r="FD39" s="792"/>
      <c r="FE39" s="792"/>
      <c r="FF39" s="792"/>
      <c r="FG39" s="792"/>
      <c r="FH39" s="792"/>
      <c r="FI39" s="792"/>
      <c r="FJ39" s="792"/>
      <c r="FK39" s="792"/>
      <c r="FL39" s="792"/>
      <c r="FM39" s="792"/>
      <c r="FN39" s="792"/>
      <c r="FO39" s="792"/>
      <c r="FP39" s="792"/>
      <c r="FQ39" s="792"/>
      <c r="FR39" s="792"/>
      <c r="FS39" s="792"/>
      <c r="FT39" s="792"/>
      <c r="FU39" s="792"/>
      <c r="FV39" s="792"/>
      <c r="FW39" s="792"/>
      <c r="FX39" s="792"/>
      <c r="FY39" s="792"/>
      <c r="FZ39" s="792"/>
      <c r="GA39" s="792"/>
      <c r="GB39" s="792"/>
      <c r="GC39" s="792"/>
      <c r="GD39" s="792"/>
      <c r="GE39" s="792"/>
      <c r="GF39" s="792"/>
      <c r="GG39" s="792"/>
      <c r="GH39" s="792"/>
      <c r="GI39" s="792"/>
      <c r="GJ39" s="792"/>
      <c r="GK39" s="792"/>
      <c r="GL39" s="792"/>
      <c r="GM39" s="792"/>
      <c r="GN39" s="792"/>
      <c r="GO39" s="792"/>
    </row>
    <row r="40" spans="1:197" ht="24" thickBot="1" x14ac:dyDescent="0.35">
      <c r="B40" s="859"/>
      <c r="C40" s="859"/>
      <c r="D40" s="859"/>
      <c r="E40" s="792"/>
      <c r="F40" s="792"/>
      <c r="G40" s="792"/>
      <c r="H40" s="792"/>
      <c r="I40" s="792"/>
      <c r="J40" s="825"/>
      <c r="K40" s="792"/>
      <c r="L40" s="792"/>
      <c r="M40" s="792"/>
      <c r="N40" s="792"/>
      <c r="O40" s="825"/>
      <c r="P40" s="1017"/>
      <c r="Q40" s="1017"/>
      <c r="R40" s="1017"/>
      <c r="S40" s="790"/>
      <c r="T40" s="790"/>
      <c r="U40" s="856"/>
      <c r="V40" s="1108"/>
      <c r="W40" s="1108"/>
      <c r="X40" s="792"/>
      <c r="Y40" s="1134"/>
      <c r="Z40" s="898">
        <v>250</v>
      </c>
      <c r="AA40" s="898">
        <v>250</v>
      </c>
      <c r="AB40" s="1134"/>
      <c r="AC40" s="856"/>
      <c r="AD40" s="856"/>
      <c r="AE40" s="856"/>
      <c r="AF40" s="856"/>
      <c r="AG40" s="1091"/>
      <c r="AH40" s="1091"/>
      <c r="AI40" s="1091"/>
      <c r="AJ40" s="1113"/>
      <c r="AK40" s="1113"/>
      <c r="AL40" s="856"/>
      <c r="AM40" s="856"/>
      <c r="AN40" s="792"/>
      <c r="AO40" s="792"/>
      <c r="AP40" s="792"/>
      <c r="AQ40" s="792"/>
      <c r="AR40" s="792"/>
      <c r="AS40" s="792"/>
      <c r="AT40" s="960"/>
      <c r="AU40" s="960"/>
      <c r="AV40" s="792"/>
      <c r="AW40" s="1136"/>
      <c r="AX40" s="792"/>
      <c r="AY40" s="1081"/>
      <c r="AZ40" s="1132" t="s">
        <v>257</v>
      </c>
      <c r="BA40" s="827">
        <v>340</v>
      </c>
      <c r="BB40" s="1132" t="s">
        <v>257</v>
      </c>
      <c r="BC40" s="1136"/>
      <c r="BD40" s="1136"/>
      <c r="BE40" s="909"/>
      <c r="BF40" s="909"/>
      <c r="BG40" s="909"/>
      <c r="BH40" s="909"/>
      <c r="BI40" s="1133"/>
      <c r="BJ40" s="909"/>
      <c r="BK40" s="909"/>
      <c r="BL40" s="909"/>
      <c r="BM40" s="909"/>
      <c r="BN40" s="1133"/>
      <c r="BO40" s="1133"/>
      <c r="BP40" s="1133"/>
      <c r="BQ40" s="1133"/>
      <c r="BR40" s="1133"/>
      <c r="BS40" s="1133"/>
      <c r="BT40" s="1133"/>
      <c r="BU40" s="794"/>
      <c r="BV40" s="794"/>
      <c r="BW40" s="1137"/>
      <c r="BX40" s="1138"/>
      <c r="BY40" s="1139"/>
      <c r="BZ40" s="946"/>
      <c r="CA40" s="946"/>
      <c r="CB40" s="946"/>
      <c r="CC40" s="946"/>
      <c r="CD40" s="946"/>
      <c r="CE40" s="794"/>
      <c r="CF40" s="794"/>
      <c r="CG40" s="794"/>
      <c r="CH40" s="794"/>
      <c r="CI40" s="794"/>
      <c r="CJ40" s="792"/>
      <c r="CM40" s="946"/>
      <c r="CN40" s="794"/>
      <c r="CO40" s="946"/>
      <c r="CP40" s="946"/>
      <c r="CQ40" s="946"/>
      <c r="CR40" s="845"/>
      <c r="CS40" s="845"/>
      <c r="CT40" s="845"/>
      <c r="CU40" s="812"/>
      <c r="CV40" s="812"/>
      <c r="CW40" s="812"/>
      <c r="CX40" s="812"/>
      <c r="CY40" s="812"/>
      <c r="CZ40" s="790"/>
      <c r="DA40" s="790"/>
      <c r="DB40" s="791"/>
      <c r="DC40" s="792"/>
      <c r="DD40" s="792"/>
      <c r="DE40" s="792"/>
      <c r="DF40" s="792"/>
      <c r="DG40" s="792"/>
      <c r="DH40" s="792"/>
      <c r="DI40" s="792"/>
      <c r="DJ40" s="792"/>
      <c r="DK40" s="792"/>
      <c r="DL40" s="792"/>
      <c r="DM40" s="792"/>
      <c r="DN40" s="792"/>
      <c r="DO40" s="792"/>
      <c r="DP40" s="792"/>
      <c r="DQ40" s="792"/>
      <c r="DR40" s="792"/>
      <c r="DS40" s="792"/>
      <c r="DT40" s="792"/>
      <c r="DU40" s="792"/>
      <c r="DV40" s="792"/>
      <c r="DW40" s="792"/>
      <c r="DX40" s="792"/>
      <c r="DY40" s="792"/>
      <c r="DZ40" s="792"/>
      <c r="EA40" s="792"/>
      <c r="EB40" s="792"/>
      <c r="EC40" s="792"/>
      <c r="ED40" s="792"/>
      <c r="EE40" s="792"/>
      <c r="EF40" s="792"/>
      <c r="EG40" s="792"/>
      <c r="EH40" s="792"/>
      <c r="EI40" s="792"/>
      <c r="EJ40" s="792"/>
      <c r="EK40" s="792"/>
      <c r="EL40" s="792"/>
      <c r="EM40" s="792"/>
      <c r="EN40" s="792"/>
      <c r="EO40" s="792"/>
      <c r="EP40" s="792"/>
      <c r="EQ40" s="792"/>
      <c r="ER40" s="792"/>
      <c r="ES40" s="792"/>
      <c r="ET40" s="792"/>
      <c r="EU40" s="792"/>
      <c r="EV40" s="792"/>
      <c r="EW40" s="792"/>
      <c r="EX40" s="792"/>
      <c r="EY40" s="792"/>
      <c r="EZ40" s="792"/>
      <c r="FA40" s="792"/>
      <c r="FB40" s="792"/>
      <c r="FC40" s="792"/>
      <c r="FD40" s="792"/>
      <c r="FE40" s="792"/>
      <c r="FF40" s="792"/>
      <c r="FG40" s="792"/>
      <c r="FH40" s="792"/>
      <c r="FI40" s="792"/>
      <c r="FJ40" s="792"/>
      <c r="FK40" s="792"/>
      <c r="FL40" s="792"/>
      <c r="FM40" s="792"/>
      <c r="FN40" s="792"/>
      <c r="FO40" s="792"/>
      <c r="FP40" s="792"/>
      <c r="FQ40" s="792"/>
      <c r="FR40" s="792"/>
      <c r="FS40" s="792"/>
      <c r="FT40" s="792"/>
      <c r="FU40" s="792"/>
      <c r="FV40" s="792"/>
      <c r="FW40" s="792"/>
      <c r="FX40" s="792"/>
      <c r="FY40" s="792"/>
      <c r="FZ40" s="792"/>
      <c r="GA40" s="792"/>
      <c r="GB40" s="792"/>
      <c r="GC40" s="792"/>
      <c r="GD40" s="792"/>
      <c r="GE40" s="792"/>
      <c r="GF40" s="792"/>
      <c r="GG40" s="792"/>
      <c r="GH40" s="792"/>
      <c r="GI40" s="792"/>
      <c r="GJ40" s="792"/>
      <c r="GK40" s="792"/>
      <c r="GL40" s="792"/>
      <c r="GM40" s="792"/>
      <c r="GN40" s="792"/>
      <c r="GO40" s="792"/>
    </row>
    <row r="41" spans="1:197" ht="26.25" x14ac:dyDescent="0.4">
      <c r="A41" s="1016"/>
      <c r="B41" s="792"/>
      <c r="C41" s="792"/>
      <c r="D41" s="1140"/>
      <c r="E41" s="792"/>
      <c r="F41" s="792"/>
      <c r="G41" s="792"/>
      <c r="H41" s="792"/>
      <c r="I41" s="792"/>
      <c r="J41" s="825"/>
      <c r="K41" s="792"/>
      <c r="L41" s="792"/>
      <c r="M41" s="792"/>
      <c r="N41" s="792"/>
      <c r="O41" s="825"/>
      <c r="P41" s="1017"/>
      <c r="Q41" s="1141"/>
      <c r="R41" s="1141"/>
      <c r="S41" s="790"/>
      <c r="T41" s="790"/>
      <c r="U41" s="856"/>
      <c r="V41" s="1108"/>
      <c r="W41" s="1108"/>
      <c r="X41" s="792"/>
      <c r="Y41" s="1134"/>
      <c r="Z41" s="898">
        <v>250</v>
      </c>
      <c r="AA41" s="898">
        <v>250</v>
      </c>
      <c r="AB41" s="1134"/>
      <c r="AC41" s="856"/>
      <c r="AD41" s="856"/>
      <c r="AE41" s="856"/>
      <c r="AF41" s="856"/>
      <c r="AG41" s="1091"/>
      <c r="AH41" s="1091"/>
      <c r="AI41" s="1091"/>
      <c r="AJ41" s="1081"/>
      <c r="AK41" s="856"/>
      <c r="AL41" s="856"/>
      <c r="AM41" s="856"/>
      <c r="AN41" s="1142"/>
      <c r="AO41" s="1143"/>
      <c r="AP41" s="1142"/>
      <c r="AQ41" s="1038"/>
      <c r="AR41" s="1038"/>
      <c r="AS41" s="1144"/>
      <c r="AT41" s="794"/>
      <c r="AU41" s="794"/>
      <c r="AV41" s="1144"/>
      <c r="AW41" s="909"/>
      <c r="AX41" s="909"/>
      <c r="AY41" s="792"/>
      <c r="AZ41" s="792"/>
      <c r="BA41" s="826" t="s">
        <v>175</v>
      </c>
      <c r="BB41" s="1011" t="s">
        <v>176</v>
      </c>
      <c r="BC41" s="1011"/>
      <c r="BD41" s="1011"/>
      <c r="BE41" s="1144"/>
      <c r="BF41" s="909"/>
      <c r="BG41" s="909"/>
      <c r="BH41" s="1133"/>
      <c r="BI41" s="1133"/>
      <c r="BJ41" s="909"/>
      <c r="BK41" s="909"/>
      <c r="BL41" s="909"/>
      <c r="BM41" s="909"/>
      <c r="BN41" s="1133"/>
      <c r="BO41" s="909"/>
      <c r="BP41" s="1131"/>
      <c r="BQ41" s="1131"/>
      <c r="BR41" s="1131"/>
      <c r="BS41" s="930"/>
      <c r="BT41" s="1131"/>
      <c r="BU41" s="1131"/>
      <c r="BV41" s="1131"/>
      <c r="BW41" s="930"/>
      <c r="BX41" s="1062"/>
      <c r="BY41" s="1145"/>
      <c r="BZ41" s="845"/>
      <c r="CA41" s="845"/>
      <c r="CB41" s="845"/>
      <c r="CC41" s="845"/>
      <c r="CD41" s="845"/>
      <c r="CE41" s="794"/>
      <c r="CF41" s="794"/>
      <c r="CG41" s="794"/>
      <c r="CH41" s="794"/>
      <c r="CI41" s="794"/>
      <c r="CJ41" s="792"/>
      <c r="CK41" s="792"/>
      <c r="CL41" s="792"/>
      <c r="CM41" s="946"/>
      <c r="CN41" s="946"/>
      <c r="CO41" s="845"/>
      <c r="CP41" s="845"/>
      <c r="CQ41" s="845"/>
      <c r="CR41" s="845"/>
      <c r="CS41" s="845"/>
      <c r="CT41" s="845"/>
      <c r="CU41" s="812"/>
      <c r="CV41" s="812"/>
      <c r="CW41" s="812"/>
      <c r="CX41" s="812"/>
      <c r="CY41" s="812"/>
      <c r="CZ41" s="790"/>
      <c r="DA41" s="790"/>
      <c r="DB41" s="791"/>
      <c r="DC41" s="792"/>
      <c r="DD41" s="792"/>
      <c r="DE41" s="792"/>
      <c r="DF41" s="792"/>
      <c r="DG41" s="792"/>
      <c r="DH41" s="792"/>
      <c r="DI41" s="792"/>
      <c r="DJ41" s="792"/>
      <c r="DK41" s="792"/>
      <c r="DL41" s="792"/>
      <c r="DM41" s="792"/>
      <c r="DN41" s="792"/>
      <c r="DO41" s="792"/>
      <c r="DP41" s="792"/>
      <c r="DQ41" s="792"/>
      <c r="DR41" s="792"/>
      <c r="DS41" s="792"/>
      <c r="DT41" s="792"/>
      <c r="DU41" s="792"/>
      <c r="DV41" s="792"/>
      <c r="DW41" s="792"/>
      <c r="DX41" s="792"/>
      <c r="DY41" s="792"/>
      <c r="DZ41" s="792"/>
      <c r="EA41" s="792"/>
      <c r="EB41" s="792"/>
      <c r="EC41" s="792"/>
      <c r="ED41" s="792"/>
      <c r="EE41" s="792"/>
      <c r="EF41" s="792"/>
      <c r="EG41" s="792"/>
      <c r="EH41" s="792"/>
      <c r="EI41" s="792"/>
      <c r="EJ41" s="792"/>
      <c r="EK41" s="792"/>
      <c r="EL41" s="792"/>
      <c r="EM41" s="792"/>
      <c r="EN41" s="792"/>
      <c r="EO41" s="792"/>
      <c r="EP41" s="792"/>
      <c r="EQ41" s="792"/>
      <c r="ER41" s="792"/>
      <c r="ES41" s="792"/>
      <c r="ET41" s="792"/>
      <c r="EU41" s="792"/>
      <c r="EV41" s="792"/>
      <c r="EW41" s="792"/>
      <c r="EX41" s="792"/>
      <c r="EY41" s="792"/>
      <c r="EZ41" s="792"/>
      <c r="FA41" s="792"/>
      <c r="FB41" s="792"/>
      <c r="FC41" s="792"/>
      <c r="FD41" s="792"/>
      <c r="FE41" s="792"/>
      <c r="FF41" s="792"/>
      <c r="FG41" s="792"/>
      <c r="FH41" s="792"/>
      <c r="FI41" s="792"/>
      <c r="FJ41" s="792"/>
      <c r="FK41" s="792"/>
      <c r="FL41" s="792"/>
      <c r="FM41" s="792"/>
      <c r="FN41" s="792"/>
      <c r="FO41" s="792"/>
      <c r="FP41" s="792"/>
      <c r="FQ41" s="792"/>
      <c r="FR41" s="792"/>
      <c r="FS41" s="792"/>
      <c r="FT41" s="792"/>
      <c r="FU41" s="792"/>
      <c r="FV41" s="792"/>
      <c r="FW41" s="792"/>
      <c r="FX41" s="792"/>
      <c r="FY41" s="792"/>
      <c r="FZ41" s="792"/>
      <c r="GA41" s="792"/>
      <c r="GB41" s="792"/>
      <c r="GC41" s="792"/>
      <c r="GD41" s="792"/>
      <c r="GE41" s="792"/>
      <c r="GF41" s="792"/>
      <c r="GG41" s="792"/>
      <c r="GH41" s="792"/>
      <c r="GI41" s="792"/>
      <c r="GJ41" s="792"/>
      <c r="GK41" s="792"/>
      <c r="GL41" s="792"/>
      <c r="GM41" s="792"/>
      <c r="GN41" s="792"/>
      <c r="GO41" s="792"/>
    </row>
    <row r="42" spans="1:197" ht="21" x14ac:dyDescent="0.3">
      <c r="A42" s="794"/>
      <c r="B42" s="794"/>
      <c r="C42" s="996"/>
      <c r="D42" s="792"/>
      <c r="E42" s="792"/>
      <c r="F42" s="792"/>
      <c r="G42" s="792"/>
      <c r="H42" s="792"/>
      <c r="I42" s="792"/>
      <c r="J42" s="825"/>
      <c r="K42" s="792"/>
      <c r="L42" s="792"/>
      <c r="M42" s="792"/>
      <c r="N42" s="792"/>
      <c r="O42" s="1146"/>
      <c r="P42" s="1017"/>
      <c r="Q42" s="1141"/>
      <c r="R42" s="1141"/>
      <c r="S42" s="790"/>
      <c r="T42" s="1081"/>
      <c r="U42" s="856"/>
      <c r="V42" s="856"/>
      <c r="W42" s="1081"/>
      <c r="X42" s="792"/>
      <c r="Y42" s="792"/>
      <c r="Z42" s="1134" t="s">
        <v>182</v>
      </c>
      <c r="AA42" s="1134" t="s">
        <v>182</v>
      </c>
      <c r="AB42" s="794"/>
      <c r="AC42" s="856"/>
      <c r="AD42" s="856"/>
      <c r="AE42" s="856"/>
      <c r="AF42" s="856"/>
      <c r="AG42" s="1017"/>
      <c r="AH42" s="1017"/>
      <c r="AI42" s="1017"/>
      <c r="AJ42" s="856"/>
      <c r="AK42" s="856"/>
      <c r="AL42" s="794"/>
      <c r="AM42" s="1147"/>
      <c r="AN42" s="1148"/>
      <c r="AO42" s="1148"/>
      <c r="AP42" s="1148"/>
      <c r="AQ42" s="1147"/>
      <c r="AR42" s="909"/>
      <c r="AS42" s="791"/>
      <c r="AT42" s="791"/>
      <c r="AU42" s="791"/>
      <c r="AV42" s="791"/>
      <c r="AW42" s="1144"/>
      <c r="AX42" s="909"/>
      <c r="AY42" s="1147"/>
      <c r="AZ42" s="1149"/>
      <c r="BA42" s="1150"/>
      <c r="BB42" s="1150"/>
      <c r="BC42" s="792"/>
      <c r="BD42" s="792"/>
      <c r="BE42" s="792"/>
      <c r="BF42" s="1150"/>
      <c r="BG42" s="909"/>
      <c r="BH42" s="909"/>
      <c r="BI42" s="909"/>
      <c r="BJ42" s="909"/>
      <c r="BK42" s="909"/>
      <c r="BL42" s="909"/>
      <c r="BM42" s="909"/>
      <c r="BN42" s="1133"/>
      <c r="BO42" s="909"/>
      <c r="BP42" s="851"/>
      <c r="BQ42" s="851"/>
      <c r="BR42" s="851"/>
      <c r="BS42" s="792"/>
      <c r="BT42" s="851"/>
      <c r="BU42" s="851"/>
      <c r="BV42" s="851"/>
      <c r="BW42" s="792"/>
      <c r="BX42" s="1062"/>
      <c r="BY42" s="1145"/>
      <c r="BZ42" s="845"/>
      <c r="CA42" s="845"/>
      <c r="CB42" s="845"/>
      <c r="CC42" s="845"/>
      <c r="CD42" s="845"/>
      <c r="CE42" s="794"/>
      <c r="CF42" s="794"/>
      <c r="CG42" s="794"/>
      <c r="CH42" s="794"/>
      <c r="CI42" s="794"/>
      <c r="CJ42" s="792"/>
      <c r="CK42" s="792"/>
      <c r="CL42" s="792"/>
      <c r="CM42" s="845"/>
      <c r="CN42" s="845"/>
      <c r="CO42" s="845"/>
      <c r="CP42" s="845"/>
      <c r="CQ42" s="845"/>
      <c r="CR42" s="845"/>
      <c r="CS42" s="845"/>
      <c r="CT42" s="845"/>
      <c r="CU42" s="812"/>
      <c r="CV42" s="812"/>
      <c r="CW42" s="812"/>
      <c r="CX42" s="812"/>
      <c r="CY42" s="812"/>
      <c r="CZ42" s="790"/>
      <c r="DA42" s="790"/>
      <c r="DB42" s="791"/>
      <c r="DC42" s="792"/>
      <c r="DD42" s="792"/>
      <c r="DE42" s="792"/>
      <c r="DF42" s="792"/>
      <c r="DG42" s="792"/>
      <c r="DH42" s="792"/>
      <c r="DI42" s="792"/>
      <c r="DJ42" s="792"/>
      <c r="DK42" s="792"/>
      <c r="DL42" s="792"/>
      <c r="DM42" s="792"/>
      <c r="DN42" s="792"/>
      <c r="DO42" s="792"/>
      <c r="DP42" s="792"/>
      <c r="DQ42" s="792"/>
      <c r="DR42" s="792"/>
      <c r="DS42" s="792"/>
      <c r="DT42" s="792"/>
      <c r="DU42" s="792"/>
      <c r="DV42" s="792"/>
      <c r="DW42" s="792"/>
      <c r="DX42" s="792"/>
      <c r="DY42" s="792"/>
      <c r="DZ42" s="792"/>
      <c r="EA42" s="792"/>
      <c r="EB42" s="792"/>
      <c r="EC42" s="792"/>
      <c r="ED42" s="792"/>
      <c r="EE42" s="792"/>
      <c r="EF42" s="792"/>
      <c r="EG42" s="792"/>
      <c r="EH42" s="792"/>
      <c r="EI42" s="792"/>
      <c r="EJ42" s="792"/>
      <c r="EK42" s="792"/>
      <c r="EL42" s="792"/>
      <c r="EM42" s="792"/>
      <c r="EN42" s="792"/>
      <c r="EO42" s="792"/>
      <c r="EP42" s="792"/>
      <c r="EQ42" s="792"/>
      <c r="ER42" s="792"/>
      <c r="ES42" s="792"/>
      <c r="ET42" s="792"/>
      <c r="EU42" s="792"/>
      <c r="EV42" s="792"/>
      <c r="EW42" s="792"/>
      <c r="EX42" s="792"/>
      <c r="EY42" s="792"/>
      <c r="EZ42" s="792"/>
      <c r="FA42" s="792"/>
      <c r="FB42" s="792"/>
      <c r="FC42" s="792"/>
      <c r="FD42" s="792"/>
      <c r="FE42" s="792"/>
      <c r="FF42" s="792"/>
      <c r="FG42" s="792"/>
      <c r="FH42" s="792"/>
      <c r="FI42" s="792"/>
      <c r="FJ42" s="792"/>
      <c r="FK42" s="792"/>
      <c r="FL42" s="792"/>
      <c r="FM42" s="792"/>
      <c r="FN42" s="792"/>
      <c r="FO42" s="792"/>
      <c r="FP42" s="792"/>
      <c r="FQ42" s="792"/>
      <c r="FR42" s="792"/>
      <c r="FS42" s="792"/>
      <c r="FT42" s="792"/>
      <c r="FU42" s="792"/>
      <c r="FV42" s="792"/>
      <c r="FW42" s="792"/>
      <c r="FX42" s="792"/>
      <c r="FY42" s="792"/>
      <c r="FZ42" s="792"/>
      <c r="GA42" s="792"/>
      <c r="GB42" s="792"/>
      <c r="GC42" s="792"/>
      <c r="GD42" s="792"/>
      <c r="GE42" s="792"/>
      <c r="GF42" s="792"/>
      <c r="GG42" s="792"/>
      <c r="GH42" s="792"/>
      <c r="GI42" s="792"/>
      <c r="GJ42" s="792"/>
      <c r="GK42" s="792"/>
      <c r="GL42" s="792"/>
      <c r="GM42" s="792"/>
      <c r="GN42" s="792"/>
      <c r="GO42" s="792"/>
    </row>
    <row r="43" spans="1:197" ht="27" thickBot="1" x14ac:dyDescent="0.45">
      <c r="A43" s="794"/>
      <c r="B43" s="1151"/>
      <c r="C43" s="1151"/>
      <c r="D43" s="792"/>
      <c r="E43" s="792"/>
      <c r="F43" s="792"/>
      <c r="G43" s="792"/>
      <c r="H43" s="792"/>
      <c r="I43" s="794"/>
      <c r="J43" s="825"/>
      <c r="K43" s="792"/>
      <c r="L43" s="792"/>
      <c r="M43" s="792"/>
      <c r="N43" s="792"/>
      <c r="O43" s="825"/>
      <c r="P43" s="825"/>
      <c r="Q43" s="825"/>
      <c r="R43" s="825"/>
      <c r="S43" s="790"/>
      <c r="T43" s="1152"/>
      <c r="U43" s="1153"/>
      <c r="V43" s="856"/>
      <c r="W43" s="856"/>
      <c r="X43" s="792"/>
      <c r="Y43" s="792"/>
      <c r="Z43" s="911"/>
      <c r="AA43" s="911"/>
      <c r="AB43" s="934"/>
      <c r="AC43" s="856"/>
      <c r="AD43" s="1017"/>
      <c r="AE43" s="1017"/>
      <c r="AF43" s="1017"/>
      <c r="AG43" s="1017"/>
      <c r="AH43" s="794"/>
      <c r="AI43" s="1017"/>
      <c r="AJ43" s="856"/>
      <c r="AK43" s="858" t="s">
        <v>261</v>
      </c>
      <c r="AL43" s="1154"/>
      <c r="AM43" s="947" t="s">
        <v>175</v>
      </c>
      <c r="AN43" s="947" t="s">
        <v>175</v>
      </c>
      <c r="AO43" s="947" t="s">
        <v>175</v>
      </c>
      <c r="AP43" s="947" t="s">
        <v>175</v>
      </c>
      <c r="AQ43" s="947" t="s">
        <v>175</v>
      </c>
      <c r="AR43" s="909"/>
      <c r="AS43" s="791"/>
      <c r="AT43" s="794"/>
      <c r="AU43" s="794"/>
      <c r="AV43" s="794"/>
      <c r="AW43" s="792"/>
      <c r="AX43" s="858" t="s">
        <v>262</v>
      </c>
      <c r="AY43" s="947" t="s">
        <v>175</v>
      </c>
      <c r="AZ43" s="829" t="s">
        <v>175</v>
      </c>
      <c r="BA43" s="829" t="s">
        <v>175</v>
      </c>
      <c r="BB43" s="829" t="s">
        <v>175</v>
      </c>
      <c r="BC43" s="829" t="s">
        <v>175</v>
      </c>
      <c r="BD43" s="792"/>
      <c r="BE43" s="792"/>
      <c r="BF43" s="1150"/>
      <c r="BG43" s="909"/>
      <c r="BH43" s="909"/>
      <c r="BI43" s="909"/>
      <c r="BJ43" s="909"/>
      <c r="BK43" s="909"/>
      <c r="BL43" s="909"/>
      <c r="BM43" s="909"/>
      <c r="BN43" s="909"/>
      <c r="BO43" s="933"/>
      <c r="BP43" s="1155"/>
      <c r="BQ43" s="1155"/>
      <c r="BR43" s="1155"/>
      <c r="BS43" s="792"/>
      <c r="BT43" s="1156"/>
      <c r="BU43" s="1156"/>
      <c r="BV43" s="1156"/>
      <c r="BW43" s="858"/>
      <c r="BX43" s="794"/>
      <c r="BY43" s="1145"/>
      <c r="BZ43" s="845"/>
      <c r="CA43" s="845"/>
      <c r="CB43" s="845"/>
      <c r="CC43" s="845"/>
      <c r="CD43" s="845"/>
      <c r="CE43" s="794"/>
      <c r="CF43" s="794"/>
      <c r="CG43" s="794"/>
      <c r="CH43" s="794"/>
      <c r="CI43" s="794"/>
      <c r="CJ43" s="845"/>
      <c r="CK43" s="845"/>
      <c r="CL43" s="845"/>
      <c r="CM43" s="845"/>
      <c r="CN43" s="845"/>
      <c r="CO43" s="845"/>
      <c r="CP43" s="845"/>
      <c r="CQ43" s="845"/>
      <c r="CR43" s="845"/>
      <c r="CS43" s="845"/>
      <c r="CT43" s="845"/>
      <c r="CU43" s="812"/>
      <c r="CV43" s="812"/>
      <c r="CW43" s="812"/>
      <c r="CX43" s="812"/>
      <c r="CY43" s="812"/>
      <c r="CZ43" s="790"/>
      <c r="DA43" s="790"/>
      <c r="DB43" s="791"/>
      <c r="DC43" s="792"/>
      <c r="DD43" s="792"/>
      <c r="DE43" s="792"/>
      <c r="DF43" s="792"/>
      <c r="DG43" s="792"/>
      <c r="DH43" s="792"/>
      <c r="DI43" s="792"/>
      <c r="DJ43" s="792"/>
      <c r="DK43" s="792"/>
      <c r="DL43" s="792"/>
      <c r="DM43" s="792"/>
      <c r="DN43" s="792"/>
      <c r="DO43" s="792"/>
      <c r="DP43" s="792"/>
      <c r="DQ43" s="792"/>
      <c r="DR43" s="792"/>
      <c r="DS43" s="792"/>
      <c r="DT43" s="792"/>
      <c r="DU43" s="792"/>
      <c r="DV43" s="792"/>
      <c r="DW43" s="792"/>
      <c r="DX43" s="792"/>
      <c r="DY43" s="792"/>
      <c r="DZ43" s="792"/>
      <c r="EA43" s="792"/>
      <c r="EB43" s="792"/>
      <c r="EC43" s="792"/>
      <c r="ED43" s="792"/>
      <c r="EE43" s="792"/>
      <c r="EF43" s="792"/>
      <c r="EG43" s="792"/>
      <c r="EH43" s="792"/>
      <c r="EI43" s="792"/>
      <c r="EJ43" s="792"/>
      <c r="EK43" s="792"/>
      <c r="EL43" s="792"/>
      <c r="EM43" s="792"/>
      <c r="EN43" s="792"/>
      <c r="EO43" s="792"/>
      <c r="EP43" s="792"/>
      <c r="EQ43" s="792"/>
      <c r="ER43" s="792"/>
      <c r="ES43" s="792"/>
      <c r="ET43" s="792"/>
      <c r="EU43" s="792"/>
      <c r="EV43" s="792"/>
      <c r="EW43" s="792"/>
      <c r="EX43" s="792"/>
      <c r="EY43" s="792"/>
      <c r="EZ43" s="792"/>
      <c r="FA43" s="792"/>
      <c r="FB43" s="792"/>
      <c r="FC43" s="792"/>
      <c r="FD43" s="792"/>
      <c r="FE43" s="792"/>
      <c r="FF43" s="792"/>
      <c r="FG43" s="792"/>
      <c r="FH43" s="792"/>
      <c r="FI43" s="792"/>
      <c r="FJ43" s="792"/>
      <c r="FK43" s="792"/>
      <c r="FL43" s="792"/>
      <c r="FM43" s="792"/>
      <c r="FN43" s="792"/>
      <c r="FO43" s="792"/>
      <c r="FP43" s="792"/>
      <c r="FQ43" s="792"/>
      <c r="FR43" s="792"/>
      <c r="FS43" s="792"/>
      <c r="FT43" s="792"/>
      <c r="FU43" s="792"/>
      <c r="FV43" s="792"/>
      <c r="FW43" s="792"/>
      <c r="FX43" s="792"/>
      <c r="FY43" s="792"/>
      <c r="FZ43" s="792"/>
      <c r="GA43" s="792"/>
      <c r="GB43" s="792"/>
      <c r="GC43" s="792"/>
      <c r="GD43" s="792"/>
      <c r="GE43" s="792"/>
      <c r="GF43" s="792"/>
      <c r="GG43" s="792"/>
      <c r="GH43" s="792"/>
      <c r="GI43" s="792"/>
      <c r="GJ43" s="792"/>
      <c r="GK43" s="792"/>
      <c r="GL43" s="792"/>
      <c r="GM43" s="792"/>
      <c r="GN43" s="792"/>
      <c r="GO43" s="792"/>
    </row>
    <row r="44" spans="1:197" ht="24" thickBot="1" x14ac:dyDescent="0.35">
      <c r="A44" s="794"/>
      <c r="B44" s="794"/>
      <c r="C44" s="794"/>
      <c r="D44" s="792"/>
      <c r="E44" s="792"/>
      <c r="F44" s="792"/>
      <c r="G44" s="792"/>
      <c r="H44" s="792"/>
      <c r="I44" s="794"/>
      <c r="J44" s="794"/>
      <c r="K44" s="792"/>
      <c r="L44" s="792"/>
      <c r="M44" s="792"/>
      <c r="N44" s="792"/>
      <c r="O44" s="794"/>
      <c r="P44" s="794"/>
      <c r="Q44" s="1157" t="s">
        <v>263</v>
      </c>
      <c r="R44" s="1158"/>
      <c r="S44" s="1158"/>
      <c r="T44" s="1159"/>
      <c r="U44" s="790"/>
      <c r="V44" s="790"/>
      <c r="W44" s="790"/>
      <c r="X44" s="856"/>
      <c r="Y44" s="856"/>
      <c r="Z44" s="856"/>
      <c r="AA44" s="856"/>
      <c r="AB44" s="856"/>
      <c r="AC44" s="1017"/>
      <c r="AD44" s="1017"/>
      <c r="AE44" s="1017"/>
      <c r="AF44" s="1017"/>
      <c r="AG44" s="792"/>
      <c r="AH44" s="792"/>
      <c r="AI44" s="792"/>
      <c r="AJ44" s="792"/>
      <c r="AK44" s="947"/>
      <c r="AL44" s="947"/>
      <c r="AM44" s="830">
        <v>340</v>
      </c>
      <c r="AN44" s="830">
        <v>340</v>
      </c>
      <c r="AO44" s="830">
        <v>340</v>
      </c>
      <c r="AP44" s="830">
        <v>340</v>
      </c>
      <c r="AQ44" s="961">
        <v>375</v>
      </c>
      <c r="AR44" s="947"/>
      <c r="AS44" s="794"/>
      <c r="AT44" s="794"/>
      <c r="AU44" s="794"/>
      <c r="AV44" s="794"/>
      <c r="AW44" s="792"/>
      <c r="AX44" s="947"/>
      <c r="AY44" s="831">
        <v>440</v>
      </c>
      <c r="AZ44" s="831">
        <v>440</v>
      </c>
      <c r="BA44" s="831">
        <v>440</v>
      </c>
      <c r="BB44" s="831">
        <v>440</v>
      </c>
      <c r="BC44" s="831">
        <v>440</v>
      </c>
      <c r="BD44" s="1136"/>
      <c r="BE44" s="909"/>
      <c r="BF44" s="1160"/>
      <c r="BG44" s="1160"/>
      <c r="BH44" s="1160"/>
      <c r="BI44" s="1161" t="s">
        <v>264</v>
      </c>
      <c r="BJ44" s="1162"/>
      <c r="BK44" s="1162"/>
      <c r="BL44" s="1163"/>
      <c r="BM44" s="909" t="s">
        <v>265</v>
      </c>
      <c r="BN44" s="1164"/>
      <c r="BO44" s="1165"/>
      <c r="BP44" s="1166"/>
      <c r="BQ44" s="1166"/>
      <c r="BR44" s="1166"/>
      <c r="BS44" s="1166"/>
      <c r="BT44" s="1166"/>
      <c r="BU44" s="1166"/>
      <c r="BV44" s="1166"/>
      <c r="BW44" s="1166"/>
      <c r="BX44" s="792"/>
      <c r="BY44" s="1167"/>
      <c r="BZ44" s="845"/>
      <c r="CA44" s="845"/>
      <c r="CB44" s="845"/>
      <c r="CC44" s="845"/>
      <c r="CD44" s="845"/>
      <c r="CE44" s="794"/>
      <c r="CF44" s="794"/>
      <c r="CG44" s="794"/>
      <c r="CH44" s="794"/>
      <c r="CI44" s="794"/>
      <c r="CJ44" s="845"/>
      <c r="CK44" s="845"/>
      <c r="CL44" s="845"/>
      <c r="CM44" s="845"/>
      <c r="CN44" s="845"/>
      <c r="CO44" s="845"/>
      <c r="CP44" s="845"/>
      <c r="CQ44" s="845"/>
      <c r="CR44" s="845"/>
      <c r="CS44" s="845"/>
      <c r="CT44" s="845"/>
      <c r="CU44" s="812"/>
      <c r="CV44" s="812"/>
      <c r="CW44" s="812"/>
      <c r="CX44" s="812"/>
      <c r="CY44" s="812"/>
      <c r="CZ44" s="790"/>
      <c r="DA44" s="790"/>
      <c r="DB44" s="791"/>
      <c r="DC44" s="792"/>
      <c r="DD44" s="792"/>
      <c r="DE44" s="792"/>
      <c r="DF44" s="792"/>
      <c r="DG44" s="792"/>
      <c r="DH44" s="792"/>
      <c r="DI44" s="792"/>
      <c r="DJ44" s="792"/>
      <c r="DK44" s="792"/>
      <c r="DL44" s="792"/>
      <c r="DM44" s="792"/>
      <c r="DN44" s="792"/>
      <c r="DO44" s="792"/>
      <c r="DP44" s="792"/>
      <c r="DQ44" s="792"/>
      <c r="DR44" s="792"/>
      <c r="DS44" s="792"/>
      <c r="DT44" s="792"/>
      <c r="DU44" s="792"/>
      <c r="DV44" s="792"/>
      <c r="DW44" s="792"/>
      <c r="DX44" s="792"/>
      <c r="DY44" s="792"/>
      <c r="DZ44" s="792"/>
      <c r="EA44" s="792"/>
      <c r="EB44" s="792"/>
      <c r="EC44" s="792"/>
      <c r="ED44" s="792"/>
      <c r="EE44" s="792"/>
      <c r="EF44" s="792"/>
      <c r="EG44" s="792"/>
      <c r="EH44" s="792"/>
      <c r="EI44" s="792"/>
      <c r="EJ44" s="792"/>
      <c r="EK44" s="792"/>
      <c r="EL44" s="792"/>
      <c r="EM44" s="792"/>
      <c r="EN44" s="792"/>
      <c r="EO44" s="792"/>
      <c r="EP44" s="792"/>
      <c r="EQ44" s="792"/>
      <c r="ER44" s="792"/>
      <c r="ES44" s="792"/>
      <c r="ET44" s="792"/>
      <c r="EU44" s="792"/>
      <c r="EV44" s="792"/>
      <c r="EW44" s="792"/>
      <c r="EX44" s="792"/>
      <c r="EY44" s="792"/>
      <c r="EZ44" s="792"/>
      <c r="FA44" s="792"/>
      <c r="FB44" s="792"/>
      <c r="FC44" s="792"/>
      <c r="FD44" s="792"/>
      <c r="FE44" s="792"/>
      <c r="FF44" s="792"/>
      <c r="FG44" s="792"/>
      <c r="FH44" s="792"/>
      <c r="FI44" s="792"/>
      <c r="FJ44" s="792"/>
      <c r="FK44" s="792"/>
      <c r="FL44" s="792"/>
      <c r="FM44" s="792"/>
      <c r="FN44" s="792"/>
      <c r="FO44" s="792"/>
      <c r="FP44" s="792"/>
      <c r="FQ44" s="792"/>
      <c r="FR44" s="792"/>
      <c r="FS44" s="792"/>
      <c r="FT44" s="792"/>
      <c r="FU44" s="792"/>
      <c r="FV44" s="792"/>
      <c r="FW44" s="792"/>
      <c r="FX44" s="792"/>
      <c r="FY44" s="792"/>
      <c r="FZ44" s="792"/>
      <c r="GA44" s="792"/>
      <c r="GB44" s="792"/>
      <c r="GC44" s="792"/>
      <c r="GD44" s="792"/>
      <c r="GE44" s="792"/>
      <c r="GF44" s="792"/>
      <c r="GG44" s="792"/>
      <c r="GH44" s="792"/>
      <c r="GI44" s="792"/>
      <c r="GJ44" s="792"/>
      <c r="GK44" s="792"/>
      <c r="GL44" s="792"/>
      <c r="GM44" s="792"/>
      <c r="GN44" s="792"/>
      <c r="GO44" s="792"/>
    </row>
    <row r="45" spans="1:197" ht="26.25" x14ac:dyDescent="0.4">
      <c r="A45" s="794"/>
      <c r="B45" s="794"/>
      <c r="C45" s="794"/>
      <c r="D45" s="790"/>
      <c r="E45" s="792"/>
      <c r="F45" s="792"/>
      <c r="G45" s="792"/>
      <c r="H45" s="792"/>
      <c r="I45" s="794"/>
      <c r="J45" s="794"/>
      <c r="K45" s="792"/>
      <c r="L45" s="792"/>
      <c r="M45" s="792"/>
      <c r="N45" s="792"/>
      <c r="O45" s="794"/>
      <c r="P45" s="794"/>
      <c r="Q45" s="1168"/>
      <c r="R45" s="1169"/>
      <c r="S45" s="1169"/>
      <c r="T45" s="1170"/>
      <c r="U45" s="790"/>
      <c r="V45" s="790"/>
      <c r="W45" s="790"/>
      <c r="X45" s="1081"/>
      <c r="Y45" s="1171"/>
      <c r="Z45" s="1172"/>
      <c r="AA45" s="1173"/>
      <c r="AB45" s="1174"/>
      <c r="AC45" s="1172"/>
      <c r="AD45" s="1173"/>
      <c r="AE45" s="1174"/>
      <c r="AF45" s="1172"/>
      <c r="AG45" s="1173"/>
      <c r="AH45" s="1174"/>
      <c r="AI45" s="1172"/>
      <c r="AJ45" s="1175"/>
      <c r="AK45" s="1176"/>
      <c r="AL45" s="792"/>
      <c r="AM45" s="1177" t="s">
        <v>176</v>
      </c>
      <c r="AN45" s="1177"/>
      <c r="AO45" s="1177"/>
      <c r="AP45" s="1177"/>
      <c r="AQ45" s="805" t="s">
        <v>211</v>
      </c>
      <c r="AR45" s="805"/>
      <c r="AS45" s="1178"/>
      <c r="AT45" s="1179"/>
      <c r="AU45" s="1180"/>
      <c r="AV45" s="1181"/>
      <c r="AW45" s="1182"/>
      <c r="AX45" s="1178"/>
      <c r="AY45" s="1183" t="s">
        <v>266</v>
      </c>
      <c r="AZ45" s="1183"/>
      <c r="BA45" s="1183"/>
      <c r="BB45" s="1183"/>
      <c r="BC45" s="1183"/>
      <c r="BD45" s="1178"/>
      <c r="BE45" s="1178"/>
      <c r="BF45" s="1184"/>
      <c r="BG45" s="1185"/>
      <c r="BH45" s="1186"/>
      <c r="BI45" s="1186"/>
      <c r="BJ45" s="1187"/>
      <c r="BK45" s="1186"/>
      <c r="BL45" s="1186"/>
      <c r="BM45" s="1186"/>
      <c r="BN45" s="1186"/>
      <c r="BO45" s="1186"/>
      <c r="BP45" s="1186"/>
      <c r="BQ45" s="1188"/>
      <c r="BR45" s="1186"/>
      <c r="BS45" s="1186"/>
      <c r="BT45" s="1186"/>
      <c r="BU45" s="1189"/>
      <c r="BV45" s="1190"/>
      <c r="BW45" s="1190"/>
      <c r="BX45" s="1190"/>
      <c r="BY45" s="1190"/>
      <c r="BZ45" s="845"/>
      <c r="CA45" s="845"/>
      <c r="CB45" s="845"/>
      <c r="CC45" s="845"/>
      <c r="CD45" s="845"/>
      <c r="CE45" s="845"/>
      <c r="CF45" s="845"/>
      <c r="CG45" s="845"/>
      <c r="CH45" s="1191"/>
      <c r="CI45" s="1191"/>
      <c r="CJ45" s="1191"/>
      <c r="CK45" s="1191"/>
      <c r="CL45" s="1191"/>
      <c r="CM45" s="1191"/>
      <c r="CN45" s="1191"/>
      <c r="CO45" s="1191"/>
      <c r="CP45" s="845"/>
      <c r="CQ45" s="845"/>
      <c r="CR45" s="845"/>
      <c r="CS45" s="845"/>
      <c r="CT45" s="845"/>
      <c r="CU45" s="812"/>
      <c r="CV45" s="812"/>
      <c r="CW45" s="812"/>
      <c r="CX45" s="812"/>
      <c r="CY45" s="812"/>
      <c r="CZ45" s="790"/>
      <c r="DA45" s="790"/>
      <c r="DB45" s="791"/>
      <c r="DC45" s="792"/>
      <c r="DD45" s="792"/>
      <c r="DE45" s="792"/>
      <c r="DF45" s="792"/>
      <c r="DG45" s="792"/>
      <c r="DH45" s="792"/>
      <c r="DI45" s="792"/>
      <c r="DJ45" s="792"/>
      <c r="DK45" s="792"/>
      <c r="DL45" s="792"/>
      <c r="DM45" s="792"/>
      <c r="DN45" s="792"/>
      <c r="DO45" s="792"/>
      <c r="DP45" s="792"/>
      <c r="DQ45" s="792"/>
      <c r="DR45" s="792"/>
      <c r="DS45" s="792"/>
      <c r="DT45" s="792"/>
      <c r="DU45" s="792"/>
      <c r="DV45" s="792"/>
      <c r="DW45" s="792"/>
      <c r="DX45" s="792"/>
      <c r="DY45" s="792"/>
      <c r="DZ45" s="792"/>
      <c r="EA45" s="792"/>
      <c r="EB45" s="792"/>
      <c r="EC45" s="792"/>
      <c r="ED45" s="792"/>
      <c r="EE45" s="792"/>
      <c r="EF45" s="792"/>
      <c r="EG45" s="792"/>
      <c r="EH45" s="792"/>
      <c r="EI45" s="792"/>
      <c r="EJ45" s="792"/>
      <c r="EK45" s="792"/>
      <c r="EL45" s="792"/>
      <c r="EM45" s="792"/>
      <c r="EN45" s="792"/>
      <c r="EO45" s="792"/>
      <c r="EP45" s="792"/>
      <c r="EQ45" s="792"/>
      <c r="ER45" s="792"/>
      <c r="ES45" s="792"/>
      <c r="ET45" s="792"/>
      <c r="EU45" s="792"/>
      <c r="EV45" s="792"/>
      <c r="EW45" s="792"/>
      <c r="EX45" s="792"/>
      <c r="EY45" s="792"/>
      <c r="EZ45" s="792"/>
      <c r="FA45" s="792"/>
      <c r="FB45" s="792"/>
      <c r="FC45" s="792"/>
      <c r="FD45" s="792"/>
      <c r="FE45" s="792"/>
      <c r="FF45" s="792"/>
      <c r="FG45" s="792"/>
      <c r="FH45" s="792"/>
      <c r="FI45" s="792"/>
      <c r="FJ45" s="792"/>
      <c r="FK45" s="792"/>
      <c r="FL45" s="792"/>
      <c r="FM45" s="792"/>
      <c r="FN45" s="792"/>
      <c r="FO45" s="792"/>
      <c r="FP45" s="792"/>
      <c r="FQ45" s="792"/>
      <c r="FR45" s="792"/>
      <c r="FS45" s="792"/>
      <c r="FT45" s="792"/>
      <c r="FU45" s="792"/>
      <c r="FV45" s="792"/>
      <c r="FW45" s="792"/>
      <c r="FX45" s="792"/>
      <c r="FY45" s="792"/>
      <c r="FZ45" s="792"/>
      <c r="GA45" s="792"/>
      <c r="GB45" s="792"/>
      <c r="GC45" s="792"/>
      <c r="GD45" s="792"/>
      <c r="GE45" s="792"/>
      <c r="GF45" s="792"/>
      <c r="GG45" s="792"/>
      <c r="GH45" s="792"/>
      <c r="GI45" s="792"/>
      <c r="GJ45" s="792"/>
      <c r="GK45" s="792"/>
      <c r="GL45" s="792"/>
      <c r="GM45" s="792"/>
      <c r="GN45" s="792"/>
      <c r="GO45" s="792"/>
    </row>
    <row r="46" spans="1:197" ht="21" x14ac:dyDescent="0.35">
      <c r="A46" s="794"/>
      <c r="B46" s="794"/>
      <c r="C46" s="794"/>
      <c r="D46" s="794"/>
      <c r="E46" s="794"/>
      <c r="F46" s="794"/>
      <c r="G46" s="794"/>
      <c r="H46" s="794"/>
      <c r="I46" s="794"/>
      <c r="J46" s="794"/>
      <c r="K46" s="794"/>
      <c r="L46" s="794"/>
      <c r="M46" s="794"/>
      <c r="N46" s="794"/>
      <c r="O46" s="794"/>
      <c r="P46" s="794"/>
      <c r="Q46" s="1168"/>
      <c r="R46" s="1169"/>
      <c r="S46" s="1169"/>
      <c r="T46" s="1170"/>
      <c r="U46" s="790"/>
      <c r="V46" s="790"/>
      <c r="W46" s="1081"/>
      <c r="X46" s="1081"/>
      <c r="Y46" s="1192"/>
      <c r="Z46" s="1193"/>
      <c r="AA46" s="1193"/>
      <c r="AB46" s="1194" t="s">
        <v>267</v>
      </c>
      <c r="AC46" s="1194"/>
      <c r="AD46" s="1194"/>
      <c r="AE46" s="1194"/>
      <c r="AF46" s="1194"/>
      <c r="AG46" s="1194"/>
      <c r="AH46" s="1193"/>
      <c r="AI46" s="1193"/>
      <c r="AJ46" s="1175"/>
      <c r="AK46" s="792"/>
      <c r="AL46" s="794"/>
      <c r="AM46" s="856"/>
      <c r="AN46" s="792"/>
      <c r="AO46" s="792"/>
      <c r="AP46" s="792"/>
      <c r="AQ46" s="792"/>
      <c r="AR46" s="909"/>
      <c r="AS46" s="909"/>
      <c r="AT46" s="1179"/>
      <c r="AU46" s="1180"/>
      <c r="AV46" s="1180"/>
      <c r="AW46" s="1195"/>
      <c r="AX46" s="792"/>
      <c r="AY46" s="1196"/>
      <c r="AZ46" s="909"/>
      <c r="BA46" s="909"/>
      <c r="BB46" s="909"/>
      <c r="BC46" s="909"/>
      <c r="BD46" s="909"/>
      <c r="BE46" s="909"/>
      <c r="BF46" s="1197"/>
      <c r="BG46" s="1198"/>
      <c r="BH46" s="1199"/>
      <c r="BI46" s="1199"/>
      <c r="BJ46" s="1199"/>
      <c r="BK46" s="871" t="s">
        <v>268</v>
      </c>
      <c r="BL46" s="871"/>
      <c r="BM46" s="871"/>
      <c r="BN46" s="871"/>
      <c r="BO46" s="871"/>
      <c r="BP46" s="871"/>
      <c r="BQ46" s="871"/>
      <c r="BR46" s="1199"/>
      <c r="BS46" s="1199"/>
      <c r="BT46" s="1199"/>
      <c r="BU46" s="1200"/>
      <c r="BV46" s="845"/>
      <c r="BW46" s="845"/>
      <c r="BX46" s="845"/>
      <c r="BY46" s="845"/>
      <c r="BZ46" s="845"/>
      <c r="CA46" s="845"/>
      <c r="CB46" s="845"/>
      <c r="CC46" s="845"/>
      <c r="CD46" s="845"/>
      <c r="CE46" s="845"/>
      <c r="CF46" s="845"/>
      <c r="CG46" s="845"/>
      <c r="CH46" s="1191"/>
      <c r="CI46" s="1191"/>
      <c r="CJ46" s="1191"/>
      <c r="CK46" s="1191"/>
      <c r="CL46" s="1191"/>
      <c r="CM46" s="1191"/>
      <c r="CN46" s="1191"/>
      <c r="CO46" s="1191"/>
      <c r="CP46" s="845"/>
      <c r="CQ46" s="845"/>
      <c r="CR46" s="845"/>
      <c r="CS46" s="845"/>
      <c r="CT46" s="845"/>
      <c r="CU46" s="812"/>
      <c r="CV46" s="812"/>
      <c r="CW46" s="812"/>
      <c r="CX46" s="790"/>
      <c r="CY46" s="812"/>
      <c r="CZ46" s="790"/>
      <c r="DA46" s="790"/>
      <c r="DB46" s="791"/>
      <c r="DC46" s="792"/>
      <c r="DD46" s="792"/>
      <c r="DE46" s="792"/>
      <c r="DF46" s="792"/>
      <c r="DG46" s="792"/>
      <c r="DH46" s="792"/>
      <c r="DI46" s="792"/>
      <c r="DJ46" s="792"/>
      <c r="DK46" s="792"/>
      <c r="DL46" s="792"/>
      <c r="DM46" s="792"/>
      <c r="DN46" s="792"/>
      <c r="DO46" s="792"/>
      <c r="DP46" s="792"/>
      <c r="DQ46" s="792"/>
      <c r="DR46" s="792"/>
      <c r="DS46" s="792"/>
      <c r="DT46" s="792"/>
      <c r="DU46" s="792"/>
      <c r="DV46" s="792"/>
      <c r="DW46" s="792"/>
      <c r="DX46" s="792"/>
      <c r="DY46" s="792"/>
      <c r="DZ46" s="792"/>
      <c r="EA46" s="792"/>
      <c r="EB46" s="792"/>
      <c r="EC46" s="792"/>
      <c r="ED46" s="792"/>
      <c r="EE46" s="792"/>
      <c r="EF46" s="792"/>
      <c r="EG46" s="792"/>
      <c r="EH46" s="792"/>
      <c r="EI46" s="792"/>
      <c r="EJ46" s="792"/>
      <c r="EK46" s="792"/>
      <c r="EL46" s="792"/>
      <c r="EM46" s="792"/>
      <c r="EN46" s="792"/>
      <c r="EO46" s="792"/>
      <c r="EP46" s="792"/>
      <c r="EQ46" s="792"/>
      <c r="ER46" s="792"/>
      <c r="ES46" s="792"/>
      <c r="ET46" s="792"/>
      <c r="EU46" s="792"/>
      <c r="EV46" s="792"/>
      <c r="EW46" s="792"/>
      <c r="EX46" s="792"/>
      <c r="EY46" s="792"/>
      <c r="EZ46" s="792"/>
      <c r="FA46" s="792"/>
      <c r="FB46" s="792"/>
      <c r="FC46" s="792"/>
      <c r="FD46" s="792"/>
      <c r="FE46" s="792"/>
      <c r="FF46" s="792"/>
      <c r="FG46" s="792"/>
      <c r="FH46" s="792"/>
      <c r="FI46" s="792"/>
      <c r="FJ46" s="792"/>
      <c r="FK46" s="792"/>
      <c r="FL46" s="792"/>
      <c r="FM46" s="792"/>
      <c r="FN46" s="792"/>
      <c r="FO46" s="792"/>
      <c r="FP46" s="792"/>
      <c r="FQ46" s="792"/>
      <c r="FR46" s="792"/>
      <c r="FS46" s="792"/>
      <c r="FT46" s="792"/>
      <c r="FU46" s="792"/>
      <c r="FV46" s="792"/>
      <c r="FW46" s="792"/>
      <c r="FX46" s="792"/>
      <c r="FY46" s="792"/>
      <c r="FZ46" s="792"/>
      <c r="GA46" s="792"/>
      <c r="GB46" s="792"/>
      <c r="GC46" s="792"/>
      <c r="GD46" s="792"/>
      <c r="GE46" s="792"/>
      <c r="GF46" s="792"/>
      <c r="GG46" s="792"/>
      <c r="GH46" s="792"/>
      <c r="GI46" s="792"/>
      <c r="GJ46" s="792"/>
      <c r="GK46" s="792"/>
      <c r="GL46" s="792"/>
      <c r="GM46" s="792"/>
      <c r="GN46" s="792"/>
      <c r="GO46" s="792"/>
    </row>
    <row r="47" spans="1:197" ht="21" x14ac:dyDescent="0.35">
      <c r="A47" s="794"/>
      <c r="B47" s="794"/>
      <c r="C47" s="794"/>
      <c r="D47" s="794"/>
      <c r="E47" s="794"/>
      <c r="F47" s="794"/>
      <c r="G47" s="794"/>
      <c r="H47" s="794"/>
      <c r="I47" s="794"/>
      <c r="J47" s="794"/>
      <c r="K47" s="794"/>
      <c r="L47" s="794"/>
      <c r="M47" s="794"/>
      <c r="N47" s="794"/>
      <c r="O47" s="794"/>
      <c r="P47" s="794"/>
      <c r="Q47" s="1168"/>
      <c r="R47" s="1169"/>
      <c r="S47" s="1169"/>
      <c r="T47" s="1170"/>
      <c r="U47" s="790"/>
      <c r="V47" s="790"/>
      <c r="W47" s="856"/>
      <c r="X47" s="856"/>
      <c r="Y47" s="1192"/>
      <c r="Z47" s="1193"/>
      <c r="AA47" s="1193"/>
      <c r="AB47" s="1193"/>
      <c r="AC47" s="1193"/>
      <c r="AD47" s="1193"/>
      <c r="AE47" s="1193"/>
      <c r="AF47" s="1193"/>
      <c r="AG47" s="1193"/>
      <c r="AH47" s="1193"/>
      <c r="AI47" s="1193"/>
      <c r="AJ47" s="1175"/>
      <c r="AK47" s="1017"/>
      <c r="AL47" s="792"/>
      <c r="AM47" s="792"/>
      <c r="AN47" s="792"/>
      <c r="AO47" s="792"/>
      <c r="AP47" s="792"/>
      <c r="AQ47" s="792"/>
      <c r="AR47" s="909"/>
      <c r="AS47" s="909"/>
      <c r="AT47" s="1179"/>
      <c r="AU47" s="1201" t="s">
        <v>269</v>
      </c>
      <c r="AV47" s="1201"/>
      <c r="AW47" s="1195"/>
      <c r="AX47" s="792"/>
      <c r="AY47" s="792"/>
      <c r="AZ47" s="792"/>
      <c r="BA47" s="909"/>
      <c r="BB47" s="909"/>
      <c r="BC47" s="909"/>
      <c r="BD47" s="1202"/>
      <c r="BE47" s="1202"/>
      <c r="BF47" s="1202"/>
      <c r="BG47" s="1203"/>
      <c r="BH47" s="1204"/>
      <c r="BI47" s="1204"/>
      <c r="BJ47" s="1204"/>
      <c r="BK47" s="1204"/>
      <c r="BL47" s="1204"/>
      <c r="BM47" s="1204"/>
      <c r="BN47" s="1204"/>
      <c r="BO47" s="1199"/>
      <c r="BP47" s="1199"/>
      <c r="BQ47" s="1199"/>
      <c r="BR47" s="1199"/>
      <c r="BS47" s="1199"/>
      <c r="BT47" s="1199"/>
      <c r="BU47" s="1200"/>
      <c r="BV47" s="845"/>
      <c r="BW47" s="845"/>
      <c r="BX47" s="845"/>
      <c r="BY47" s="845"/>
      <c r="BZ47" s="845"/>
      <c r="CA47" s="845"/>
      <c r="CB47" s="845"/>
      <c r="CC47" s="845"/>
      <c r="CD47" s="845"/>
      <c r="CE47" s="845"/>
      <c r="CF47" s="845"/>
      <c r="CG47" s="845"/>
      <c r="CH47" s="1191"/>
      <c r="CI47" s="1191"/>
      <c r="CJ47" s="1191"/>
      <c r="CK47" s="1191"/>
      <c r="CL47" s="1191"/>
      <c r="CM47" s="1191"/>
      <c r="CN47" s="1191"/>
      <c r="CO47" s="1191"/>
      <c r="CP47" s="845"/>
      <c r="CQ47" s="845"/>
      <c r="CR47" s="845"/>
      <c r="CS47" s="845"/>
      <c r="CT47" s="845"/>
      <c r="CU47" s="812"/>
      <c r="CV47" s="812"/>
      <c r="CW47" s="812"/>
      <c r="CX47" s="790"/>
      <c r="CY47" s="790"/>
      <c r="CZ47" s="790"/>
      <c r="DA47" s="790"/>
      <c r="DB47" s="791"/>
      <c r="DC47" s="792"/>
      <c r="DD47" s="792"/>
      <c r="DE47" s="792"/>
      <c r="DF47" s="792"/>
      <c r="DG47" s="792"/>
      <c r="DH47" s="792"/>
      <c r="DI47" s="792"/>
      <c r="DJ47" s="792"/>
      <c r="DK47" s="792"/>
      <c r="DL47" s="792"/>
      <c r="DM47" s="792"/>
      <c r="DN47" s="792"/>
      <c r="DO47" s="792"/>
      <c r="DP47" s="792"/>
      <c r="DQ47" s="792"/>
      <c r="DR47" s="792"/>
      <c r="DS47" s="792"/>
      <c r="DT47" s="792"/>
      <c r="DU47" s="792"/>
      <c r="DV47" s="792"/>
      <c r="DW47" s="792"/>
      <c r="DX47" s="792"/>
      <c r="DY47" s="792"/>
      <c r="DZ47" s="792"/>
      <c r="EA47" s="792"/>
      <c r="EB47" s="792"/>
      <c r="EC47" s="792"/>
      <c r="ED47" s="792"/>
      <c r="EE47" s="792"/>
      <c r="EF47" s="792"/>
      <c r="EG47" s="792"/>
      <c r="EH47" s="792"/>
      <c r="EI47" s="792"/>
      <c r="EJ47" s="792"/>
      <c r="EK47" s="792"/>
      <c r="EL47" s="792"/>
      <c r="EM47" s="792"/>
      <c r="EN47" s="792"/>
      <c r="EO47" s="792"/>
      <c r="EP47" s="792"/>
      <c r="EQ47" s="792"/>
      <c r="ER47" s="792"/>
      <c r="ES47" s="792"/>
      <c r="ET47" s="792"/>
      <c r="EU47" s="792"/>
      <c r="EV47" s="792"/>
      <c r="EW47" s="792"/>
      <c r="EX47" s="792"/>
      <c r="EY47" s="792"/>
      <c r="EZ47" s="792"/>
      <c r="FA47" s="792"/>
      <c r="FB47" s="792"/>
      <c r="FC47" s="792"/>
      <c r="FD47" s="792"/>
      <c r="FE47" s="792"/>
      <c r="FF47" s="792"/>
      <c r="FG47" s="792"/>
      <c r="FH47" s="792"/>
      <c r="FI47" s="792"/>
      <c r="FJ47" s="792"/>
      <c r="FK47" s="792"/>
      <c r="FL47" s="792"/>
      <c r="FM47" s="792"/>
      <c r="FN47" s="792"/>
      <c r="FO47" s="792"/>
      <c r="FP47" s="792"/>
      <c r="FQ47" s="792"/>
      <c r="FR47" s="792"/>
      <c r="FS47" s="792"/>
      <c r="FT47" s="792"/>
      <c r="FU47" s="792"/>
      <c r="FV47" s="792"/>
      <c r="FW47" s="792"/>
      <c r="FX47" s="792"/>
      <c r="FY47" s="792"/>
      <c r="FZ47" s="792"/>
      <c r="GA47" s="792"/>
      <c r="GB47" s="792"/>
      <c r="GC47" s="792"/>
      <c r="GD47" s="792"/>
      <c r="GE47" s="792"/>
      <c r="GF47" s="792"/>
      <c r="GG47" s="792"/>
      <c r="GH47" s="792"/>
      <c r="GI47" s="792"/>
      <c r="GJ47" s="792"/>
      <c r="GK47" s="792"/>
      <c r="GL47" s="792"/>
      <c r="GM47" s="792"/>
      <c r="GN47" s="792"/>
      <c r="GO47" s="792"/>
    </row>
    <row r="48" spans="1:197" ht="21.75" thickBot="1" x14ac:dyDescent="0.4">
      <c r="A48" s="978"/>
      <c r="B48" s="978"/>
      <c r="C48" s="978"/>
      <c r="D48" s="1205"/>
      <c r="E48" s="1205"/>
      <c r="F48" s="1205"/>
      <c r="G48" s="1205"/>
      <c r="H48" s="1205"/>
      <c r="I48" s="1205"/>
      <c r="J48" s="1205"/>
      <c r="K48" s="1205"/>
      <c r="L48" s="1205"/>
      <c r="M48" s="1205"/>
      <c r="N48" s="1205"/>
      <c r="O48" s="1205"/>
      <c r="P48" s="1205"/>
      <c r="Q48" s="1206"/>
      <c r="R48" s="1207"/>
      <c r="S48" s="1207"/>
      <c r="T48" s="1208"/>
      <c r="U48" s="1205"/>
      <c r="V48" s="1205"/>
      <c r="W48" s="1205"/>
      <c r="X48" s="1205"/>
      <c r="Y48" s="1209"/>
      <c r="Z48" s="1210"/>
      <c r="AA48" s="1210"/>
      <c r="AB48" s="1210"/>
      <c r="AC48" s="1210"/>
      <c r="AD48" s="1210"/>
      <c r="AE48" s="1210"/>
      <c r="AF48" s="1210"/>
      <c r="AG48" s="1210"/>
      <c r="AH48" s="1210"/>
      <c r="AI48" s="1210"/>
      <c r="AJ48" s="1211"/>
      <c r="AK48" s="1017"/>
      <c r="AL48" s="794"/>
      <c r="AM48" s="856"/>
      <c r="AN48" s="856"/>
      <c r="AO48" s="909"/>
      <c r="AP48" s="909"/>
      <c r="AQ48" s="909"/>
      <c r="AR48" s="909"/>
      <c r="AS48" s="909"/>
      <c r="AT48" s="1212"/>
      <c r="AU48" s="1213"/>
      <c r="AV48" s="1213"/>
      <c r="AW48" s="1214"/>
      <c r="AX48" s="792"/>
      <c r="AY48" s="909"/>
      <c r="AZ48" s="909"/>
      <c r="BA48" s="909"/>
      <c r="BB48" s="909"/>
      <c r="BC48" s="909"/>
      <c r="BD48" s="909"/>
      <c r="BE48" s="909"/>
      <c r="BF48" s="909"/>
      <c r="BG48" s="1215"/>
      <c r="BH48" s="1216"/>
      <c r="BI48" s="1216"/>
      <c r="BJ48" s="1216"/>
      <c r="BK48" s="1216"/>
      <c r="BL48" s="1216"/>
      <c r="BM48" s="1216"/>
      <c r="BN48" s="1216"/>
      <c r="BO48" s="1216"/>
      <c r="BP48" s="1216"/>
      <c r="BQ48" s="1216"/>
      <c r="BR48" s="1216"/>
      <c r="BS48" s="1216"/>
      <c r="BT48" s="1216"/>
      <c r="BU48" s="1217"/>
      <c r="BV48" s="845"/>
      <c r="BW48" s="845"/>
      <c r="BX48" s="845"/>
      <c r="BY48" s="845"/>
      <c r="BZ48" s="845"/>
      <c r="CA48" s="845"/>
      <c r="CB48" s="845"/>
      <c r="CC48" s="845"/>
      <c r="CD48" s="845"/>
      <c r="CE48" s="845"/>
      <c r="CF48" s="845"/>
      <c r="CG48" s="845"/>
      <c r="CH48" s="1191"/>
      <c r="CI48" s="1191"/>
      <c r="CJ48" s="1191"/>
      <c r="CK48" s="1191"/>
      <c r="CL48" s="1191"/>
      <c r="CM48" s="1191"/>
      <c r="CN48" s="1191"/>
      <c r="CO48" s="1191"/>
      <c r="CP48" s="845"/>
      <c r="CQ48" s="845"/>
      <c r="CR48" s="845"/>
      <c r="CS48" s="845"/>
      <c r="CT48" s="845"/>
      <c r="CU48" s="812"/>
      <c r="CV48" s="812"/>
      <c r="CW48" s="812"/>
      <c r="CX48" s="790"/>
      <c r="CY48" s="790"/>
      <c r="CZ48" s="790"/>
      <c r="DA48" s="790"/>
      <c r="DB48" s="791"/>
      <c r="DC48" s="792"/>
      <c r="DD48" s="792"/>
      <c r="DE48" s="792"/>
      <c r="DF48" s="792"/>
      <c r="DG48" s="792"/>
      <c r="DH48" s="792"/>
      <c r="DI48" s="792"/>
      <c r="DJ48" s="792"/>
      <c r="DK48" s="792"/>
      <c r="DL48" s="792"/>
      <c r="DM48" s="792"/>
      <c r="DN48" s="792"/>
      <c r="DO48" s="792"/>
      <c r="DP48" s="792"/>
      <c r="DQ48" s="792"/>
      <c r="DR48" s="792"/>
      <c r="DS48" s="792"/>
      <c r="DT48" s="792"/>
      <c r="DU48" s="792"/>
      <c r="DV48" s="792"/>
      <c r="DW48" s="792"/>
      <c r="DX48" s="792"/>
      <c r="DY48" s="792"/>
      <c r="DZ48" s="792"/>
      <c r="EA48" s="792"/>
      <c r="EB48" s="792"/>
      <c r="EC48" s="792"/>
      <c r="ED48" s="792"/>
      <c r="EE48" s="792"/>
      <c r="EF48" s="792"/>
      <c r="EG48" s="792"/>
      <c r="EH48" s="792"/>
      <c r="EI48" s="792"/>
      <c r="EJ48" s="792"/>
      <c r="EK48" s="792"/>
      <c r="EL48" s="792"/>
      <c r="EM48" s="792"/>
      <c r="EN48" s="792"/>
      <c r="EO48" s="792"/>
      <c r="EP48" s="792"/>
      <c r="EQ48" s="792"/>
      <c r="ER48" s="792"/>
      <c r="ES48" s="792"/>
      <c r="ET48" s="792"/>
      <c r="EU48" s="792"/>
      <c r="EV48" s="792"/>
      <c r="EW48" s="792"/>
      <c r="EX48" s="792"/>
      <c r="EY48" s="792"/>
      <c r="EZ48" s="792"/>
      <c r="FA48" s="792"/>
      <c r="FB48" s="792"/>
      <c r="FC48" s="792"/>
      <c r="FD48" s="792"/>
      <c r="FE48" s="792"/>
      <c r="FF48" s="792"/>
      <c r="FG48" s="792"/>
      <c r="FH48" s="792"/>
      <c r="FI48" s="792"/>
      <c r="FJ48" s="792"/>
      <c r="FK48" s="792"/>
      <c r="FL48" s="792"/>
      <c r="FM48" s="792"/>
      <c r="FN48" s="792"/>
      <c r="FO48" s="792"/>
      <c r="FP48" s="792"/>
      <c r="FQ48" s="792"/>
      <c r="FR48" s="792"/>
      <c r="FS48" s="792"/>
      <c r="FT48" s="792"/>
      <c r="FU48" s="792"/>
      <c r="FV48" s="792"/>
      <c r="FW48" s="792"/>
      <c r="FX48" s="792"/>
      <c r="FY48" s="792"/>
      <c r="FZ48" s="792"/>
      <c r="GA48" s="792"/>
      <c r="GB48" s="792"/>
      <c r="GC48" s="792"/>
      <c r="GD48" s="792"/>
      <c r="GE48" s="792"/>
      <c r="GF48" s="792"/>
      <c r="GG48" s="792"/>
      <c r="GH48" s="792"/>
      <c r="GI48" s="792"/>
      <c r="GJ48" s="792"/>
      <c r="GK48" s="792"/>
      <c r="GL48" s="792"/>
      <c r="GM48" s="792"/>
      <c r="GN48" s="792"/>
      <c r="GO48" s="792"/>
    </row>
    <row r="49" spans="1:197" ht="18.75" x14ac:dyDescent="0.25">
      <c r="A49" s="794"/>
      <c r="B49" s="794"/>
      <c r="C49" s="794"/>
      <c r="D49" s="791"/>
      <c r="E49" s="791"/>
      <c r="F49" s="791"/>
      <c r="G49" s="791"/>
      <c r="H49" s="791"/>
      <c r="I49" s="791"/>
      <c r="J49" s="791"/>
      <c r="K49" s="791"/>
      <c r="L49" s="791"/>
      <c r="M49" s="791"/>
      <c r="N49" s="791"/>
      <c r="O49" s="791"/>
      <c r="P49" s="791"/>
      <c r="Q49" s="791"/>
      <c r="R49" s="791"/>
      <c r="S49" s="791"/>
      <c r="T49" s="791"/>
      <c r="U49" s="791"/>
      <c r="V49" s="791"/>
      <c r="W49" s="791"/>
      <c r="X49" s="791"/>
      <c r="Y49" s="792"/>
      <c r="Z49" s="792"/>
      <c r="AA49" s="792"/>
      <c r="AB49" s="792"/>
      <c r="AC49" s="792"/>
      <c r="AD49" s="792"/>
      <c r="AE49" s="792"/>
      <c r="AF49" s="792"/>
      <c r="AG49" s="792"/>
      <c r="AH49" s="792"/>
      <c r="AI49" s="792"/>
      <c r="AJ49" s="792"/>
      <c r="AK49" s="792"/>
      <c r="AL49" s="794"/>
      <c r="AM49" s="791"/>
      <c r="AN49" s="791"/>
      <c r="AO49" s="791"/>
      <c r="AP49" s="791"/>
      <c r="AQ49" s="791"/>
      <c r="AR49" s="791"/>
      <c r="AS49" s="791"/>
      <c r="AT49" s="791"/>
      <c r="AU49" s="792"/>
      <c r="AV49" s="792"/>
      <c r="AW49" s="792"/>
      <c r="AX49" s="792"/>
      <c r="AY49" s="791"/>
      <c r="AZ49" s="791"/>
      <c r="BA49" s="791"/>
      <c r="BB49" s="791"/>
      <c r="BC49" s="791"/>
      <c r="BD49" s="791"/>
      <c r="BE49" s="791"/>
      <c r="BF49" s="791"/>
      <c r="BG49" s="791"/>
      <c r="BH49" s="791"/>
      <c r="BI49" s="791"/>
      <c r="BJ49" s="791"/>
      <c r="BK49" s="791"/>
      <c r="BL49" s="791"/>
      <c r="BM49" s="791"/>
      <c r="BN49" s="791"/>
      <c r="BO49" s="791"/>
      <c r="BP49" s="791"/>
      <c r="BQ49" s="791"/>
      <c r="BR49" s="791"/>
      <c r="BS49" s="791"/>
      <c r="BT49" s="791"/>
      <c r="BU49" s="791"/>
      <c r="BV49" s="845"/>
      <c r="BW49" s="845"/>
      <c r="BX49" s="845"/>
      <c r="BY49" s="845"/>
      <c r="BZ49" s="791"/>
      <c r="CA49" s="791"/>
      <c r="CB49" s="791"/>
      <c r="CC49" s="791"/>
      <c r="CD49" s="791"/>
      <c r="CE49" s="791"/>
      <c r="CF49" s="791"/>
      <c r="CG49" s="791"/>
      <c r="CH49" s="791"/>
      <c r="CI49" s="791"/>
      <c r="CJ49" s="791"/>
      <c r="CK49" s="791"/>
      <c r="CL49" s="791"/>
      <c r="CM49" s="791"/>
      <c r="CN49" s="791"/>
      <c r="CO49" s="791"/>
      <c r="CP49" s="791"/>
      <c r="CQ49" s="791"/>
      <c r="CR49" s="791"/>
      <c r="CS49" s="791"/>
      <c r="CT49" s="791"/>
      <c r="CU49" s="791"/>
      <c r="CV49" s="791"/>
      <c r="CW49" s="791"/>
      <c r="CX49" s="791"/>
      <c r="CY49" s="791"/>
      <c r="CZ49" s="790"/>
      <c r="DA49" s="790"/>
      <c r="DB49" s="791"/>
      <c r="DC49" s="792"/>
      <c r="DD49" s="792"/>
      <c r="DE49" s="792"/>
      <c r="DF49" s="792"/>
      <c r="DG49" s="792"/>
      <c r="DH49" s="792"/>
      <c r="DI49" s="792"/>
      <c r="DJ49" s="792"/>
      <c r="DK49" s="792"/>
      <c r="DL49" s="792"/>
      <c r="DM49" s="792"/>
      <c r="DN49" s="792"/>
      <c r="DO49" s="792"/>
      <c r="DP49" s="792"/>
      <c r="DQ49" s="792"/>
      <c r="DR49" s="792"/>
      <c r="DS49" s="792"/>
      <c r="DT49" s="792"/>
      <c r="DU49" s="792"/>
      <c r="DV49" s="792"/>
      <c r="DW49" s="792"/>
      <c r="DX49" s="792"/>
      <c r="DY49" s="792"/>
      <c r="DZ49" s="792"/>
      <c r="EA49" s="792"/>
      <c r="EB49" s="792"/>
      <c r="EC49" s="792"/>
      <c r="ED49" s="792"/>
      <c r="EE49" s="792"/>
      <c r="EF49" s="792"/>
      <c r="EG49" s="792"/>
      <c r="EH49" s="792"/>
      <c r="EI49" s="792"/>
      <c r="EJ49" s="792"/>
      <c r="EK49" s="792"/>
      <c r="EL49" s="792"/>
      <c r="EM49" s="792"/>
      <c r="EN49" s="792"/>
      <c r="EO49" s="792"/>
      <c r="EP49" s="792"/>
      <c r="EQ49" s="792"/>
      <c r="ER49" s="792"/>
      <c r="ES49" s="792"/>
      <c r="ET49" s="792"/>
      <c r="EU49" s="792"/>
      <c r="EV49" s="792"/>
      <c r="EW49" s="792"/>
      <c r="EX49" s="792"/>
      <c r="EY49" s="792"/>
      <c r="EZ49" s="792"/>
      <c r="FA49" s="792"/>
      <c r="FB49" s="792"/>
      <c r="FC49" s="792"/>
      <c r="FD49" s="792"/>
      <c r="FE49" s="792"/>
      <c r="FF49" s="792"/>
      <c r="FG49" s="792"/>
      <c r="FH49" s="792"/>
      <c r="FI49" s="792"/>
      <c r="FJ49" s="792"/>
      <c r="FK49" s="792"/>
      <c r="FL49" s="792"/>
      <c r="FM49" s="792"/>
      <c r="FN49" s="792"/>
      <c r="FO49" s="792"/>
      <c r="FP49" s="792"/>
      <c r="FQ49" s="792"/>
      <c r="FR49" s="792"/>
      <c r="FS49" s="792"/>
      <c r="FT49" s="792"/>
      <c r="FU49" s="792"/>
      <c r="FV49" s="792"/>
      <c r="FW49" s="792"/>
      <c r="FX49" s="792"/>
      <c r="FY49" s="792"/>
      <c r="FZ49" s="792"/>
      <c r="GA49" s="792"/>
      <c r="GB49" s="792"/>
      <c r="GC49" s="792"/>
      <c r="GD49" s="792"/>
      <c r="GE49" s="792"/>
      <c r="GF49" s="792"/>
      <c r="GG49" s="792"/>
      <c r="GH49" s="792"/>
      <c r="GI49" s="792"/>
      <c r="GJ49" s="792"/>
      <c r="GK49" s="792"/>
      <c r="GL49" s="792"/>
      <c r="GM49" s="792"/>
      <c r="GN49" s="792"/>
      <c r="GO49" s="792"/>
    </row>
    <row r="50" spans="1:197" ht="18.75" x14ac:dyDescent="0.25">
      <c r="A50" s="794"/>
      <c r="B50" s="794"/>
      <c r="C50" s="794"/>
      <c r="D50" s="791"/>
      <c r="E50" s="791"/>
      <c r="F50" s="791"/>
      <c r="G50" s="791"/>
      <c r="H50" s="791"/>
      <c r="I50" s="791"/>
      <c r="J50" s="791"/>
      <c r="K50" s="791"/>
      <c r="L50" s="791"/>
      <c r="M50" s="791"/>
      <c r="N50" s="791"/>
      <c r="O50" s="791"/>
      <c r="P50" s="791"/>
      <c r="Q50" s="791"/>
      <c r="R50" s="791"/>
      <c r="S50" s="791"/>
      <c r="T50" s="791"/>
      <c r="U50" s="791"/>
      <c r="V50" s="791"/>
      <c r="W50" s="791"/>
      <c r="X50" s="791"/>
      <c r="Y50" s="791"/>
      <c r="Z50" s="791"/>
      <c r="AA50" s="791"/>
      <c r="AB50" s="791"/>
      <c r="AC50" s="791"/>
      <c r="AD50" s="791"/>
      <c r="AE50" s="791"/>
      <c r="AF50" s="791"/>
      <c r="AG50" s="791"/>
      <c r="AH50" s="791"/>
      <c r="AI50" s="791"/>
      <c r="AJ50" s="791"/>
      <c r="AK50" s="794"/>
      <c r="AL50" s="792"/>
      <c r="AM50" s="792"/>
      <c r="AN50" s="792"/>
      <c r="AO50" s="792"/>
      <c r="AP50" s="791"/>
      <c r="AQ50" s="791"/>
      <c r="AR50" s="791"/>
      <c r="AS50" s="791"/>
      <c r="AT50" s="791"/>
      <c r="AU50" s="792"/>
      <c r="AV50" s="792"/>
      <c r="AW50" s="792"/>
      <c r="AX50" s="792"/>
      <c r="AY50" s="791"/>
      <c r="AZ50" s="791"/>
      <c r="BA50" s="791"/>
      <c r="BB50" s="791"/>
      <c r="BC50" s="791"/>
      <c r="BD50" s="791"/>
      <c r="BE50" s="791"/>
      <c r="BF50" s="791"/>
      <c r="BG50" s="791"/>
      <c r="BH50" s="791"/>
      <c r="BI50" s="791"/>
      <c r="BJ50" s="791"/>
      <c r="BK50" s="791"/>
      <c r="BL50" s="791"/>
      <c r="BM50" s="791"/>
      <c r="BN50" s="791"/>
      <c r="BO50" s="791"/>
      <c r="BP50" s="791"/>
      <c r="BQ50" s="791"/>
      <c r="BR50" s="791"/>
      <c r="BS50" s="791"/>
      <c r="BT50" s="791"/>
      <c r="BU50" s="791"/>
      <c r="BV50" s="845"/>
      <c r="BW50" s="845"/>
      <c r="BX50" s="845"/>
      <c r="BY50" s="845"/>
      <c r="BZ50" s="791"/>
      <c r="CA50" s="791"/>
      <c r="CB50" s="791"/>
      <c r="CC50" s="791"/>
      <c r="CD50" s="791"/>
      <c r="CE50" s="791"/>
      <c r="CF50" s="791"/>
      <c r="CG50" s="791"/>
      <c r="CH50" s="791"/>
      <c r="CI50" s="791"/>
      <c r="CJ50" s="791"/>
      <c r="CK50" s="791"/>
      <c r="CL50" s="791"/>
      <c r="CM50" s="791"/>
      <c r="CN50" s="791"/>
      <c r="CO50" s="791"/>
      <c r="CP50" s="791"/>
      <c r="CQ50" s="791"/>
      <c r="CR50" s="791"/>
      <c r="CS50" s="791"/>
      <c r="CT50" s="791"/>
      <c r="CU50" s="791"/>
      <c r="CV50" s="791"/>
      <c r="CW50" s="791"/>
      <c r="CX50" s="791"/>
      <c r="CY50" s="791"/>
      <c r="CZ50" s="791"/>
      <c r="DA50" s="791"/>
      <c r="DB50" s="791"/>
      <c r="DC50" s="792"/>
      <c r="DD50" s="792"/>
      <c r="DE50" s="792"/>
      <c r="DF50" s="792"/>
      <c r="DG50" s="792"/>
      <c r="DH50" s="792"/>
      <c r="DI50" s="792"/>
      <c r="DJ50" s="792"/>
      <c r="DK50" s="792"/>
      <c r="DL50" s="792"/>
      <c r="DM50" s="792"/>
      <c r="DN50" s="792"/>
      <c r="DO50" s="792"/>
      <c r="DP50" s="792"/>
      <c r="DQ50" s="792"/>
      <c r="DR50" s="792"/>
      <c r="DS50" s="792"/>
      <c r="DT50" s="792"/>
      <c r="DU50" s="792"/>
      <c r="DV50" s="792"/>
      <c r="DW50" s="792"/>
      <c r="DX50" s="792"/>
      <c r="DY50" s="792"/>
      <c r="DZ50" s="792"/>
      <c r="EA50" s="792"/>
      <c r="EB50" s="792"/>
      <c r="EC50" s="792"/>
      <c r="ED50" s="792"/>
      <c r="EE50" s="792"/>
      <c r="EF50" s="792"/>
      <c r="EG50" s="792"/>
      <c r="EH50" s="792"/>
      <c r="EI50" s="792"/>
      <c r="EJ50" s="792"/>
      <c r="EK50" s="792"/>
      <c r="EL50" s="792"/>
      <c r="EM50" s="792"/>
      <c r="EN50" s="792"/>
      <c r="EO50" s="792"/>
      <c r="EP50" s="792"/>
      <c r="EQ50" s="792"/>
      <c r="ER50" s="792"/>
      <c r="ES50" s="792"/>
      <c r="ET50" s="792"/>
      <c r="EU50" s="792"/>
      <c r="EV50" s="792"/>
      <c r="EW50" s="792"/>
      <c r="EX50" s="792"/>
      <c r="EY50" s="792"/>
      <c r="EZ50" s="792"/>
      <c r="FA50" s="792"/>
      <c r="FB50" s="792"/>
      <c r="FC50" s="792"/>
      <c r="FD50" s="792"/>
      <c r="FE50" s="792"/>
      <c r="FF50" s="792"/>
      <c r="FG50" s="792"/>
      <c r="FH50" s="792"/>
      <c r="FI50" s="792"/>
      <c r="FJ50" s="792"/>
      <c r="FK50" s="792"/>
      <c r="FL50" s="792"/>
      <c r="FM50" s="792"/>
      <c r="FN50" s="792"/>
      <c r="FO50" s="792"/>
      <c r="FP50" s="792"/>
      <c r="FQ50" s="792"/>
      <c r="FR50" s="792"/>
      <c r="FS50" s="792"/>
      <c r="FT50" s="792"/>
      <c r="FU50" s="792"/>
      <c r="FV50" s="792"/>
      <c r="FW50" s="792"/>
      <c r="FX50" s="792"/>
      <c r="FY50" s="792"/>
      <c r="FZ50" s="792"/>
      <c r="GA50" s="792"/>
      <c r="GB50" s="792"/>
      <c r="GC50" s="792"/>
      <c r="GD50" s="792"/>
      <c r="GE50" s="792"/>
      <c r="GF50" s="792"/>
      <c r="GG50" s="792"/>
      <c r="GH50" s="792"/>
      <c r="GI50" s="792"/>
      <c r="GJ50" s="792"/>
      <c r="GK50" s="792"/>
      <c r="GL50" s="792"/>
      <c r="GM50" s="792"/>
      <c r="GN50" s="792"/>
      <c r="GO50" s="792"/>
    </row>
    <row r="51" spans="1:197" ht="18.75" x14ac:dyDescent="0.25">
      <c r="A51" s="794"/>
      <c r="B51" s="794"/>
      <c r="C51" s="794"/>
      <c r="D51" s="791"/>
      <c r="E51" s="791"/>
      <c r="F51" s="794"/>
      <c r="G51" s="794"/>
      <c r="H51" s="791"/>
      <c r="I51" s="791"/>
      <c r="J51" s="791"/>
      <c r="K51" s="791"/>
      <c r="L51" s="791"/>
      <c r="M51" s="791"/>
      <c r="N51" s="791"/>
      <c r="O51" s="791"/>
      <c r="P51" s="791"/>
      <c r="Q51" s="791"/>
      <c r="R51" s="791"/>
      <c r="S51" s="791"/>
      <c r="T51" s="791"/>
      <c r="U51" s="791"/>
      <c r="V51" s="791"/>
      <c r="W51" s="791"/>
      <c r="X51" s="791"/>
      <c r="Y51" s="791"/>
      <c r="Z51" s="791"/>
      <c r="AA51" s="791"/>
      <c r="AB51" s="791"/>
      <c r="AC51" s="791"/>
      <c r="AD51" s="791"/>
      <c r="AE51" s="791"/>
      <c r="AF51" s="791"/>
      <c r="AG51" s="791"/>
      <c r="AH51" s="791"/>
      <c r="AI51" s="791"/>
      <c r="AJ51" s="791"/>
      <c r="AK51" s="791"/>
      <c r="AL51" s="791"/>
      <c r="AM51" s="791"/>
      <c r="AN51" s="791"/>
      <c r="AO51" s="791"/>
      <c r="AP51" s="791"/>
      <c r="AQ51" s="791"/>
      <c r="AR51" s="791"/>
      <c r="AS51" s="791"/>
      <c r="AT51" s="791"/>
      <c r="AU51" s="791"/>
      <c r="AV51" s="791"/>
      <c r="AW51" s="791"/>
      <c r="AX51" s="791"/>
      <c r="AY51" s="791"/>
      <c r="AZ51" s="791"/>
      <c r="BA51" s="791"/>
      <c r="BB51" s="791"/>
      <c r="BC51" s="791"/>
      <c r="BD51" s="791"/>
      <c r="BE51" s="791"/>
      <c r="BF51" s="791"/>
      <c r="BG51" s="791"/>
      <c r="BH51" s="791"/>
      <c r="BI51" s="791"/>
      <c r="BJ51" s="791"/>
      <c r="BK51" s="791"/>
      <c r="BL51" s="791"/>
      <c r="BM51" s="791"/>
      <c r="BN51" s="791"/>
      <c r="BO51" s="791"/>
      <c r="BP51" s="791"/>
      <c r="BQ51" s="791"/>
      <c r="BR51" s="791"/>
      <c r="BS51" s="791"/>
      <c r="BT51" s="791"/>
      <c r="BU51" s="791"/>
      <c r="BV51" s="845"/>
      <c r="BW51" s="845"/>
      <c r="BX51" s="845"/>
      <c r="BY51" s="845"/>
      <c r="BZ51" s="791"/>
      <c r="CA51" s="791"/>
      <c r="CB51" s="791"/>
      <c r="CC51" s="791"/>
      <c r="CD51" s="791"/>
      <c r="CE51" s="791"/>
      <c r="CF51" s="791"/>
      <c r="CG51" s="791"/>
      <c r="CH51" s="791"/>
      <c r="CI51" s="791"/>
      <c r="CJ51" s="791"/>
      <c r="CK51" s="791"/>
      <c r="CL51" s="791"/>
      <c r="CM51" s="791"/>
      <c r="CN51" s="791"/>
      <c r="CO51" s="791"/>
      <c r="CP51" s="791"/>
      <c r="CQ51" s="791"/>
      <c r="CR51" s="791"/>
      <c r="CS51" s="791"/>
      <c r="CT51" s="791"/>
      <c r="CU51" s="791"/>
      <c r="CV51" s="791"/>
      <c r="CW51" s="791"/>
      <c r="CX51" s="791"/>
      <c r="CY51" s="791"/>
      <c r="CZ51" s="791"/>
      <c r="DA51" s="791"/>
      <c r="DB51" s="791"/>
      <c r="DC51" s="792"/>
      <c r="DD51" s="792"/>
      <c r="DE51" s="792"/>
      <c r="DF51" s="792"/>
      <c r="DG51" s="792"/>
      <c r="DH51" s="792"/>
      <c r="DI51" s="792"/>
      <c r="DJ51" s="792"/>
      <c r="DK51" s="792"/>
      <c r="DL51" s="792"/>
      <c r="DM51" s="792"/>
      <c r="DN51" s="792"/>
      <c r="DO51" s="792"/>
      <c r="DP51" s="792"/>
      <c r="DQ51" s="792"/>
      <c r="DR51" s="792"/>
      <c r="DS51" s="792"/>
      <c r="DT51" s="792"/>
      <c r="DU51" s="792"/>
      <c r="DV51" s="792"/>
      <c r="DW51" s="792"/>
      <c r="DX51" s="792"/>
      <c r="DY51" s="792"/>
      <c r="DZ51" s="792"/>
      <c r="EA51" s="792"/>
      <c r="EB51" s="792"/>
      <c r="EC51" s="792"/>
      <c r="ED51" s="792"/>
      <c r="EE51" s="792"/>
      <c r="EF51" s="792"/>
      <c r="EG51" s="792"/>
      <c r="EH51" s="792"/>
      <c r="EI51" s="792"/>
      <c r="EJ51" s="792"/>
      <c r="EK51" s="792"/>
      <c r="EL51" s="792"/>
      <c r="EM51" s="792"/>
      <c r="EN51" s="792"/>
      <c r="EO51" s="792"/>
      <c r="EP51" s="792"/>
      <c r="EQ51" s="792"/>
      <c r="ER51" s="792"/>
      <c r="ES51" s="792"/>
      <c r="ET51" s="792"/>
      <c r="EU51" s="792"/>
      <c r="EV51" s="792"/>
      <c r="EW51" s="792"/>
      <c r="EX51" s="792"/>
      <c r="EY51" s="792"/>
      <c r="EZ51" s="792"/>
      <c r="FA51" s="792"/>
      <c r="FB51" s="792"/>
      <c r="FC51" s="792"/>
      <c r="FD51" s="792"/>
      <c r="FE51" s="792"/>
      <c r="FF51" s="792"/>
      <c r="FG51" s="792"/>
      <c r="FH51" s="792"/>
      <c r="FI51" s="792"/>
      <c r="FJ51" s="792"/>
      <c r="FK51" s="792"/>
      <c r="FL51" s="792"/>
      <c r="FM51" s="792"/>
      <c r="FN51" s="792"/>
      <c r="FO51" s="792"/>
      <c r="FP51" s="792"/>
      <c r="FQ51" s="792"/>
      <c r="FR51" s="792"/>
      <c r="FS51" s="792"/>
      <c r="FT51" s="792"/>
      <c r="FU51" s="792"/>
      <c r="FV51" s="792"/>
      <c r="FW51" s="792"/>
      <c r="FX51" s="792"/>
      <c r="FY51" s="792"/>
      <c r="FZ51" s="792"/>
      <c r="GA51" s="792"/>
      <c r="GB51" s="792"/>
      <c r="GC51" s="792"/>
      <c r="GD51" s="792"/>
      <c r="GE51" s="792"/>
      <c r="GF51" s="792"/>
      <c r="GG51" s="792"/>
      <c r="GH51" s="792"/>
      <c r="GI51" s="792"/>
      <c r="GJ51" s="792"/>
      <c r="GK51" s="792"/>
      <c r="GL51" s="792"/>
      <c r="GM51" s="792"/>
      <c r="GN51" s="792"/>
      <c r="GO51" s="792"/>
    </row>
    <row r="52" spans="1:197" ht="18.75" x14ac:dyDescent="0.25">
      <c r="A52" s="794"/>
      <c r="B52" s="794"/>
      <c r="C52" s="794"/>
      <c r="D52" s="794"/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794"/>
      <c r="P52" s="794"/>
      <c r="Q52" s="794"/>
      <c r="R52" s="794"/>
      <c r="S52" s="794"/>
      <c r="T52" s="794"/>
      <c r="U52" s="794"/>
      <c r="V52" s="794"/>
      <c r="W52" s="794"/>
      <c r="X52" s="794"/>
      <c r="Y52" s="794"/>
      <c r="Z52" s="794"/>
      <c r="AA52" s="794"/>
      <c r="AB52" s="794"/>
      <c r="AC52" s="794"/>
      <c r="AD52" s="794"/>
      <c r="AE52" s="794"/>
      <c r="AF52" s="794"/>
      <c r="AG52" s="794"/>
      <c r="AH52" s="794"/>
      <c r="AI52" s="794"/>
      <c r="AJ52" s="794"/>
      <c r="AK52" s="794"/>
      <c r="AL52" s="794"/>
      <c r="AM52" s="794"/>
      <c r="AN52" s="794"/>
      <c r="AO52" s="794"/>
      <c r="AP52" s="794"/>
      <c r="AQ52" s="794"/>
      <c r="AR52" s="794"/>
      <c r="AS52" s="794"/>
      <c r="AT52" s="794"/>
      <c r="AU52" s="794"/>
      <c r="AV52" s="794"/>
      <c r="AW52" s="794"/>
      <c r="AX52" s="794"/>
      <c r="AY52" s="794"/>
      <c r="AZ52" s="794"/>
      <c r="BA52" s="794"/>
      <c r="BB52" s="794"/>
      <c r="BC52" s="794"/>
      <c r="BD52" s="794"/>
      <c r="BE52" s="794"/>
      <c r="BF52" s="794"/>
      <c r="BG52" s="794"/>
      <c r="BH52" s="794"/>
      <c r="BI52" s="794"/>
      <c r="BJ52" s="794"/>
      <c r="BK52" s="794"/>
      <c r="BL52" s="794"/>
      <c r="BM52" s="794"/>
      <c r="BN52" s="794"/>
      <c r="BO52" s="794"/>
      <c r="BP52" s="794"/>
      <c r="BQ52" s="794"/>
      <c r="BR52" s="794"/>
      <c r="BS52" s="794"/>
      <c r="BT52" s="794"/>
      <c r="BU52" s="794"/>
      <c r="BV52" s="845"/>
      <c r="BW52" s="845"/>
      <c r="BX52" s="845"/>
      <c r="BY52" s="845"/>
      <c r="BZ52" s="794"/>
      <c r="CA52" s="794"/>
      <c r="CB52" s="794"/>
      <c r="CC52" s="794"/>
      <c r="CD52" s="794"/>
      <c r="CE52" s="794"/>
      <c r="CF52" s="794"/>
      <c r="CG52" s="794"/>
      <c r="CH52" s="794"/>
      <c r="CI52" s="794"/>
      <c r="CJ52" s="794"/>
      <c r="CK52" s="790"/>
      <c r="CL52" s="790"/>
      <c r="CM52" s="790"/>
      <c r="CN52" s="794"/>
      <c r="CO52" s="794"/>
      <c r="CP52" s="794"/>
      <c r="CQ52" s="794"/>
      <c r="CR52" s="794"/>
      <c r="CS52" s="794"/>
      <c r="CT52" s="794"/>
      <c r="CU52" s="794"/>
      <c r="CV52" s="794"/>
      <c r="CW52" s="794"/>
      <c r="CX52" s="794"/>
      <c r="CY52" s="794"/>
      <c r="CZ52" s="794"/>
      <c r="DA52" s="794"/>
      <c r="DB52" s="794"/>
      <c r="DC52" s="792"/>
      <c r="DD52" s="792"/>
      <c r="DE52" s="792"/>
      <c r="DF52" s="792"/>
      <c r="DG52" s="792"/>
      <c r="DH52" s="792"/>
      <c r="DI52" s="792"/>
      <c r="DJ52" s="792"/>
      <c r="DK52" s="792"/>
      <c r="DL52" s="792"/>
      <c r="DM52" s="792"/>
      <c r="DN52" s="792"/>
      <c r="DO52" s="792"/>
      <c r="DP52" s="792"/>
      <c r="DQ52" s="792"/>
      <c r="DR52" s="792"/>
      <c r="DS52" s="792"/>
      <c r="DT52" s="792"/>
      <c r="DU52" s="792"/>
      <c r="DV52" s="792"/>
      <c r="DW52" s="792"/>
      <c r="DX52" s="792"/>
      <c r="DY52" s="792"/>
      <c r="DZ52" s="792"/>
      <c r="EA52" s="792"/>
      <c r="EB52" s="792"/>
      <c r="EC52" s="792"/>
      <c r="ED52" s="792"/>
      <c r="EE52" s="792"/>
      <c r="EF52" s="792"/>
      <c r="EG52" s="792"/>
      <c r="EH52" s="792"/>
      <c r="EI52" s="792"/>
      <c r="EJ52" s="792"/>
      <c r="EK52" s="792"/>
      <c r="EL52" s="792"/>
      <c r="EM52" s="792"/>
      <c r="EN52" s="792"/>
      <c r="EO52" s="792"/>
      <c r="EP52" s="792"/>
      <c r="EQ52" s="792"/>
      <c r="ER52" s="792"/>
      <c r="ES52" s="792"/>
      <c r="ET52" s="792"/>
      <c r="EU52" s="792"/>
      <c r="EV52" s="792"/>
      <c r="EW52" s="792"/>
      <c r="EX52" s="792"/>
      <c r="EY52" s="792"/>
      <c r="EZ52" s="792"/>
      <c r="FA52" s="792"/>
      <c r="FB52" s="792"/>
      <c r="FC52" s="792"/>
      <c r="FD52" s="792"/>
      <c r="FE52" s="792"/>
      <c r="FF52" s="792"/>
      <c r="FG52" s="792"/>
      <c r="FH52" s="792"/>
      <c r="FI52" s="792"/>
      <c r="FJ52" s="792"/>
      <c r="FK52" s="792"/>
      <c r="FL52" s="792"/>
      <c r="FM52" s="792"/>
      <c r="FN52" s="792"/>
      <c r="FO52" s="792"/>
      <c r="FP52" s="792"/>
      <c r="FQ52" s="792"/>
      <c r="FR52" s="792"/>
      <c r="FS52" s="792"/>
      <c r="FT52" s="792"/>
      <c r="FU52" s="792"/>
      <c r="FV52" s="792"/>
      <c r="FW52" s="792"/>
      <c r="FX52" s="792"/>
      <c r="FY52" s="792"/>
      <c r="FZ52" s="792"/>
      <c r="GA52" s="792"/>
      <c r="GB52" s="792"/>
      <c r="GC52" s="792"/>
      <c r="GD52" s="792"/>
      <c r="GE52" s="792"/>
      <c r="GF52" s="792"/>
      <c r="GG52" s="792"/>
      <c r="GH52" s="792"/>
      <c r="GI52" s="792"/>
      <c r="GJ52" s="792"/>
      <c r="GK52" s="792"/>
      <c r="GL52" s="792"/>
      <c r="GM52" s="792"/>
      <c r="GN52" s="792"/>
      <c r="GO52" s="792"/>
    </row>
    <row r="53" spans="1:197" ht="18.75" x14ac:dyDescent="0.25">
      <c r="A53" s="794"/>
      <c r="B53" s="794"/>
      <c r="C53" s="794"/>
      <c r="D53" s="794"/>
      <c r="E53" s="794"/>
      <c r="F53" s="794"/>
      <c r="G53" s="794"/>
      <c r="H53" s="794"/>
      <c r="I53" s="794"/>
      <c r="J53" s="794"/>
      <c r="K53" s="794"/>
      <c r="L53" s="794"/>
      <c r="M53" s="794"/>
      <c r="N53" s="794"/>
      <c r="O53" s="794"/>
      <c r="P53" s="794"/>
      <c r="Q53" s="794"/>
      <c r="R53" s="794"/>
      <c r="S53" s="794"/>
      <c r="T53" s="794"/>
      <c r="U53" s="794"/>
      <c r="V53" s="794"/>
      <c r="W53" s="794"/>
      <c r="X53" s="794"/>
      <c r="Y53" s="794"/>
      <c r="Z53" s="794"/>
      <c r="AA53" s="794"/>
      <c r="AB53" s="794"/>
      <c r="AC53" s="794"/>
      <c r="AD53" s="794"/>
      <c r="AE53" s="794"/>
      <c r="AF53" s="794"/>
      <c r="AG53" s="794"/>
      <c r="AH53" s="794"/>
      <c r="AI53" s="794"/>
      <c r="AJ53" s="794"/>
      <c r="AK53" s="794"/>
      <c r="AL53" s="794"/>
      <c r="AM53" s="794"/>
      <c r="AN53" s="794"/>
      <c r="AO53" s="794"/>
      <c r="AP53" s="794"/>
      <c r="AQ53" s="794"/>
      <c r="AR53" s="794"/>
      <c r="AS53" s="794"/>
      <c r="AT53" s="794"/>
      <c r="AU53" s="794"/>
      <c r="AV53" s="794"/>
      <c r="AW53" s="794"/>
      <c r="AX53" s="794"/>
      <c r="AY53" s="794"/>
      <c r="AZ53" s="794"/>
      <c r="BA53" s="794"/>
      <c r="BB53" s="794"/>
      <c r="BC53" s="794"/>
      <c r="BD53" s="794"/>
      <c r="BE53" s="794"/>
      <c r="BF53" s="794"/>
      <c r="BG53" s="794"/>
      <c r="BH53" s="794"/>
      <c r="BI53" s="794"/>
      <c r="BJ53" s="794"/>
      <c r="BK53" s="794"/>
      <c r="BL53" s="794"/>
      <c r="BM53" s="794"/>
      <c r="BN53" s="794"/>
      <c r="BO53" s="794"/>
      <c r="BP53" s="794"/>
      <c r="BQ53" s="794"/>
      <c r="BR53" s="794"/>
      <c r="BS53" s="794"/>
      <c r="BT53" s="794"/>
      <c r="BU53" s="794"/>
      <c r="BV53" s="845"/>
      <c r="BW53" s="845"/>
      <c r="BX53" s="845"/>
      <c r="BY53" s="845"/>
      <c r="BZ53" s="794"/>
      <c r="CA53" s="794"/>
      <c r="CB53" s="794"/>
      <c r="CC53" s="794"/>
      <c r="CD53" s="794"/>
      <c r="CE53" s="794"/>
      <c r="CF53" s="794"/>
      <c r="CG53" s="794"/>
      <c r="CH53" s="794"/>
      <c r="CI53" s="794"/>
      <c r="CJ53" s="794"/>
      <c r="CK53" s="794"/>
      <c r="CL53" s="794"/>
      <c r="CM53" s="794"/>
      <c r="CN53" s="794"/>
      <c r="CO53" s="794"/>
      <c r="CP53" s="794"/>
      <c r="CQ53" s="794"/>
      <c r="CR53" s="794"/>
      <c r="CS53" s="794"/>
      <c r="CT53" s="794"/>
      <c r="CU53" s="794"/>
      <c r="CV53" s="794"/>
      <c r="CW53" s="794"/>
      <c r="CX53" s="794"/>
      <c r="CY53" s="794"/>
      <c r="CZ53" s="794"/>
      <c r="DA53" s="794"/>
      <c r="DB53" s="794"/>
      <c r="DC53" s="792"/>
      <c r="DD53" s="792"/>
      <c r="DE53" s="792"/>
      <c r="DF53" s="792"/>
      <c r="DG53" s="792"/>
      <c r="DH53" s="792"/>
      <c r="DI53" s="792"/>
      <c r="DJ53" s="792"/>
      <c r="DK53" s="792"/>
      <c r="DL53" s="792"/>
      <c r="DM53" s="792"/>
      <c r="DN53" s="792"/>
      <c r="DO53" s="792"/>
      <c r="DP53" s="792"/>
      <c r="DQ53" s="792"/>
      <c r="DR53" s="792"/>
      <c r="DS53" s="792"/>
      <c r="DT53" s="792"/>
      <c r="DU53" s="792"/>
      <c r="DV53" s="792"/>
      <c r="DW53" s="792"/>
      <c r="DX53" s="792"/>
      <c r="DY53" s="792"/>
      <c r="DZ53" s="792"/>
      <c r="EA53" s="792"/>
      <c r="EB53" s="792"/>
      <c r="EC53" s="792"/>
      <c r="ED53" s="792"/>
      <c r="EE53" s="792"/>
      <c r="EF53" s="792"/>
      <c r="EG53" s="792"/>
      <c r="EH53" s="792"/>
      <c r="EI53" s="792"/>
      <c r="EJ53" s="792"/>
      <c r="EK53" s="792"/>
      <c r="EL53" s="792"/>
      <c r="EM53" s="792"/>
      <c r="EN53" s="792"/>
      <c r="EO53" s="792"/>
      <c r="EP53" s="792"/>
      <c r="EQ53" s="792"/>
      <c r="ER53" s="792"/>
      <c r="ES53" s="792"/>
      <c r="ET53" s="792"/>
      <c r="EU53" s="792"/>
      <c r="EV53" s="792"/>
      <c r="EW53" s="792"/>
      <c r="EX53" s="792"/>
      <c r="EY53" s="792"/>
      <c r="EZ53" s="792"/>
      <c r="FA53" s="792"/>
      <c r="FB53" s="792"/>
      <c r="FC53" s="792"/>
      <c r="FD53" s="792"/>
      <c r="FE53" s="792"/>
      <c r="FF53" s="792"/>
      <c r="FG53" s="792"/>
      <c r="FH53" s="792"/>
      <c r="FI53" s="792"/>
      <c r="FJ53" s="792"/>
      <c r="FK53" s="792"/>
      <c r="FL53" s="792"/>
      <c r="FM53" s="792"/>
      <c r="FN53" s="792"/>
      <c r="FO53" s="792"/>
      <c r="FP53" s="792"/>
      <c r="FQ53" s="792"/>
      <c r="FR53" s="792"/>
      <c r="FS53" s="792"/>
      <c r="FT53" s="792"/>
      <c r="FU53" s="792"/>
      <c r="FV53" s="792"/>
      <c r="FW53" s="792"/>
      <c r="FX53" s="792"/>
      <c r="FY53" s="792"/>
      <c r="FZ53" s="792"/>
      <c r="GA53" s="792"/>
      <c r="GB53" s="792"/>
      <c r="GC53" s="792"/>
      <c r="GD53" s="792"/>
      <c r="GE53" s="792"/>
      <c r="GF53" s="792"/>
      <c r="GG53" s="792"/>
      <c r="GH53" s="792"/>
      <c r="GI53" s="792"/>
      <c r="GJ53" s="792"/>
      <c r="GK53" s="792"/>
      <c r="GL53" s="792"/>
      <c r="GM53" s="792"/>
      <c r="GN53" s="792"/>
      <c r="GO53" s="792"/>
    </row>
    <row r="54" spans="1:197" ht="18.75" x14ac:dyDescent="0.25">
      <c r="A54" s="794"/>
      <c r="B54" s="794"/>
      <c r="C54" s="794"/>
      <c r="D54" s="794"/>
      <c r="E54" s="794"/>
      <c r="F54" s="794"/>
      <c r="G54" s="794"/>
      <c r="H54" s="794"/>
      <c r="I54" s="794"/>
      <c r="J54" s="794"/>
      <c r="K54" s="794"/>
      <c r="L54" s="792"/>
      <c r="M54" s="792"/>
      <c r="N54" s="794"/>
      <c r="O54" s="794"/>
      <c r="P54" s="794"/>
      <c r="Q54" s="794"/>
      <c r="R54" s="794"/>
      <c r="S54" s="794"/>
      <c r="T54" s="794"/>
      <c r="U54" s="794"/>
      <c r="V54" s="794"/>
      <c r="W54" s="794"/>
      <c r="X54" s="794"/>
      <c r="Y54" s="794"/>
      <c r="Z54" s="794"/>
      <c r="AA54" s="794"/>
      <c r="AB54" s="794"/>
      <c r="AC54" s="794"/>
      <c r="AD54" s="794"/>
      <c r="AE54" s="794"/>
      <c r="AF54" s="794"/>
      <c r="AG54" s="794"/>
      <c r="AH54" s="794"/>
      <c r="AI54" s="794"/>
      <c r="AJ54" s="794"/>
      <c r="AK54" s="794"/>
      <c r="AL54" s="794"/>
      <c r="AM54" s="794"/>
      <c r="AN54" s="794"/>
      <c r="AO54" s="794"/>
      <c r="AP54" s="794"/>
      <c r="AQ54" s="794"/>
      <c r="AR54" s="794"/>
      <c r="AS54" s="794"/>
      <c r="AT54" s="794"/>
      <c r="AU54" s="794"/>
      <c r="AV54" s="794"/>
      <c r="AW54" s="794"/>
      <c r="AX54" s="794"/>
      <c r="AY54" s="794"/>
      <c r="AZ54" s="794"/>
      <c r="BA54" s="794"/>
      <c r="BB54" s="794"/>
      <c r="BC54" s="794"/>
      <c r="BD54" s="794"/>
      <c r="BE54" s="794"/>
      <c r="BF54" s="794"/>
      <c r="BG54" s="794"/>
      <c r="BH54" s="794"/>
      <c r="BI54" s="794"/>
      <c r="BJ54" s="794"/>
      <c r="BK54" s="794"/>
      <c r="BL54" s="794"/>
      <c r="BM54" s="794"/>
      <c r="BN54" s="794"/>
      <c r="BO54" s="794"/>
      <c r="BP54" s="794"/>
      <c r="BQ54" s="794"/>
      <c r="BR54" s="794"/>
      <c r="BS54" s="794"/>
      <c r="BT54" s="794"/>
      <c r="BU54" s="794"/>
      <c r="BV54" s="845"/>
      <c r="BW54" s="845"/>
      <c r="BX54" s="845"/>
      <c r="BY54" s="845"/>
      <c r="BZ54" s="794"/>
      <c r="CA54" s="794"/>
      <c r="CB54" s="794"/>
      <c r="CC54" s="794"/>
      <c r="CD54" s="794"/>
      <c r="CE54" s="794"/>
      <c r="CF54" s="794"/>
      <c r="CG54" s="794"/>
      <c r="CH54" s="794"/>
      <c r="CI54" s="794"/>
      <c r="CJ54" s="794"/>
      <c r="CK54" s="794"/>
      <c r="CL54" s="794"/>
      <c r="CM54" s="794"/>
      <c r="CN54" s="794"/>
      <c r="CO54" s="794"/>
      <c r="CP54" s="794"/>
      <c r="CQ54" s="794"/>
      <c r="CR54" s="794"/>
      <c r="CS54" s="794"/>
      <c r="CT54" s="794"/>
      <c r="CU54" s="794"/>
      <c r="CV54" s="794"/>
      <c r="CW54" s="794"/>
      <c r="CX54" s="794"/>
      <c r="CY54" s="794"/>
      <c r="CZ54" s="794"/>
      <c r="DA54" s="794"/>
      <c r="DB54" s="794"/>
      <c r="DC54" s="792"/>
      <c r="DD54" s="792"/>
      <c r="DE54" s="792"/>
      <c r="DF54" s="792"/>
      <c r="DG54" s="792"/>
      <c r="DH54" s="792"/>
      <c r="DI54" s="792"/>
      <c r="DJ54" s="792"/>
      <c r="DK54" s="792"/>
      <c r="DL54" s="792"/>
      <c r="DM54" s="792"/>
      <c r="DN54" s="792"/>
      <c r="DO54" s="792"/>
      <c r="DP54" s="792"/>
      <c r="DQ54" s="792"/>
      <c r="DR54" s="792"/>
      <c r="DS54" s="792"/>
      <c r="DT54" s="792"/>
      <c r="DU54" s="792"/>
      <c r="DV54" s="792"/>
      <c r="DW54" s="792"/>
      <c r="DX54" s="792"/>
      <c r="DY54" s="792"/>
      <c r="DZ54" s="792"/>
      <c r="EA54" s="792"/>
      <c r="EB54" s="792"/>
      <c r="EC54" s="792"/>
      <c r="ED54" s="792"/>
      <c r="EE54" s="792"/>
      <c r="EF54" s="792"/>
      <c r="EG54" s="792"/>
      <c r="EH54" s="792"/>
      <c r="EI54" s="792"/>
      <c r="EJ54" s="792"/>
      <c r="EK54" s="792"/>
      <c r="EL54" s="792"/>
      <c r="EM54" s="792"/>
      <c r="EN54" s="792"/>
      <c r="EO54" s="792"/>
      <c r="EP54" s="792"/>
      <c r="EQ54" s="792"/>
      <c r="ER54" s="792"/>
      <c r="ES54" s="792"/>
      <c r="ET54" s="792"/>
      <c r="EU54" s="792"/>
      <c r="EV54" s="792"/>
      <c r="EW54" s="792"/>
      <c r="EX54" s="792"/>
      <c r="EY54" s="792"/>
      <c r="EZ54" s="792"/>
      <c r="FA54" s="792"/>
      <c r="FB54" s="792"/>
      <c r="FC54" s="792"/>
      <c r="FD54" s="792"/>
      <c r="FE54" s="792"/>
      <c r="FF54" s="792"/>
      <c r="FG54" s="792"/>
      <c r="FH54" s="792"/>
      <c r="FI54" s="792"/>
      <c r="FJ54" s="792"/>
      <c r="FK54" s="792"/>
      <c r="FL54" s="792"/>
      <c r="FM54" s="792"/>
      <c r="FN54" s="792"/>
      <c r="FO54" s="792"/>
      <c r="FP54" s="792"/>
      <c r="FQ54" s="792"/>
      <c r="FR54" s="792"/>
      <c r="FS54" s="792"/>
      <c r="FT54" s="792"/>
      <c r="FU54" s="792"/>
      <c r="FV54" s="792"/>
      <c r="FW54" s="792"/>
      <c r="FX54" s="792"/>
      <c r="FY54" s="792"/>
      <c r="FZ54" s="792"/>
      <c r="GA54" s="792"/>
      <c r="GB54" s="792"/>
      <c r="GC54" s="792"/>
      <c r="GD54" s="792"/>
      <c r="GE54" s="792"/>
      <c r="GF54" s="792"/>
      <c r="GG54" s="792"/>
      <c r="GH54" s="792"/>
      <c r="GI54" s="792"/>
      <c r="GJ54" s="792"/>
      <c r="GK54" s="792"/>
      <c r="GL54" s="792"/>
      <c r="GM54" s="792"/>
      <c r="GN54" s="792"/>
      <c r="GO54" s="792"/>
    </row>
    <row r="55" spans="1:197" ht="18.75" x14ac:dyDescent="0.25">
      <c r="A55" s="794"/>
      <c r="B55" s="794"/>
      <c r="C55" s="794"/>
      <c r="D55" s="794"/>
      <c r="E55" s="794"/>
      <c r="F55" s="794"/>
      <c r="G55" s="794"/>
      <c r="H55" s="794"/>
      <c r="I55" s="794"/>
      <c r="J55" s="794"/>
      <c r="K55" s="794"/>
      <c r="L55" s="794"/>
      <c r="M55" s="792"/>
      <c r="N55" s="794"/>
      <c r="O55" s="794"/>
      <c r="P55" s="794"/>
      <c r="Q55" s="794"/>
      <c r="R55" s="794"/>
      <c r="S55" s="794"/>
      <c r="T55" s="794"/>
      <c r="U55" s="794"/>
      <c r="V55" s="794"/>
      <c r="W55" s="794"/>
      <c r="X55" s="794"/>
      <c r="Y55" s="794"/>
      <c r="Z55" s="794"/>
      <c r="AA55" s="794"/>
      <c r="AB55" s="794"/>
      <c r="AC55" s="794"/>
      <c r="AD55" s="794"/>
      <c r="AE55" s="794"/>
      <c r="AF55" s="794"/>
      <c r="AG55" s="794"/>
      <c r="AH55" s="794"/>
      <c r="AI55" s="794"/>
      <c r="AJ55" s="794"/>
      <c r="AK55" s="794"/>
      <c r="AL55" s="794"/>
      <c r="AM55" s="794"/>
      <c r="AN55" s="794"/>
      <c r="AO55" s="794"/>
      <c r="AP55" s="794"/>
      <c r="AQ55" s="794"/>
      <c r="AR55" s="794"/>
      <c r="AS55" s="794"/>
      <c r="AT55" s="794"/>
      <c r="AU55" s="794"/>
      <c r="AV55" s="794"/>
      <c r="AW55" s="794"/>
      <c r="AX55" s="794"/>
      <c r="AY55" s="794"/>
      <c r="AZ55" s="794"/>
      <c r="BA55" s="794"/>
      <c r="BB55" s="794"/>
      <c r="BC55" s="794"/>
      <c r="BD55" s="794"/>
      <c r="BE55" s="794"/>
      <c r="BF55" s="794"/>
      <c r="BG55" s="794"/>
      <c r="BH55" s="794"/>
      <c r="BI55" s="794"/>
      <c r="BJ55" s="794"/>
      <c r="BK55" s="794"/>
      <c r="BL55" s="794"/>
      <c r="BM55" s="794"/>
      <c r="BN55" s="794"/>
      <c r="BO55" s="794"/>
      <c r="BP55" s="794"/>
      <c r="BQ55" s="794"/>
      <c r="BR55" s="794"/>
      <c r="BS55" s="794"/>
      <c r="BT55" s="794"/>
      <c r="BU55" s="794"/>
      <c r="BV55" s="845"/>
      <c r="BW55" s="845"/>
      <c r="BX55" s="845"/>
      <c r="BY55" s="845"/>
      <c r="BZ55" s="794"/>
      <c r="CA55" s="794"/>
      <c r="CB55" s="794"/>
      <c r="CC55" s="794"/>
      <c r="CD55" s="794"/>
      <c r="CE55" s="794"/>
      <c r="CF55" s="794"/>
      <c r="CG55" s="794"/>
      <c r="CH55" s="794"/>
      <c r="CI55" s="794"/>
      <c r="CJ55" s="794"/>
      <c r="CK55" s="794"/>
      <c r="CL55" s="794"/>
      <c r="CM55" s="794"/>
      <c r="CN55" s="794"/>
      <c r="CO55" s="794"/>
      <c r="CP55" s="794"/>
      <c r="CQ55" s="794"/>
      <c r="CR55" s="794"/>
      <c r="CS55" s="794"/>
      <c r="CT55" s="794"/>
      <c r="CU55" s="794"/>
      <c r="CV55" s="794"/>
      <c r="CW55" s="794"/>
      <c r="CX55" s="794"/>
      <c r="CY55" s="794"/>
      <c r="CZ55" s="794"/>
      <c r="DA55" s="794"/>
      <c r="DB55" s="794"/>
      <c r="DC55" s="792"/>
      <c r="DD55" s="792"/>
      <c r="DE55" s="792"/>
      <c r="DF55" s="792"/>
      <c r="DG55" s="792"/>
      <c r="DH55" s="792"/>
      <c r="DI55" s="792"/>
      <c r="DJ55" s="792"/>
      <c r="DK55" s="792"/>
      <c r="DL55" s="792"/>
      <c r="DM55" s="792"/>
      <c r="DN55" s="792"/>
      <c r="DO55" s="792"/>
      <c r="DP55" s="792"/>
      <c r="DQ55" s="792"/>
      <c r="DR55" s="792"/>
      <c r="DS55" s="792"/>
      <c r="DT55" s="792"/>
      <c r="DU55" s="792"/>
      <c r="DV55" s="792"/>
      <c r="DW55" s="792"/>
      <c r="DX55" s="792"/>
      <c r="DY55" s="792"/>
      <c r="DZ55" s="792"/>
      <c r="EA55" s="792"/>
      <c r="EB55" s="792"/>
      <c r="EC55" s="792"/>
      <c r="ED55" s="792"/>
      <c r="EE55" s="792"/>
      <c r="EF55" s="792"/>
      <c r="EG55" s="792"/>
      <c r="EH55" s="792"/>
      <c r="EI55" s="792"/>
      <c r="EJ55" s="792"/>
      <c r="EK55" s="792"/>
      <c r="EL55" s="792"/>
      <c r="EM55" s="792"/>
      <c r="EN55" s="792"/>
      <c r="EO55" s="792"/>
      <c r="EP55" s="792"/>
      <c r="EQ55" s="792"/>
      <c r="ER55" s="792"/>
      <c r="ES55" s="792"/>
      <c r="ET55" s="792"/>
      <c r="EU55" s="792"/>
      <c r="EV55" s="792"/>
      <c r="EW55" s="792"/>
      <c r="EX55" s="792"/>
      <c r="EY55" s="792"/>
      <c r="EZ55" s="792"/>
      <c r="FA55" s="792"/>
      <c r="FB55" s="792"/>
      <c r="FC55" s="792"/>
      <c r="FD55" s="792"/>
      <c r="FE55" s="792"/>
      <c r="FF55" s="792"/>
      <c r="FG55" s="792"/>
      <c r="FH55" s="792"/>
      <c r="FI55" s="792"/>
      <c r="FJ55" s="792"/>
      <c r="FK55" s="792"/>
      <c r="FL55" s="792"/>
      <c r="FM55" s="792"/>
      <c r="FN55" s="792"/>
      <c r="FO55" s="792"/>
      <c r="FP55" s="792"/>
      <c r="FQ55" s="792"/>
      <c r="FR55" s="792"/>
      <c r="FS55" s="792"/>
      <c r="FT55" s="792"/>
      <c r="FU55" s="792"/>
      <c r="FV55" s="792"/>
      <c r="FW55" s="792"/>
      <c r="FX55" s="792"/>
      <c r="FY55" s="792"/>
      <c r="FZ55" s="792"/>
      <c r="GA55" s="792"/>
      <c r="GB55" s="792"/>
      <c r="GC55" s="792"/>
      <c r="GD55" s="792"/>
      <c r="GE55" s="792"/>
      <c r="GF55" s="792"/>
      <c r="GG55" s="792"/>
      <c r="GH55" s="792"/>
      <c r="GI55" s="792"/>
      <c r="GJ55" s="792"/>
      <c r="GK55" s="792"/>
      <c r="GL55" s="792"/>
      <c r="GM55" s="792"/>
      <c r="GN55" s="792"/>
      <c r="GO55" s="792"/>
    </row>
    <row r="56" spans="1:197" ht="15" x14ac:dyDescent="0.25">
      <c r="A56" s="792"/>
      <c r="B56" s="792"/>
      <c r="C56" s="792"/>
      <c r="D56" s="792"/>
      <c r="E56" s="792"/>
      <c r="F56" s="792"/>
      <c r="G56" s="792"/>
      <c r="H56" s="792"/>
      <c r="I56" s="792"/>
      <c r="J56" s="792"/>
      <c r="K56" s="792"/>
      <c r="L56" s="792"/>
      <c r="M56" s="792"/>
      <c r="N56" s="792"/>
      <c r="O56" s="792"/>
      <c r="P56" s="792"/>
      <c r="Q56" s="792"/>
      <c r="R56" s="792"/>
      <c r="S56" s="792"/>
      <c r="T56" s="792"/>
      <c r="U56" s="792"/>
      <c r="V56" s="792"/>
      <c r="W56" s="792"/>
      <c r="X56" s="792"/>
      <c r="Y56" s="792"/>
      <c r="Z56" s="792"/>
      <c r="AA56" s="792"/>
      <c r="AB56" s="792"/>
      <c r="AC56" s="792"/>
      <c r="AD56" s="792"/>
      <c r="AE56" s="792"/>
      <c r="AF56" s="792"/>
      <c r="AG56" s="792"/>
      <c r="AH56" s="792"/>
      <c r="AI56" s="792"/>
      <c r="AJ56" s="792"/>
      <c r="AK56" s="792"/>
      <c r="AL56" s="792"/>
      <c r="AM56" s="792"/>
      <c r="AN56" s="792"/>
      <c r="AO56" s="792"/>
      <c r="AP56" s="792"/>
      <c r="AQ56" s="792"/>
      <c r="AR56" s="792"/>
      <c r="AS56" s="792"/>
      <c r="AT56" s="792"/>
      <c r="AU56" s="792"/>
      <c r="AV56" s="792"/>
      <c r="AW56" s="792"/>
      <c r="AX56" s="792"/>
      <c r="AY56" s="792"/>
      <c r="AZ56" s="792"/>
      <c r="BA56" s="792"/>
      <c r="BB56" s="792"/>
      <c r="BC56" s="792"/>
      <c r="BD56" s="792"/>
      <c r="BE56" s="792"/>
      <c r="BF56" s="792"/>
      <c r="BG56" s="792"/>
      <c r="BH56" s="792"/>
      <c r="BI56" s="792"/>
      <c r="BJ56" s="792"/>
      <c r="BK56" s="792"/>
      <c r="BL56" s="792"/>
      <c r="BM56" s="792"/>
      <c r="BN56" s="792"/>
      <c r="BO56" s="792"/>
      <c r="BP56" s="792"/>
      <c r="BQ56" s="792"/>
      <c r="BR56" s="792"/>
      <c r="BS56" s="792"/>
      <c r="BT56" s="792"/>
      <c r="BU56" s="792"/>
      <c r="BV56" s="792"/>
      <c r="BW56" s="792"/>
      <c r="BX56" s="792"/>
      <c r="BY56" s="792"/>
      <c r="BZ56" s="792"/>
      <c r="CA56" s="792"/>
      <c r="CB56" s="792"/>
      <c r="CC56" s="792"/>
      <c r="CD56" s="792"/>
      <c r="CE56" s="792"/>
      <c r="CF56" s="792"/>
      <c r="CG56" s="792"/>
      <c r="CH56" s="792"/>
      <c r="CI56" s="792"/>
      <c r="CJ56" s="792"/>
      <c r="CK56" s="792"/>
      <c r="CL56" s="792"/>
      <c r="CM56" s="792"/>
      <c r="CN56" s="792"/>
      <c r="CO56" s="792"/>
      <c r="CP56" s="792"/>
      <c r="CQ56" s="792"/>
      <c r="CR56" s="792"/>
      <c r="CS56" s="792"/>
      <c r="CT56" s="792"/>
      <c r="CU56" s="792"/>
      <c r="CV56" s="792"/>
      <c r="CW56" s="792"/>
      <c r="CX56" s="792"/>
      <c r="CY56" s="792"/>
      <c r="CZ56" s="792"/>
      <c r="DA56" s="792"/>
      <c r="DB56" s="792"/>
      <c r="DC56" s="792"/>
      <c r="DD56" s="792"/>
      <c r="DE56" s="792"/>
      <c r="DF56" s="792"/>
      <c r="DG56" s="792"/>
      <c r="DH56" s="792"/>
      <c r="DI56" s="792"/>
      <c r="DJ56" s="792"/>
      <c r="DK56" s="792"/>
      <c r="DL56" s="792"/>
      <c r="DM56" s="792"/>
      <c r="DN56" s="792"/>
      <c r="DO56" s="792"/>
      <c r="DP56" s="792"/>
      <c r="DQ56" s="792"/>
      <c r="DR56" s="792"/>
      <c r="DS56" s="792"/>
      <c r="DT56" s="792"/>
      <c r="DU56" s="792"/>
      <c r="DV56" s="792"/>
      <c r="DW56" s="792"/>
      <c r="DX56" s="792"/>
      <c r="DY56" s="792"/>
      <c r="DZ56" s="792"/>
      <c r="EA56" s="792"/>
      <c r="EB56" s="792"/>
      <c r="EC56" s="792"/>
      <c r="ED56" s="792"/>
      <c r="EE56" s="792"/>
      <c r="EF56" s="792"/>
      <c r="EG56" s="792"/>
      <c r="EH56" s="792"/>
      <c r="EI56" s="792"/>
      <c r="EJ56" s="792"/>
      <c r="EK56" s="792"/>
      <c r="EL56" s="792"/>
      <c r="EM56" s="792"/>
      <c r="EN56" s="792"/>
      <c r="EO56" s="792"/>
      <c r="EP56" s="792"/>
      <c r="EQ56" s="792"/>
      <c r="ER56" s="792"/>
      <c r="ES56" s="792"/>
      <c r="ET56" s="792"/>
      <c r="EU56" s="792"/>
      <c r="EV56" s="792"/>
      <c r="EW56" s="792"/>
      <c r="EX56" s="792"/>
      <c r="EY56" s="792"/>
      <c r="EZ56" s="792"/>
      <c r="FA56" s="792"/>
      <c r="FB56" s="792"/>
      <c r="FC56" s="792"/>
      <c r="FD56" s="792"/>
      <c r="FE56" s="792"/>
      <c r="FF56" s="792"/>
      <c r="FG56" s="792"/>
      <c r="FH56" s="792"/>
      <c r="FI56" s="792"/>
      <c r="FJ56" s="792"/>
      <c r="FK56" s="792"/>
      <c r="FL56" s="792"/>
      <c r="FM56" s="792"/>
      <c r="FN56" s="792"/>
      <c r="FO56" s="792"/>
      <c r="FP56" s="792"/>
      <c r="FQ56" s="792"/>
      <c r="FR56" s="792"/>
      <c r="FS56" s="792"/>
      <c r="FT56" s="792"/>
      <c r="FU56" s="792"/>
      <c r="FV56" s="792"/>
      <c r="FW56" s="792"/>
      <c r="FX56" s="792"/>
      <c r="FY56" s="792"/>
      <c r="FZ56" s="792"/>
      <c r="GA56" s="792"/>
      <c r="GB56" s="792"/>
      <c r="GC56" s="792"/>
      <c r="GD56" s="792"/>
      <c r="GE56" s="792"/>
      <c r="GF56" s="792"/>
      <c r="GG56" s="792"/>
      <c r="GH56" s="792"/>
      <c r="GI56" s="792"/>
      <c r="GJ56" s="792"/>
      <c r="GK56" s="792"/>
      <c r="GL56" s="792"/>
      <c r="GM56" s="792"/>
      <c r="GN56" s="792"/>
      <c r="GO56" s="792"/>
    </row>
    <row r="57" spans="1:197" ht="15" x14ac:dyDescent="0.25">
      <c r="A57" s="792"/>
      <c r="B57" s="792"/>
      <c r="C57" s="792"/>
      <c r="D57" s="792"/>
      <c r="E57" s="792"/>
      <c r="F57" s="792"/>
      <c r="G57" s="792"/>
      <c r="H57" s="792"/>
      <c r="I57" s="792"/>
      <c r="J57" s="792"/>
      <c r="K57" s="792"/>
      <c r="L57" s="792"/>
      <c r="M57" s="792"/>
      <c r="N57" s="792"/>
      <c r="O57" s="792"/>
      <c r="P57" s="792"/>
      <c r="Q57" s="792"/>
      <c r="R57" s="792"/>
      <c r="S57" s="792"/>
      <c r="T57" s="792"/>
      <c r="U57" s="792"/>
      <c r="V57" s="792"/>
      <c r="W57" s="792"/>
      <c r="X57" s="792"/>
      <c r="Y57" s="792"/>
      <c r="Z57" s="792"/>
      <c r="AA57" s="792"/>
      <c r="AB57" s="792"/>
      <c r="AC57" s="792"/>
      <c r="AD57" s="792"/>
      <c r="AE57" s="792"/>
      <c r="AF57" s="792"/>
      <c r="AG57" s="792"/>
      <c r="AH57" s="792"/>
      <c r="AI57" s="792"/>
      <c r="AJ57" s="792"/>
      <c r="AK57" s="792"/>
      <c r="AL57" s="792"/>
      <c r="AM57" s="792"/>
      <c r="AN57" s="792"/>
      <c r="AO57" s="792"/>
      <c r="AP57" s="792"/>
      <c r="AQ57" s="792"/>
      <c r="AR57" s="792"/>
      <c r="AS57" s="792"/>
      <c r="AT57" s="792"/>
      <c r="AU57" s="792"/>
      <c r="AV57" s="792"/>
      <c r="AW57" s="792"/>
      <c r="AX57" s="792"/>
      <c r="AY57" s="792"/>
      <c r="AZ57" s="792"/>
      <c r="BA57" s="792"/>
      <c r="BB57" s="792"/>
      <c r="BC57" s="792"/>
      <c r="BD57" s="792"/>
      <c r="BE57" s="792"/>
      <c r="BF57" s="792"/>
      <c r="BG57" s="792"/>
      <c r="BH57" s="792"/>
      <c r="BI57" s="792"/>
      <c r="BJ57" s="792"/>
      <c r="BK57" s="792"/>
      <c r="BL57" s="792"/>
      <c r="BM57" s="792"/>
      <c r="BN57" s="792"/>
      <c r="BO57" s="792"/>
      <c r="BP57" s="792"/>
      <c r="BQ57" s="792"/>
      <c r="BR57" s="792"/>
      <c r="BS57" s="792"/>
      <c r="BT57" s="792"/>
      <c r="BU57" s="792"/>
      <c r="BV57" s="792"/>
      <c r="BW57" s="792"/>
      <c r="BX57" s="792"/>
      <c r="BY57" s="792"/>
      <c r="BZ57" s="792"/>
      <c r="CA57" s="792"/>
      <c r="CB57" s="792"/>
      <c r="CC57" s="792"/>
      <c r="CD57" s="792"/>
      <c r="CE57" s="792"/>
      <c r="CF57" s="792"/>
      <c r="CG57" s="792"/>
      <c r="CH57" s="792"/>
      <c r="CI57" s="792"/>
      <c r="CJ57" s="792"/>
      <c r="CK57" s="792"/>
      <c r="CL57" s="792"/>
      <c r="CM57" s="792"/>
      <c r="CN57" s="792"/>
      <c r="CO57" s="792"/>
      <c r="CP57" s="792"/>
      <c r="CQ57" s="792"/>
      <c r="CR57" s="792"/>
      <c r="CS57" s="792"/>
      <c r="CT57" s="792"/>
      <c r="CU57" s="792"/>
      <c r="CV57" s="792"/>
      <c r="CW57" s="792"/>
      <c r="CX57" s="792"/>
      <c r="CY57" s="792"/>
      <c r="CZ57" s="792"/>
      <c r="DA57" s="792"/>
      <c r="DB57" s="792"/>
      <c r="DC57" s="792"/>
      <c r="DD57" s="792"/>
      <c r="DE57" s="792"/>
      <c r="DF57" s="792"/>
      <c r="DG57" s="792"/>
      <c r="DH57" s="792"/>
      <c r="DI57" s="792"/>
      <c r="DJ57" s="792"/>
      <c r="DK57" s="792"/>
      <c r="DL57" s="792"/>
      <c r="DM57" s="792"/>
      <c r="DN57" s="792"/>
      <c r="DO57" s="792"/>
      <c r="DP57" s="792"/>
      <c r="DQ57" s="792"/>
      <c r="DR57" s="792"/>
      <c r="DS57" s="792"/>
      <c r="DT57" s="792"/>
      <c r="DU57" s="792"/>
      <c r="DV57" s="792"/>
      <c r="DW57" s="792"/>
      <c r="DX57" s="792"/>
      <c r="DY57" s="792"/>
      <c r="DZ57" s="792"/>
      <c r="EA57" s="792"/>
      <c r="EB57" s="792"/>
      <c r="EC57" s="792"/>
      <c r="ED57" s="792"/>
      <c r="EE57" s="792"/>
      <c r="EF57" s="792"/>
      <c r="EG57" s="792"/>
      <c r="EH57" s="792"/>
      <c r="EI57" s="792"/>
      <c r="EJ57" s="792"/>
      <c r="EK57" s="792"/>
      <c r="EL57" s="792"/>
      <c r="EM57" s="792"/>
      <c r="EN57" s="792"/>
      <c r="EO57" s="792"/>
      <c r="EP57" s="792"/>
      <c r="EQ57" s="792"/>
      <c r="ER57" s="792"/>
      <c r="ES57" s="792"/>
      <c r="ET57" s="792"/>
      <c r="EU57" s="792"/>
      <c r="EV57" s="792"/>
      <c r="EW57" s="792"/>
      <c r="EX57" s="792"/>
      <c r="EY57" s="792"/>
      <c r="EZ57" s="792"/>
      <c r="FA57" s="792"/>
      <c r="FB57" s="792"/>
      <c r="FC57" s="792"/>
      <c r="FD57" s="792"/>
      <c r="FE57" s="792"/>
      <c r="FF57" s="792"/>
      <c r="FG57" s="792"/>
      <c r="FH57" s="792"/>
      <c r="FI57" s="792"/>
      <c r="FJ57" s="792"/>
      <c r="FK57" s="792"/>
      <c r="FL57" s="792"/>
      <c r="FM57" s="792"/>
      <c r="FN57" s="792"/>
      <c r="FO57" s="792"/>
      <c r="FP57" s="792"/>
      <c r="FQ57" s="792"/>
      <c r="FR57" s="792"/>
      <c r="FS57" s="792"/>
      <c r="FT57" s="792"/>
      <c r="FU57" s="792"/>
      <c r="FV57" s="792"/>
      <c r="FW57" s="792"/>
      <c r="FX57" s="792"/>
      <c r="FY57" s="792"/>
      <c r="FZ57" s="792"/>
      <c r="GA57" s="792"/>
      <c r="GB57" s="792"/>
      <c r="GC57" s="792"/>
      <c r="GD57" s="792"/>
      <c r="GE57" s="792"/>
      <c r="GF57" s="792"/>
      <c r="GG57" s="792"/>
      <c r="GH57" s="792"/>
      <c r="GI57" s="792"/>
      <c r="GJ57" s="792"/>
      <c r="GK57" s="792"/>
      <c r="GL57" s="792"/>
      <c r="GM57" s="792"/>
      <c r="GN57" s="792"/>
      <c r="GO57" s="792"/>
    </row>
    <row r="58" spans="1:197" ht="15" x14ac:dyDescent="0.25">
      <c r="A58" s="792"/>
      <c r="B58" s="792"/>
      <c r="C58" s="792"/>
      <c r="D58" s="792"/>
      <c r="E58" s="792"/>
      <c r="F58" s="792"/>
      <c r="G58" s="792"/>
      <c r="H58" s="792"/>
      <c r="I58" s="792"/>
      <c r="J58" s="792"/>
      <c r="K58" s="792"/>
      <c r="L58" s="792"/>
      <c r="M58" s="792"/>
      <c r="N58" s="792"/>
      <c r="O58" s="792"/>
      <c r="P58" s="792"/>
      <c r="Q58" s="792"/>
      <c r="R58" s="792"/>
      <c r="S58" s="792"/>
      <c r="T58" s="792"/>
      <c r="U58" s="792"/>
      <c r="V58" s="792"/>
      <c r="W58" s="792"/>
      <c r="X58" s="792"/>
      <c r="Y58" s="792"/>
      <c r="Z58" s="792"/>
      <c r="AA58" s="792"/>
      <c r="AB58" s="792"/>
      <c r="AC58" s="792"/>
      <c r="AD58" s="792"/>
      <c r="AE58" s="792"/>
      <c r="AF58" s="792"/>
      <c r="AG58" s="792"/>
      <c r="AH58" s="792"/>
      <c r="AI58" s="792"/>
      <c r="AJ58" s="792"/>
      <c r="AK58" s="792"/>
      <c r="AL58" s="792"/>
      <c r="AM58" s="792"/>
      <c r="AN58" s="792"/>
      <c r="AO58" s="792"/>
      <c r="AP58" s="792"/>
      <c r="AQ58" s="792"/>
      <c r="AR58" s="792"/>
      <c r="AS58" s="792"/>
      <c r="AT58" s="792"/>
      <c r="AU58" s="792"/>
      <c r="AV58" s="792"/>
      <c r="AW58" s="792"/>
      <c r="AX58" s="792"/>
      <c r="AY58" s="792"/>
      <c r="AZ58" s="792"/>
      <c r="BA58" s="792"/>
      <c r="BB58" s="792"/>
      <c r="BC58" s="792"/>
      <c r="BD58" s="792"/>
      <c r="BE58" s="792"/>
      <c r="BF58" s="792"/>
      <c r="BG58" s="792"/>
      <c r="BH58" s="792"/>
      <c r="BI58" s="792"/>
      <c r="BJ58" s="792"/>
      <c r="BK58" s="792"/>
      <c r="BL58" s="792"/>
      <c r="BM58" s="792"/>
      <c r="BN58" s="792"/>
      <c r="BO58" s="792"/>
      <c r="BP58" s="792"/>
      <c r="BQ58" s="792"/>
      <c r="BR58" s="792"/>
      <c r="BS58" s="792"/>
      <c r="BT58" s="792"/>
      <c r="BU58" s="792"/>
      <c r="BV58" s="792"/>
      <c r="BW58" s="792"/>
      <c r="BX58" s="792"/>
      <c r="BY58" s="792"/>
      <c r="BZ58" s="792"/>
      <c r="CA58" s="792"/>
      <c r="CB58" s="792"/>
      <c r="CC58" s="792"/>
      <c r="CD58" s="792"/>
      <c r="CE58" s="792"/>
      <c r="CF58" s="792"/>
      <c r="CG58" s="792"/>
      <c r="CH58" s="792"/>
      <c r="CI58" s="792"/>
      <c r="CJ58" s="792"/>
      <c r="CK58" s="792"/>
      <c r="CL58" s="792"/>
      <c r="CM58" s="792"/>
      <c r="CN58" s="792"/>
      <c r="CO58" s="792"/>
      <c r="CP58" s="792"/>
      <c r="CQ58" s="792"/>
      <c r="CR58" s="792"/>
      <c r="CS58" s="792"/>
      <c r="CT58" s="792"/>
      <c r="CU58" s="792"/>
      <c r="CV58" s="792"/>
      <c r="CW58" s="792"/>
      <c r="CX58" s="792"/>
      <c r="CY58" s="792"/>
      <c r="CZ58" s="792"/>
      <c r="DA58" s="792"/>
      <c r="DB58" s="792"/>
      <c r="DC58" s="792"/>
      <c r="DD58" s="792"/>
      <c r="DE58" s="792"/>
      <c r="DF58" s="792"/>
      <c r="DG58" s="792"/>
      <c r="DH58" s="792"/>
      <c r="DI58" s="792"/>
      <c r="DJ58" s="792"/>
      <c r="DK58" s="792"/>
      <c r="DL58" s="792"/>
      <c r="DM58" s="792"/>
      <c r="DN58" s="792"/>
      <c r="DO58" s="792"/>
      <c r="DP58" s="792"/>
      <c r="DQ58" s="792"/>
      <c r="DR58" s="792"/>
      <c r="DS58" s="792"/>
      <c r="DT58" s="792"/>
      <c r="DU58" s="792"/>
      <c r="DV58" s="792"/>
      <c r="DW58" s="792"/>
      <c r="DX58" s="792"/>
      <c r="DY58" s="792"/>
      <c r="DZ58" s="792"/>
      <c r="EA58" s="792"/>
      <c r="EB58" s="792"/>
      <c r="EC58" s="792"/>
      <c r="ED58" s="792"/>
      <c r="EE58" s="792"/>
      <c r="EF58" s="792"/>
      <c r="EG58" s="792"/>
      <c r="EH58" s="792"/>
      <c r="EI58" s="792"/>
      <c r="EJ58" s="792"/>
      <c r="EK58" s="792"/>
      <c r="EL58" s="792"/>
      <c r="EM58" s="792"/>
      <c r="EN58" s="792"/>
      <c r="EO58" s="792"/>
      <c r="EP58" s="792"/>
      <c r="EQ58" s="792"/>
      <c r="ER58" s="792"/>
      <c r="ES58" s="792"/>
      <c r="ET58" s="792"/>
      <c r="EU58" s="792"/>
      <c r="EV58" s="792"/>
      <c r="EW58" s="792"/>
      <c r="EX58" s="792"/>
      <c r="EY58" s="792"/>
      <c r="EZ58" s="792"/>
      <c r="FA58" s="792"/>
      <c r="FB58" s="792"/>
      <c r="FC58" s="792"/>
      <c r="FD58" s="792"/>
      <c r="FE58" s="792"/>
      <c r="FF58" s="792"/>
      <c r="FG58" s="792"/>
      <c r="FH58" s="792"/>
      <c r="FI58" s="792"/>
      <c r="FJ58" s="792"/>
      <c r="FK58" s="792"/>
      <c r="FL58" s="792"/>
      <c r="FM58" s="792"/>
      <c r="FN58" s="792"/>
      <c r="FO58" s="792"/>
      <c r="FP58" s="792"/>
      <c r="FQ58" s="792"/>
      <c r="FR58" s="792"/>
      <c r="FS58" s="792"/>
      <c r="FT58" s="792"/>
      <c r="FU58" s="792"/>
      <c r="FV58" s="792"/>
      <c r="FW58" s="792"/>
      <c r="FX58" s="792"/>
      <c r="FY58" s="792"/>
      <c r="FZ58" s="792"/>
      <c r="GA58" s="792"/>
      <c r="GB58" s="792"/>
      <c r="GC58" s="792"/>
      <c r="GD58" s="792"/>
      <c r="GE58" s="792"/>
      <c r="GF58" s="792"/>
      <c r="GG58" s="792"/>
      <c r="GH58" s="792"/>
      <c r="GI58" s="792"/>
      <c r="GJ58" s="792"/>
      <c r="GK58" s="792"/>
      <c r="GL58" s="792"/>
      <c r="GM58" s="792"/>
      <c r="GN58" s="792"/>
      <c r="GO58" s="792"/>
    </row>
    <row r="59" spans="1:197" ht="15" x14ac:dyDescent="0.25">
      <c r="A59" s="792"/>
      <c r="B59" s="792"/>
      <c r="C59" s="792"/>
      <c r="D59" s="792"/>
      <c r="E59" s="792"/>
      <c r="F59" s="792"/>
      <c r="G59" s="792"/>
      <c r="H59" s="792"/>
      <c r="I59" s="792"/>
      <c r="J59" s="792"/>
      <c r="K59" s="792"/>
      <c r="L59" s="792"/>
      <c r="M59" s="792"/>
      <c r="N59" s="792"/>
      <c r="O59" s="792"/>
      <c r="P59" s="792"/>
      <c r="Q59" s="792"/>
      <c r="R59" s="792"/>
      <c r="S59" s="792"/>
      <c r="T59" s="792"/>
      <c r="U59" s="792"/>
      <c r="V59" s="792"/>
      <c r="W59" s="792"/>
      <c r="X59" s="792"/>
      <c r="Y59" s="792"/>
      <c r="Z59" s="792"/>
      <c r="AA59" s="792"/>
      <c r="AB59" s="792"/>
      <c r="AC59" s="792"/>
      <c r="AD59" s="792"/>
      <c r="AE59" s="792"/>
      <c r="AF59" s="792"/>
      <c r="AG59" s="792"/>
      <c r="AH59" s="792"/>
      <c r="AI59" s="792"/>
      <c r="AJ59" s="792"/>
      <c r="AK59" s="792"/>
      <c r="AL59" s="792"/>
      <c r="AM59" s="792"/>
      <c r="AN59" s="792"/>
      <c r="AO59" s="792"/>
      <c r="AP59" s="792"/>
      <c r="AQ59" s="792"/>
      <c r="AR59" s="792"/>
      <c r="AS59" s="792"/>
      <c r="AT59" s="792"/>
      <c r="AU59" s="792"/>
      <c r="AV59" s="792"/>
      <c r="AW59" s="792"/>
      <c r="AX59" s="792"/>
      <c r="AY59" s="792"/>
      <c r="AZ59" s="792"/>
      <c r="BA59" s="792"/>
      <c r="BB59" s="792"/>
      <c r="BC59" s="792"/>
      <c r="BD59" s="792"/>
      <c r="BE59" s="792"/>
      <c r="BF59" s="792"/>
      <c r="BG59" s="792"/>
      <c r="BH59" s="792"/>
      <c r="BI59" s="792"/>
      <c r="BJ59" s="792"/>
      <c r="BK59" s="792"/>
      <c r="BL59" s="792"/>
      <c r="BM59" s="792"/>
      <c r="BN59" s="792"/>
      <c r="BO59" s="792"/>
      <c r="BP59" s="792"/>
      <c r="BQ59" s="792"/>
      <c r="BR59" s="792"/>
      <c r="BS59" s="792"/>
      <c r="BT59" s="792"/>
      <c r="BU59" s="792"/>
      <c r="BV59" s="792"/>
      <c r="BW59" s="792"/>
      <c r="BX59" s="792"/>
      <c r="BY59" s="792"/>
      <c r="BZ59" s="792"/>
      <c r="CA59" s="792"/>
      <c r="CB59" s="792"/>
      <c r="CC59" s="792"/>
      <c r="CD59" s="792"/>
      <c r="CE59" s="792"/>
      <c r="CF59" s="792"/>
      <c r="CG59" s="792"/>
      <c r="CH59" s="792"/>
      <c r="CI59" s="792"/>
      <c r="CJ59" s="792"/>
      <c r="CK59" s="792"/>
      <c r="CL59" s="792"/>
      <c r="CM59" s="792"/>
      <c r="CN59" s="792"/>
      <c r="CO59" s="792"/>
      <c r="CP59" s="792"/>
      <c r="CQ59" s="792"/>
      <c r="CR59" s="792"/>
      <c r="CS59" s="792"/>
      <c r="CT59" s="792"/>
      <c r="CU59" s="792"/>
      <c r="CV59" s="792"/>
      <c r="CW59" s="792"/>
      <c r="CX59" s="792"/>
      <c r="CY59" s="792"/>
      <c r="CZ59" s="792"/>
      <c r="DA59" s="792"/>
      <c r="DB59" s="792"/>
      <c r="DC59" s="792"/>
      <c r="DD59" s="792"/>
      <c r="DE59" s="792"/>
      <c r="DF59" s="792"/>
      <c r="DG59" s="792"/>
      <c r="DH59" s="792"/>
      <c r="DI59" s="792"/>
      <c r="DJ59" s="792"/>
      <c r="DK59" s="792"/>
      <c r="DL59" s="792"/>
      <c r="DM59" s="792"/>
      <c r="DN59" s="792"/>
      <c r="DO59" s="792"/>
      <c r="DP59" s="792"/>
      <c r="DQ59" s="792"/>
      <c r="DR59" s="792"/>
      <c r="DS59" s="792"/>
      <c r="DT59" s="792"/>
      <c r="DU59" s="792"/>
      <c r="DV59" s="792"/>
      <c r="DW59" s="792"/>
      <c r="DX59" s="792"/>
      <c r="DY59" s="792"/>
      <c r="DZ59" s="792"/>
      <c r="EA59" s="792"/>
      <c r="EB59" s="792"/>
      <c r="EC59" s="792"/>
      <c r="ED59" s="792"/>
      <c r="EE59" s="792"/>
      <c r="EF59" s="792"/>
      <c r="EG59" s="792"/>
      <c r="EH59" s="792"/>
      <c r="EI59" s="792"/>
      <c r="EJ59" s="792"/>
      <c r="EK59" s="792"/>
      <c r="EL59" s="792"/>
      <c r="EM59" s="792"/>
      <c r="EN59" s="792"/>
      <c r="EO59" s="792"/>
      <c r="EP59" s="792"/>
      <c r="EQ59" s="792"/>
      <c r="ER59" s="792"/>
      <c r="ES59" s="792"/>
      <c r="ET59" s="792"/>
      <c r="EU59" s="792"/>
      <c r="EV59" s="792"/>
      <c r="EW59" s="792"/>
      <c r="EX59" s="792"/>
      <c r="EY59" s="792"/>
      <c r="EZ59" s="792"/>
      <c r="FA59" s="792"/>
      <c r="FB59" s="792"/>
      <c r="FC59" s="792"/>
      <c r="FD59" s="792"/>
      <c r="FE59" s="792"/>
      <c r="FF59" s="792"/>
      <c r="FG59" s="792"/>
      <c r="FH59" s="792"/>
      <c r="FI59" s="792"/>
      <c r="FJ59" s="792"/>
      <c r="FK59" s="792"/>
      <c r="FL59" s="792"/>
      <c r="FM59" s="792"/>
      <c r="FN59" s="792"/>
      <c r="FO59" s="792"/>
      <c r="FP59" s="792"/>
      <c r="FQ59" s="792"/>
      <c r="FR59" s="792"/>
      <c r="FS59" s="792"/>
      <c r="FT59" s="792"/>
      <c r="FU59" s="792"/>
      <c r="FV59" s="792"/>
      <c r="FW59" s="792"/>
      <c r="FX59" s="792"/>
      <c r="FY59" s="792"/>
      <c r="FZ59" s="792"/>
      <c r="GA59" s="792"/>
      <c r="GB59" s="792"/>
      <c r="GC59" s="792"/>
      <c r="GD59" s="792"/>
      <c r="GE59" s="792"/>
      <c r="GF59" s="792"/>
      <c r="GG59" s="792"/>
      <c r="GH59" s="792"/>
      <c r="GI59" s="792"/>
      <c r="GJ59" s="792"/>
      <c r="GK59" s="792"/>
      <c r="GL59" s="792"/>
      <c r="GM59" s="792"/>
      <c r="GN59" s="792"/>
      <c r="GO59" s="792"/>
    </row>
    <row r="60" spans="1:197" ht="15" x14ac:dyDescent="0.25">
      <c r="A60" s="792"/>
      <c r="B60" s="792"/>
      <c r="C60" s="792"/>
      <c r="D60" s="792"/>
      <c r="E60" s="792"/>
      <c r="F60" s="792"/>
      <c r="G60" s="792"/>
      <c r="H60" s="792"/>
      <c r="I60" s="792"/>
      <c r="J60" s="792"/>
      <c r="K60" s="792"/>
      <c r="L60" s="792"/>
      <c r="M60" s="792"/>
      <c r="N60" s="792"/>
      <c r="O60" s="792"/>
      <c r="P60" s="792"/>
      <c r="Q60" s="792"/>
      <c r="R60" s="792"/>
      <c r="S60" s="792"/>
      <c r="T60" s="792"/>
      <c r="U60" s="792"/>
      <c r="V60" s="792"/>
      <c r="W60" s="792"/>
      <c r="X60" s="792"/>
      <c r="Y60" s="792"/>
      <c r="Z60" s="792"/>
      <c r="AA60" s="792"/>
      <c r="AB60" s="792"/>
      <c r="AC60" s="792"/>
      <c r="AD60" s="792"/>
      <c r="AE60" s="792"/>
      <c r="AF60" s="792"/>
      <c r="AG60" s="792"/>
      <c r="AH60" s="792"/>
      <c r="AI60" s="792"/>
      <c r="AJ60" s="792"/>
      <c r="AK60" s="792"/>
      <c r="AL60" s="792"/>
      <c r="AM60" s="792"/>
      <c r="AN60" s="792"/>
      <c r="AO60" s="792"/>
      <c r="AP60" s="792"/>
      <c r="AQ60" s="792"/>
      <c r="AR60" s="792"/>
      <c r="AS60" s="792"/>
      <c r="AT60" s="792"/>
      <c r="AU60" s="792"/>
      <c r="AV60" s="792"/>
      <c r="AW60" s="792"/>
      <c r="AX60" s="792"/>
      <c r="AY60" s="792"/>
      <c r="AZ60" s="792"/>
      <c r="BA60" s="792"/>
      <c r="BB60" s="792"/>
      <c r="BC60" s="792"/>
      <c r="BD60" s="792"/>
      <c r="BE60" s="792"/>
      <c r="BF60" s="792"/>
      <c r="BG60" s="792"/>
      <c r="BH60" s="792"/>
      <c r="BI60" s="792"/>
      <c r="BJ60" s="792"/>
      <c r="BK60" s="792"/>
      <c r="BL60" s="792"/>
      <c r="BM60" s="792"/>
      <c r="BN60" s="792"/>
      <c r="BO60" s="792"/>
      <c r="BP60" s="792"/>
      <c r="BQ60" s="792"/>
      <c r="BR60" s="792"/>
      <c r="BS60" s="792"/>
      <c r="BT60" s="792"/>
      <c r="BU60" s="792"/>
      <c r="BV60" s="792"/>
      <c r="BW60" s="792"/>
      <c r="BX60" s="792"/>
      <c r="BY60" s="792"/>
      <c r="BZ60" s="792"/>
      <c r="CA60" s="792"/>
      <c r="CB60" s="792"/>
      <c r="CC60" s="792"/>
      <c r="CD60" s="792"/>
      <c r="CE60" s="792"/>
      <c r="CF60" s="792"/>
      <c r="CG60" s="792"/>
      <c r="CH60" s="792"/>
      <c r="CI60" s="792"/>
      <c r="CJ60" s="792"/>
      <c r="CK60" s="792"/>
      <c r="CL60" s="792"/>
      <c r="CM60" s="792"/>
      <c r="CN60" s="792"/>
      <c r="CO60" s="792"/>
      <c r="CP60" s="792"/>
      <c r="CQ60" s="792"/>
      <c r="CR60" s="792"/>
      <c r="CS60" s="792"/>
      <c r="CT60" s="792"/>
      <c r="CU60" s="792"/>
      <c r="CV60" s="792"/>
      <c r="CW60" s="792"/>
      <c r="CX60" s="792"/>
      <c r="CY60" s="792"/>
      <c r="CZ60" s="792"/>
      <c r="DA60" s="792"/>
      <c r="DB60" s="792"/>
      <c r="DC60" s="792"/>
      <c r="DD60" s="792"/>
      <c r="DE60" s="792"/>
      <c r="DF60" s="792"/>
      <c r="DG60" s="792"/>
      <c r="DH60" s="792"/>
      <c r="DI60" s="792"/>
      <c r="DJ60" s="792"/>
      <c r="DK60" s="792"/>
      <c r="DL60" s="792"/>
      <c r="DM60" s="792"/>
      <c r="DN60" s="792"/>
      <c r="DO60" s="792"/>
      <c r="DP60" s="792"/>
      <c r="DQ60" s="792"/>
      <c r="DR60" s="792"/>
      <c r="DS60" s="792"/>
      <c r="DT60" s="792"/>
      <c r="DU60" s="792"/>
      <c r="DV60" s="792"/>
      <c r="DW60" s="792"/>
      <c r="DX60" s="792"/>
      <c r="DY60" s="792"/>
      <c r="DZ60" s="792"/>
      <c r="EA60" s="792"/>
      <c r="EB60" s="792"/>
      <c r="EC60" s="792"/>
      <c r="ED60" s="792"/>
      <c r="EE60" s="792"/>
      <c r="EF60" s="792"/>
      <c r="EG60" s="792"/>
      <c r="EH60" s="792"/>
      <c r="EI60" s="792"/>
      <c r="EJ60" s="792"/>
      <c r="EK60" s="792"/>
      <c r="EL60" s="792"/>
      <c r="EM60" s="792"/>
      <c r="EN60" s="792"/>
      <c r="EO60" s="792"/>
      <c r="EP60" s="792"/>
      <c r="EQ60" s="792"/>
      <c r="ER60" s="792"/>
      <c r="ES60" s="792"/>
      <c r="ET60" s="792"/>
      <c r="EU60" s="792"/>
      <c r="EV60" s="792"/>
      <c r="EW60" s="792"/>
      <c r="EX60" s="792"/>
      <c r="EY60" s="792"/>
      <c r="EZ60" s="792"/>
      <c r="FA60" s="792"/>
      <c r="FB60" s="792"/>
      <c r="FC60" s="792"/>
      <c r="FD60" s="792"/>
      <c r="FE60" s="792"/>
      <c r="FF60" s="792"/>
      <c r="FG60" s="792"/>
      <c r="FH60" s="792"/>
      <c r="FI60" s="792"/>
      <c r="FJ60" s="792"/>
      <c r="FK60" s="792"/>
      <c r="FL60" s="792"/>
      <c r="FM60" s="792"/>
      <c r="FN60" s="792"/>
      <c r="FO60" s="792"/>
      <c r="FP60" s="792"/>
      <c r="FQ60" s="792"/>
      <c r="FR60" s="792"/>
      <c r="FS60" s="792"/>
      <c r="FT60" s="792"/>
      <c r="FU60" s="792"/>
      <c r="FV60" s="792"/>
      <c r="FW60" s="792"/>
      <c r="FX60" s="792"/>
      <c r="FY60" s="792"/>
      <c r="FZ60" s="792"/>
      <c r="GA60" s="792"/>
      <c r="GB60" s="792"/>
      <c r="GC60" s="792"/>
      <c r="GD60" s="792"/>
      <c r="GE60" s="792"/>
      <c r="GF60" s="792"/>
      <c r="GG60" s="792"/>
      <c r="GH60" s="792"/>
      <c r="GI60" s="792"/>
      <c r="GJ60" s="792"/>
      <c r="GK60" s="792"/>
      <c r="GL60" s="792"/>
      <c r="GM60" s="792"/>
      <c r="GN60" s="792"/>
      <c r="GO60" s="792"/>
    </row>
    <row r="61" spans="1:197" ht="15" x14ac:dyDescent="0.25">
      <c r="A61" s="792"/>
      <c r="B61" s="792"/>
      <c r="C61" s="792"/>
      <c r="D61" s="792"/>
      <c r="E61" s="792"/>
      <c r="F61" s="792"/>
      <c r="G61" s="792"/>
      <c r="H61" s="792"/>
      <c r="I61" s="792"/>
      <c r="J61" s="792"/>
      <c r="K61" s="792"/>
      <c r="L61" s="792"/>
      <c r="M61" s="792"/>
      <c r="N61" s="792"/>
      <c r="O61" s="792"/>
      <c r="P61" s="792"/>
      <c r="Q61" s="792"/>
      <c r="R61" s="792"/>
      <c r="S61" s="792"/>
      <c r="T61" s="792"/>
      <c r="U61" s="792"/>
      <c r="V61" s="792"/>
      <c r="W61" s="792"/>
      <c r="X61" s="792"/>
      <c r="Y61" s="792"/>
      <c r="Z61" s="792"/>
      <c r="AA61" s="792"/>
      <c r="AB61" s="792"/>
      <c r="AC61" s="792"/>
      <c r="AD61" s="792"/>
      <c r="AE61" s="792"/>
      <c r="AF61" s="792"/>
      <c r="AG61" s="792"/>
      <c r="AH61" s="792"/>
      <c r="AI61" s="792"/>
      <c r="AJ61" s="792"/>
      <c r="AK61" s="792"/>
      <c r="AL61" s="792"/>
      <c r="AM61" s="792"/>
      <c r="AN61" s="792"/>
      <c r="AO61" s="792"/>
      <c r="AP61" s="792"/>
      <c r="AQ61" s="792"/>
      <c r="AR61" s="792"/>
      <c r="AS61" s="792"/>
      <c r="AT61" s="792"/>
      <c r="AU61" s="792"/>
      <c r="AV61" s="792"/>
      <c r="AW61" s="792"/>
      <c r="AX61" s="792"/>
      <c r="AY61" s="792"/>
      <c r="AZ61" s="792"/>
      <c r="BA61" s="792"/>
      <c r="BB61" s="792"/>
      <c r="BC61" s="792"/>
      <c r="BD61" s="792"/>
      <c r="BE61" s="792"/>
      <c r="BF61" s="792"/>
      <c r="BG61" s="792"/>
      <c r="BH61" s="792"/>
      <c r="BI61" s="792"/>
      <c r="BJ61" s="792"/>
      <c r="BK61" s="792"/>
      <c r="BL61" s="792"/>
      <c r="BM61" s="792"/>
      <c r="BN61" s="792"/>
      <c r="BO61" s="792"/>
      <c r="BP61" s="792"/>
      <c r="BQ61" s="792"/>
      <c r="BR61" s="792"/>
      <c r="BS61" s="792"/>
      <c r="BT61" s="792"/>
      <c r="BU61" s="792"/>
      <c r="BV61" s="792"/>
      <c r="BW61" s="792"/>
      <c r="BX61" s="792"/>
      <c r="BY61" s="792"/>
      <c r="BZ61" s="792"/>
      <c r="CA61" s="792"/>
      <c r="CB61" s="792"/>
      <c r="CC61" s="792"/>
      <c r="CD61" s="792"/>
      <c r="CE61" s="792"/>
      <c r="CF61" s="792"/>
      <c r="CG61" s="792"/>
      <c r="CH61" s="792"/>
      <c r="CI61" s="792"/>
      <c r="CJ61" s="792"/>
      <c r="CK61" s="792"/>
      <c r="CL61" s="792"/>
      <c r="CM61" s="792"/>
      <c r="CN61" s="792"/>
      <c r="CO61" s="792"/>
      <c r="CP61" s="792"/>
      <c r="CQ61" s="792"/>
      <c r="CR61" s="792"/>
      <c r="CS61" s="792"/>
      <c r="CT61" s="792"/>
      <c r="CU61" s="792"/>
      <c r="CV61" s="792"/>
      <c r="CW61" s="792"/>
      <c r="CX61" s="792"/>
      <c r="CY61" s="792"/>
      <c r="CZ61" s="792"/>
      <c r="DA61" s="792"/>
      <c r="DB61" s="792"/>
      <c r="DC61" s="792"/>
      <c r="DD61" s="792"/>
      <c r="DE61" s="792"/>
      <c r="DF61" s="792"/>
      <c r="DG61" s="792"/>
      <c r="DH61" s="792"/>
      <c r="DI61" s="792"/>
      <c r="DJ61" s="792"/>
      <c r="DK61" s="792"/>
      <c r="DL61" s="792"/>
      <c r="DM61" s="792"/>
      <c r="DN61" s="792"/>
      <c r="DO61" s="792"/>
      <c r="DP61" s="792"/>
      <c r="DQ61" s="792"/>
      <c r="DR61" s="792"/>
      <c r="DS61" s="792"/>
      <c r="DT61" s="792"/>
      <c r="DU61" s="792"/>
      <c r="DV61" s="792"/>
      <c r="DW61" s="792"/>
      <c r="DX61" s="792"/>
      <c r="DY61" s="792"/>
      <c r="DZ61" s="792"/>
      <c r="EA61" s="792"/>
      <c r="EB61" s="792"/>
      <c r="EC61" s="792"/>
      <c r="ED61" s="792"/>
      <c r="EE61" s="792"/>
      <c r="EF61" s="792"/>
      <c r="EG61" s="792"/>
      <c r="EH61" s="792"/>
      <c r="EI61" s="792"/>
      <c r="EJ61" s="792"/>
      <c r="EK61" s="792"/>
      <c r="EL61" s="792"/>
      <c r="EM61" s="792"/>
      <c r="EN61" s="792"/>
      <c r="EO61" s="792"/>
      <c r="EP61" s="792"/>
      <c r="EQ61" s="792"/>
      <c r="ER61" s="792"/>
      <c r="ES61" s="792"/>
      <c r="ET61" s="792"/>
      <c r="EU61" s="792"/>
      <c r="EV61" s="792"/>
      <c r="EW61" s="792"/>
      <c r="EX61" s="792"/>
      <c r="EY61" s="792"/>
      <c r="EZ61" s="792"/>
      <c r="FA61" s="792"/>
      <c r="FB61" s="792"/>
      <c r="FC61" s="792"/>
      <c r="FD61" s="792"/>
      <c r="FE61" s="792"/>
      <c r="FF61" s="792"/>
      <c r="FG61" s="792"/>
      <c r="FH61" s="792"/>
      <c r="FI61" s="792"/>
      <c r="FJ61" s="792"/>
      <c r="FK61" s="792"/>
      <c r="FL61" s="792"/>
      <c r="FM61" s="792"/>
      <c r="FN61" s="792"/>
      <c r="FO61" s="792"/>
      <c r="FP61" s="792"/>
      <c r="FQ61" s="792"/>
      <c r="FR61" s="792"/>
      <c r="FS61" s="792"/>
      <c r="FT61" s="792"/>
      <c r="FU61" s="792"/>
      <c r="FV61" s="792"/>
      <c r="FW61" s="792"/>
      <c r="FX61" s="792"/>
      <c r="FY61" s="792"/>
      <c r="FZ61" s="792"/>
      <c r="GA61" s="792"/>
      <c r="GB61" s="792"/>
      <c r="GC61" s="792"/>
      <c r="GD61" s="792"/>
      <c r="GE61" s="792"/>
      <c r="GF61" s="792"/>
      <c r="GG61" s="792"/>
      <c r="GH61" s="792"/>
      <c r="GI61" s="792"/>
      <c r="GJ61" s="792"/>
      <c r="GK61" s="792"/>
      <c r="GL61" s="792"/>
      <c r="GM61" s="792"/>
      <c r="GN61" s="792"/>
      <c r="GO61" s="792"/>
    </row>
    <row r="62" spans="1:197" ht="15" x14ac:dyDescent="0.25">
      <c r="A62" s="792"/>
      <c r="B62" s="792"/>
      <c r="C62" s="792"/>
      <c r="D62" s="792"/>
      <c r="E62" s="792"/>
      <c r="F62" s="792"/>
      <c r="G62" s="792"/>
      <c r="H62" s="792"/>
      <c r="I62" s="792"/>
      <c r="J62" s="792"/>
      <c r="K62" s="792"/>
      <c r="L62" s="792"/>
      <c r="M62" s="792"/>
      <c r="N62" s="792"/>
      <c r="O62" s="792"/>
      <c r="P62" s="792"/>
      <c r="Q62" s="792"/>
      <c r="R62" s="792"/>
      <c r="S62" s="792"/>
      <c r="T62" s="792"/>
      <c r="U62" s="792"/>
      <c r="V62" s="792"/>
      <c r="W62" s="792"/>
      <c r="X62" s="792"/>
      <c r="Y62" s="792"/>
      <c r="Z62" s="792"/>
      <c r="AA62" s="792"/>
      <c r="AB62" s="792"/>
      <c r="AC62" s="792"/>
      <c r="AD62" s="792"/>
      <c r="AE62" s="792"/>
      <c r="AF62" s="792"/>
      <c r="AG62" s="792"/>
      <c r="AH62" s="792"/>
      <c r="AI62" s="792"/>
      <c r="AJ62" s="792"/>
      <c r="AK62" s="792"/>
      <c r="AL62" s="792"/>
      <c r="AM62" s="792"/>
      <c r="AN62" s="792"/>
      <c r="AO62" s="792"/>
      <c r="AP62" s="792"/>
      <c r="AQ62" s="792"/>
      <c r="AR62" s="792"/>
      <c r="AS62" s="792"/>
      <c r="AT62" s="792"/>
      <c r="AU62" s="792"/>
      <c r="AV62" s="792"/>
      <c r="AW62" s="792"/>
      <c r="AX62" s="792"/>
      <c r="AY62" s="792"/>
      <c r="AZ62" s="792"/>
      <c r="BA62" s="792"/>
      <c r="BB62" s="792"/>
      <c r="BC62" s="792"/>
      <c r="BD62" s="792"/>
      <c r="BE62" s="792"/>
      <c r="BF62" s="792"/>
      <c r="BG62" s="792"/>
      <c r="BH62" s="792"/>
      <c r="BI62" s="792"/>
      <c r="BJ62" s="792"/>
      <c r="BK62" s="792"/>
      <c r="BL62" s="792"/>
      <c r="BM62" s="792"/>
      <c r="BN62" s="792"/>
      <c r="BO62" s="792"/>
      <c r="BP62" s="792"/>
      <c r="BQ62" s="792"/>
      <c r="BR62" s="792"/>
      <c r="BS62" s="792"/>
      <c r="BT62" s="792"/>
      <c r="BU62" s="792"/>
      <c r="BV62" s="792"/>
      <c r="BW62" s="792"/>
      <c r="BX62" s="792"/>
      <c r="BY62" s="792"/>
      <c r="BZ62" s="792"/>
      <c r="CA62" s="792"/>
      <c r="CB62" s="792"/>
      <c r="CC62" s="792"/>
      <c r="CD62" s="792"/>
      <c r="CE62" s="792"/>
      <c r="CF62" s="792"/>
      <c r="CG62" s="792"/>
      <c r="CH62" s="792"/>
      <c r="CI62" s="792"/>
      <c r="CJ62" s="792"/>
      <c r="CK62" s="792"/>
      <c r="CL62" s="792"/>
      <c r="CM62" s="792"/>
      <c r="CN62" s="792"/>
      <c r="CO62" s="792"/>
      <c r="CP62" s="792"/>
      <c r="CQ62" s="792"/>
      <c r="CR62" s="792"/>
      <c r="CS62" s="792"/>
      <c r="CT62" s="792"/>
      <c r="CU62" s="792"/>
      <c r="CV62" s="792"/>
      <c r="CW62" s="792"/>
      <c r="CX62" s="792"/>
      <c r="CY62" s="792"/>
      <c r="CZ62" s="792"/>
      <c r="DA62" s="792"/>
      <c r="DB62" s="792"/>
      <c r="DC62" s="792"/>
      <c r="DD62" s="792"/>
      <c r="DE62" s="792"/>
      <c r="DF62" s="792"/>
      <c r="DG62" s="792"/>
      <c r="DH62" s="792"/>
      <c r="DI62" s="792"/>
      <c r="DJ62" s="792"/>
      <c r="DK62" s="792"/>
      <c r="DL62" s="792"/>
      <c r="DM62" s="792"/>
      <c r="DN62" s="792"/>
      <c r="DO62" s="792"/>
      <c r="DP62" s="792"/>
      <c r="DQ62" s="792"/>
      <c r="DR62" s="792"/>
      <c r="DS62" s="792"/>
      <c r="DT62" s="792"/>
      <c r="DU62" s="792"/>
      <c r="DV62" s="792"/>
      <c r="DW62" s="792"/>
      <c r="DX62" s="792"/>
      <c r="DY62" s="792"/>
      <c r="DZ62" s="792"/>
      <c r="EA62" s="792"/>
      <c r="EB62" s="792"/>
      <c r="EC62" s="792"/>
      <c r="ED62" s="792"/>
      <c r="EE62" s="792"/>
      <c r="EF62" s="792"/>
      <c r="EG62" s="792"/>
      <c r="EH62" s="792"/>
      <c r="EI62" s="792"/>
      <c r="EJ62" s="792"/>
      <c r="EK62" s="792"/>
      <c r="EL62" s="792"/>
      <c r="EM62" s="792"/>
      <c r="EN62" s="792"/>
      <c r="EO62" s="792"/>
      <c r="EP62" s="792"/>
      <c r="EQ62" s="792"/>
      <c r="ER62" s="792"/>
      <c r="ES62" s="792"/>
      <c r="ET62" s="792"/>
      <c r="EU62" s="792"/>
      <c r="EV62" s="792"/>
      <c r="EW62" s="792"/>
      <c r="EX62" s="792"/>
      <c r="EY62" s="792"/>
      <c r="EZ62" s="792"/>
      <c r="FA62" s="792"/>
      <c r="FB62" s="792"/>
      <c r="FC62" s="792"/>
      <c r="FD62" s="792"/>
      <c r="FE62" s="792"/>
      <c r="FF62" s="792"/>
      <c r="FG62" s="792"/>
      <c r="FH62" s="792"/>
      <c r="FI62" s="792"/>
      <c r="FJ62" s="792"/>
      <c r="FK62" s="792"/>
      <c r="FL62" s="792"/>
      <c r="FM62" s="792"/>
      <c r="FN62" s="792"/>
      <c r="FO62" s="792"/>
      <c r="FP62" s="792"/>
      <c r="FQ62" s="792"/>
      <c r="FR62" s="792"/>
      <c r="FS62" s="792"/>
      <c r="FT62" s="792"/>
      <c r="FU62" s="792"/>
      <c r="FV62" s="792"/>
      <c r="FW62" s="792"/>
      <c r="FX62" s="792"/>
      <c r="FY62" s="792"/>
      <c r="FZ62" s="792"/>
      <c r="GA62" s="792"/>
      <c r="GB62" s="792"/>
      <c r="GC62" s="792"/>
      <c r="GD62" s="792"/>
      <c r="GE62" s="792"/>
      <c r="GF62" s="792"/>
      <c r="GG62" s="792"/>
      <c r="GH62" s="792"/>
      <c r="GI62" s="792"/>
      <c r="GJ62" s="792"/>
      <c r="GK62" s="792"/>
      <c r="GL62" s="792"/>
      <c r="GM62" s="792"/>
      <c r="GN62" s="792"/>
      <c r="GO62" s="792"/>
    </row>
  </sheetData>
  <mergeCells count="53">
    <mergeCell ref="F9:G9"/>
    <mergeCell ref="T9:U9"/>
    <mergeCell ref="A1:CV1"/>
    <mergeCell ref="O2:P2"/>
    <mergeCell ref="X2:AD2"/>
    <mergeCell ref="AQ2:AT2"/>
    <mergeCell ref="AU2:AX2"/>
    <mergeCell ref="AY2:BB2"/>
    <mergeCell ref="BV3:BW7"/>
    <mergeCell ref="CF3:CS5"/>
    <mergeCell ref="AK4:AM4"/>
    <mergeCell ref="BB4:BD4"/>
    <mergeCell ref="F8:G8"/>
    <mergeCell ref="F10:G10"/>
    <mergeCell ref="V10:Y10"/>
    <mergeCell ref="BB10:BE10"/>
    <mergeCell ref="F11:G11"/>
    <mergeCell ref="AA11:AC11"/>
    <mergeCell ref="AW11:AY11"/>
    <mergeCell ref="BU11:BU16"/>
    <mergeCell ref="CF12:CH12"/>
    <mergeCell ref="CN12:CQ31"/>
    <mergeCell ref="H15:H16"/>
    <mergeCell ref="A16:B16"/>
    <mergeCell ref="T16:U16"/>
    <mergeCell ref="AJ16:AM16"/>
    <mergeCell ref="BZ19:CC19"/>
    <mergeCell ref="T21:V21"/>
    <mergeCell ref="W21:Y21"/>
    <mergeCell ref="P38:Q38"/>
    <mergeCell ref="AB21:AD21"/>
    <mergeCell ref="AP23:AS23"/>
    <mergeCell ref="A24:B24"/>
    <mergeCell ref="BZ26:CC26"/>
    <mergeCell ref="V28:Y28"/>
    <mergeCell ref="AL28:AM28"/>
    <mergeCell ref="AK30:AN30"/>
    <mergeCell ref="AX30:AZ30"/>
    <mergeCell ref="BW36:BY40"/>
    <mergeCell ref="AP37:AR37"/>
    <mergeCell ref="BG37:BI37"/>
    <mergeCell ref="E39:H39"/>
    <mergeCell ref="BT41:BV41"/>
    <mergeCell ref="Q44:T48"/>
    <mergeCell ref="BI44:BJ44"/>
    <mergeCell ref="BK44:BL44"/>
    <mergeCell ref="AM45:AP45"/>
    <mergeCell ref="AQ45:AR45"/>
    <mergeCell ref="AY45:BC45"/>
    <mergeCell ref="AB46:AG46"/>
    <mergeCell ref="BK46:BQ46"/>
    <mergeCell ref="BB41:BD41"/>
    <mergeCell ref="BP41:BR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2025-10-28T19:23:18Z</dcterms:modified>
</cp:coreProperties>
</file>