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E9BAC9EC-A1E9-4317-B9E9-93C23E1FF927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62" i="51" l="1"/>
  <c r="AO264" i="51" s="1"/>
  <c r="AE91" i="51" s="1"/>
  <c r="AF91" i="51" s="1"/>
  <c r="AO258" i="51"/>
  <c r="AO257" i="51"/>
  <c r="AX256" i="51"/>
  <c r="AO256" i="51"/>
  <c r="AX255" i="51"/>
  <c r="AO255" i="51"/>
  <c r="AX254" i="51"/>
  <c r="AO254" i="51"/>
  <c r="AX253" i="51"/>
  <c r="AX257" i="51" s="1"/>
  <c r="AE85" i="51" s="1"/>
  <c r="AF85" i="51" s="1"/>
  <c r="AO253" i="51"/>
  <c r="AO252" i="51"/>
  <c r="AO251" i="51"/>
  <c r="AO250" i="51"/>
  <c r="AX249" i="51"/>
  <c r="AX250" i="51" s="1"/>
  <c r="AE103" i="51" s="1"/>
  <c r="AF103" i="51" s="1"/>
  <c r="AO249" i="51"/>
  <c r="AO259" i="51" s="1"/>
  <c r="AE102" i="51" s="1"/>
  <c r="AF102" i="51" s="1"/>
  <c r="AX245" i="51"/>
  <c r="AX246" i="51" s="1"/>
  <c r="AE105" i="51" s="1"/>
  <c r="AF105" i="51" s="1"/>
  <c r="AO245" i="51"/>
  <c r="AO244" i="51"/>
  <c r="AO246" i="51" s="1"/>
  <c r="AE98" i="51" s="1"/>
  <c r="AF98" i="51" s="1"/>
  <c r="AX242" i="51"/>
  <c r="AX241" i="51"/>
  <c r="AO240" i="51"/>
  <c r="AO239" i="51"/>
  <c r="AX238" i="51"/>
  <c r="AO238" i="51"/>
  <c r="AX237" i="51"/>
  <c r="AO237" i="51"/>
  <c r="AO236" i="51"/>
  <c r="AO241" i="51" s="1"/>
  <c r="AE104" i="51" s="1"/>
  <c r="AF104" i="51" s="1"/>
  <c r="AX233" i="51"/>
  <c r="AX232" i="51"/>
  <c r="AX231" i="51"/>
  <c r="AX230" i="51"/>
  <c r="T230" i="51"/>
  <c r="G230" i="51"/>
  <c r="AX229" i="51"/>
  <c r="T229" i="51"/>
  <c r="T231" i="51" s="1"/>
  <c r="G229" i="51"/>
  <c r="G231" i="51" s="1"/>
  <c r="AX228" i="51"/>
  <c r="AX234" i="51" s="1"/>
  <c r="AE87" i="51" s="1"/>
  <c r="AF87" i="51" s="1"/>
  <c r="AO227" i="51"/>
  <c r="AO226" i="51"/>
  <c r="T226" i="51"/>
  <c r="T227" i="51" s="1"/>
  <c r="G226" i="51"/>
  <c r="AX225" i="51"/>
  <c r="AO225" i="51"/>
  <c r="T225" i="51"/>
  <c r="G225" i="51"/>
  <c r="G227" i="51" s="1"/>
  <c r="AX224" i="51"/>
  <c r="AO224" i="51"/>
  <c r="AX223" i="51"/>
  <c r="AO223" i="51"/>
  <c r="AO222" i="51"/>
  <c r="T222" i="51"/>
  <c r="G222" i="51"/>
  <c r="AO221" i="51"/>
  <c r="T221" i="51"/>
  <c r="G221" i="51"/>
  <c r="AO220" i="51"/>
  <c r="T220" i="51"/>
  <c r="G220" i="51"/>
  <c r="AX219" i="51"/>
  <c r="AO219" i="51"/>
  <c r="T219" i="51"/>
  <c r="G219" i="51"/>
  <c r="AX218" i="51"/>
  <c r="AO218" i="51"/>
  <c r="T218" i="51"/>
  <c r="G218" i="51"/>
  <c r="AX217" i="51"/>
  <c r="AO217" i="51"/>
  <c r="T217" i="51"/>
  <c r="T223" i="51" s="1"/>
  <c r="G217" i="51"/>
  <c r="G223" i="51" s="1"/>
  <c r="AX216" i="51"/>
  <c r="AO216" i="51"/>
  <c r="AX215" i="51"/>
  <c r="AO215" i="51"/>
  <c r="AX214" i="51"/>
  <c r="AO214" i="51"/>
  <c r="T214" i="51"/>
  <c r="G214" i="51"/>
  <c r="AX213" i="51"/>
  <c r="AO213" i="51"/>
  <c r="T213" i="51"/>
  <c r="G213" i="51"/>
  <c r="AX212" i="51"/>
  <c r="AO212" i="51"/>
  <c r="AO228" i="51" s="1"/>
  <c r="AE92" i="51" s="1"/>
  <c r="AF92" i="51" s="1"/>
  <c r="T212" i="51"/>
  <c r="G212" i="51"/>
  <c r="AX211" i="51"/>
  <c r="T211" i="51"/>
  <c r="G211" i="51"/>
  <c r="AX210" i="51"/>
  <c r="T210" i="51"/>
  <c r="G210" i="51"/>
  <c r="AX209" i="51"/>
  <c r="T209" i="51"/>
  <c r="G209" i="51"/>
  <c r="AX208" i="51"/>
  <c r="T208" i="51"/>
  <c r="G208" i="51"/>
  <c r="AX207" i="51"/>
  <c r="AO207" i="51"/>
  <c r="T207" i="51"/>
  <c r="G207" i="51"/>
  <c r="AX206" i="51"/>
  <c r="AO206" i="51"/>
  <c r="T206" i="51"/>
  <c r="G206" i="51"/>
  <c r="AX205" i="51"/>
  <c r="AO205" i="51"/>
  <c r="T205" i="51"/>
  <c r="G205" i="51"/>
  <c r="AX204" i="51"/>
  <c r="AO204" i="51"/>
  <c r="T204" i="51"/>
  <c r="T215" i="51" s="1"/>
  <c r="G204" i="51"/>
  <c r="G215" i="51" s="1"/>
  <c r="AX203" i="51"/>
  <c r="AO203" i="51"/>
  <c r="AX202" i="51"/>
  <c r="AO202" i="51"/>
  <c r="AA202" i="51"/>
  <c r="AX201" i="51"/>
  <c r="AO201" i="51"/>
  <c r="AO208" i="51" s="1"/>
  <c r="AE90" i="51" s="1"/>
  <c r="AF90" i="51" s="1"/>
  <c r="T201" i="51"/>
  <c r="G201" i="51"/>
  <c r="AX200" i="51"/>
  <c r="T200" i="51"/>
  <c r="G200" i="51"/>
  <c r="AX199" i="51"/>
  <c r="T199" i="51"/>
  <c r="G199" i="51"/>
  <c r="AX198" i="51"/>
  <c r="AA198" i="51"/>
  <c r="T198" i="51"/>
  <c r="G198" i="51"/>
  <c r="AX197" i="51"/>
  <c r="AO197" i="51"/>
  <c r="AE89" i="51" s="1"/>
  <c r="AF89" i="51" s="1"/>
  <c r="AA197" i="51"/>
  <c r="T197" i="51"/>
  <c r="G197" i="51"/>
  <c r="AX196" i="51"/>
  <c r="AO196" i="51"/>
  <c r="T196" i="51"/>
  <c r="T202" i="51" s="1"/>
  <c r="G196" i="51"/>
  <c r="G202" i="51" s="1"/>
  <c r="AX195" i="51"/>
  <c r="AO195" i="51"/>
  <c r="AX194" i="51"/>
  <c r="AX193" i="51"/>
  <c r="AX192" i="51"/>
  <c r="AX191" i="51"/>
  <c r="AX190" i="51"/>
  <c r="AO190" i="51"/>
  <c r="AA190" i="51"/>
  <c r="AX189" i="51"/>
  <c r="AO189" i="51"/>
  <c r="AA189" i="51"/>
  <c r="AX188" i="51"/>
  <c r="AO188" i="51"/>
  <c r="AX187" i="51"/>
  <c r="AO187" i="51"/>
  <c r="AX186" i="51"/>
  <c r="AO186" i="51"/>
  <c r="AX185" i="51"/>
  <c r="AO185" i="51"/>
  <c r="AX184" i="51"/>
  <c r="AO184" i="51"/>
  <c r="AX183" i="51"/>
  <c r="AO183" i="51"/>
  <c r="AX182" i="51"/>
  <c r="AX220" i="51" s="1"/>
  <c r="AE93" i="51" s="1"/>
  <c r="AF93" i="51" s="1"/>
  <c r="AO182" i="51"/>
  <c r="AO181" i="51"/>
  <c r="AO180" i="51"/>
  <c r="AF180" i="51"/>
  <c r="AE180" i="51"/>
  <c r="Z180" i="51"/>
  <c r="T180" i="51"/>
  <c r="Y180" i="51" s="1"/>
  <c r="L180" i="51"/>
  <c r="G180" i="51"/>
  <c r="AO179" i="51"/>
  <c r="AF179" i="51"/>
  <c r="AE179" i="51"/>
  <c r="Z179" i="51"/>
  <c r="Y179" i="51"/>
  <c r="T179" i="51"/>
  <c r="T181" i="51" s="1"/>
  <c r="L179" i="51"/>
  <c r="G179" i="51"/>
  <c r="AX178" i="51"/>
  <c r="AO178" i="51"/>
  <c r="AE178" i="51"/>
  <c r="AF178" i="51" s="1"/>
  <c r="Y178" i="51"/>
  <c r="T178" i="51"/>
  <c r="L178" i="51"/>
  <c r="L181" i="51" s="1"/>
  <c r="G178" i="51"/>
  <c r="Z178" i="51" s="1"/>
  <c r="AX177" i="51"/>
  <c r="AO177" i="51"/>
  <c r="AF177" i="51"/>
  <c r="AE177" i="51"/>
  <c r="AX176" i="51"/>
  <c r="AO176" i="51"/>
  <c r="AF176" i="51"/>
  <c r="AE176" i="51"/>
  <c r="AX175" i="51"/>
  <c r="AO175" i="51"/>
  <c r="AF175" i="51"/>
  <c r="AE175" i="51"/>
  <c r="AX174" i="51"/>
  <c r="AO174" i="51"/>
  <c r="AF174" i="51"/>
  <c r="AE174" i="51"/>
  <c r="X174" i="51"/>
  <c r="W174" i="51"/>
  <c r="K174" i="51"/>
  <c r="J174" i="51"/>
  <c r="AX173" i="51"/>
  <c r="AO173" i="51"/>
  <c r="AE173" i="51"/>
  <c r="AF173" i="51" s="1"/>
  <c r="Y173" i="51"/>
  <c r="T173" i="51"/>
  <c r="Z173" i="51" s="1"/>
  <c r="L173" i="51"/>
  <c r="G173" i="51"/>
  <c r="AX172" i="51"/>
  <c r="AO172" i="51"/>
  <c r="AE172" i="51"/>
  <c r="AF172" i="51" s="1"/>
  <c r="T172" i="51"/>
  <c r="Z172" i="51" s="1"/>
  <c r="G172" i="51"/>
  <c r="L172" i="51" s="1"/>
  <c r="AX171" i="51"/>
  <c r="AO171" i="51"/>
  <c r="AE171" i="51"/>
  <c r="AF171" i="51" s="1"/>
  <c r="T171" i="51"/>
  <c r="Z171" i="51" s="1"/>
  <c r="G171" i="51"/>
  <c r="L171" i="51" s="1"/>
  <c r="AX170" i="51"/>
  <c r="AO170" i="51"/>
  <c r="AF170" i="51"/>
  <c r="AE170" i="51"/>
  <c r="T170" i="51"/>
  <c r="T174" i="51" s="1"/>
  <c r="L170" i="51"/>
  <c r="L174" i="51" s="1"/>
  <c r="G170" i="51"/>
  <c r="G174" i="51" s="1"/>
  <c r="AX169" i="51"/>
  <c r="AO169" i="51"/>
  <c r="AE169" i="51"/>
  <c r="AF169" i="51" s="1"/>
  <c r="AX168" i="51"/>
  <c r="AO168" i="51"/>
  <c r="AE168" i="51"/>
  <c r="AF168" i="51" s="1"/>
  <c r="AX167" i="51"/>
  <c r="AO167" i="51"/>
  <c r="AF167" i="51"/>
  <c r="AE167" i="51"/>
  <c r="AX166" i="51"/>
  <c r="AO166" i="51"/>
  <c r="AE166" i="51"/>
  <c r="AF166" i="51" s="1"/>
  <c r="AA166" i="51"/>
  <c r="T166" i="51"/>
  <c r="AX165" i="51"/>
  <c r="AO165" i="51"/>
  <c r="AE165" i="51"/>
  <c r="AF165" i="51" s="1"/>
  <c r="Y165" i="51"/>
  <c r="T165" i="51"/>
  <c r="L165" i="51"/>
  <c r="G165" i="51"/>
  <c r="Z165" i="51" s="1"/>
  <c r="AX164" i="51"/>
  <c r="AO164" i="51"/>
  <c r="AE164" i="51"/>
  <c r="AF164" i="51" s="1"/>
  <c r="Z164" i="51"/>
  <c r="T164" i="51"/>
  <c r="Y164" i="51" s="1"/>
  <c r="G164" i="51"/>
  <c r="G166" i="51" s="1"/>
  <c r="AX163" i="51"/>
  <c r="AO163" i="51"/>
  <c r="AF163" i="51"/>
  <c r="AE163" i="51"/>
  <c r="Z163" i="51"/>
  <c r="T163" i="51"/>
  <c r="Y163" i="51" s="1"/>
  <c r="L163" i="51"/>
  <c r="G163" i="51"/>
  <c r="AX162" i="51"/>
  <c r="AO162" i="51"/>
  <c r="AO191" i="51" s="1"/>
  <c r="AE86" i="51" s="1"/>
  <c r="AF86" i="51" s="1"/>
  <c r="AF162" i="51"/>
  <c r="AE162" i="51"/>
  <c r="AX161" i="51"/>
  <c r="AF161" i="51"/>
  <c r="AE161" i="51"/>
  <c r="AX160" i="51"/>
  <c r="AE160" i="51"/>
  <c r="AF160" i="51" s="1"/>
  <c r="AX159" i="51"/>
  <c r="AO159" i="51"/>
  <c r="AF159" i="51"/>
  <c r="AE159" i="51"/>
  <c r="X159" i="51"/>
  <c r="W159" i="51"/>
  <c r="K159" i="51"/>
  <c r="J159" i="51"/>
  <c r="AX158" i="51"/>
  <c r="AE158" i="51"/>
  <c r="AF158" i="51" s="1"/>
  <c r="Y158" i="51"/>
  <c r="T158" i="51"/>
  <c r="Z158" i="51" s="1"/>
  <c r="G158" i="51"/>
  <c r="L158" i="51" s="1"/>
  <c r="AX157" i="51"/>
  <c r="AO157" i="51"/>
  <c r="AF157" i="51"/>
  <c r="AE157" i="51"/>
  <c r="T157" i="51"/>
  <c r="Y157" i="51" s="1"/>
  <c r="G157" i="51"/>
  <c r="Z157" i="51" s="1"/>
  <c r="AX156" i="51"/>
  <c r="AO156" i="51"/>
  <c r="AF156" i="51"/>
  <c r="AE156" i="51"/>
  <c r="Y156" i="51"/>
  <c r="T156" i="51"/>
  <c r="L156" i="51"/>
  <c r="G156" i="51"/>
  <c r="Z156" i="51" s="1"/>
  <c r="AX155" i="51"/>
  <c r="AO155" i="51"/>
  <c r="AF155" i="51"/>
  <c r="AE155" i="51"/>
  <c r="Y155" i="51"/>
  <c r="T155" i="51"/>
  <c r="G155" i="51"/>
  <c r="L155" i="51" s="1"/>
  <c r="AX154" i="51"/>
  <c r="AO154" i="51"/>
  <c r="AE154" i="51"/>
  <c r="AF154" i="51" s="1"/>
  <c r="AX153" i="51"/>
  <c r="AO153" i="51"/>
  <c r="AF153" i="51"/>
  <c r="AE153" i="51"/>
  <c r="AX152" i="51"/>
  <c r="AO152" i="51"/>
  <c r="AE152" i="51"/>
  <c r="AF152" i="51" s="1"/>
  <c r="AX151" i="51"/>
  <c r="AO151" i="51"/>
  <c r="AE151" i="51"/>
  <c r="AF151" i="51" s="1"/>
  <c r="X151" i="51"/>
  <c r="W151" i="51"/>
  <c r="K151" i="51"/>
  <c r="J151" i="51"/>
  <c r="AX150" i="51"/>
  <c r="AO150" i="51"/>
  <c r="AF150" i="51"/>
  <c r="AE150" i="51"/>
  <c r="Z150" i="51"/>
  <c r="Y150" i="51"/>
  <c r="T150" i="51"/>
  <c r="L150" i="51"/>
  <c r="G150" i="51"/>
  <c r="AX149" i="51"/>
  <c r="AO149" i="51"/>
  <c r="AE149" i="51"/>
  <c r="AF149" i="51" s="1"/>
  <c r="Y149" i="51"/>
  <c r="T149" i="51"/>
  <c r="Z149" i="51" s="1"/>
  <c r="L149" i="51"/>
  <c r="G149" i="51"/>
  <c r="AX148" i="51"/>
  <c r="AO148" i="51"/>
  <c r="AE148" i="51"/>
  <c r="AF148" i="51" s="1"/>
  <c r="Z148" i="51"/>
  <c r="T148" i="51"/>
  <c r="Y148" i="51" s="1"/>
  <c r="G148" i="51"/>
  <c r="L148" i="51" s="1"/>
  <c r="AX147" i="51"/>
  <c r="AO147" i="51"/>
  <c r="AF147" i="51"/>
  <c r="AE147" i="51"/>
  <c r="Z147" i="51"/>
  <c r="T147" i="51"/>
  <c r="Y147" i="51" s="1"/>
  <c r="L147" i="51"/>
  <c r="G147" i="51"/>
  <c r="AX146" i="51"/>
  <c r="AO146" i="51"/>
  <c r="AF146" i="51"/>
  <c r="AE146" i="51"/>
  <c r="Z146" i="51"/>
  <c r="Y146" i="51"/>
  <c r="T146" i="51"/>
  <c r="L146" i="51"/>
  <c r="G146" i="51"/>
  <c r="AX145" i="51"/>
  <c r="AO145" i="51"/>
  <c r="AE145" i="51"/>
  <c r="AF145" i="51" s="1"/>
  <c r="Y145" i="51"/>
  <c r="T145" i="51"/>
  <c r="Z145" i="51" s="1"/>
  <c r="L145" i="51"/>
  <c r="G145" i="51"/>
  <c r="AX144" i="51"/>
  <c r="AO144" i="51"/>
  <c r="AE144" i="51"/>
  <c r="AF144" i="51" s="1"/>
  <c r="T144" i="51"/>
  <c r="Z144" i="51" s="1"/>
  <c r="G144" i="51"/>
  <c r="L144" i="51" s="1"/>
  <c r="AX143" i="51"/>
  <c r="AO143" i="51"/>
  <c r="AF143" i="51"/>
  <c r="AE143" i="51"/>
  <c r="Z143" i="51"/>
  <c r="T143" i="51"/>
  <c r="Y143" i="51" s="1"/>
  <c r="L143" i="51"/>
  <c r="G143" i="51"/>
  <c r="AX142" i="51"/>
  <c r="AO142" i="51"/>
  <c r="AF142" i="51"/>
  <c r="AE142" i="51"/>
  <c r="Z142" i="51"/>
  <c r="Y142" i="51"/>
  <c r="T142" i="51"/>
  <c r="L142" i="51"/>
  <c r="G142" i="51"/>
  <c r="AX141" i="51"/>
  <c r="AO141" i="51"/>
  <c r="AE141" i="51"/>
  <c r="AF141" i="51" s="1"/>
  <c r="Y141" i="51"/>
  <c r="T141" i="51"/>
  <c r="Z141" i="51" s="1"/>
  <c r="L141" i="51"/>
  <c r="G141" i="51"/>
  <c r="AX140" i="51"/>
  <c r="AO140" i="51"/>
  <c r="AE140" i="51"/>
  <c r="AF140" i="51" s="1"/>
  <c r="T140" i="51"/>
  <c r="Z140" i="51" s="1"/>
  <c r="G140" i="51"/>
  <c r="L140" i="51" s="1"/>
  <c r="AX139" i="51"/>
  <c r="AO139" i="51"/>
  <c r="AE139" i="51"/>
  <c r="AF139" i="51" s="1"/>
  <c r="Z139" i="51"/>
  <c r="T139" i="51"/>
  <c r="Y139" i="51" s="1"/>
  <c r="L139" i="51"/>
  <c r="G139" i="51"/>
  <c r="AX138" i="51"/>
  <c r="AO138" i="51"/>
  <c r="AF138" i="51"/>
  <c r="AE138" i="51"/>
  <c r="Z138" i="51"/>
  <c r="T138" i="51"/>
  <c r="Y138" i="51" s="1"/>
  <c r="L138" i="51"/>
  <c r="G138" i="51"/>
  <c r="AX137" i="51"/>
  <c r="AO137" i="51"/>
  <c r="AE137" i="51"/>
  <c r="AF137" i="51" s="1"/>
  <c r="Y137" i="51"/>
  <c r="T137" i="51"/>
  <c r="Z137" i="51" s="1"/>
  <c r="L137" i="51"/>
  <c r="G137" i="51"/>
  <c r="AX136" i="51"/>
  <c r="AO136" i="51"/>
  <c r="AE136" i="51"/>
  <c r="AF136" i="51" s="1"/>
  <c r="T136" i="51"/>
  <c r="Z136" i="51" s="1"/>
  <c r="G136" i="51"/>
  <c r="L136" i="51" s="1"/>
  <c r="AX135" i="51"/>
  <c r="AO135" i="51"/>
  <c r="AE135" i="51"/>
  <c r="AF135" i="51" s="1"/>
  <c r="Z135" i="51"/>
  <c r="T135" i="51"/>
  <c r="Y135" i="51" s="1"/>
  <c r="L135" i="51"/>
  <c r="G135" i="51"/>
  <c r="AX134" i="51"/>
  <c r="AO134" i="51"/>
  <c r="AF134" i="51"/>
  <c r="AE134" i="51"/>
  <c r="AA134" i="51"/>
  <c r="T134" i="51"/>
  <c r="T151" i="51" s="1"/>
  <c r="G134" i="51"/>
  <c r="L134" i="51" s="1"/>
  <c r="AX133" i="51"/>
  <c r="AO133" i="51"/>
  <c r="AF133" i="51"/>
  <c r="AE133" i="51"/>
  <c r="AX132" i="51"/>
  <c r="AO132" i="51"/>
  <c r="AF132" i="51"/>
  <c r="AE132" i="51"/>
  <c r="X132" i="51"/>
  <c r="W132" i="51"/>
  <c r="K132" i="51"/>
  <c r="J132" i="51"/>
  <c r="G132" i="51"/>
  <c r="AX131" i="51"/>
  <c r="AO131" i="51"/>
  <c r="AE131" i="51"/>
  <c r="AF131" i="51" s="1"/>
  <c r="Z131" i="51"/>
  <c r="T131" i="51"/>
  <c r="Y131" i="51" s="1"/>
  <c r="L131" i="51"/>
  <c r="G131" i="51"/>
  <c r="AX130" i="51"/>
  <c r="AO130" i="51"/>
  <c r="AF130" i="51"/>
  <c r="AE130" i="51"/>
  <c r="Z130" i="51"/>
  <c r="T130" i="51"/>
  <c r="T132" i="51" s="1"/>
  <c r="L130" i="51"/>
  <c r="L132" i="51" s="1"/>
  <c r="G130" i="51"/>
  <c r="AX129" i="51"/>
  <c r="AO129" i="51"/>
  <c r="AE129" i="51"/>
  <c r="AF129" i="51" s="1"/>
  <c r="AX128" i="51"/>
  <c r="AO128" i="51"/>
  <c r="AE128" i="51"/>
  <c r="AF128" i="51" s="1"/>
  <c r="X128" i="51"/>
  <c r="W128" i="51"/>
  <c r="K128" i="51"/>
  <c r="J128" i="51"/>
  <c r="AX127" i="51"/>
  <c r="AO127" i="51"/>
  <c r="AF127" i="51"/>
  <c r="AE127" i="51"/>
  <c r="Z127" i="51"/>
  <c r="Y127" i="51"/>
  <c r="T127" i="51"/>
  <c r="L127" i="51"/>
  <c r="G127" i="51"/>
  <c r="AX126" i="51"/>
  <c r="AX179" i="51" s="1"/>
  <c r="AE88" i="51" s="1"/>
  <c r="AF88" i="51" s="1"/>
  <c r="AO126" i="51"/>
  <c r="AE126" i="51"/>
  <c r="AF126" i="51" s="1"/>
  <c r="Y126" i="51"/>
  <c r="T126" i="51"/>
  <c r="Z126" i="51" s="1"/>
  <c r="G126" i="51"/>
  <c r="L126" i="51" s="1"/>
  <c r="AO125" i="51"/>
  <c r="AE125" i="51"/>
  <c r="AF125" i="51" s="1"/>
  <c r="Y125" i="51"/>
  <c r="T125" i="51"/>
  <c r="L125" i="51"/>
  <c r="G125" i="51"/>
  <c r="Z125" i="51" s="1"/>
  <c r="AO124" i="51"/>
  <c r="AE124" i="51"/>
  <c r="AF124" i="51" s="1"/>
  <c r="Z124" i="51"/>
  <c r="T124" i="51"/>
  <c r="Y124" i="51" s="1"/>
  <c r="L124" i="51"/>
  <c r="G124" i="51"/>
  <c r="AO123" i="51"/>
  <c r="AF123" i="51"/>
  <c r="AE123" i="51"/>
  <c r="Z123" i="51"/>
  <c r="T123" i="51"/>
  <c r="Y123" i="51" s="1"/>
  <c r="L123" i="51"/>
  <c r="G123" i="51"/>
  <c r="AX122" i="51"/>
  <c r="AO122" i="51"/>
  <c r="AE122" i="51"/>
  <c r="AF122" i="51" s="1"/>
  <c r="Y122" i="51"/>
  <c r="T122" i="51"/>
  <c r="Z122" i="51" s="1"/>
  <c r="L122" i="51"/>
  <c r="G122" i="51"/>
  <c r="AX121" i="51"/>
  <c r="AO121" i="51"/>
  <c r="AE121" i="51"/>
  <c r="AF121" i="51" s="1"/>
  <c r="Z121" i="51"/>
  <c r="T121" i="51"/>
  <c r="Y121" i="51" s="1"/>
  <c r="G121" i="51"/>
  <c r="L121" i="51" s="1"/>
  <c r="AX120" i="51"/>
  <c r="AO120" i="51"/>
  <c r="AE120" i="51"/>
  <c r="AF120" i="51" s="1"/>
  <c r="Z120" i="51"/>
  <c r="T120" i="51"/>
  <c r="Y120" i="51" s="1"/>
  <c r="L120" i="51"/>
  <c r="G120" i="51"/>
  <c r="AX119" i="51"/>
  <c r="AO119" i="51"/>
  <c r="AF119" i="51"/>
  <c r="AE119" i="51"/>
  <c r="Z119" i="51"/>
  <c r="T119" i="51"/>
  <c r="Y119" i="51" s="1"/>
  <c r="L119" i="51"/>
  <c r="G119" i="51"/>
  <c r="AX118" i="51"/>
  <c r="AO118" i="51"/>
  <c r="AE118" i="51"/>
  <c r="AF118" i="51" s="1"/>
  <c r="Y118" i="51"/>
  <c r="T118" i="51"/>
  <c r="Z118" i="51" s="1"/>
  <c r="G118" i="51"/>
  <c r="AX117" i="51"/>
  <c r="AO117" i="51"/>
  <c r="AF117" i="51"/>
  <c r="AE117" i="51"/>
  <c r="Z117" i="51"/>
  <c r="Y117" i="51"/>
  <c r="T117" i="51"/>
  <c r="L117" i="51"/>
  <c r="G117" i="51"/>
  <c r="AX116" i="51"/>
  <c r="AO116" i="51"/>
  <c r="AF116" i="51"/>
  <c r="AE116" i="51"/>
  <c r="Y116" i="51"/>
  <c r="T116" i="51"/>
  <c r="G116" i="51"/>
  <c r="L116" i="51" s="1"/>
  <c r="AX115" i="51"/>
  <c r="AO115" i="51"/>
  <c r="AE115" i="51"/>
  <c r="AF115" i="51" s="1"/>
  <c r="Y115" i="51"/>
  <c r="T115" i="51"/>
  <c r="Z115" i="51" s="1"/>
  <c r="G115" i="51"/>
  <c r="L115" i="51" s="1"/>
  <c r="AX114" i="51"/>
  <c r="AO114" i="51"/>
  <c r="AF114" i="51"/>
  <c r="AE114" i="51"/>
  <c r="Z114" i="51"/>
  <c r="T114" i="51"/>
  <c r="Y114" i="51" s="1"/>
  <c r="G114" i="51"/>
  <c r="L114" i="51" s="1"/>
  <c r="AX113" i="51"/>
  <c r="AO113" i="51"/>
  <c r="AF113" i="51"/>
  <c r="AE113" i="51"/>
  <c r="Z113" i="51"/>
  <c r="Y113" i="51"/>
  <c r="T113" i="51"/>
  <c r="L113" i="51"/>
  <c r="G113" i="51"/>
  <c r="AX112" i="51"/>
  <c r="AO112" i="51"/>
  <c r="AF112" i="51"/>
  <c r="AE112" i="51"/>
  <c r="Y112" i="51"/>
  <c r="T112" i="51"/>
  <c r="G112" i="51"/>
  <c r="L112" i="51" s="1"/>
  <c r="AX111" i="51"/>
  <c r="AO111" i="51"/>
  <c r="AE111" i="51"/>
  <c r="AF111" i="51" s="1"/>
  <c r="Y111" i="51"/>
  <c r="T111" i="51"/>
  <c r="T128" i="51" s="1"/>
  <c r="Z128" i="51" s="1"/>
  <c r="G111" i="51"/>
  <c r="L111" i="51" s="1"/>
  <c r="AX110" i="51"/>
  <c r="AO110" i="51"/>
  <c r="AF110" i="51"/>
  <c r="AE110" i="51"/>
  <c r="Z110" i="51"/>
  <c r="T110" i="51"/>
  <c r="Y110" i="51" s="1"/>
  <c r="G110" i="51"/>
  <c r="G128" i="51" s="1"/>
  <c r="AX109" i="51"/>
  <c r="AO109" i="51"/>
  <c r="AF109" i="51"/>
  <c r="AE109" i="51"/>
  <c r="AX108" i="51"/>
  <c r="AO108" i="51"/>
  <c r="AE108" i="51"/>
  <c r="AF108" i="51" s="1"/>
  <c r="X108" i="51"/>
  <c r="W108" i="51"/>
  <c r="K108" i="51"/>
  <c r="J108" i="51"/>
  <c r="AX107" i="51"/>
  <c r="AO107" i="51"/>
  <c r="Z107" i="51"/>
  <c r="T107" i="51"/>
  <c r="Y107" i="51" s="1"/>
  <c r="G107" i="51"/>
  <c r="L107" i="51" s="1"/>
  <c r="AX106" i="51"/>
  <c r="AO106" i="51"/>
  <c r="AF106" i="51"/>
  <c r="AE106" i="51"/>
  <c r="Z106" i="51"/>
  <c r="Y106" i="51"/>
  <c r="T106" i="51"/>
  <c r="L106" i="51"/>
  <c r="G106" i="51"/>
  <c r="AX105" i="51"/>
  <c r="AO105" i="51"/>
  <c r="Y105" i="51"/>
  <c r="T105" i="51"/>
  <c r="G105" i="51"/>
  <c r="L105" i="51" s="1"/>
  <c r="AX104" i="51"/>
  <c r="AO104" i="51"/>
  <c r="T104" i="51"/>
  <c r="Y104" i="51" s="1"/>
  <c r="G104" i="51"/>
  <c r="L104" i="51" s="1"/>
  <c r="AX103" i="51"/>
  <c r="AO103" i="51"/>
  <c r="Z103" i="51"/>
  <c r="T103" i="51"/>
  <c r="Y103" i="51" s="1"/>
  <c r="G103" i="51"/>
  <c r="L103" i="51" s="1"/>
  <c r="AX102" i="51"/>
  <c r="AO102" i="51"/>
  <c r="Z102" i="51"/>
  <c r="Y102" i="51"/>
  <c r="T102" i="51"/>
  <c r="L102" i="51"/>
  <c r="G102" i="51"/>
  <c r="AX101" i="51"/>
  <c r="AO101" i="51"/>
  <c r="AE101" i="51"/>
  <c r="AF101" i="51" s="1"/>
  <c r="Y101" i="51"/>
  <c r="T101" i="51"/>
  <c r="G101" i="51"/>
  <c r="L101" i="51" s="1"/>
  <c r="AX100" i="51"/>
  <c r="AO100" i="51"/>
  <c r="AE100" i="51"/>
  <c r="AF100" i="51" s="1"/>
  <c r="T100" i="51"/>
  <c r="Z100" i="51" s="1"/>
  <c r="G100" i="51"/>
  <c r="L100" i="51" s="1"/>
  <c r="AX99" i="51"/>
  <c r="AO99" i="51"/>
  <c r="Z99" i="51"/>
  <c r="T99" i="51"/>
  <c r="Y99" i="51" s="1"/>
  <c r="G99" i="51"/>
  <c r="L99" i="51" s="1"/>
  <c r="AX98" i="51"/>
  <c r="AO98" i="51"/>
  <c r="Z98" i="51"/>
  <c r="Y98" i="51"/>
  <c r="T98" i="51"/>
  <c r="L98" i="51"/>
  <c r="G98" i="51"/>
  <c r="AX97" i="51"/>
  <c r="AO97" i="51"/>
  <c r="AE97" i="51"/>
  <c r="AF97" i="51" s="1"/>
  <c r="Y97" i="51"/>
  <c r="T97" i="51"/>
  <c r="G97" i="51"/>
  <c r="L97" i="51" s="1"/>
  <c r="AX96" i="51"/>
  <c r="AO96" i="51"/>
  <c r="AF96" i="51"/>
  <c r="T96" i="51"/>
  <c r="Z96" i="51" s="1"/>
  <c r="G96" i="51"/>
  <c r="L96" i="51" s="1"/>
  <c r="AX95" i="51"/>
  <c r="AO95" i="51"/>
  <c r="AE95" i="51"/>
  <c r="AF95" i="51" s="1"/>
  <c r="Z95" i="51"/>
  <c r="Y95" i="51"/>
  <c r="T95" i="51"/>
  <c r="G95" i="51"/>
  <c r="L95" i="51" s="1"/>
  <c r="AX94" i="51"/>
  <c r="AO94" i="51"/>
  <c r="AE94" i="51"/>
  <c r="AF94" i="51" s="1"/>
  <c r="T94" i="51"/>
  <c r="Z94" i="51" s="1"/>
  <c r="G94" i="51"/>
  <c r="L94" i="51" s="1"/>
  <c r="AX93" i="51"/>
  <c r="AO93" i="51"/>
  <c r="T93" i="51"/>
  <c r="AA91" i="51" s="1"/>
  <c r="G93" i="51"/>
  <c r="L93" i="51" s="1"/>
  <c r="AX92" i="51"/>
  <c r="AO92" i="51"/>
  <c r="T92" i="51"/>
  <c r="Y92" i="51" s="1"/>
  <c r="G92" i="51"/>
  <c r="L92" i="51" s="1"/>
  <c r="AX91" i="51"/>
  <c r="AO91" i="51"/>
  <c r="Y91" i="51"/>
  <c r="T91" i="51"/>
  <c r="Z91" i="51" s="1"/>
  <c r="G91" i="51"/>
  <c r="L91" i="51" s="1"/>
  <c r="AX90" i="51"/>
  <c r="AO90" i="51"/>
  <c r="T90" i="51"/>
  <c r="Z90" i="51" s="1"/>
  <c r="G90" i="51"/>
  <c r="L90" i="51" s="1"/>
  <c r="AX89" i="51"/>
  <c r="AO89" i="51"/>
  <c r="Z89" i="51"/>
  <c r="T89" i="51"/>
  <c r="Y89" i="51" s="1"/>
  <c r="L89" i="51"/>
  <c r="G89" i="51"/>
  <c r="AX88" i="51"/>
  <c r="AO88" i="51"/>
  <c r="T88" i="51"/>
  <c r="Y88" i="51" s="1"/>
  <c r="L88" i="51"/>
  <c r="G88" i="51"/>
  <c r="AX87" i="51"/>
  <c r="AO87" i="51"/>
  <c r="T87" i="51"/>
  <c r="Z87" i="51" s="1"/>
  <c r="G87" i="51"/>
  <c r="G108" i="51" s="1"/>
  <c r="I82" i="51" s="1"/>
  <c r="AX86" i="51"/>
  <c r="AO86" i="51"/>
  <c r="AX85" i="51"/>
  <c r="AO85" i="51"/>
  <c r="AX84" i="51"/>
  <c r="AO84" i="51"/>
  <c r="AX83" i="51"/>
  <c r="AO83" i="51"/>
  <c r="I83" i="51"/>
  <c r="AX82" i="51"/>
  <c r="AX123" i="51" s="1"/>
  <c r="AE99" i="51" s="1"/>
  <c r="AF99" i="51" s="1"/>
  <c r="AO82" i="51"/>
  <c r="AO158" i="51" s="1"/>
  <c r="AE84" i="51" s="1"/>
  <c r="AF84" i="51" s="1"/>
  <c r="V81" i="51"/>
  <c r="I81" i="51"/>
  <c r="E72" i="51" s="1"/>
  <c r="V80" i="51"/>
  <c r="I80" i="51"/>
  <c r="E71" i="51" s="1"/>
  <c r="Z76" i="51"/>
  <c r="Y76" i="51"/>
  <c r="X76" i="51"/>
  <c r="Z75" i="51"/>
  <c r="Y75" i="51"/>
  <c r="X75" i="51"/>
  <c r="Z74" i="51"/>
  <c r="Y74" i="51"/>
  <c r="X74" i="51"/>
  <c r="Z73" i="51"/>
  <c r="Y73" i="51"/>
  <c r="X73" i="51"/>
  <c r="Z72" i="51"/>
  <c r="Y72" i="51"/>
  <c r="X72" i="51"/>
  <c r="Z71" i="51"/>
  <c r="Y71" i="51"/>
  <c r="X71" i="51"/>
  <c r="V83" i="51" l="1"/>
  <c r="Z132" i="51"/>
  <c r="S193" i="51"/>
  <c r="Z166" i="51"/>
  <c r="F193" i="51"/>
  <c r="H191" i="51" s="1"/>
  <c r="L151" i="51"/>
  <c r="X181" i="51"/>
  <c r="X166" i="51"/>
  <c r="W166" i="51"/>
  <c r="Z174" i="51"/>
  <c r="K166" i="51"/>
  <c r="Y128" i="51"/>
  <c r="K184" i="51"/>
  <c r="L159" i="51"/>
  <c r="Z181" i="51"/>
  <c r="Y159" i="51"/>
  <c r="Z101" i="51"/>
  <c r="Z105" i="51"/>
  <c r="Z112" i="51"/>
  <c r="Z116" i="51"/>
  <c r="Y134" i="51"/>
  <c r="Y151" i="51" s="1"/>
  <c r="Z155" i="51"/>
  <c r="T159" i="51"/>
  <c r="Y171" i="51"/>
  <c r="T108" i="51"/>
  <c r="T184" i="51" s="1"/>
  <c r="Y130" i="51"/>
  <c r="Y132" i="51" s="1"/>
  <c r="Z134" i="51"/>
  <c r="Y100" i="51"/>
  <c r="Z97" i="51"/>
  <c r="Z92" i="51"/>
  <c r="Y96" i="51"/>
  <c r="Z104" i="51"/>
  <c r="L110" i="51"/>
  <c r="L128" i="51" s="1"/>
  <c r="Z111" i="51"/>
  <c r="L157" i="51"/>
  <c r="Y170" i="51"/>
  <c r="G181" i="51"/>
  <c r="Y93" i="51"/>
  <c r="L87" i="51"/>
  <c r="L108" i="51" s="1"/>
  <c r="Z88" i="51"/>
  <c r="AA92" i="51"/>
  <c r="Z170" i="51"/>
  <c r="J181" i="51"/>
  <c r="Z93" i="51"/>
  <c r="Y87" i="51"/>
  <c r="Y108" i="51" s="1"/>
  <c r="L164" i="51"/>
  <c r="K181" i="51"/>
  <c r="Y90" i="51"/>
  <c r="Y136" i="51"/>
  <c r="Y140" i="51"/>
  <c r="Y144" i="51"/>
  <c r="G151" i="51"/>
  <c r="Z151" i="51" s="1"/>
  <c r="G159" i="51"/>
  <c r="W181" i="51"/>
  <c r="W184" i="51" s="1"/>
  <c r="Y94" i="51"/>
  <c r="Y172" i="51"/>
  <c r="J184" i="51" l="1"/>
  <c r="E76" i="51" s="1"/>
  <c r="V84" i="51"/>
  <c r="G184" i="51"/>
  <c r="I84" i="51" s="1"/>
  <c r="G69" i="51" s="1"/>
  <c r="J67" i="51" s="1"/>
  <c r="L184" i="51"/>
  <c r="Y174" i="51"/>
  <c r="Y181" i="51" s="1"/>
  <c r="X184" i="51"/>
  <c r="E74" i="51" s="1"/>
  <c r="Z159" i="51"/>
  <c r="Y166" i="51" s="1"/>
  <c r="Z108" i="51"/>
  <c r="V82" i="51"/>
  <c r="J166" i="51"/>
  <c r="L166" i="51"/>
  <c r="Y184" i="51" l="1"/>
  <c r="E75" i="51"/>
  <c r="Z184" i="51"/>
</calcChain>
</file>

<file path=xl/sharedStrings.xml><?xml version="1.0" encoding="utf-8"?>
<sst xmlns="http://schemas.openxmlformats.org/spreadsheetml/2006/main" count="1832" uniqueCount="1063">
  <si>
    <t>CALA</t>
  </si>
  <si>
    <t>BDR</t>
  </si>
  <si>
    <t>TCM</t>
  </si>
  <si>
    <t>UBP</t>
  </si>
  <si>
    <t>SPI</t>
  </si>
  <si>
    <t>IP</t>
  </si>
  <si>
    <t>BST</t>
  </si>
  <si>
    <t>PWF</t>
  </si>
  <si>
    <t>HOT DICE</t>
  </si>
  <si>
    <t>HOT</t>
  </si>
  <si>
    <t>LOTERIA BONUS</t>
  </si>
  <si>
    <t>P4</t>
  </si>
  <si>
    <t>REVOLUTION</t>
  </si>
  <si>
    <t>REV</t>
  </si>
  <si>
    <t>HOTM</t>
  </si>
  <si>
    <t>HOT DICE MULTI</t>
  </si>
  <si>
    <t>POWER FORCE</t>
  </si>
  <si>
    <t>BINGO STORY</t>
  </si>
  <si>
    <t>DREAM</t>
  </si>
  <si>
    <t>TACOMANIA</t>
  </si>
  <si>
    <t>ULTIMO BINGO EN PARIS</t>
  </si>
  <si>
    <t>POWER FOUR</t>
  </si>
  <si>
    <t>DOBLE BONUS</t>
  </si>
  <si>
    <t>SPIN BINGO</t>
  </si>
  <si>
    <t>HALLO</t>
  </si>
  <si>
    <t>TOP3</t>
  </si>
  <si>
    <t>BOBBY</t>
  </si>
  <si>
    <t>HALLO WIN</t>
  </si>
  <si>
    <t>BEST TOP 3 BONUS</t>
  </si>
  <si>
    <t>BOBBY DOGGIE</t>
  </si>
  <si>
    <t>GO DICE</t>
  </si>
  <si>
    <t>GDICE</t>
  </si>
  <si>
    <t>FISH DOUBLE</t>
  </si>
  <si>
    <t>ROYAL CRAPS</t>
  </si>
  <si>
    <t>RCRP</t>
  </si>
  <si>
    <t>PRWP</t>
  </si>
  <si>
    <t>PIM PAM PUM</t>
  </si>
  <si>
    <t>PPPUM</t>
  </si>
  <si>
    <t>MULTI SPIN BINGO</t>
  </si>
  <si>
    <t>SPIM</t>
  </si>
  <si>
    <t>TACOWAY</t>
  </si>
  <si>
    <t>TCWY</t>
  </si>
  <si>
    <t>KINGO</t>
  </si>
  <si>
    <t>POWER BONUS</t>
  </si>
  <si>
    <t>PWRB</t>
  </si>
  <si>
    <t>GO POWER</t>
  </si>
  <si>
    <t>GO PWR</t>
  </si>
  <si>
    <t>LOTB</t>
  </si>
  <si>
    <t>BRYKE</t>
  </si>
  <si>
    <t>ENERGY LINK WEST</t>
  </si>
  <si>
    <t>ELK WST</t>
  </si>
  <si>
    <t>ENERGY LINK MEX</t>
  </si>
  <si>
    <t>ELK MEX</t>
  </si>
  <si>
    <t>ENERGY LINK GREEN</t>
  </si>
  <si>
    <t>ELK GRN</t>
  </si>
  <si>
    <t>ELK BLU</t>
  </si>
  <si>
    <t>ENERGY LINK BLUE</t>
  </si>
  <si>
    <t>SLEIC</t>
  </si>
  <si>
    <t>ENERGY KING DOBLE BONUS</t>
  </si>
  <si>
    <t>EK DB</t>
  </si>
  <si>
    <t>ENERGY KING P4 BONUS</t>
  </si>
  <si>
    <t>EK P4</t>
  </si>
  <si>
    <t>ENERGY KING GO DICE</t>
  </si>
  <si>
    <t>EK GDICE</t>
  </si>
  <si>
    <t>ELK P4</t>
  </si>
  <si>
    <t>ELK DB</t>
  </si>
  <si>
    <t>ENERGY LINK GO DICE</t>
  </si>
  <si>
    <t>ELK GDICE</t>
  </si>
  <si>
    <t>FSHDB</t>
  </si>
  <si>
    <t>BEER</t>
  </si>
  <si>
    <t>BEER, CHEERS FEST</t>
  </si>
  <si>
    <t>DB</t>
  </si>
  <si>
    <t>DRAGONB</t>
  </si>
  <si>
    <t>DRAGON BINGO</t>
  </si>
  <si>
    <t>GSTORM</t>
  </si>
  <si>
    <t>GOD STORM</t>
  </si>
  <si>
    <t>LMP PWR</t>
  </si>
  <si>
    <t>LAMP POWER</t>
  </si>
  <si>
    <t>LMP MEX</t>
  </si>
  <si>
    <t>LAMP MEX</t>
  </si>
  <si>
    <t>Pi</t>
  </si>
  <si>
    <t>POWER PRIZE</t>
  </si>
  <si>
    <t>TCKKK</t>
  </si>
  <si>
    <t>THE COURSE OF KUKULKAN</t>
  </si>
  <si>
    <t>TB2</t>
  </si>
  <si>
    <t>TRIPLE BONUS 2</t>
  </si>
  <si>
    <t>WDICE</t>
  </si>
  <si>
    <t>WESTERN DICE</t>
  </si>
  <si>
    <t>BLOOTER</t>
  </si>
  <si>
    <t>BLACK LOOTER</t>
  </si>
  <si>
    <t>LMP BOBBY</t>
  </si>
  <si>
    <t>LAMP BOBBY</t>
  </si>
  <si>
    <t>LMP MUS</t>
  </si>
  <si>
    <t>LAMP MUSTANG</t>
  </si>
  <si>
    <t>RFU</t>
  </si>
  <si>
    <t>ROYAL FU</t>
  </si>
  <si>
    <t>RTROP</t>
  </si>
  <si>
    <t>ROYAL TROPICAL BINGO</t>
  </si>
  <si>
    <t>BE3</t>
  </si>
  <si>
    <t>BEETLE 3</t>
  </si>
  <si>
    <t>CALACA</t>
  </si>
  <si>
    <t>DWISH</t>
  </si>
  <si>
    <t>DIAMOND WISH</t>
  </si>
  <si>
    <t>SPELLS</t>
  </si>
  <si>
    <t>SPELLS AND POTIONS</t>
  </si>
  <si>
    <t>LMP TCWY</t>
  </si>
  <si>
    <t>LAMP TACOWAY</t>
  </si>
  <si>
    <t>WCLUB</t>
  </si>
  <si>
    <t>WEALTHY CLUB</t>
  </si>
  <si>
    <t>LMP SPI</t>
  </si>
  <si>
    <t>LAMP SPIN</t>
  </si>
  <si>
    <t>LMP HALLO</t>
  </si>
  <si>
    <t>LAMP HALLO WIN</t>
  </si>
  <si>
    <t>LMP STO</t>
  </si>
  <si>
    <t>LAMP BINGO STORY</t>
  </si>
  <si>
    <t>PI</t>
  </si>
  <si>
    <t>MAORIS LAND</t>
  </si>
  <si>
    <t>MAORIS</t>
  </si>
  <si>
    <t>BLAZING PEARLS</t>
  </si>
  <si>
    <t>KST</t>
  </si>
  <si>
    <t>EK MEX</t>
  </si>
  <si>
    <t>EK WST</t>
  </si>
  <si>
    <t>PZUPDB</t>
  </si>
  <si>
    <t>PZUPGDICE</t>
  </si>
  <si>
    <t>TB</t>
  </si>
  <si>
    <t>ENERGY LINK DOBLE BONUS</t>
  </si>
  <si>
    <t>ENERGY LINK P4 BONUS</t>
  </si>
  <si>
    <t>ENERGY KING TOP</t>
  </si>
  <si>
    <t>EK TOP</t>
  </si>
  <si>
    <t>ENERGY KING AQUA</t>
  </si>
  <si>
    <t>EK AQUA</t>
  </si>
  <si>
    <t>ENERGY KING MEX</t>
  </si>
  <si>
    <t>ENERGY KING WEST</t>
  </si>
  <si>
    <t>EGYTRE</t>
  </si>
  <si>
    <t>MWPANDA</t>
  </si>
  <si>
    <t>FRPIZZA</t>
  </si>
  <si>
    <t>TGREATW</t>
  </si>
  <si>
    <t>TBD2</t>
  </si>
  <si>
    <t>EGYPT TREASURES</t>
  </si>
  <si>
    <t>FRATELLI PIZZA</t>
  </si>
  <si>
    <t>MONEY WISE PANDA</t>
  </si>
  <si>
    <t>KINGO STORY</t>
  </si>
  <si>
    <t>THE GREAT WEALTH</t>
  </si>
  <si>
    <t>PRIZE UP DOBLE BONUS</t>
  </si>
  <si>
    <t>PRIZE UP GO DICE</t>
  </si>
  <si>
    <t>BEETLE JEWELS RED</t>
  </si>
  <si>
    <t>BEJR</t>
  </si>
  <si>
    <t>FIREWORKS FU RED</t>
  </si>
  <si>
    <t>FIREFUR</t>
  </si>
  <si>
    <t>I D  5 0 5 - F O L I A T T I   S A T É L I T E</t>
  </si>
  <si>
    <t>SANITARIOS</t>
  </si>
  <si>
    <t>CAJAS</t>
  </si>
  <si>
    <t>RESTAURANTE</t>
  </si>
  <si>
    <t>AW</t>
  </si>
  <si>
    <t>SUPER WHEEL MANIA LINK</t>
  </si>
  <si>
    <t>MULTJ</t>
  </si>
  <si>
    <t>IGT</t>
  </si>
  <si>
    <t>JACKPOT LINK</t>
  </si>
  <si>
    <t>quad shot</t>
  </si>
  <si>
    <t>JVL</t>
  </si>
  <si>
    <t>NOV</t>
  </si>
  <si>
    <t>AGS</t>
  </si>
  <si>
    <t>MODULO</t>
  </si>
  <si>
    <t xml:space="preserve">multi win </t>
  </si>
  <si>
    <t>MUKTI WIN</t>
  </si>
  <si>
    <t>EGT</t>
  </si>
  <si>
    <t>TIRADA MINIMA $3.40</t>
  </si>
  <si>
    <t>WS</t>
  </si>
  <si>
    <t>Selexion</t>
  </si>
  <si>
    <t>5C</t>
  </si>
  <si>
    <t>P3</t>
  </si>
  <si>
    <t>MM</t>
  </si>
  <si>
    <t>MP</t>
  </si>
  <si>
    <t>KN</t>
  </si>
  <si>
    <t>VM</t>
  </si>
  <si>
    <t>BIB</t>
  </si>
  <si>
    <t>MER</t>
  </si>
  <si>
    <t>Invaders Attack from the Planet Moolah</t>
  </si>
  <si>
    <t>MEGA CHOICE</t>
  </si>
  <si>
    <t>SCIGA</t>
  </si>
  <si>
    <t>ISLA 2</t>
  </si>
  <si>
    <t>MULTICH</t>
  </si>
  <si>
    <t>BTS</t>
  </si>
  <si>
    <t>Tarzan</t>
  </si>
  <si>
    <t>AR</t>
  </si>
  <si>
    <t>Buffalo Grand</t>
  </si>
  <si>
    <t>ENTRADA NO FUMAR</t>
  </si>
  <si>
    <t>TIRADA MINIMA $4.00</t>
  </si>
  <si>
    <t>ISLA 1</t>
  </si>
  <si>
    <t>TIRADA MINIMA $2.50</t>
  </si>
  <si>
    <t>SIGN LKM</t>
  </si>
  <si>
    <t>LIGHTNING LINK</t>
  </si>
  <si>
    <t>25c</t>
  </si>
  <si>
    <t>COIN FU</t>
  </si>
  <si>
    <t>WINPOTSL</t>
  </si>
  <si>
    <t>ISLA 3</t>
  </si>
  <si>
    <t>BCHB</t>
  </si>
  <si>
    <t>MUL</t>
  </si>
  <si>
    <t>GOLM</t>
  </si>
  <si>
    <t>JIN JI BAO XI</t>
  </si>
  <si>
    <t>ACCESO</t>
  </si>
  <si>
    <t>TOTAL SALA</t>
  </si>
  <si>
    <t>ANTERIOR THERMO ENTREGADO</t>
  </si>
  <si>
    <t>THERMO ACTUAL</t>
  </si>
  <si>
    <t>2304-23</t>
  </si>
  <si>
    <t>FECHA</t>
  </si>
  <si>
    <t>SEMANA</t>
  </si>
  <si>
    <t>TOTAL ZITRO</t>
  </si>
  <si>
    <t>S13 a S24</t>
  </si>
  <si>
    <t>TOTAL</t>
  </si>
  <si>
    <t>F POWER</t>
  </si>
  <si>
    <t>SIN F POWER</t>
  </si>
  <si>
    <t>VS</t>
  </si>
  <si>
    <t>8 MAQ.</t>
  </si>
  <si>
    <t>TOTAL MAQUINAS CON 25C</t>
  </si>
  <si>
    <t>COIN IN X MAQ</t>
  </si>
  <si>
    <t>TOTAL MAQUINAS CON 50C</t>
  </si>
  <si>
    <t>MEDIA</t>
  </si>
  <si>
    <t>OCUPACIÓN</t>
  </si>
  <si>
    <t>TOTAL BLACK</t>
  </si>
  <si>
    <t>% DEV</t>
  </si>
  <si>
    <t>TOTAL BLUE</t>
  </si>
  <si>
    <t>AP X PART</t>
  </si>
  <si>
    <t>TOTAL FUSION</t>
  </si>
  <si>
    <t>PART X MAQ X DIA</t>
  </si>
  <si>
    <t>TABLA DE JUEGOS ZITRO</t>
  </si>
  <si>
    <t>MAQUINAS CON 25C FUMAR</t>
  </si>
  <si>
    <t>MAQUINAS CON 25C NO FUMAR</t>
  </si>
  <si>
    <t>TABLA COMPETENCIA</t>
  </si>
  <si>
    <t>MAQUINAS CON 50C FUMAR</t>
  </si>
  <si>
    <t>MAQUINAS CON 50C NO FUMAR</t>
  </si>
  <si>
    <t>EIBE</t>
  </si>
  <si>
    <t>LUDICUS/IGT Bingo</t>
  </si>
  <si>
    <t>TOTAL FUMAR FAMILIA POWER</t>
  </si>
  <si>
    <t>TOTAL NO FUMAR FAMILIA POWER</t>
  </si>
  <si>
    <t>PROVEEDOR</t>
  </si>
  <si>
    <t>MAQUINAS</t>
  </si>
  <si>
    <t>% SALA</t>
  </si>
  <si>
    <t>ACE BONUS</t>
  </si>
  <si>
    <t>ACB</t>
  </si>
  <si>
    <t>BARON ROJO</t>
  </si>
  <si>
    <t>BR</t>
  </si>
  <si>
    <t>TOTAL FUMAR BISONTE / BINGO STORY</t>
  </si>
  <si>
    <t>TOTAL NO FUMAR BISONTE / BINGO STORY</t>
  </si>
  <si>
    <t>B I N G O</t>
  </si>
  <si>
    <t>ACE MANIA</t>
  </si>
  <si>
    <t>ACM</t>
  </si>
  <si>
    <t>BEE WILD</t>
  </si>
  <si>
    <t>BW</t>
  </si>
  <si>
    <t>TOTAL FUMAR SALA</t>
  </si>
  <si>
    <t>TOTAL NO FUMAR SALA</t>
  </si>
  <si>
    <t>ALL STAR</t>
  </si>
  <si>
    <t>ALLSTR</t>
  </si>
  <si>
    <t>BICHOS PARTY</t>
  </si>
  <si>
    <t>BP</t>
  </si>
  <si>
    <t>AMBRA GAMING</t>
  </si>
  <si>
    <t>AMBRA</t>
  </si>
  <si>
    <t>BEACH BINGO</t>
  </si>
  <si>
    <t>BING KONG</t>
  </si>
  <si>
    <t>BK</t>
  </si>
  <si>
    <t>FAMILIA POWER</t>
  </si>
  <si>
    <t>FUSION</t>
  </si>
  <si>
    <t>BLACK</t>
  </si>
  <si>
    <t>BLUE</t>
  </si>
  <si>
    <t>TOTAL JUEGO</t>
  </si>
  <si>
    <t>METRONIA / BEMEX</t>
  </si>
  <si>
    <t>MET</t>
  </si>
  <si>
    <t>BEST BINGO</t>
  </si>
  <si>
    <t>BB</t>
  </si>
  <si>
    <t>BINGO GRAND HIT</t>
  </si>
  <si>
    <t>BGHI</t>
  </si>
  <si>
    <t>SABIA</t>
  </si>
  <si>
    <t>SAB</t>
  </si>
  <si>
    <t>BIG SCORE</t>
  </si>
  <si>
    <t>BIGCRE</t>
  </si>
  <si>
    <t xml:space="preserve">BINGO JOKER </t>
  </si>
  <si>
    <t>BJK</t>
  </si>
  <si>
    <t>*</t>
  </si>
  <si>
    <t>FBM</t>
  </si>
  <si>
    <t>BINGO MAN</t>
  </si>
  <si>
    <t>BMAN</t>
  </si>
  <si>
    <t>BINGO LINK 10</t>
  </si>
  <si>
    <t>BLINK10</t>
  </si>
  <si>
    <t>JESTRONIC</t>
  </si>
  <si>
    <t>BINGOL</t>
  </si>
  <si>
    <t>BGOL</t>
  </si>
  <si>
    <t>BINGO LINK DOBLE BONUS</t>
  </si>
  <si>
    <t>BLINKDB</t>
  </si>
  <si>
    <t>DBF</t>
  </si>
  <si>
    <t>R. FRANCO</t>
  </si>
  <si>
    <t>FRANCO</t>
  </si>
  <si>
    <t>BINGOLE</t>
  </si>
  <si>
    <t>BLE</t>
  </si>
  <si>
    <t>BINGO LINK GOLDEN</t>
  </si>
  <si>
    <t>BLINKG</t>
  </si>
  <si>
    <t>KONAMI BINGO</t>
  </si>
  <si>
    <t>KNBINGO</t>
  </si>
  <si>
    <t>BINGOLE PLUS</t>
  </si>
  <si>
    <t>BLEP</t>
  </si>
  <si>
    <t>BINGO JONES</t>
  </si>
  <si>
    <t>BJN</t>
  </si>
  <si>
    <t>WINPOT / DREIDEL</t>
  </si>
  <si>
    <t>WINPOT</t>
  </si>
  <si>
    <t>BINGOLE PRIME</t>
  </si>
  <si>
    <t>BLEPm</t>
  </si>
  <si>
    <t>BUFFALO KINGS</t>
  </si>
  <si>
    <t>BUFF</t>
  </si>
  <si>
    <t>SLEIC (OTIUM - UNIDESA)</t>
  </si>
  <si>
    <t>BUBBLE MANIA</t>
  </si>
  <si>
    <r>
      <rPr>
        <b/>
        <sz val="12"/>
        <color rgb="FFB2A1C6"/>
        <rFont val="Calibri"/>
        <family val="2"/>
      </rPr>
      <t>BUB</t>
    </r>
    <r>
      <rPr>
        <b/>
        <sz val="12"/>
        <color rgb="FFFFFF00"/>
        <rFont val="Calibri"/>
        <family val="2"/>
      </rPr>
      <t>BLE</t>
    </r>
  </si>
  <si>
    <t>DRAGONS TREASURE</t>
  </si>
  <si>
    <t>DRTR</t>
  </si>
  <si>
    <t>PACHINKO</t>
  </si>
  <si>
    <t>CAPITAN PARROT</t>
  </si>
  <si>
    <t>CP</t>
  </si>
  <si>
    <t>FIGHT AND WIN</t>
  </si>
  <si>
    <t>FGTW</t>
  </si>
  <si>
    <t>BLUBERI</t>
  </si>
  <si>
    <t>BLUB</t>
  </si>
  <si>
    <t>CHICKEN FARM</t>
  </si>
  <si>
    <t>CFM</t>
  </si>
  <si>
    <t>FLYING PIGS</t>
  </si>
  <si>
    <t>FPIG</t>
  </si>
  <si>
    <t>BETSTONE BINGO</t>
  </si>
  <si>
    <t>BTSB</t>
  </si>
  <si>
    <t>-</t>
  </si>
  <si>
    <t>CINE BINGO</t>
  </si>
  <si>
    <t>CINEB</t>
  </si>
  <si>
    <t>FUNNY CREATURES</t>
  </si>
  <si>
    <t>FC</t>
  </si>
  <si>
    <t>SHOWBALL</t>
  </si>
  <si>
    <t>SHOW</t>
  </si>
  <si>
    <t>CINE BINGO MULTI</t>
  </si>
  <si>
    <t>MCINEB</t>
  </si>
  <si>
    <t>HUNGRY FISH</t>
  </si>
  <si>
    <t>HUF</t>
  </si>
  <si>
    <t>LATINA WORLD GAMING</t>
  </si>
  <si>
    <t>LATINWG</t>
  </si>
  <si>
    <t>CIRCUS</t>
  </si>
  <si>
    <t>CIR</t>
  </si>
  <si>
    <t>LAS MIL Y UNA NOCHES</t>
  </si>
  <si>
    <t>MYUN</t>
  </si>
  <si>
    <t>LUD/IGT B</t>
  </si>
  <si>
    <t>DINO BINGO</t>
  </si>
  <si>
    <t>DINO</t>
  </si>
  <si>
    <t>LA CHIRIPA</t>
  </si>
  <si>
    <t>LACHI</t>
  </si>
  <si>
    <t>AGSB</t>
  </si>
  <si>
    <t>DULCE MANIA</t>
  </si>
  <si>
    <t>DULM</t>
  </si>
  <si>
    <t>LOS GNOMOS</t>
  </si>
  <si>
    <t>LGMS</t>
  </si>
  <si>
    <t>VDK2</t>
  </si>
  <si>
    <t>VDK</t>
  </si>
  <si>
    <t>EL DORADO BINGO</t>
  </si>
  <si>
    <t>DORAD</t>
  </si>
  <si>
    <t>LUCKY PRINCESS</t>
  </si>
  <si>
    <t>LKP</t>
  </si>
  <si>
    <t>DEGESTEC BINGO</t>
  </si>
  <si>
    <t>DEGESTEC B</t>
  </si>
  <si>
    <t>EL PEZ</t>
  </si>
  <si>
    <t>PEZ</t>
  </si>
  <si>
    <t>MARTINS FORTUNE</t>
  </si>
  <si>
    <t>MARTF</t>
  </si>
  <si>
    <t>JCB GAMING</t>
  </si>
  <si>
    <t>JCB</t>
  </si>
  <si>
    <t>FIESTA BINGO</t>
  </si>
  <si>
    <t>FSTB</t>
  </si>
  <si>
    <t>MEDIEBALL</t>
  </si>
  <si>
    <t>MEB</t>
  </si>
  <si>
    <t>RCT BINGO</t>
  </si>
  <si>
    <t>RCT B</t>
  </si>
  <si>
    <t>FIRST MANIA</t>
  </si>
  <si>
    <t>FM</t>
  </si>
  <si>
    <t>MULTI BINGO PACK</t>
  </si>
  <si>
    <t>MBGP</t>
  </si>
  <si>
    <t>INTERVISION BINGO</t>
  </si>
  <si>
    <t>INTVB</t>
  </si>
  <si>
    <t>FOUR BINGO</t>
  </si>
  <si>
    <t>FB</t>
  </si>
  <si>
    <t xml:space="preserve">NEW BINGO CITY </t>
  </si>
  <si>
    <t>BCTY</t>
  </si>
  <si>
    <t>OTROS BINGO</t>
  </si>
  <si>
    <t>OTROS B</t>
  </si>
  <si>
    <t>GAMBETA BINGO</t>
  </si>
  <si>
    <t>GAMB</t>
  </si>
  <si>
    <t>OLYMPUS</t>
  </si>
  <si>
    <t>OLYM</t>
  </si>
  <si>
    <t>R O D I L L O S</t>
  </si>
  <si>
    <t>GLADIATOR</t>
  </si>
  <si>
    <t>GLAR</t>
  </si>
  <si>
    <t>PANDA 88</t>
  </si>
  <si>
    <t>PAN88</t>
  </si>
  <si>
    <t>AINSWORTH</t>
  </si>
  <si>
    <t>GOL MANIA</t>
  </si>
  <si>
    <t>PICOSOMETRO</t>
  </si>
  <si>
    <t>PICO</t>
  </si>
  <si>
    <t>BISONTE / BINGO STORY</t>
  </si>
  <si>
    <t>ADMIRAL</t>
  </si>
  <si>
    <t>ADMI</t>
  </si>
  <si>
    <t>GOL MANIA PLUS</t>
  </si>
  <si>
    <t>GOLMP</t>
  </si>
  <si>
    <t>PIG WIZARD</t>
  </si>
  <si>
    <t>PGW</t>
  </si>
  <si>
    <t>ATLAS</t>
  </si>
  <si>
    <t>AGT</t>
  </si>
  <si>
    <t>GOL MANIA PRIME</t>
  </si>
  <si>
    <t>GOLMPm</t>
  </si>
  <si>
    <t>PIRATES OF THE BINGO SEA</t>
  </si>
  <si>
    <t>PSEA</t>
  </si>
  <si>
    <t>ALFASTREET</t>
  </si>
  <si>
    <t>AST</t>
  </si>
  <si>
    <t>HOT CHILLI</t>
  </si>
  <si>
    <t>HTC</t>
  </si>
  <si>
    <t>PLAYA BINGO</t>
  </si>
  <si>
    <t>PLAB</t>
  </si>
  <si>
    <t>KATANA BINGO</t>
  </si>
  <si>
    <t>KATNA</t>
  </si>
  <si>
    <t>REYES DEL RING</t>
  </si>
  <si>
    <t>RDR</t>
  </si>
  <si>
    <t>AMATIC</t>
  </si>
  <si>
    <t>AMA</t>
  </si>
  <si>
    <t>LE BON BON</t>
  </si>
  <si>
    <t>LBON</t>
  </si>
  <si>
    <t>ROUTE 66</t>
  </si>
  <si>
    <t>R66</t>
  </si>
  <si>
    <t>AMUSGO</t>
  </si>
  <si>
    <t>AMGO</t>
  </si>
  <si>
    <t>LOCOMODIN</t>
  </si>
  <si>
    <t>LMDIN</t>
  </si>
  <si>
    <t>ROUTE 66 MULTI</t>
  </si>
  <si>
    <t>R66M</t>
  </si>
  <si>
    <t>APEX</t>
  </si>
  <si>
    <t>LOCOMODIN PLUS</t>
  </si>
  <si>
    <t>LMDIN P</t>
  </si>
  <si>
    <t>ROUTE TO WIN</t>
  </si>
  <si>
    <t>RTW</t>
  </si>
  <si>
    <t>ARISTOCRAT</t>
  </si>
  <si>
    <t>LOCOMODIN PRIME</t>
  </si>
  <si>
    <t>LMDIN Pm</t>
  </si>
  <si>
    <t>RULETA DE LA SUERTE</t>
  </si>
  <si>
    <t>RDS</t>
  </si>
  <si>
    <t>ARUZE</t>
  </si>
  <si>
    <t>ARU</t>
  </si>
  <si>
    <t>LOVE</t>
  </si>
  <si>
    <t>LV</t>
  </si>
  <si>
    <t>SLOT 66</t>
  </si>
  <si>
    <t>S66</t>
  </si>
  <si>
    <t>ASTRO</t>
  </si>
  <si>
    <t>LUCKY NOTE</t>
  </si>
  <si>
    <t>LN</t>
  </si>
  <si>
    <t>TESORO DEL CARIBE</t>
  </si>
  <si>
    <t>TC</t>
  </si>
  <si>
    <t>ATRONIC</t>
  </si>
  <si>
    <t>AT</t>
  </si>
  <si>
    <t>MAGIC CELTIC BINGO</t>
  </si>
  <si>
    <t>MAGCELT</t>
  </si>
  <si>
    <t>VIKINGS</t>
  </si>
  <si>
    <t>VK</t>
  </si>
  <si>
    <t>AURIFY</t>
  </si>
  <si>
    <t>AFI</t>
  </si>
  <si>
    <t>MAGIC DRAGON</t>
  </si>
  <si>
    <t>MAGD</t>
  </si>
  <si>
    <t>WILD TRAIN</t>
  </si>
  <si>
    <t>WDT</t>
  </si>
  <si>
    <t>AVANTIME</t>
  </si>
  <si>
    <t>AV</t>
  </si>
  <si>
    <t>MASTER SHOW</t>
  </si>
  <si>
    <t>MSTRSH</t>
  </si>
  <si>
    <t>WILD WEST</t>
  </si>
  <si>
    <t>WT</t>
  </si>
  <si>
    <t>BELATRA (MULTIVISION)</t>
  </si>
  <si>
    <t>BEL</t>
  </si>
  <si>
    <t>MIN LUN LUO GOLDEN DRAGON</t>
  </si>
  <si>
    <t>MLUGD</t>
  </si>
  <si>
    <t>WIN &amp; ROLL</t>
  </si>
  <si>
    <t>WNRLL</t>
  </si>
  <si>
    <t>BETSTONE</t>
  </si>
  <si>
    <t>MR.X</t>
  </si>
  <si>
    <t>MX</t>
  </si>
  <si>
    <t>TOTAL LUDICUS</t>
  </si>
  <si>
    <t>BLU</t>
  </si>
  <si>
    <t>MULTI MANIA</t>
  </si>
  <si>
    <t>MULMA</t>
  </si>
  <si>
    <t>BRAVO GAMES</t>
  </si>
  <si>
    <t>BGAMES</t>
  </si>
  <si>
    <t>MULTI TRIPLE</t>
  </si>
  <si>
    <t>MT</t>
  </si>
  <si>
    <t>MULTIBINGO</t>
  </si>
  <si>
    <t>30 MANIA BONUS</t>
  </si>
  <si>
    <t>30MB</t>
  </si>
  <si>
    <t>CASINO TECHNOLOGY</t>
  </si>
  <si>
    <t>CT</t>
  </si>
  <si>
    <t>MYKONOS BINGO</t>
  </si>
  <si>
    <t>MYK</t>
  </si>
  <si>
    <t>ANCIENT TROPIC</t>
  </si>
  <si>
    <t>ANTRP</t>
  </si>
  <si>
    <t>CELEBRITY</t>
  </si>
  <si>
    <t>CELE</t>
  </si>
  <si>
    <t>NEW MANIA</t>
  </si>
  <si>
    <t>NWM</t>
  </si>
  <si>
    <t>ARTIC BLAST</t>
  </si>
  <si>
    <t>ARTB</t>
  </si>
  <si>
    <t>PRIZE UP</t>
  </si>
  <si>
    <t>CV GAMES</t>
  </si>
  <si>
    <t>CV G</t>
  </si>
  <si>
    <t>NEW TRIPLE</t>
  </si>
  <si>
    <t>NT</t>
  </si>
  <si>
    <t>BASKETBALL BINGO</t>
  </si>
  <si>
    <t>BKTB</t>
  </si>
  <si>
    <t>CYBERVIEW</t>
  </si>
  <si>
    <t>CYB</t>
  </si>
  <si>
    <t>NIGHT BINGO</t>
  </si>
  <si>
    <t>NBNG</t>
  </si>
  <si>
    <t>BINGO BLAST</t>
  </si>
  <si>
    <t>DEGESTEC</t>
  </si>
  <si>
    <t>OASIS BINGO</t>
  </si>
  <si>
    <t>OASIS</t>
  </si>
  <si>
    <t>BINGO BLAST BONUS</t>
  </si>
  <si>
    <t>BIBB</t>
  </si>
  <si>
    <t>DIGIDEAL</t>
  </si>
  <si>
    <t>DGD</t>
  </si>
  <si>
    <t>OK BINGO</t>
  </si>
  <si>
    <t>OB</t>
  </si>
  <si>
    <t>BINGO BLAST PIRATES</t>
  </si>
  <si>
    <t>BIBP</t>
  </si>
  <si>
    <t>RESTO FAM</t>
  </si>
  <si>
    <t>DIXPA GAMES</t>
  </si>
  <si>
    <t>DIXG</t>
  </si>
  <si>
    <t>OLE</t>
  </si>
  <si>
    <t>BINGO PILIPINO</t>
  </si>
  <si>
    <t>BPILI</t>
  </si>
  <si>
    <t>BEETLE BINGO (BDR)</t>
  </si>
  <si>
    <t>E-GAMING (MULTI JUEGOS)</t>
  </si>
  <si>
    <t>E-GAM</t>
  </si>
  <si>
    <t>PANDA SHOW</t>
  </si>
  <si>
    <t>PNDSH</t>
  </si>
  <si>
    <t>BINGO RANCHO</t>
  </si>
  <si>
    <t>BRANCH</t>
  </si>
  <si>
    <t>EIBE SLOTS OTIUM</t>
  </si>
  <si>
    <t>EIBE-SLTOTIUM</t>
  </si>
  <si>
    <t xml:space="preserve">PILIBINGO </t>
  </si>
  <si>
    <t>PB</t>
  </si>
  <si>
    <t>BINGO-GO</t>
  </si>
  <si>
    <t>BGO</t>
  </si>
  <si>
    <t>EIBE SLOTS</t>
  </si>
  <si>
    <t>EIBE-SLT</t>
  </si>
  <si>
    <t>RICO EL TOPO</t>
  </si>
  <si>
    <t>RET</t>
  </si>
  <si>
    <t>BINGOLICIOUS</t>
  </si>
  <si>
    <t>BLIC</t>
  </si>
  <si>
    <t>ENCORE</t>
  </si>
  <si>
    <t>ENCO</t>
  </si>
  <si>
    <t>RIMBA BINGO</t>
  </si>
  <si>
    <t>RIMB</t>
  </si>
  <si>
    <t>CASH CLOCK</t>
  </si>
  <si>
    <t>$CLK</t>
  </si>
  <si>
    <t>RODEO BINGO</t>
  </si>
  <si>
    <t>RODB</t>
  </si>
  <si>
    <t>CATCH THE GOLD</t>
  </si>
  <si>
    <t>CATG</t>
  </si>
  <si>
    <t>EVERI</t>
  </si>
  <si>
    <t>EVER</t>
  </si>
  <si>
    <t>ROMA BINGO</t>
  </si>
  <si>
    <t>ROMB</t>
  </si>
  <si>
    <t>CHAMPION BINGO</t>
  </si>
  <si>
    <t>CHBIN</t>
  </si>
  <si>
    <t>FBM RODILLOS</t>
  </si>
  <si>
    <t>FBMRO</t>
  </si>
  <si>
    <t>ROYAL TRIPLE</t>
  </si>
  <si>
    <t>RT</t>
  </si>
  <si>
    <t>CHICHEN ITZA</t>
  </si>
  <si>
    <t>CHIT</t>
  </si>
  <si>
    <t>GAME MEDIA WORKS</t>
  </si>
  <si>
    <t>GMW</t>
  </si>
  <si>
    <t>SIX BINGO</t>
  </si>
  <si>
    <t>SIXB</t>
  </si>
  <si>
    <t>EASY MONEY BINGO</t>
  </si>
  <si>
    <t>EMB</t>
  </si>
  <si>
    <t>GAMES UNLIMITED</t>
  </si>
  <si>
    <t>GU</t>
  </si>
  <si>
    <t>SKY BONUS</t>
  </si>
  <si>
    <t>SKB</t>
  </si>
  <si>
    <t>GOLD FEVER</t>
  </si>
  <si>
    <t>GLDF</t>
  </si>
  <si>
    <t>GAMINATOR</t>
  </si>
  <si>
    <t>GTOR</t>
  </si>
  <si>
    <t>SMASH BINGO</t>
  </si>
  <si>
    <t>SMB</t>
  </si>
  <si>
    <t>GOLDEN BALL</t>
  </si>
  <si>
    <t>GBALL</t>
  </si>
  <si>
    <t>GOLDEN GAMING</t>
  </si>
  <si>
    <t>GGAM</t>
  </si>
  <si>
    <t>TAJ BINGO</t>
  </si>
  <si>
    <t>TAJ</t>
  </si>
  <si>
    <t>GOLDEN CITY</t>
  </si>
  <si>
    <t>GCT</t>
  </si>
  <si>
    <t>GOLDEN SYSTEM</t>
  </si>
  <si>
    <t>GSYM</t>
  </si>
  <si>
    <t>TOP PREMIUM</t>
  </si>
  <si>
    <t>TOP</t>
  </si>
  <si>
    <t>GOLDEN LUCK</t>
  </si>
  <si>
    <t>GLK</t>
  </si>
  <si>
    <t>GT SOURCE</t>
  </si>
  <si>
    <t>GTS</t>
  </si>
  <si>
    <t>TOWER LINK</t>
  </si>
  <si>
    <t>TLINK</t>
  </si>
  <si>
    <t>GOLDEN METROPOLIS</t>
  </si>
  <si>
    <t>GMET</t>
  </si>
  <si>
    <t>HEAL TECNOLOGY</t>
  </si>
  <si>
    <t>HTEC</t>
  </si>
  <si>
    <t>TRIPLE BONUS</t>
  </si>
  <si>
    <t>GOLDEN NEW YEAR</t>
  </si>
  <si>
    <t>GNWY</t>
  </si>
  <si>
    <t>ID GAMMING</t>
  </si>
  <si>
    <t>IDG</t>
  </si>
  <si>
    <t>TRIPLE BONUS PLUS</t>
  </si>
  <si>
    <t>TBP</t>
  </si>
  <si>
    <t>HUNT BINGO</t>
  </si>
  <si>
    <t>HB</t>
  </si>
  <si>
    <t>TRIPLE BONUS PRIME</t>
  </si>
  <si>
    <t>TBPm</t>
  </si>
  <si>
    <t>ICE BLAST</t>
  </si>
  <si>
    <t>ICEB</t>
  </si>
  <si>
    <t>INCREDIBLE TECHNOLOGIES</t>
  </si>
  <si>
    <t>INCTECH</t>
  </si>
  <si>
    <t>TRIPLE EVOLUTION</t>
  </si>
  <si>
    <t>TE</t>
  </si>
  <si>
    <t>KINGDOM GEMS</t>
  </si>
  <si>
    <t>KGEMS</t>
  </si>
  <si>
    <t>INTERACTIVE</t>
  </si>
  <si>
    <t>INTER</t>
  </si>
  <si>
    <t>TRIPLE MANIA</t>
  </si>
  <si>
    <t>TM</t>
  </si>
  <si>
    <t>MAGIC CHAMPION</t>
  </si>
  <si>
    <t>MGCH</t>
  </si>
  <si>
    <t>INTERBLOCK</t>
  </si>
  <si>
    <t>INTB</t>
  </si>
  <si>
    <t>TRIPLE MANIA BONUS</t>
  </si>
  <si>
    <t>TMB</t>
  </si>
  <si>
    <t>MAGIC MANIA</t>
  </si>
  <si>
    <t>MAGM</t>
  </si>
  <si>
    <t>INTERVISION</t>
  </si>
  <si>
    <t>INTV</t>
  </si>
  <si>
    <t>TRIPLE MANIA BONUS PLUS</t>
  </si>
  <si>
    <t>TMBP</t>
  </si>
  <si>
    <t>MALL MANIA</t>
  </si>
  <si>
    <t>MALLM</t>
  </si>
  <si>
    <t>ENERGY LINK</t>
  </si>
  <si>
    <t>JAMES</t>
  </si>
  <si>
    <t>JMES</t>
  </si>
  <si>
    <t>TRIPLE MANIA BONUS PRIME</t>
  </si>
  <si>
    <t>TMBPm</t>
  </si>
  <si>
    <t>MASSKARA BINGO</t>
  </si>
  <si>
    <t>MSKB</t>
  </si>
  <si>
    <t>JESTRE</t>
  </si>
  <si>
    <t>JES</t>
  </si>
  <si>
    <t>TRIPLE TURBO</t>
  </si>
  <si>
    <t>TT</t>
  </si>
  <si>
    <t>MAYA</t>
  </si>
  <si>
    <t>MY</t>
  </si>
  <si>
    <t>VIKINGS GOLD</t>
  </si>
  <si>
    <t>VKG</t>
  </si>
  <si>
    <t>MEDIEVAL BINGO</t>
  </si>
  <si>
    <t>MDVB</t>
  </si>
  <si>
    <t>KONAMI</t>
  </si>
  <si>
    <t>WHITE TIGER BINGO</t>
  </si>
  <si>
    <t>WTB</t>
  </si>
  <si>
    <t>MEGA 25</t>
  </si>
  <si>
    <t>MG25</t>
  </si>
  <si>
    <t>LEGENDARY GAMING/BAUM GAMES</t>
  </si>
  <si>
    <t>BAUM</t>
  </si>
  <si>
    <t>TOTAL EIBE</t>
  </si>
  <si>
    <t>MULTI BINGO</t>
  </si>
  <si>
    <t>MB</t>
  </si>
  <si>
    <t>TOTAL ENERGY LINK</t>
  </si>
  <si>
    <t>MERKUR</t>
  </si>
  <si>
    <t>TOTAL MUEBLE O-FUTURE</t>
  </si>
  <si>
    <t>O-FUT</t>
  </si>
  <si>
    <t>MULTI CHAMPION BONUS</t>
  </si>
  <si>
    <t>MCHB</t>
  </si>
  <si>
    <t>MULTI MEDIA GAMES</t>
  </si>
  <si>
    <t>MMG</t>
  </si>
  <si>
    <t>MULTI CHANCE</t>
  </si>
  <si>
    <t>MCH</t>
  </si>
  <si>
    <t>NOVOMATIC</t>
  </si>
  <si>
    <t>MULTI MEGA</t>
  </si>
  <si>
    <t>ENERGY LINK 3x5</t>
  </si>
  <si>
    <t>OPERADORA CLASS LK</t>
  </si>
  <si>
    <t>CLASSLK</t>
  </si>
  <si>
    <t>20 GRATIS</t>
  </si>
  <si>
    <t>20G</t>
  </si>
  <si>
    <t>MULTI MEGA BONUS</t>
  </si>
  <si>
    <t>MMB</t>
  </si>
  <si>
    <t>ORION</t>
  </si>
  <si>
    <t>ORI</t>
  </si>
  <si>
    <t>ASTRAL</t>
  </si>
  <si>
    <t>ASTRA</t>
  </si>
  <si>
    <t>MULTI MEGA ICE BLAST</t>
  </si>
  <si>
    <t>MMIB</t>
  </si>
  <si>
    <t>PAULA</t>
  </si>
  <si>
    <t>PAU</t>
  </si>
  <si>
    <t>AVE CAESAR GRATIS</t>
  </si>
  <si>
    <t>ACG</t>
  </si>
  <si>
    <t>MULTI MEGA MILLONAIRE</t>
  </si>
  <si>
    <t>MMBM</t>
  </si>
  <si>
    <t>PRIOR 2 ARRIVAL</t>
  </si>
  <si>
    <t>P2A</t>
  </si>
  <si>
    <t>BINGO IMPERIUM XII</t>
  </si>
  <si>
    <t>IMP XII</t>
  </si>
  <si>
    <t>MULTI PLUS</t>
  </si>
  <si>
    <t>TOTAL ENERGY LINK 3x5</t>
  </si>
  <si>
    <t>PROMATIC</t>
  </si>
  <si>
    <t>PMAT</t>
  </si>
  <si>
    <t>BINGO TOP GRATIS</t>
  </si>
  <si>
    <t>BNTG</t>
  </si>
  <si>
    <t>MULTI PLUS BONUS</t>
  </si>
  <si>
    <t>MPB</t>
  </si>
  <si>
    <t>RCT</t>
  </si>
  <si>
    <t>BOMBA MULTI GAME</t>
  </si>
  <si>
    <t>BMG</t>
  </si>
  <si>
    <t>PLUS 3</t>
  </si>
  <si>
    <t>SB</t>
  </si>
  <si>
    <t>DOBLE GRATIS</t>
  </si>
  <si>
    <t>DMG</t>
  </si>
  <si>
    <t>PLUS 3 BONUS</t>
  </si>
  <si>
    <t>P3B</t>
  </si>
  <si>
    <t>ENERGY KING 3x4</t>
  </si>
  <si>
    <t>LIGHT &amp; WONDER</t>
  </si>
  <si>
    <t>DOBLE MANIA</t>
  </si>
  <si>
    <t>DM</t>
  </si>
  <si>
    <t>PLUS 3 MULTI</t>
  </si>
  <si>
    <t>P3M</t>
  </si>
  <si>
    <t>SCORPIO GAMING INTERNATIONAL</t>
  </si>
  <si>
    <t>SGINT</t>
  </si>
  <si>
    <t>FUSION LINK</t>
  </si>
  <si>
    <t>FLINK</t>
  </si>
  <si>
    <t>RACINGO</t>
  </si>
  <si>
    <t>RACNG</t>
  </si>
  <si>
    <t>SEGA SAMMY CREATION</t>
  </si>
  <si>
    <t>SAMMY</t>
  </si>
  <si>
    <t>IMPERIUM</t>
  </si>
  <si>
    <t>ROCK STAR</t>
  </si>
  <si>
    <t>RKS</t>
  </si>
  <si>
    <t>SHOWBALL RODILLOS</t>
  </si>
  <si>
    <t>SHOWRO</t>
  </si>
  <si>
    <t>IMPERIUM GRATIS</t>
  </si>
  <si>
    <t>IMG</t>
  </si>
  <si>
    <t>RUBINGO</t>
  </si>
  <si>
    <t>RBGO</t>
  </si>
  <si>
    <t>SLEIC RODILLOS</t>
  </si>
  <si>
    <t>SLERO</t>
  </si>
  <si>
    <t>JOKER MEX</t>
  </si>
  <si>
    <t>JKM</t>
  </si>
  <si>
    <t>SANDS OF FORTUNE</t>
  </si>
  <si>
    <t>SOFE</t>
  </si>
  <si>
    <t xml:space="preserve">TOTAL ENERGY KING
</t>
  </si>
  <si>
    <t>SPIELO</t>
  </si>
  <si>
    <t>SPLO</t>
  </si>
  <si>
    <t>JOKER WIN</t>
  </si>
  <si>
    <t>JKW</t>
  </si>
  <si>
    <t>THE KING</t>
  </si>
  <si>
    <t>KNG</t>
  </si>
  <si>
    <t>TECNOVISION</t>
  </si>
  <si>
    <t>TCNO</t>
  </si>
  <si>
    <t>L´AMOR</t>
  </si>
  <si>
    <t>L´A</t>
  </si>
  <si>
    <t>TREASURE BINGO</t>
  </si>
  <si>
    <t>TRB</t>
  </si>
  <si>
    <t>VEGAVISION</t>
  </si>
  <si>
    <t>VEGA</t>
  </si>
  <si>
    <t>LA VIDENTE</t>
  </si>
  <si>
    <t>LAV</t>
  </si>
  <si>
    <t>UNDERWATER RICHES</t>
  </si>
  <si>
    <t>UNDW</t>
  </si>
  <si>
    <t>ENERGY KING 3x5</t>
  </si>
  <si>
    <t>VGT</t>
  </si>
  <si>
    <t>LAST MANIA</t>
  </si>
  <si>
    <t>LM</t>
  </si>
  <si>
    <t>VIVA MEXICO</t>
  </si>
  <si>
    <t>WINPOT / DREIDEL SL</t>
  </si>
  <si>
    <t>LONDON PLAY</t>
  </si>
  <si>
    <t>LONP</t>
  </si>
  <si>
    <t>VOLCANO</t>
  </si>
  <si>
    <t>VOLC</t>
  </si>
  <si>
    <t>WIN SYSTEM</t>
  </si>
  <si>
    <t>MEPHISTOFELES</t>
  </si>
  <si>
    <t>MEPH</t>
  </si>
  <si>
    <t>TOTAL FBM</t>
  </si>
  <si>
    <t>OTROS SLOTS</t>
  </si>
  <si>
    <t>OTROS SL</t>
  </si>
  <si>
    <t>MEXICAN GAME</t>
  </si>
  <si>
    <t>MEXG</t>
  </si>
  <si>
    <t>TOTAL ENERGY KING 3x5</t>
  </si>
  <si>
    <t>MILLION +</t>
  </si>
  <si>
    <t>ML</t>
  </si>
  <si>
    <t>MULTI CHOICE</t>
  </si>
  <si>
    <t>30 FUNNY CARS</t>
  </si>
  <si>
    <t>30FCRS</t>
  </si>
  <si>
    <t>MULTI CLASSIC</t>
  </si>
  <si>
    <t>MCLS</t>
  </si>
  <si>
    <t>ATLANTIS BINGO</t>
  </si>
  <si>
    <t>AB</t>
  </si>
  <si>
    <t>TOTAL NO FUMAR</t>
  </si>
  <si>
    <t>PRIMA</t>
  </si>
  <si>
    <t>PRI</t>
  </si>
  <si>
    <t>BEACH FIESTA BINGO</t>
  </si>
  <si>
    <t>BCHF</t>
  </si>
  <si>
    <t>QUEEN ROULETTE</t>
  </si>
  <si>
    <t>QR</t>
  </si>
  <si>
    <t>BINGO BANG THEORY</t>
  </si>
  <si>
    <t>BBT</t>
  </si>
  <si>
    <t>TNT</t>
  </si>
  <si>
    <t>BING BUZO</t>
  </si>
  <si>
    <t>BBUZO</t>
  </si>
  <si>
    <t>TOP MANIA</t>
  </si>
  <si>
    <t>TOM</t>
  </si>
  <si>
    <t>BINGO DE LOS CIELOS</t>
  </si>
  <si>
    <t>BCIELOS</t>
  </si>
  <si>
    <t>TABLA DE SIGNS BINGO</t>
  </si>
  <si>
    <t>TOT IMPERIUM</t>
  </si>
  <si>
    <t>TOTI</t>
  </si>
  <si>
    <t>BINGO SAURUS</t>
  </si>
  <si>
    <t>BS</t>
  </si>
  <si>
    <t>XII CAESARES</t>
  </si>
  <si>
    <t>XII</t>
  </si>
  <si>
    <t>BINVADERS</t>
  </si>
  <si>
    <t>BINV</t>
  </si>
  <si>
    <t>TRIPLE X BOOM</t>
  </si>
  <si>
    <t>XXX B</t>
  </si>
  <si>
    <t>COPA CABANA</t>
  </si>
  <si>
    <t>COPC</t>
  </si>
  <si>
    <t>TOTAL SIGNS SALA</t>
  </si>
  <si>
    <t>TOTAL METRONIA</t>
  </si>
  <si>
    <t>DIAMOND JACK</t>
  </si>
  <si>
    <t>DJ</t>
  </si>
  <si>
    <t>DOCTOR BINGO PLUS</t>
  </si>
  <si>
    <t>DBP</t>
  </si>
  <si>
    <t xml:space="preserve">TOTAL FUMAR </t>
  </si>
  <si>
    <t>DOUBLE SPEED</t>
  </si>
  <si>
    <t>DSPEED</t>
  </si>
  <si>
    <t>EL PESERO</t>
  </si>
  <si>
    <t>PESE</t>
  </si>
  <si>
    <t>FRAMELESS</t>
  </si>
  <si>
    <t>CRAZY CACTUS BINGO</t>
  </si>
  <si>
    <t>CCB</t>
  </si>
  <si>
    <t>FUNNY CARS</t>
  </si>
  <si>
    <t>FCRS</t>
  </si>
  <si>
    <t>DRAGON WIN 1 CARA</t>
  </si>
  <si>
    <t>SIGN DW-1</t>
  </si>
  <si>
    <t>DYNAMITE BINGO</t>
  </si>
  <si>
    <t>DYB</t>
  </si>
  <si>
    <t>FUNNY CARS CLASSIC</t>
  </si>
  <si>
    <t>FCRC</t>
  </si>
  <si>
    <t>ENERGY KING 1 CARA</t>
  </si>
  <si>
    <t>SIGN EK-1</t>
  </si>
  <si>
    <t>TOTAL JESTRONIC</t>
  </si>
  <si>
    <t>GRAN NATIONAL 20</t>
  </si>
  <si>
    <t>G20</t>
  </si>
  <si>
    <t>ENERGY LINK 1 CARA</t>
  </si>
  <si>
    <t>SIGN EL-1</t>
  </si>
  <si>
    <t>GRAND NATIONAL</t>
  </si>
  <si>
    <t>GN</t>
  </si>
  <si>
    <t>DRAGON WIN 2 CARAS</t>
  </si>
  <si>
    <t>SIGN DW-2</t>
  </si>
  <si>
    <t>IMPERIAL BINGO</t>
  </si>
  <si>
    <t>IMB</t>
  </si>
  <si>
    <t>ENERGY KING 2 CARAS</t>
  </si>
  <si>
    <t>SIGN EK-2</t>
  </si>
  <si>
    <t>R.FRANCO</t>
  </si>
  <si>
    <t>IMPERIAL PALACE</t>
  </si>
  <si>
    <t>IMP</t>
  </si>
  <si>
    <t>ENERGY LINK 2 CARAS</t>
  </si>
  <si>
    <t>SIGN EL-2</t>
  </si>
  <si>
    <t xml:space="preserve"> BINGO CARAMEL</t>
  </si>
  <si>
    <t>BC</t>
  </si>
  <si>
    <t>JOCKEY MANIA</t>
  </si>
  <si>
    <t>JOKCM</t>
  </si>
  <si>
    <t>10 VECES BINGO</t>
  </si>
  <si>
    <t>10VB</t>
  </si>
  <si>
    <t>LA MINA DE LA SUERTE 20</t>
  </si>
  <si>
    <t>MS20</t>
  </si>
  <si>
    <t>BINGO LINK</t>
  </si>
  <si>
    <t>5 DIAMANTES</t>
  </si>
  <si>
    <t>5D</t>
  </si>
  <si>
    <t>MAGIC 60</t>
  </si>
  <si>
    <t>MGC60</t>
  </si>
  <si>
    <t>SIGN BLDW-1</t>
  </si>
  <si>
    <t>BON VOYAGE</t>
  </si>
  <si>
    <t>BV</t>
  </si>
  <si>
    <t>MULTI DRAGON</t>
  </si>
  <si>
    <t>MDRA</t>
  </si>
  <si>
    <t>SIGN BLEK-1</t>
  </si>
  <si>
    <t>CONECTA BINGO</t>
  </si>
  <si>
    <t>CB</t>
  </si>
  <si>
    <t>MULTI JUEGO</t>
  </si>
  <si>
    <t>SIGN BLEL-1</t>
  </si>
  <si>
    <t>CONFIDENTIAL</t>
  </si>
  <si>
    <t>CF</t>
  </si>
  <si>
    <t>ORIGINAL BINGO</t>
  </si>
  <si>
    <t>OBGO</t>
  </si>
  <si>
    <t>SHOW TIME 1 CARA</t>
  </si>
  <si>
    <t>SIGN BLSWT-1</t>
  </si>
  <si>
    <t>RICH BINGO</t>
  </si>
  <si>
    <t>RCHB</t>
  </si>
  <si>
    <t>ORIGINAL BINGO JAZZ</t>
  </si>
  <si>
    <t>OBGOJAZZ</t>
  </si>
  <si>
    <t>SIGN BLDW-2</t>
  </si>
  <si>
    <t>TOTAL R.FRANCO</t>
  </si>
  <si>
    <t>PLUS MANIA</t>
  </si>
  <si>
    <t>PMANIA</t>
  </si>
  <si>
    <t>ENERGY KING / ENERGY LINK 2 CARAS</t>
  </si>
  <si>
    <t>SIGN BLEK/BLEL-2</t>
  </si>
  <si>
    <t>MAGIC CHINA</t>
  </si>
  <si>
    <t>MCHINA</t>
  </si>
  <si>
    <t>SHOW TIME 2 CARAS</t>
  </si>
  <si>
    <t>SIGN BLSWT-2</t>
  </si>
  <si>
    <t>RA MANIA</t>
  </si>
  <si>
    <t>DRAGON WIN / LINK ME 2 CARAS</t>
  </si>
  <si>
    <t>SIGN BLDW/LM-2</t>
  </si>
  <si>
    <t>SAFARI RACE</t>
  </si>
  <si>
    <t>SR</t>
  </si>
  <si>
    <t>DRAGON WIN/ ENERGY KING 2 CARAS</t>
  </si>
  <si>
    <t>SIGN BLDW/EK-2</t>
  </si>
  <si>
    <t>CANDY PRIZE</t>
  </si>
  <si>
    <t>CNYPRZ</t>
  </si>
  <si>
    <t>SATURN 8</t>
  </si>
  <si>
    <t>S8</t>
  </si>
  <si>
    <t>DRAGON WIN/ ENERGY LINK 2 CARAS</t>
  </si>
  <si>
    <t>SIGN BLDW/EL-2</t>
  </si>
  <si>
    <t>DREIDEL</t>
  </si>
  <si>
    <t>SPIN GOAL</t>
  </si>
  <si>
    <t>SPGOAL</t>
  </si>
  <si>
    <t>DRAGON WIN / SHOW TIME FASE 5  2 CARAS</t>
  </si>
  <si>
    <t>SIGN BLDW/STF5-2</t>
  </si>
  <si>
    <t>FIRE AND ICE</t>
  </si>
  <si>
    <t>FANDI</t>
  </si>
  <si>
    <t>STORM LINK</t>
  </si>
  <si>
    <t>STRLINK</t>
  </si>
  <si>
    <t>FIRE LINK</t>
  </si>
  <si>
    <t>FRELK</t>
  </si>
  <si>
    <t>SWEET BINGO</t>
  </si>
  <si>
    <t>SWEETB</t>
  </si>
  <si>
    <t>FREDDY WHEEL BINGO</t>
  </si>
  <si>
    <t>FREDWBINGO</t>
  </si>
  <si>
    <t>SWITCH LINK</t>
  </si>
  <si>
    <t>STLINK</t>
  </si>
  <si>
    <t>SIGN BPDW-1</t>
  </si>
  <si>
    <t>JA PON PON</t>
  </si>
  <si>
    <t>JPON</t>
  </si>
  <si>
    <t>TIME 4 BONUS</t>
  </si>
  <si>
    <t>T4B</t>
  </si>
  <si>
    <t>SIGN BPEK-1</t>
  </si>
  <si>
    <t>LUCKY DRAGON</t>
  </si>
  <si>
    <t>LKYDRGN</t>
  </si>
  <si>
    <t>WONDER BINGO</t>
  </si>
  <si>
    <t>WBING</t>
  </si>
  <si>
    <t>SIGN BPEL-1</t>
  </si>
  <si>
    <t>LUCKY WIZARD</t>
  </si>
  <si>
    <t>LKYWRD</t>
  </si>
  <si>
    <t>YETI (ICE CREAM)</t>
  </si>
  <si>
    <t>YETI</t>
  </si>
  <si>
    <t>SIGN BPDW-2</t>
  </si>
  <si>
    <t>MARDI JAZZ</t>
  </si>
  <si>
    <t>MARDIJ</t>
  </si>
  <si>
    <t>TOTAL SLEIC</t>
  </si>
  <si>
    <t>SIGN BPEK-2</t>
  </si>
  <si>
    <t>SEA FORTUNES</t>
  </si>
  <si>
    <t>SEAFORT</t>
  </si>
  <si>
    <t>SIGN BPEL-2</t>
  </si>
  <si>
    <t>THE 7 KINGDOMS</t>
  </si>
  <si>
    <t>7KDOMS</t>
  </si>
  <si>
    <t>TINO</t>
  </si>
  <si>
    <t xml:space="preserve">PACHINKO </t>
  </si>
  <si>
    <t>PKI</t>
  </si>
  <si>
    <t>ZITRO</t>
  </si>
  <si>
    <t>TINO 60s</t>
  </si>
  <si>
    <t>TINO60s</t>
  </si>
  <si>
    <t>PACHINKO II</t>
  </si>
  <si>
    <t>PKII</t>
  </si>
  <si>
    <t>SIGN ZITRODW-1</t>
  </si>
  <si>
    <t>TINO CHINA</t>
  </si>
  <si>
    <t>TOTAL PACHINKO</t>
  </si>
  <si>
    <t>SIGN ZITRODW-2</t>
  </si>
  <si>
    <t>WEST WEST BINGO</t>
  </si>
  <si>
    <t>WWBINGO</t>
  </si>
  <si>
    <t>WINNING RAINBOWS</t>
  </si>
  <si>
    <t>WRBWS</t>
  </si>
  <si>
    <t>ONIX</t>
  </si>
  <si>
    <t>TOTAL WINPOT</t>
  </si>
  <si>
    <t>BINGO BINGO</t>
  </si>
  <si>
    <t>BINB</t>
  </si>
  <si>
    <t>SIGN ONIXDW-1</t>
  </si>
  <si>
    <t>BINGO DE LA PASION</t>
  </si>
  <si>
    <t>BPS</t>
  </si>
  <si>
    <t>SIGN ONIXDW-2</t>
  </si>
  <si>
    <t>JUKEBOX BINGO</t>
  </si>
  <si>
    <t>JBB</t>
  </si>
  <si>
    <t>SALSA BINGO</t>
  </si>
  <si>
    <t>SBO</t>
  </si>
  <si>
    <t>SUPER BET BINGO</t>
  </si>
  <si>
    <t>SBB</t>
  </si>
  <si>
    <t>ZOMBIE BINGO</t>
  </si>
  <si>
    <t>ZB</t>
  </si>
  <si>
    <t>TOTAL SABIA</t>
  </si>
  <si>
    <t>FLEX GAME</t>
  </si>
  <si>
    <t>FLXG</t>
  </si>
  <si>
    <t>HOT BINGO</t>
  </si>
  <si>
    <t>HBIN</t>
  </si>
  <si>
    <t>BLUEBERI</t>
  </si>
  <si>
    <t>PARK BINGO</t>
  </si>
  <si>
    <t>PKB</t>
  </si>
  <si>
    <t>TOTAL BLUBERI</t>
  </si>
  <si>
    <t>STEEL BINGO</t>
  </si>
  <si>
    <t>STLB</t>
  </si>
  <si>
    <t>SUPER BOLA</t>
  </si>
  <si>
    <t>SUPB</t>
  </si>
  <si>
    <t>TOTAL RCT</t>
  </si>
  <si>
    <t>TOTAL SHOWBALL</t>
  </si>
  <si>
    <t>DOUBLIN BINGO</t>
  </si>
  <si>
    <t>DOUBB</t>
  </si>
  <si>
    <t>TOUCH THE GOLD BINGO</t>
  </si>
  <si>
    <t>TTGB</t>
  </si>
  <si>
    <t>VIVA</t>
  </si>
  <si>
    <t>TOTAL LATINA WORLD GAMING</t>
  </si>
  <si>
    <t>TOTAL INTERVISION</t>
  </si>
  <si>
    <t>JALAPEÑO</t>
  </si>
  <si>
    <t>JPÑO</t>
  </si>
  <si>
    <t>AEROBINGO</t>
  </si>
  <si>
    <t>AEROB</t>
  </si>
  <si>
    <t>BINGO BRAVO</t>
  </si>
  <si>
    <t>BBRAVO</t>
  </si>
  <si>
    <t>TOTAL JCB GAMING</t>
  </si>
  <si>
    <t>PIRATES</t>
  </si>
  <si>
    <t>PIR</t>
  </si>
  <si>
    <t>LUCHA LIBRE</t>
  </si>
  <si>
    <t>LLIBRE</t>
  </si>
  <si>
    <t>SONORA DESERT</t>
  </si>
  <si>
    <t>SDESERT</t>
  </si>
  <si>
    <t>MAXCOTA</t>
  </si>
  <si>
    <t>MXTA</t>
  </si>
  <si>
    <t>TESORO DEL ARTICO</t>
  </si>
  <si>
    <t>TARTICO</t>
  </si>
  <si>
    <t>MONSTER</t>
  </si>
  <si>
    <t>MNST</t>
  </si>
  <si>
    <t>TROPICANA</t>
  </si>
  <si>
    <t>TROPIC</t>
  </si>
  <si>
    <t>ROYAL BINGO</t>
  </si>
  <si>
    <t>RYBG</t>
  </si>
  <si>
    <t>POKER REVOLUTION</t>
  </si>
  <si>
    <t>PKREV</t>
  </si>
  <si>
    <t>TROPI CALIENTE</t>
  </si>
  <si>
    <t>TRPC</t>
  </si>
  <si>
    <t>BLACK JACK</t>
  </si>
  <si>
    <t>BJ</t>
  </si>
  <si>
    <t>TOTAL AMBRA GAMING</t>
  </si>
  <si>
    <t>KENO</t>
  </si>
  <si>
    <t>KNO</t>
  </si>
  <si>
    <t>TOTAL DEGESTEC</t>
  </si>
  <si>
    <t>FIESTA DE FUEGO</t>
  </si>
  <si>
    <t>FFUEGO</t>
  </si>
  <si>
    <t>TOTAL KONAMI BINGO</t>
  </si>
  <si>
    <t>LIMITAZO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</si>
</sst>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_-* #,##0\ _€_-;\-* #,##0\ _€_-;_-* &quot;-&quot;\ _€_-;_-@_-"/>
    <numFmt numFmtId="171" formatCode="h:mm;@"/>
    <numFmt numFmtId="172" formatCode="[$-80A]dd\-mmm\-yy"/>
    <numFmt numFmtId="173" formatCode="_(* #,##0_);_(* \(#,##0\);_(* &quot;-&quot;_);_(@_)"/>
    <numFmt numFmtId="174" formatCode="0000000"/>
  </numFmts>
  <fonts count="13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222222"/>
      <name val="Arial"/>
      <family val="2"/>
    </font>
    <font>
      <b/>
      <sz val="14"/>
      <color rgb="FF000000"/>
      <name val="Arial"/>
      <family val="2"/>
    </font>
    <font>
      <b/>
      <sz val="14"/>
      <color rgb="FF9E0400"/>
      <name val="Arial"/>
      <family val="2"/>
    </font>
    <font>
      <b/>
      <sz val="14"/>
      <color rgb="FF333F4F"/>
      <name val="Arial"/>
      <family val="2"/>
    </font>
    <font>
      <b/>
      <sz val="14"/>
      <color rgb="FF0070C0"/>
      <name val="Arial"/>
      <family val="2"/>
    </font>
    <font>
      <b/>
      <sz val="14"/>
      <color rgb="FF92D050"/>
      <name val="Arial"/>
      <family val="2"/>
    </font>
    <font>
      <b/>
      <sz val="14"/>
      <color rgb="FFFFC000"/>
      <name val="Arial"/>
      <family val="2"/>
    </font>
    <font>
      <b/>
      <sz val="14"/>
      <color rgb="FF222B35"/>
      <name val="Arial"/>
      <family val="2"/>
    </font>
    <font>
      <b/>
      <sz val="14"/>
      <color rgb="FFFF0000"/>
      <name val="Arial"/>
      <family val="2"/>
    </font>
    <font>
      <b/>
      <sz val="14"/>
      <color rgb="FF806000"/>
      <name val="Arial"/>
      <family val="2"/>
    </font>
    <font>
      <b/>
      <sz val="14"/>
      <color rgb="FFFFFF00"/>
      <name val="Arial"/>
      <family val="2"/>
    </font>
    <font>
      <b/>
      <sz val="14"/>
      <name val="Arial"/>
      <family val="2"/>
    </font>
    <font>
      <b/>
      <sz val="14"/>
      <color rgb="FFC00000"/>
      <name val="Arial"/>
      <family val="2"/>
    </font>
    <font>
      <b/>
      <sz val="11"/>
      <color rgb="FF000000"/>
      <name val="Calibri"/>
      <family val="2"/>
    </font>
    <font>
      <b/>
      <sz val="28"/>
      <color rgb="FF000000"/>
      <name val="Calibri"/>
      <family val="2"/>
    </font>
    <font>
      <sz val="9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Arial"/>
      <family val="2"/>
    </font>
    <font>
      <b/>
      <sz val="12"/>
      <color rgb="FFFF0000"/>
      <name val="Calibri"/>
      <family val="2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FABF8F"/>
      <name val="Calibri"/>
      <family val="2"/>
    </font>
    <font>
      <b/>
      <sz val="11"/>
      <color rgb="FFFF0000"/>
      <name val="Calibri"/>
      <family val="2"/>
    </font>
    <font>
      <b/>
      <sz val="12"/>
      <name val="Arial"/>
      <family val="2"/>
    </font>
    <font>
      <b/>
      <sz val="12"/>
      <color rgb="FF4A4529"/>
      <name val="Calibri"/>
      <family val="2"/>
    </font>
    <font>
      <b/>
      <sz val="11"/>
      <color indexed="8"/>
      <name val="Calibri"/>
      <family val="2"/>
    </font>
    <font>
      <b/>
      <sz val="12"/>
      <color rgb="FFDDDDDD"/>
      <name val="Calibri"/>
      <family val="2"/>
    </font>
    <font>
      <b/>
      <sz val="12"/>
      <color rgb="FF568FD4"/>
      <name val="Arial"/>
      <family val="2"/>
    </font>
    <font>
      <b/>
      <sz val="12"/>
      <color rgb="FFFF33CC"/>
      <name val="Arial"/>
      <family val="2"/>
    </font>
    <font>
      <b/>
      <sz val="14"/>
      <color rgb="FF000000"/>
      <name val="Calibri"/>
      <family val="2"/>
    </font>
    <font>
      <b/>
      <sz val="12"/>
      <color rgb="FF3F3051"/>
      <name val="Arial"/>
      <family val="2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11"/>
      <name val="Arial"/>
      <family val="2"/>
    </font>
    <font>
      <b/>
      <sz val="14"/>
      <color rgb="FFFF0000"/>
      <name val="Calibri"/>
      <family val="2"/>
    </font>
    <font>
      <b/>
      <sz val="12"/>
      <color rgb="FFFF0000"/>
      <name val="Arial"/>
      <family val="2"/>
    </font>
    <font>
      <b/>
      <sz val="14"/>
      <color rgb="FFFFFFFF"/>
      <name val="Calibri"/>
      <family val="2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</font>
    <font>
      <b/>
      <sz val="13"/>
      <color rgb="FFFFFFFF"/>
      <name val="Calibri"/>
      <family val="2"/>
    </font>
    <font>
      <b/>
      <sz val="22"/>
      <color rgb="FFFF0000"/>
      <name val="Calibri"/>
      <family val="2"/>
    </font>
    <font>
      <sz val="14"/>
      <color rgb="FF000000"/>
      <name val="Calibri"/>
      <family val="2"/>
    </font>
    <font>
      <sz val="9"/>
      <name val="Calibri"/>
      <family val="2"/>
    </font>
    <font>
      <b/>
      <sz val="13"/>
      <color rgb="FF000000"/>
      <name val="Calibri"/>
      <family val="2"/>
    </font>
    <font>
      <b/>
      <sz val="16"/>
      <color rgb="FFFFFFFF"/>
      <name val="Arial"/>
      <family val="2"/>
    </font>
    <font>
      <b/>
      <sz val="18"/>
      <color rgb="FFFFFFFF"/>
      <name val="Calibri"/>
      <family val="2"/>
    </font>
    <font>
      <b/>
      <sz val="16"/>
      <name val="Arial"/>
      <family val="2"/>
    </font>
    <font>
      <b/>
      <sz val="16"/>
      <name val="Calibri"/>
      <family val="2"/>
    </font>
    <font>
      <sz val="12"/>
      <name val="Arial"/>
      <family val="2"/>
    </font>
    <font>
      <b/>
      <sz val="16"/>
      <color rgb="FFFFFFFF"/>
      <name val="Symbol"/>
      <family val="1"/>
      <charset val="2"/>
    </font>
    <font>
      <sz val="36"/>
      <name val="Calibri"/>
      <family val="2"/>
    </font>
    <font>
      <b/>
      <sz val="16"/>
      <color rgb="FFFFFFFF"/>
      <name val="Calibri"/>
      <family val="2"/>
    </font>
    <font>
      <b/>
      <sz val="36"/>
      <color rgb="FF000000"/>
      <name val="Calibri"/>
      <family val="2"/>
    </font>
    <font>
      <sz val="9"/>
      <name val="Arial"/>
      <family val="2"/>
    </font>
    <font>
      <b/>
      <sz val="20"/>
      <color rgb="FFFFFFFF"/>
      <name val="Arial"/>
      <family val="2"/>
    </font>
    <font>
      <b/>
      <sz val="16"/>
      <color rgb="FFB2A1C6"/>
      <name val="Calibri"/>
      <family val="2"/>
    </font>
    <font>
      <sz val="12"/>
      <color rgb="FF000000"/>
      <name val="Calibri"/>
      <family val="2"/>
    </font>
    <font>
      <sz val="14"/>
      <name val="Calibri"/>
      <family val="2"/>
    </font>
    <font>
      <b/>
      <sz val="11"/>
      <name val="Calibri"/>
      <family val="2"/>
    </font>
    <font>
      <sz val="12"/>
      <color rgb="FF000000"/>
      <name val="Arial"/>
      <family val="2"/>
    </font>
    <font>
      <b/>
      <sz val="20"/>
      <name val="Arial"/>
      <family val="2"/>
    </font>
    <font>
      <sz val="11"/>
      <color rgb="FFFFFFFF"/>
      <name val="Calibri"/>
      <family val="2"/>
    </font>
    <font>
      <b/>
      <sz val="8"/>
      <name val="Arial"/>
      <family val="2"/>
    </font>
    <font>
      <b/>
      <sz val="12"/>
      <name val="Calibri"/>
      <family val="2"/>
    </font>
    <font>
      <b/>
      <sz val="12"/>
      <color rgb="FFFFFF00"/>
      <name val="Arial"/>
      <family val="2"/>
    </font>
    <font>
      <b/>
      <sz val="12"/>
      <color rgb="FF568FD4"/>
      <name val="Calibri"/>
      <family val="2"/>
    </font>
    <font>
      <b/>
      <sz val="12"/>
      <color rgb="FF800080"/>
      <name val="Arial"/>
      <family val="2"/>
    </font>
    <font>
      <b/>
      <sz val="12"/>
      <color rgb="FFB2A1C6"/>
      <name val="Calibri"/>
      <family val="2"/>
    </font>
    <font>
      <b/>
      <sz val="12"/>
      <color rgb="FFFFFF00"/>
      <name val="Calibri"/>
      <family val="2"/>
    </font>
    <font>
      <b/>
      <sz val="12"/>
      <color rgb="FF7030A0"/>
      <name val="Arial"/>
      <family val="2"/>
    </font>
    <font>
      <b/>
      <sz val="12"/>
      <color rgb="FF1F4A7E"/>
      <name val="Calibri"/>
      <family val="2"/>
    </font>
    <font>
      <b/>
      <sz val="14"/>
      <color rgb="FF0F253F"/>
      <name val="Arial"/>
      <family val="2"/>
    </font>
    <font>
      <b/>
      <sz val="12"/>
      <color rgb="FFC0514D"/>
      <name val="Arial"/>
      <family val="2"/>
    </font>
    <font>
      <b/>
      <sz val="12"/>
      <color rgb="FFCC3300"/>
      <name val="Calibri"/>
      <family val="2"/>
    </font>
    <font>
      <sz val="14"/>
      <name val="Arial"/>
      <family val="2"/>
    </font>
    <font>
      <b/>
      <sz val="12"/>
      <color rgb="FF990000"/>
      <name val="Calibri"/>
      <family val="2"/>
    </font>
    <font>
      <b/>
      <sz val="11"/>
      <color rgb="FFFFFFFF"/>
      <name val="Calibri"/>
      <family val="2"/>
    </font>
    <font>
      <b/>
      <sz val="12"/>
      <color rgb="FF75923B"/>
      <name val="Calibri"/>
      <family val="2"/>
    </font>
    <font>
      <sz val="14"/>
      <color rgb="FF000000"/>
      <name val="Arial"/>
      <family val="2"/>
    </font>
    <font>
      <b/>
      <sz val="12"/>
      <color rgb="FFFF9900"/>
      <name val="Arial"/>
      <family val="2"/>
    </font>
    <font>
      <b/>
      <sz val="12"/>
      <color rgb="FF94CDDD"/>
      <name val="Arial"/>
      <family val="2"/>
    </font>
    <font>
      <b/>
      <sz val="12"/>
      <color rgb="FFF79544"/>
      <name val="Arial"/>
      <family val="2"/>
    </font>
    <font>
      <b/>
      <sz val="12"/>
      <color rgb="FFDBEEF3"/>
      <name val="Arial"/>
      <family val="2"/>
    </font>
    <font>
      <b/>
      <sz val="12"/>
      <color rgb="FFFFC000"/>
      <name val="Arial"/>
      <family val="2"/>
    </font>
    <font>
      <b/>
      <sz val="12"/>
      <color rgb="FFC00000"/>
      <name val="Arial"/>
      <family val="2"/>
    </font>
    <font>
      <b/>
      <sz val="14"/>
      <color rgb="FFC0514D"/>
      <name val="Arial"/>
      <family val="2"/>
    </font>
    <font>
      <b/>
      <sz val="12"/>
      <color rgb="FFCC9900"/>
      <name val="Arial"/>
      <family val="2"/>
    </font>
    <font>
      <b/>
      <sz val="12"/>
      <color rgb="FF0070C0"/>
      <name val="Arial"/>
      <family val="2"/>
    </font>
    <font>
      <b/>
      <sz val="12"/>
      <color rgb="FF0F253F"/>
      <name val="Arial"/>
      <family val="2"/>
    </font>
    <font>
      <b/>
      <sz val="12"/>
      <color rgb="FF948A53"/>
      <name val="Arial"/>
      <family val="2"/>
    </font>
    <font>
      <b/>
      <sz val="12"/>
      <color rgb="FF00B0F0"/>
      <name val="Arial"/>
      <family val="2"/>
    </font>
    <font>
      <b/>
      <sz val="12"/>
      <color rgb="FF642523"/>
      <name val="Arial"/>
      <family val="2"/>
    </font>
    <font>
      <b/>
      <sz val="12"/>
      <color rgb="FF3366FF"/>
      <name val="Arial"/>
      <family val="2"/>
    </font>
    <font>
      <b/>
      <sz val="20"/>
      <color rgb="FF000000"/>
      <name val="Calibri"/>
      <family val="2"/>
    </font>
    <font>
      <sz val="12"/>
      <color rgb="FFF2DCDB"/>
      <name val="Calibri"/>
      <family val="2"/>
    </font>
    <font>
      <b/>
      <sz val="12"/>
      <color rgb="FF00B050"/>
      <name val="Arial"/>
      <family val="2"/>
    </font>
    <font>
      <sz val="12"/>
      <name val="Calibri"/>
      <family val="2"/>
    </font>
    <font>
      <sz val="14"/>
      <color rgb="FFDBEEF3"/>
      <name val="Arial"/>
      <family val="2"/>
    </font>
    <font>
      <b/>
      <sz val="12"/>
      <color rgb="FF00FFFF"/>
      <name val="Arial"/>
      <family val="2"/>
    </font>
    <font>
      <b/>
      <sz val="12"/>
      <color rgb="FFEEECE1"/>
      <name val="Arial"/>
      <family val="2"/>
    </font>
    <font>
      <b/>
      <sz val="12"/>
      <color rgb="FF215968"/>
      <name val="Arial"/>
      <family val="2"/>
    </font>
    <font>
      <b/>
      <sz val="12"/>
      <color rgb="FF1D1B10"/>
      <name val="Arial"/>
      <family val="2"/>
    </font>
  </fonts>
  <fills count="22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6000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BBD828"/>
        <bgColor indexed="64"/>
      </patternFill>
    </fill>
    <fill>
      <patternFill patternType="solid">
        <fgColor rgb="FFB57298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4BC0B2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0E939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A6936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A86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D66F"/>
        <bgColor indexed="64"/>
      </patternFill>
    </fill>
    <fill>
      <patternFill patternType="solid">
        <fgColor rgb="FFA8A5A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333F4F"/>
        <bgColor indexed="64"/>
      </patternFill>
    </fill>
    <fill>
      <patternFill patternType="solid">
        <fgColor rgb="FF73EFEF"/>
        <bgColor indexed="64"/>
      </patternFill>
    </fill>
    <fill>
      <patternFill patternType="solid">
        <fgColor rgb="FFDA3F3D"/>
        <bgColor indexed="64"/>
      </patternFill>
    </fill>
    <fill>
      <patternFill patternType="solid">
        <fgColor rgb="FFC4984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800080"/>
        <bgColor rgb="FF800080"/>
      </patternFill>
    </fill>
    <fill>
      <patternFill patternType="solid">
        <fgColor rgb="FFFDE9D9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01C8"/>
        <bgColor indexed="64"/>
      </patternFill>
    </fill>
    <fill>
      <patternFill patternType="solid">
        <fgColor rgb="FF963734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4A4529"/>
        <bgColor indexed="64"/>
      </patternFill>
    </fill>
    <fill>
      <patternFill patternType="solid">
        <fgColor rgb="FF9ABA58"/>
        <bgColor rgb="FF0066CC"/>
      </patternFill>
    </fill>
    <fill>
      <patternFill patternType="solid">
        <fgColor rgb="FF568FD4"/>
        <bgColor indexed="64"/>
      </patternFill>
    </fill>
    <fill>
      <patternFill patternType="solid">
        <fgColor rgb="FF215968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3366FF"/>
        <bgColor rgb="FF0066CC"/>
      </patternFill>
    </fill>
    <fill>
      <patternFill patternType="solid">
        <fgColor rgb="FFBFBFBF"/>
        <bgColor rgb="FF000000"/>
      </patternFill>
    </fill>
    <fill>
      <patternFill patternType="solid">
        <fgColor rgb="FFFF9900"/>
        <bgColor rgb="FFFFCC00"/>
      </patternFill>
    </fill>
    <fill>
      <patternFill patternType="gray0625">
        <fgColor rgb="FF96B3D7"/>
        <bgColor rgb="FF376092"/>
      </patternFill>
    </fill>
    <fill>
      <patternFill patternType="solid">
        <fgColor rgb="FF663300"/>
        <bgColor indexed="64"/>
      </patternFill>
    </fill>
    <fill>
      <patternFill patternType="solid">
        <fgColor rgb="FF00FFFF"/>
        <bgColor rgb="FF008080"/>
      </patternFill>
    </fill>
    <fill>
      <patternFill patternType="solid">
        <fgColor rgb="FF99CCFF"/>
        <bgColor rgb="FFCCCCFF"/>
      </patternFill>
    </fill>
    <fill>
      <patternFill patternType="solid">
        <fgColor rgb="FFF2DCDB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F0"/>
        <bgColor rgb="FF008080"/>
      </patternFill>
    </fill>
    <fill>
      <patternFill patternType="solid">
        <fgColor rgb="FF642523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FFFF00"/>
        <bgColor rgb="FFFFCC00"/>
      </patternFill>
    </fill>
    <fill>
      <patternFill patternType="solid">
        <fgColor rgb="FFC6D9F0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5D8F4"/>
        <bgColor rgb="FF000000"/>
      </patternFill>
    </fill>
    <fill>
      <patternFill patternType="solid">
        <fgColor rgb="FFFABF8F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948A5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F7F7F"/>
        <bgColor rgb="FF000000"/>
      </patternFill>
    </fill>
    <fill>
      <patternFill patternType="solid">
        <fgColor rgb="FF75923B"/>
        <bgColor rgb="FF003366"/>
      </patternFill>
    </fill>
    <fill>
      <patternFill patternType="solid">
        <fgColor rgb="FFA5A5A5"/>
        <bgColor rgb="FF003366"/>
      </patternFill>
    </fill>
    <fill>
      <patternFill patternType="solid">
        <fgColor rgb="FF66FFFF"/>
        <bgColor rgb="FF000000"/>
      </patternFill>
    </fill>
    <fill>
      <patternFill patternType="solid">
        <fgColor rgb="FFC0514D"/>
        <bgColor indexed="64"/>
      </patternFill>
    </fill>
    <fill>
      <patternFill patternType="solid">
        <fgColor rgb="FFFF0000"/>
        <bgColor rgb="FFFFCC00"/>
      </patternFill>
    </fill>
    <fill>
      <patternFill patternType="solid">
        <fgColor rgb="FF568FD4"/>
        <bgColor rgb="FFFFCC00"/>
      </patternFill>
    </fill>
    <fill>
      <patternFill patternType="solid">
        <fgColor rgb="FF7030A0"/>
        <bgColor rgb="FFFFCC00"/>
      </patternFill>
    </fill>
    <fill>
      <patternFill patternType="solid">
        <fgColor rgb="FF66CCFF"/>
        <bgColor rgb="FFFFCC00"/>
      </patternFill>
    </fill>
    <fill>
      <patternFill patternType="solid">
        <fgColor rgb="FFFC04D9"/>
        <bgColor indexed="64"/>
      </patternFill>
    </fill>
    <fill>
      <patternFill patternType="solid">
        <fgColor rgb="FFF2F2F2"/>
        <bgColor rgb="FF0066CC"/>
      </patternFill>
    </fill>
    <fill>
      <patternFill patternType="solid">
        <fgColor rgb="FF8EB4E2"/>
        <bgColor rgb="FF008080"/>
      </patternFill>
    </fill>
    <fill>
      <patternFill patternType="solid">
        <fgColor rgb="FF00B0F0"/>
        <bgColor rgb="FF0066CC"/>
      </patternFill>
    </fill>
    <fill>
      <patternFill patternType="solid">
        <fgColor rgb="FF948A53"/>
        <bgColor rgb="FF0066CC"/>
      </patternFill>
    </fill>
    <fill>
      <patternFill patternType="solid">
        <fgColor rgb="FF31859C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92D050"/>
        <bgColor rgb="FFFFCC00"/>
      </patternFill>
    </fill>
    <fill>
      <patternFill patternType="solid">
        <fgColor rgb="FF17375E"/>
        <bgColor rgb="FF0066CC"/>
      </patternFill>
    </fill>
    <fill>
      <patternFill patternType="solid">
        <fgColor rgb="FFBFBFBF"/>
        <bgColor rgb="FF003366"/>
      </patternFill>
    </fill>
    <fill>
      <patternFill patternType="solid">
        <fgColor rgb="FFD6E3BC"/>
        <bgColor rgb="FF0066CC"/>
      </patternFill>
    </fill>
    <fill>
      <patternFill patternType="solid">
        <fgColor rgb="FF00B050"/>
        <bgColor rgb="FFFFCC00"/>
      </patternFill>
    </fill>
    <fill>
      <patternFill patternType="solid">
        <fgColor rgb="FFC00000"/>
        <bgColor rgb="FF0066CC"/>
      </patternFill>
    </fill>
    <fill>
      <patternFill patternType="solid">
        <fgColor rgb="FF568FD4"/>
        <bgColor rgb="FF0066CC"/>
      </patternFill>
    </fill>
    <fill>
      <patternFill patternType="solid">
        <fgColor rgb="FF7030A0"/>
        <bgColor rgb="FF800080"/>
      </patternFill>
    </fill>
    <fill>
      <patternFill patternType="solid">
        <fgColor rgb="FF9ABA58"/>
        <bgColor indexed="64"/>
      </patternFill>
    </fill>
    <fill>
      <patternFill patternType="solid">
        <fgColor rgb="FFF79544"/>
      </patternFill>
    </fill>
    <fill>
      <patternFill patternType="solid">
        <fgColor rgb="FFFFFFFF"/>
        <bgColor rgb="FFFFCC00"/>
      </patternFill>
    </fill>
    <fill>
      <patternFill patternType="solid">
        <fgColor rgb="FFB7DDE8"/>
        <bgColor indexed="64"/>
      </patternFill>
    </fill>
    <fill>
      <patternFill patternType="solid">
        <fgColor rgb="FF008000"/>
        <bgColor rgb="FF008080"/>
      </patternFill>
    </fill>
    <fill>
      <patternFill patternType="solid">
        <fgColor rgb="FF4BACC6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rgb="FF003366"/>
        <bgColor rgb="FF333399"/>
      </patternFill>
    </fill>
    <fill>
      <patternFill patternType="solid">
        <fgColor rgb="FFFFCC00"/>
        <bgColor rgb="FFFF8080"/>
      </patternFill>
    </fill>
    <fill>
      <patternFill patternType="solid">
        <fgColor rgb="FF595959"/>
        <bgColor rgb="FF008080"/>
      </patternFill>
    </fill>
    <fill>
      <patternFill patternType="solid">
        <fgColor rgb="FF1F4A7E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3F3051"/>
        <bgColor rgb="FF003366"/>
      </patternFill>
    </fill>
    <fill>
      <patternFill patternType="solid">
        <fgColor rgb="FF254061"/>
        <bgColor rgb="FF003366"/>
      </patternFill>
    </fill>
    <fill>
      <patternFill patternType="solid">
        <fgColor rgb="FF963734"/>
        <bgColor rgb="FF003366"/>
      </patternFill>
    </fill>
    <fill>
      <patternFill patternType="solid">
        <fgColor rgb="FFE36B09"/>
        <bgColor rgb="FFFFCC00"/>
      </patternFill>
    </fill>
    <fill>
      <patternFill patternType="solid">
        <fgColor rgb="FF0099FF"/>
        <bgColor indexed="64"/>
      </patternFill>
    </fill>
    <fill>
      <patternFill patternType="solid">
        <fgColor rgb="FF002060"/>
        <bgColor rgb="FF333399"/>
      </patternFill>
    </fill>
    <fill>
      <patternFill patternType="solid">
        <fgColor rgb="FFABE2A8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4E6127"/>
        <bgColor rgb="FF008080"/>
      </patternFill>
    </fill>
    <fill>
      <patternFill patternType="solid">
        <fgColor rgb="FF4CACC6"/>
        <bgColor indexed="64"/>
      </patternFill>
    </fill>
    <fill>
      <patternFill patternType="solid">
        <fgColor rgb="FF0070C0"/>
        <bgColor rgb="FF0066CC"/>
      </patternFill>
    </fill>
    <fill>
      <patternFill patternType="solid">
        <fgColor rgb="FFC0514D"/>
        <bgColor rgb="FFFFCC00"/>
      </patternFill>
    </fill>
    <fill>
      <patternFill patternType="solid">
        <fgColor rgb="FFFFFF00"/>
        <bgColor rgb="FFFF8080"/>
      </patternFill>
    </fill>
    <fill>
      <patternFill patternType="solid">
        <fgColor rgb="FF94CDDD"/>
        <bgColor rgb="FF0066CC"/>
      </patternFill>
    </fill>
    <fill>
      <patternFill patternType="solid">
        <fgColor rgb="FF66CCFF"/>
      </patternFill>
    </fill>
    <fill>
      <patternFill patternType="solid">
        <fgColor rgb="FF7F7F7F"/>
        <bgColor rgb="FF0066CC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8080"/>
      </patternFill>
    </fill>
    <fill>
      <patternFill patternType="solid">
        <fgColor rgb="FFC4BD97"/>
        <bgColor rgb="FFFFCC00"/>
      </patternFill>
    </fill>
    <fill>
      <patternFill patternType="solid">
        <fgColor rgb="FFC00000"/>
        <bgColor rgb="FF993300"/>
      </patternFill>
    </fill>
    <fill>
      <patternFill patternType="solid">
        <fgColor rgb="FFC4BD97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8EB4E2"/>
        <bgColor rgb="FF0066CC"/>
      </patternFill>
    </fill>
    <fill>
      <patternFill patternType="solid">
        <fgColor rgb="FFE6B9B8"/>
        <bgColor rgb="FF0066CC"/>
      </patternFill>
    </fill>
    <fill>
      <patternFill patternType="lightUp">
        <fgColor rgb="FFE6B8B7"/>
        <bgColor rgb="FFD99694"/>
      </patternFill>
    </fill>
    <fill>
      <patternFill patternType="solid">
        <fgColor rgb="FF4E6127"/>
        <bgColor rgb="FF0066CC"/>
      </patternFill>
    </fill>
    <fill>
      <patternFill patternType="solid">
        <fgColor rgb="FF7E62A1"/>
        <bgColor rgb="FF000000"/>
      </patternFill>
    </fill>
    <fill>
      <patternFill patternType="solid">
        <fgColor rgb="FFE36B09"/>
        <bgColor indexed="64"/>
      </patternFill>
    </fill>
    <fill>
      <patternFill patternType="solid">
        <fgColor rgb="FF3F3F3F"/>
        <bgColor indexed="64"/>
      </patternFill>
    </fill>
    <fill>
      <patternFill patternType="lightTrellis">
        <fgColor rgb="FFF79544"/>
        <bgColor rgb="FF974706"/>
      </patternFill>
    </fill>
    <fill>
      <patternFill patternType="solid">
        <fgColor rgb="FFE36B09"/>
        <bgColor rgb="FF0066CC"/>
      </patternFill>
    </fill>
    <fill>
      <patternFill patternType="gray0625">
        <bgColor rgb="FFFF0000"/>
      </patternFill>
    </fill>
    <fill>
      <patternFill patternType="solid">
        <fgColor rgb="FF0066FF"/>
        <bgColor rgb="FF0066CC"/>
      </patternFill>
    </fill>
    <fill>
      <patternFill patternType="solid">
        <fgColor rgb="FFB9CCE4"/>
        <bgColor indexed="64"/>
      </patternFill>
    </fill>
    <fill>
      <patternFill patternType="solid">
        <fgColor rgb="FF96B3D7"/>
        <bgColor rgb="FF0066CC"/>
      </patternFill>
    </fill>
    <fill>
      <patternFill patternType="solid">
        <fgColor rgb="FFDBEEF3"/>
      </patternFill>
    </fill>
    <fill>
      <patternFill patternType="solid">
        <fgColor rgb="FFFDE9D9"/>
        <bgColor rgb="FF0066CC"/>
      </patternFill>
    </fill>
    <fill>
      <patternFill patternType="solid">
        <fgColor rgb="FF96B3D7"/>
      </patternFill>
    </fill>
    <fill>
      <patternFill patternType="solid">
        <fgColor rgb="FF3F3051"/>
        <bgColor rgb="FF993300"/>
      </patternFill>
    </fill>
    <fill>
      <patternFill patternType="solid">
        <fgColor rgb="FF7E62A1"/>
        <bgColor rgb="FF0066CC"/>
      </patternFill>
    </fill>
    <fill>
      <patternFill patternType="solid">
        <fgColor rgb="FF6699FF"/>
        <bgColor rgb="FF003366"/>
      </patternFill>
    </fill>
    <fill>
      <patternFill patternType="lightDown">
        <fgColor rgb="FFF79544"/>
        <bgColor rgb="FFFABF8F"/>
      </patternFill>
    </fill>
    <fill>
      <patternFill patternType="lightTrellis">
        <fgColor rgb="FF376092"/>
        <bgColor rgb="FFFFFF00"/>
      </patternFill>
    </fill>
    <fill>
      <patternFill patternType="gray0625">
        <fgColor rgb="FFFFFFFF"/>
        <bgColor rgb="FFC00000"/>
      </patternFill>
    </fill>
    <fill>
      <patternFill patternType="solid">
        <fgColor rgb="FFFBD4B4"/>
        <bgColor rgb="FF008080"/>
      </patternFill>
    </fill>
    <fill>
      <patternFill patternType="solid">
        <fgColor rgb="FF7E62A1"/>
        <bgColor indexed="64"/>
      </patternFill>
    </fill>
    <fill>
      <patternFill patternType="solid">
        <fgColor rgb="FFD99694"/>
        <bgColor rgb="FF0066CC"/>
      </patternFill>
    </fill>
    <fill>
      <patternFill patternType="solid">
        <fgColor rgb="FFB6DEE8"/>
      </patternFill>
    </fill>
    <fill>
      <patternFill patternType="solid">
        <fgColor rgb="FF4CACC6"/>
      </patternFill>
    </fill>
    <fill>
      <patternFill patternType="solid">
        <fgColor rgb="FFCC3300"/>
        <bgColor rgb="FF0066CC"/>
      </patternFill>
    </fill>
    <fill>
      <patternFill patternType="solid">
        <fgColor rgb="FFC2D69B"/>
        <bgColor rgb="FF0066CC"/>
      </patternFill>
    </fill>
    <fill>
      <patternFill patternType="solid">
        <fgColor rgb="FF31859C"/>
        <bgColor rgb="FF0066CC"/>
      </patternFill>
    </fill>
    <fill>
      <patternFill patternType="solid">
        <fgColor rgb="FF17375E"/>
        <bgColor indexed="64"/>
      </patternFill>
    </fill>
    <fill>
      <patternFill patternType="solid">
        <fgColor rgb="FF75923B"/>
        <bgColor indexed="64"/>
      </patternFill>
    </fill>
    <fill>
      <patternFill patternType="solid">
        <fgColor rgb="FFC4BD97"/>
        <bgColor rgb="FF0066CC"/>
      </patternFill>
    </fill>
    <fill>
      <patternFill patternType="solid">
        <fgColor rgb="FF75923B"/>
        <bgColor rgb="FF000000"/>
      </patternFill>
    </fill>
    <fill>
      <patternFill patternType="solid">
        <fgColor rgb="FFD8D8D8"/>
        <bgColor rgb="FFCCCCFF"/>
      </patternFill>
    </fill>
    <fill>
      <patternFill patternType="solid">
        <fgColor rgb="FFCBC0D9"/>
        <bgColor rgb="FFFFCC00"/>
      </patternFill>
    </fill>
    <fill>
      <patternFill patternType="solid">
        <fgColor rgb="FF376092"/>
        <bgColor rgb="FF0066CC"/>
      </patternFill>
    </fill>
    <fill>
      <patternFill patternType="solid">
        <fgColor rgb="FF7030A0"/>
        <bgColor rgb="FF0066CC"/>
      </patternFill>
    </fill>
    <fill>
      <patternFill patternType="solid">
        <fgColor rgb="FF568FD4"/>
        <bgColor rgb="FF000000"/>
      </patternFill>
    </fill>
    <fill>
      <patternFill patternType="solid">
        <fgColor rgb="FFD99694"/>
        <bgColor rgb="FF000000"/>
      </patternFill>
    </fill>
    <fill>
      <patternFill patternType="solid">
        <fgColor rgb="FFCBC0D9"/>
        <bgColor rgb="FF000000"/>
      </patternFill>
    </fill>
    <fill>
      <patternFill patternType="solid">
        <fgColor rgb="FF948A53"/>
        <bgColor rgb="FF000000"/>
      </patternFill>
    </fill>
    <fill>
      <patternFill patternType="solid">
        <fgColor rgb="FF9900CC"/>
        <bgColor rgb="FF000000"/>
      </patternFill>
    </fill>
    <fill>
      <patternFill patternType="solid">
        <fgColor rgb="FFDCE5F1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31859C"/>
        <bgColor rgb="FF000000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CC00"/>
      </patternFill>
    </fill>
    <fill>
      <patternFill patternType="solid">
        <fgColor theme="0"/>
        <bgColor rgb="FF008080"/>
      </patternFill>
    </fill>
    <fill>
      <patternFill patternType="solid">
        <fgColor theme="0"/>
        <bgColor rgb="FFCCCCFF"/>
      </patternFill>
    </fill>
    <fill>
      <patternFill patternType="solid">
        <fgColor theme="0"/>
        <bgColor rgb="FFFFFFFF"/>
      </patternFill>
    </fill>
    <fill>
      <patternFill patternType="gray0625">
        <fgColor rgb="FF96B3D7"/>
        <bgColor theme="0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50505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505050"/>
      </bottom>
      <diagonal/>
    </border>
    <border>
      <left style="medium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505050"/>
      </top>
      <bottom/>
      <diagonal/>
    </border>
    <border diagonalUp="1">
      <left style="thin">
        <color indexed="64"/>
      </left>
      <right/>
      <top style="thin">
        <color indexed="64"/>
      </top>
      <bottom/>
      <diagonal style="medium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505050"/>
      </right>
      <top/>
      <bottom/>
      <diagonal/>
    </border>
    <border diagonalUp="1">
      <left/>
      <right/>
      <top style="thin">
        <color indexed="64"/>
      </top>
      <bottom/>
      <diagonal style="medium">
        <color indexed="64"/>
      </diagonal>
    </border>
    <border diagonalUp="1">
      <left/>
      <right/>
      <top/>
      <bottom/>
      <diagonal style="medium">
        <color indexed="64"/>
      </diagonal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mediumDash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Dashed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/>
      <bottom style="thin">
        <color rgb="FF000000"/>
      </bottom>
      <diagonal/>
    </border>
    <border>
      <left style="mediumDashed">
        <color indexed="64"/>
      </left>
      <right/>
      <top style="thin">
        <color rgb="FF000000"/>
      </top>
      <bottom style="thin">
        <color rgb="FF000000"/>
      </bottom>
      <diagonal/>
    </border>
    <border>
      <left style="mediumDashed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Dashed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</borders>
  <cellStyleXfs count="252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1" borderId="6" applyNumberFormat="0" applyAlignment="0" applyProtection="0"/>
    <xf numFmtId="0" fontId="15" fillId="22" borderId="7" applyNumberFormat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8" fillId="29" borderId="6" applyNumberFormat="0" applyAlignment="0" applyProtection="0"/>
    <xf numFmtId="0" fontId="5" fillId="0" borderId="0">
      <alignment vertical="top"/>
    </xf>
    <xf numFmtId="0" fontId="1" fillId="0" borderId="0"/>
    <xf numFmtId="0" fontId="7" fillId="30" borderId="0"/>
    <xf numFmtId="0" fontId="19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20" fillId="31" borderId="0" applyNumberFormat="0" applyBorder="0" applyAlignment="0" applyProtection="0"/>
    <xf numFmtId="168" fontId="5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5" fillId="0" borderId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5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1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2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1" fillId="0" borderId="0"/>
    <xf numFmtId="0" fontId="9" fillId="0" borderId="0">
      <alignment vertical="center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1" fillId="0" borderId="0"/>
    <xf numFmtId="0" fontId="5" fillId="0" borderId="0"/>
    <xf numFmtId="0" fontId="2" fillId="0" borderId="0">
      <alignment vertical="top"/>
    </xf>
    <xf numFmtId="0" fontId="2" fillId="0" borderId="0">
      <protection locked="0"/>
    </xf>
    <xf numFmtId="0" fontId="5" fillId="0" borderId="0"/>
    <xf numFmtId="0" fontId="5" fillId="0" borderId="0"/>
    <xf numFmtId="0" fontId="2" fillId="0" borderId="0">
      <alignment vertical="top"/>
    </xf>
    <xf numFmtId="0" fontId="5" fillId="0" borderId="0"/>
    <xf numFmtId="0" fontId="5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3" fillId="0" borderId="0" applyNumberFormat="0" applyBorder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/>
    <xf numFmtId="0" fontId="2" fillId="0" borderId="0"/>
    <xf numFmtId="0" fontId="11" fillId="0" borderId="0"/>
    <xf numFmtId="0" fontId="23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2" fillId="0" borderId="0"/>
    <xf numFmtId="0" fontId="2" fillId="0" borderId="0">
      <protection locked="0"/>
    </xf>
    <xf numFmtId="0" fontId="11" fillId="0" borderId="0"/>
    <xf numFmtId="0" fontId="2" fillId="0" borderId="0">
      <alignment vertical="top"/>
    </xf>
    <xf numFmtId="0" fontId="5" fillId="0" borderId="0">
      <alignment vertical="top"/>
    </xf>
    <xf numFmtId="0" fontId="4" fillId="0" borderId="0">
      <alignment vertical="top"/>
    </xf>
    <xf numFmtId="0" fontId="5" fillId="0" borderId="0">
      <alignment vertical="top"/>
    </xf>
    <xf numFmtId="0" fontId="2" fillId="0" borderId="0">
      <alignment vertical="top"/>
    </xf>
    <xf numFmtId="0" fontId="5" fillId="0" borderId="0">
      <alignment vertical="top"/>
    </xf>
    <xf numFmtId="0" fontId="1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5" fillId="0" borderId="0"/>
    <xf numFmtId="0" fontId="2" fillId="0" borderId="0">
      <alignment vertical="top"/>
    </xf>
    <xf numFmtId="0" fontId="10" fillId="0" borderId="0"/>
    <xf numFmtId="0" fontId="1" fillId="0" borderId="0"/>
    <xf numFmtId="0" fontId="11" fillId="0" borderId="0"/>
    <xf numFmtId="0" fontId="11" fillId="0" borderId="0"/>
    <xf numFmtId="0" fontId="2" fillId="0" borderId="0">
      <alignment vertical="top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11" fillId="33" borderId="9" applyNumberFormat="0" applyFont="0" applyAlignment="0" applyProtection="0"/>
    <xf numFmtId="0" fontId="1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21" borderId="10" applyNumberFormat="0" applyAlignment="0" applyProtection="0"/>
    <xf numFmtId="0" fontId="5" fillId="0" borderId="0">
      <alignment vertical="top"/>
    </xf>
    <xf numFmtId="0" fontId="5" fillId="0" borderId="0">
      <alignment vertical="top"/>
    </xf>
    <xf numFmtId="0" fontId="23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17" fillId="0" borderId="13" applyNumberFormat="0" applyFill="0" applyAlignment="0" applyProtection="0"/>
    <xf numFmtId="0" fontId="30" fillId="0" borderId="14" applyNumberFormat="0" applyFill="0" applyAlignment="0" applyProtection="0"/>
    <xf numFmtId="9" fontId="11" fillId="0" borderId="0" applyFont="0" applyFill="0" applyBorder="0" applyAlignment="0" applyProtection="0"/>
    <xf numFmtId="0" fontId="10" fillId="0" borderId="0">
      <protection locked="0"/>
    </xf>
  </cellStyleXfs>
  <cellXfs count="969">
    <xf numFmtId="0" fontId="0" fillId="0" borderId="0" xfId="0"/>
    <xf numFmtId="0" fontId="39" fillId="57" borderId="1" xfId="0" applyFont="1" applyFill="1" applyBorder="1" applyAlignment="1">
      <alignment horizontal="center" vertical="center"/>
    </xf>
    <xf numFmtId="0" fontId="31" fillId="58" borderId="1" xfId="0" applyFont="1" applyFill="1" applyBorder="1" applyAlignment="1">
      <alignment horizontal="center" vertical="center"/>
    </xf>
    <xf numFmtId="0" fontId="32" fillId="53" borderId="1" xfId="0" applyFont="1" applyFill="1" applyBorder="1" applyAlignment="1">
      <alignment horizontal="center" vertical="center"/>
    </xf>
    <xf numFmtId="0" fontId="35" fillId="56" borderId="1" xfId="0" applyFont="1" applyFill="1" applyBorder="1" applyAlignment="1">
      <alignment horizontal="center" vertical="center"/>
    </xf>
    <xf numFmtId="0" fontId="41" fillId="55" borderId="1" xfId="0" applyFont="1" applyFill="1" applyBorder="1" applyAlignment="1">
      <alignment horizontal="center" vertical="center"/>
    </xf>
    <xf numFmtId="0" fontId="31" fillId="6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2" fillId="0" borderId="24" xfId="0" applyFont="1" applyBorder="1"/>
    <xf numFmtId="0" fontId="22" fillId="0" borderId="28" xfId="0" applyFont="1" applyBorder="1"/>
    <xf numFmtId="0" fontId="22" fillId="0" borderId="30" xfId="0" applyFont="1" applyBorder="1"/>
    <xf numFmtId="0" fontId="22" fillId="0" borderId="31" xfId="0" applyFont="1" applyBorder="1"/>
    <xf numFmtId="0" fontId="47" fillId="71" borderId="29" xfId="0" applyFont="1" applyFill="1" applyBorder="1" applyAlignment="1">
      <alignment horizontal="center" vertical="center"/>
    </xf>
    <xf numFmtId="0" fontId="48" fillId="71" borderId="32" xfId="131" applyFont="1" applyFill="1" applyBorder="1" applyAlignment="1">
      <alignment horizontal="center"/>
    </xf>
    <xf numFmtId="0" fontId="22" fillId="71" borderId="32" xfId="0" applyFont="1" applyFill="1" applyBorder="1"/>
    <xf numFmtId="0" fontId="48" fillId="73" borderId="1" xfId="131" applyFont="1" applyFill="1" applyBorder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50" fillId="74" borderId="1" xfId="131" applyFont="1" applyFill="1" applyBorder="1" applyAlignment="1">
      <alignment horizontal="center"/>
    </xf>
    <xf numFmtId="0" fontId="22" fillId="35" borderId="0" xfId="0" applyFont="1" applyFill="1"/>
    <xf numFmtId="0" fontId="47" fillId="75" borderId="1" xfId="0" applyFont="1" applyFill="1" applyBorder="1" applyAlignment="1">
      <alignment horizontal="center" vertical="center"/>
    </xf>
    <xf numFmtId="0" fontId="51" fillId="76" borderId="1" xfId="142" applyFont="1" applyFill="1" applyBorder="1" applyAlignment="1" applyProtection="1">
      <alignment horizontal="center" vertical="center" shrinkToFit="1"/>
    </xf>
    <xf numFmtId="0" fontId="48" fillId="71" borderId="0" xfId="131" applyFont="1" applyFill="1" applyAlignment="1">
      <alignment horizontal="center"/>
    </xf>
    <xf numFmtId="0" fontId="22" fillId="71" borderId="0" xfId="0" applyFont="1" applyFill="1"/>
    <xf numFmtId="0" fontId="52" fillId="77" borderId="1" xfId="131" applyFont="1" applyFill="1" applyBorder="1" applyAlignment="1">
      <alignment horizontal="center"/>
    </xf>
    <xf numFmtId="0" fontId="49" fillId="71" borderId="34" xfId="142" applyFont="1" applyFill="1" applyBorder="1" applyAlignment="1" applyProtection="1">
      <alignment horizontal="center" vertical="center" shrinkToFit="1"/>
    </xf>
    <xf numFmtId="0" fontId="51" fillId="71" borderId="34" xfId="142" applyFont="1" applyFill="1" applyBorder="1" applyAlignment="1" applyProtection="1">
      <alignment horizontal="center" vertical="center" shrinkToFit="1"/>
    </xf>
    <xf numFmtId="0" fontId="53" fillId="50" borderId="1" xfId="0" applyFont="1" applyFill="1" applyBorder="1" applyAlignment="1">
      <alignment horizontal="center"/>
    </xf>
    <xf numFmtId="0" fontId="47" fillId="71" borderId="0" xfId="0" applyFont="1" applyFill="1" applyAlignment="1">
      <alignment horizontal="center" vertical="center"/>
    </xf>
    <xf numFmtId="0" fontId="51" fillId="71" borderId="35" xfId="142" applyFont="1" applyFill="1" applyBorder="1" applyAlignment="1" applyProtection="1">
      <alignment horizontal="center" vertical="center" shrinkToFit="1"/>
    </xf>
    <xf numFmtId="0" fontId="48" fillId="78" borderId="1" xfId="0" applyFont="1" applyFill="1" applyBorder="1" applyAlignment="1">
      <alignment horizontal="center"/>
    </xf>
    <xf numFmtId="0" fontId="55" fillId="69" borderId="1" xfId="142" applyFont="1" applyFill="1" applyBorder="1" applyAlignment="1" applyProtection="1">
      <alignment horizontal="center" vertical="center" shrinkToFit="1"/>
    </xf>
    <xf numFmtId="0" fontId="31" fillId="79" borderId="0" xfId="0" applyFont="1" applyFill="1" applyAlignment="1">
      <alignment horizontal="center" vertical="center" shrinkToFit="1"/>
    </xf>
    <xf numFmtId="0" fontId="49" fillId="80" borderId="1" xfId="142" applyFont="1" applyFill="1" applyBorder="1" applyAlignment="1" applyProtection="1">
      <alignment horizontal="center" vertical="center" shrinkToFit="1"/>
    </xf>
    <xf numFmtId="0" fontId="51" fillId="81" borderId="1" xfId="142" applyFont="1" applyFill="1" applyBorder="1" applyAlignment="1" applyProtection="1">
      <alignment horizontal="center" vertical="center" shrinkToFit="1"/>
    </xf>
    <xf numFmtId="0" fontId="51" fillId="82" borderId="1" xfId="142" applyFont="1" applyFill="1" applyBorder="1" applyAlignment="1" applyProtection="1">
      <alignment horizontal="center" vertical="center" shrinkToFit="1"/>
    </xf>
    <xf numFmtId="0" fontId="56" fillId="55" borderId="1" xfId="131" applyFont="1" applyFill="1" applyBorder="1" applyAlignment="1">
      <alignment horizontal="center"/>
    </xf>
    <xf numFmtId="0" fontId="57" fillId="0" borderId="0" xfId="0" applyFont="1" applyAlignment="1">
      <alignment horizontal="right"/>
    </xf>
    <xf numFmtId="0" fontId="58" fillId="83" borderId="1" xfId="131" applyFont="1" applyFill="1" applyBorder="1" applyAlignment="1">
      <alignment horizontal="center"/>
    </xf>
    <xf numFmtId="0" fontId="31" fillId="84" borderId="0" xfId="0" applyFont="1" applyFill="1" applyAlignment="1">
      <alignment horizontal="center" vertical="center" shrinkToFit="1"/>
    </xf>
    <xf numFmtId="0" fontId="57" fillId="0" borderId="0" xfId="0" applyFont="1" applyAlignment="1">
      <alignment horizontal="left"/>
    </xf>
    <xf numFmtId="0" fontId="51" fillId="85" borderId="1" xfId="142" applyFont="1" applyFill="1" applyBorder="1" applyAlignment="1" applyProtection="1">
      <alignment horizontal="center" vertical="center" shrinkToFit="1"/>
    </xf>
    <xf numFmtId="0" fontId="51" fillId="86" borderId="1" xfId="142" applyFont="1" applyFill="1" applyBorder="1" applyAlignment="1" applyProtection="1">
      <alignment horizontal="center" vertical="center" shrinkToFit="1"/>
    </xf>
    <xf numFmtId="0" fontId="56" fillId="69" borderId="1" xfId="131" applyFont="1" applyFill="1" applyBorder="1" applyAlignment="1">
      <alignment horizontal="center"/>
    </xf>
    <xf numFmtId="0" fontId="55" fillId="87" borderId="1" xfId="142" applyFont="1" applyFill="1" applyBorder="1" applyAlignment="1" applyProtection="1">
      <alignment horizontal="center" vertical="center" shrinkToFit="1"/>
    </xf>
    <xf numFmtId="0" fontId="59" fillId="67" borderId="0" xfId="0" applyFont="1" applyFill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52" fillId="88" borderId="1" xfId="131" applyFont="1" applyFill="1" applyBorder="1" applyAlignment="1">
      <alignment horizontal="center"/>
    </xf>
    <xf numFmtId="0" fontId="48" fillId="44" borderId="1" xfId="131" applyFont="1" applyFill="1" applyBorder="1" applyAlignment="1">
      <alignment horizontal="center"/>
    </xf>
    <xf numFmtId="0" fontId="48" fillId="44" borderId="36" xfId="131" applyFont="1" applyFill="1" applyBorder="1" applyAlignment="1">
      <alignment horizontal="center"/>
    </xf>
    <xf numFmtId="0" fontId="22" fillId="0" borderId="25" xfId="0" applyFont="1" applyBorder="1"/>
    <xf numFmtId="0" fontId="22" fillId="0" borderId="26" xfId="0" applyFont="1" applyBorder="1"/>
    <xf numFmtId="0" fontId="52" fillId="71" borderId="37" xfId="131" applyFont="1" applyFill="1" applyBorder="1" applyAlignment="1">
      <alignment horizontal="center"/>
    </xf>
    <xf numFmtId="0" fontId="57" fillId="0" borderId="0" xfId="0" applyFont="1" applyAlignment="1">
      <alignment horizontal="center"/>
    </xf>
    <xf numFmtId="0" fontId="22" fillId="71" borderId="35" xfId="0" applyFont="1" applyFill="1" applyBorder="1"/>
    <xf numFmtId="0" fontId="61" fillId="65" borderId="0" xfId="0" applyFont="1" applyFill="1" applyAlignment="1">
      <alignment horizontal="center" vertical="center"/>
    </xf>
    <xf numFmtId="0" fontId="48" fillId="71" borderId="35" xfId="0" applyFont="1" applyFill="1" applyBorder="1" applyAlignment="1">
      <alignment horizontal="center"/>
    </xf>
    <xf numFmtId="0" fontId="62" fillId="71" borderId="0" xfId="142" applyFont="1" applyFill="1" applyAlignment="1" applyProtection="1">
      <alignment horizontal="center" vertical="center" shrinkToFit="1"/>
    </xf>
    <xf numFmtId="0" fontId="22" fillId="0" borderId="38" xfId="0" applyFont="1" applyBorder="1"/>
    <xf numFmtId="0" fontId="63" fillId="65" borderId="0" xfId="0" applyFont="1" applyFill="1" applyAlignment="1">
      <alignment horizontal="center" vertical="center"/>
    </xf>
    <xf numFmtId="0" fontId="55" fillId="89" borderId="0" xfId="0" applyFont="1" applyFill="1" applyAlignment="1">
      <alignment horizontal="center" vertical="center" shrinkToFit="1"/>
    </xf>
    <xf numFmtId="0" fontId="54" fillId="35" borderId="0" xfId="0" applyFont="1" applyFill="1" applyAlignment="1">
      <alignment horizontal="center" vertical="center"/>
    </xf>
    <xf numFmtId="0" fontId="51" fillId="71" borderId="0" xfId="142" applyFont="1" applyFill="1" applyAlignment="1" applyProtection="1">
      <alignment horizontal="center" vertical="center" shrinkToFit="1"/>
    </xf>
    <xf numFmtId="0" fontId="63" fillId="90" borderId="0" xfId="0" applyFont="1" applyFill="1" applyAlignment="1">
      <alignment horizontal="center" vertical="center"/>
    </xf>
    <xf numFmtId="0" fontId="64" fillId="74" borderId="0" xfId="0" applyFont="1" applyFill="1" applyAlignment="1">
      <alignment horizontal="center" vertical="center"/>
    </xf>
    <xf numFmtId="1" fontId="65" fillId="91" borderId="0" xfId="0" applyNumberFormat="1" applyFont="1" applyFill="1" applyAlignment="1">
      <alignment horizontal="center" vertical="center"/>
    </xf>
    <xf numFmtId="0" fontId="61" fillId="90" borderId="0" xfId="0" applyFont="1" applyFill="1" applyAlignment="1">
      <alignment horizontal="center" vertical="center"/>
    </xf>
    <xf numFmtId="0" fontId="22" fillId="65" borderId="0" xfId="0" applyFont="1" applyFill="1"/>
    <xf numFmtId="0" fontId="57" fillId="65" borderId="0" xfId="0" applyFont="1" applyFill="1" applyAlignment="1">
      <alignment horizontal="center" vertical="center"/>
    </xf>
    <xf numFmtId="0" fontId="66" fillId="65" borderId="0" xfId="0" applyFont="1" applyFill="1" applyAlignment="1">
      <alignment horizontal="center" vertical="center"/>
    </xf>
    <xf numFmtId="0" fontId="22" fillId="0" borderId="29" xfId="0" applyFont="1" applyBorder="1"/>
    <xf numFmtId="0" fontId="52" fillId="48" borderId="39" xfId="131" applyFont="1" applyFill="1" applyBorder="1" applyAlignment="1">
      <alignment horizontal="center"/>
    </xf>
    <xf numFmtId="0" fontId="47" fillId="71" borderId="35" xfId="0" applyFont="1" applyFill="1" applyBorder="1" applyAlignment="1">
      <alignment horizontal="center" vertical="center"/>
    </xf>
    <xf numFmtId="0" fontId="22" fillId="71" borderId="40" xfId="0" applyFont="1" applyFill="1" applyBorder="1"/>
    <xf numFmtId="0" fontId="22" fillId="0" borderId="41" xfId="0" applyFont="1" applyBorder="1"/>
    <xf numFmtId="0" fontId="67" fillId="92" borderId="1" xfId="142" applyFont="1" applyFill="1" applyBorder="1" applyAlignment="1" applyProtection="1">
      <alignment horizontal="center" vertical="center" shrinkToFit="1"/>
    </xf>
    <xf numFmtId="0" fontId="49" fillId="93" borderId="1" xfId="0" applyFont="1" applyFill="1" applyBorder="1" applyAlignment="1">
      <alignment horizontal="center" vertical="center"/>
    </xf>
    <xf numFmtId="0" fontId="51" fillId="94" borderId="1" xfId="142" applyFont="1" applyFill="1" applyBorder="1" applyAlignment="1" applyProtection="1">
      <alignment horizontal="center" vertical="center" shrinkToFit="1"/>
    </xf>
    <xf numFmtId="0" fontId="52" fillId="71" borderId="40" xfId="131" applyFont="1" applyFill="1" applyBorder="1" applyAlignment="1">
      <alignment horizontal="center"/>
    </xf>
    <xf numFmtId="0" fontId="51" fillId="95" borderId="1" xfId="142" applyFont="1" applyFill="1" applyBorder="1" applyAlignment="1" applyProtection="1">
      <alignment horizontal="center" vertical="center" shrinkToFit="1"/>
    </xf>
    <xf numFmtId="0" fontId="56" fillId="71" borderId="0" xfId="131" applyFont="1" applyFill="1" applyAlignment="1">
      <alignment horizontal="center"/>
    </xf>
    <xf numFmtId="0" fontId="22" fillId="0" borderId="42" xfId="0" applyFont="1" applyBorder="1"/>
    <xf numFmtId="0" fontId="54" fillId="71" borderId="0" xfId="0" applyFont="1" applyFill="1"/>
    <xf numFmtId="0" fontId="68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9" fillId="0" borderId="0" xfId="0" applyFont="1"/>
    <xf numFmtId="0" fontId="73" fillId="0" borderId="0" xfId="0" applyFont="1" applyAlignment="1">
      <alignment horizontal="center" vertical="center"/>
    </xf>
    <xf numFmtId="0" fontId="74" fillId="0" borderId="0" xfId="0" applyFont="1"/>
    <xf numFmtId="0" fontId="47" fillId="0" borderId="0" xfId="0" applyFont="1"/>
    <xf numFmtId="0" fontId="75" fillId="0" borderId="0" xfId="0" applyFont="1"/>
    <xf numFmtId="0" fontId="64" fillId="0" borderId="0" xfId="0" applyFont="1" applyAlignment="1">
      <alignment horizontal="left" vertical="top" wrapText="1"/>
    </xf>
    <xf numFmtId="0" fontId="77" fillId="71" borderId="0" xfId="142" applyFont="1" applyFill="1" applyAlignment="1" applyProtection="1">
      <alignment horizontal="center" vertical="center" shrinkToFit="1"/>
    </xf>
    <xf numFmtId="14" fontId="76" fillId="0" borderId="1" xfId="0" applyNumberFormat="1" applyFont="1" applyBorder="1" applyAlignment="1" applyProtection="1">
      <alignment horizontal="center" vertical="center" wrapText="1"/>
      <protection locked="0"/>
    </xf>
    <xf numFmtId="14" fontId="72" fillId="73" borderId="1" xfId="0" applyNumberFormat="1" applyFont="1" applyFill="1" applyBorder="1" applyAlignment="1" applyProtection="1">
      <alignment horizontal="center" vertical="center" wrapText="1"/>
      <protection locked="0"/>
    </xf>
    <xf numFmtId="0" fontId="72" fillId="73" borderId="1" xfId="0" applyFont="1" applyFill="1" applyBorder="1" applyAlignment="1" applyProtection="1">
      <alignment horizontal="center" vertical="center" wrapText="1"/>
      <protection locked="0"/>
    </xf>
    <xf numFmtId="170" fontId="76" fillId="0" borderId="1" xfId="0" applyNumberFormat="1" applyFont="1" applyBorder="1" applyAlignment="1">
      <alignment horizontal="center" vertical="center" wrapText="1"/>
    </xf>
    <xf numFmtId="0" fontId="31" fillId="71" borderId="0" xfId="142" applyFont="1" applyFill="1" applyAlignment="1" applyProtection="1">
      <alignment vertical="center" shrinkToFit="1"/>
    </xf>
    <xf numFmtId="170" fontId="80" fillId="71" borderId="45" xfId="142" applyNumberFormat="1" applyFont="1" applyFill="1" applyBorder="1" applyAlignment="1" applyProtection="1">
      <alignment horizontal="center" vertical="center" shrinkToFit="1"/>
    </xf>
    <xf numFmtId="0" fontId="45" fillId="98" borderId="1" xfId="0" applyFont="1" applyFill="1" applyBorder="1" applyAlignment="1" applyProtection="1">
      <alignment horizontal="center" vertical="center" wrapText="1"/>
      <protection locked="0"/>
    </xf>
    <xf numFmtId="43" fontId="45" fillId="98" borderId="1" xfId="41" applyFont="1" applyFill="1" applyBorder="1" applyAlignment="1" applyProtection="1">
      <alignment horizontal="right" vertical="center"/>
    </xf>
    <xf numFmtId="0" fontId="81" fillId="71" borderId="0" xfId="142" applyFont="1" applyFill="1" applyAlignment="1" applyProtection="1">
      <alignment vertical="center" shrinkToFit="1"/>
    </xf>
    <xf numFmtId="0" fontId="82" fillId="71" borderId="0" xfId="142" applyFont="1" applyFill="1" applyAlignment="1" applyProtection="1">
      <alignment horizontal="center" vertical="center" shrinkToFit="1"/>
    </xf>
    <xf numFmtId="0" fontId="45" fillId="99" borderId="1" xfId="0" applyFont="1" applyFill="1" applyBorder="1" applyAlignment="1" applyProtection="1">
      <alignment horizontal="center" vertical="center" wrapText="1"/>
      <protection locked="0"/>
    </xf>
    <xf numFmtId="43" fontId="45" fillId="99" borderId="36" xfId="41" applyFont="1" applyFill="1" applyBorder="1" applyAlignment="1" applyProtection="1">
      <alignment horizontal="right" vertical="center"/>
    </xf>
    <xf numFmtId="43" fontId="45" fillId="99" borderId="1" xfId="41" applyFont="1" applyFill="1" applyBorder="1" applyAlignment="1" applyProtection="1">
      <alignment horizontal="right" vertical="center"/>
    </xf>
    <xf numFmtId="0" fontId="83" fillId="0" borderId="0" xfId="152" applyFont="1" applyAlignment="1" applyProtection="1">
      <alignment vertical="center" shrinkToFit="1"/>
    </xf>
    <xf numFmtId="0" fontId="45" fillId="100" borderId="15" xfId="0" applyFont="1" applyFill="1" applyBorder="1" applyAlignment="1" applyProtection="1">
      <alignment horizontal="center" vertical="center" wrapText="1"/>
      <protection locked="0"/>
    </xf>
    <xf numFmtId="171" fontId="45" fillId="100" borderId="1" xfId="201" applyNumberFormat="1" applyFont="1" applyFill="1" applyBorder="1" applyAlignment="1" applyProtection="1">
      <alignment horizontal="right" vertical="center" wrapText="1"/>
      <protection locked="0"/>
    </xf>
    <xf numFmtId="0" fontId="55" fillId="71" borderId="0" xfId="142" applyFont="1" applyFill="1" applyAlignment="1" applyProtection="1">
      <alignment vertical="center" shrinkToFit="1"/>
    </xf>
    <xf numFmtId="170" fontId="84" fillId="101" borderId="49" xfId="152" applyNumberFormat="1" applyFont="1" applyFill="1" applyBorder="1" applyAlignment="1" applyProtection="1">
      <alignment horizontal="center" vertical="center" shrinkToFit="1"/>
    </xf>
    <xf numFmtId="0" fontId="45" fillId="70" borderId="1" xfId="0" applyFont="1" applyFill="1" applyBorder="1" applyAlignment="1" applyProtection="1">
      <alignment horizontal="center" vertical="center" wrapText="1"/>
      <protection locked="0"/>
    </xf>
    <xf numFmtId="10" fontId="45" fillId="70" borderId="2" xfId="201" applyNumberFormat="1" applyFont="1" applyFill="1" applyBorder="1" applyAlignment="1" applyProtection="1">
      <alignment horizontal="right" vertical="center"/>
    </xf>
    <xf numFmtId="10" fontId="45" fillId="70" borderId="1" xfId="201" applyNumberFormat="1" applyFont="1" applyFill="1" applyBorder="1" applyAlignment="1" applyProtection="1">
      <alignment horizontal="right" vertical="center"/>
    </xf>
    <xf numFmtId="170" fontId="84" fillId="102" borderId="3" xfId="152" applyNumberFormat="1" applyFont="1" applyFill="1" applyBorder="1" applyAlignment="1" applyProtection="1">
      <alignment horizontal="center" vertical="center" shrinkToFit="1"/>
    </xf>
    <xf numFmtId="0" fontId="45" fillId="103" borderId="1" xfId="0" applyFont="1" applyFill="1" applyBorder="1" applyAlignment="1" applyProtection="1">
      <alignment horizontal="center" vertical="center" wrapText="1"/>
      <protection locked="0"/>
    </xf>
    <xf numFmtId="1" fontId="45" fillId="103" borderId="2" xfId="201" applyNumberFormat="1" applyFont="1" applyFill="1" applyBorder="1" applyAlignment="1" applyProtection="1">
      <alignment horizontal="right" vertical="center"/>
    </xf>
    <xf numFmtId="1" fontId="45" fillId="103" borderId="1" xfId="201" applyNumberFormat="1" applyFont="1" applyFill="1" applyBorder="1" applyAlignment="1" applyProtection="1">
      <alignment horizontal="right" vertical="center"/>
    </xf>
    <xf numFmtId="170" fontId="81" fillId="104" borderId="3" xfId="142" applyNumberFormat="1" applyFont="1" applyFill="1" applyBorder="1" applyAlignment="1" applyProtection="1">
      <alignment horizontal="center" vertical="center"/>
    </xf>
    <xf numFmtId="0" fontId="45" fillId="105" borderId="1" xfId="0" applyFont="1" applyFill="1" applyBorder="1" applyAlignment="1" applyProtection="1">
      <alignment horizontal="center" vertical="center" wrapText="1"/>
      <protection locked="0"/>
    </xf>
    <xf numFmtId="1" fontId="45" fillId="105" borderId="2" xfId="201" applyNumberFormat="1" applyFont="1" applyFill="1" applyBorder="1" applyAlignment="1" applyProtection="1">
      <alignment horizontal="right" vertical="center"/>
    </xf>
    <xf numFmtId="1" fontId="45" fillId="105" borderId="1" xfId="201" applyNumberFormat="1" applyFont="1" applyFill="1" applyBorder="1" applyAlignment="1" applyProtection="1">
      <alignment horizontal="right" vertical="center"/>
    </xf>
    <xf numFmtId="0" fontId="86" fillId="0" borderId="0" xfId="251" applyFont="1" applyProtection="1"/>
    <xf numFmtId="0" fontId="87" fillId="0" borderId="0" xfId="0" applyFont="1" applyAlignment="1">
      <alignment horizontal="center" wrapText="1" shrinkToFit="1"/>
    </xf>
    <xf numFmtId="0" fontId="22" fillId="0" borderId="52" xfId="0" applyFont="1" applyBorder="1"/>
    <xf numFmtId="0" fontId="22" fillId="0" borderId="53" xfId="0" applyFont="1" applyBorder="1"/>
    <xf numFmtId="0" fontId="22" fillId="0" borderId="54" xfId="0" applyFont="1" applyBorder="1"/>
    <xf numFmtId="0" fontId="89" fillId="0" borderId="0" xfId="0" applyFont="1"/>
    <xf numFmtId="0" fontId="55" fillId="0" borderId="1" xfId="142" applyFont="1" applyBorder="1" applyAlignment="1" applyProtection="1">
      <alignment horizontal="center" vertical="center" shrinkToFit="1"/>
    </xf>
    <xf numFmtId="0" fontId="89" fillId="0" borderId="39" xfId="0" applyFont="1" applyBorder="1"/>
    <xf numFmtId="0" fontId="22" fillId="0" borderId="58" xfId="0" applyFont="1" applyBorder="1"/>
    <xf numFmtId="0" fontId="90" fillId="0" borderId="0" xfId="0" applyFont="1"/>
    <xf numFmtId="0" fontId="91" fillId="0" borderId="0" xfId="0" applyFont="1" applyAlignment="1">
      <alignment horizontal="center" vertical="center"/>
    </xf>
    <xf numFmtId="0" fontId="61" fillId="0" borderId="49" xfId="0" applyFont="1" applyBorder="1"/>
    <xf numFmtId="0" fontId="61" fillId="0" borderId="27" xfId="0" applyFont="1" applyBorder="1"/>
    <xf numFmtId="0" fontId="55" fillId="108" borderId="1" xfId="142" applyFont="1" applyFill="1" applyBorder="1" applyAlignment="1" applyProtection="1">
      <alignment horizontal="center" vertical="center" shrinkToFit="1"/>
    </xf>
    <xf numFmtId="170" fontId="92" fillId="0" borderId="1" xfId="142" applyNumberFormat="1" applyFont="1" applyBorder="1" applyAlignment="1" applyProtection="1">
      <alignment horizontal="center" vertical="center" shrinkToFit="1"/>
    </xf>
    <xf numFmtId="0" fontId="89" fillId="43" borderId="0" xfId="0" applyFont="1" applyFill="1"/>
    <xf numFmtId="0" fontId="81" fillId="0" borderId="17" xfId="142" applyFont="1" applyBorder="1" applyAlignment="1" applyProtection="1">
      <alignment horizontal="left" vertical="center" shrinkToFit="1"/>
    </xf>
    <xf numFmtId="0" fontId="81" fillId="0" borderId="18" xfId="142" applyFont="1" applyBorder="1" applyAlignment="1" applyProtection="1">
      <alignment horizontal="left" vertical="center" shrinkToFit="1"/>
    </xf>
    <xf numFmtId="0" fontId="89" fillId="109" borderId="61" xfId="0" applyFont="1" applyFill="1" applyBorder="1" applyAlignment="1">
      <alignment wrapText="1"/>
    </xf>
    <xf numFmtId="0" fontId="93" fillId="0" borderId="0" xfId="0" applyFont="1" applyAlignment="1">
      <alignment wrapText="1" shrinkToFit="1"/>
    </xf>
    <xf numFmtId="0" fontId="94" fillId="0" borderId="0" xfId="0" applyFont="1"/>
    <xf numFmtId="0" fontId="51" fillId="110" borderId="1" xfId="142" applyFont="1" applyFill="1" applyBorder="1" applyAlignment="1" applyProtection="1">
      <alignment horizontal="center" vertical="center" shrinkToFit="1"/>
    </xf>
    <xf numFmtId="0" fontId="49" fillId="111" borderId="1" xfId="142" applyFont="1" applyFill="1" applyBorder="1" applyAlignment="1" applyProtection="1">
      <alignment horizontal="center" vertical="center" shrinkToFit="1"/>
    </xf>
    <xf numFmtId="0" fontId="89" fillId="109" borderId="0" xfId="0" applyFont="1" applyFill="1" applyAlignment="1">
      <alignment wrapText="1"/>
    </xf>
    <xf numFmtId="0" fontId="95" fillId="0" borderId="0" xfId="0" applyFont="1" applyAlignment="1">
      <alignment horizontal="center" wrapText="1" shrinkToFit="1"/>
    </xf>
    <xf numFmtId="172" fontId="43" fillId="0" borderId="0" xfId="0" applyNumberFormat="1" applyFont="1" applyAlignment="1">
      <alignment shrinkToFit="1"/>
    </xf>
    <xf numFmtId="0" fontId="96" fillId="0" borderId="1" xfId="126" applyFont="1" applyBorder="1" applyAlignment="1">
      <alignment shrinkToFit="1"/>
    </xf>
    <xf numFmtId="0" fontId="52" fillId="55" borderId="39" xfId="131" applyFont="1" applyFill="1" applyBorder="1" applyAlignment="1">
      <alignment horizontal="center"/>
    </xf>
    <xf numFmtId="170" fontId="22" fillId="0" borderId="1" xfId="0" applyNumberFormat="1" applyFont="1" applyBorder="1" applyAlignment="1">
      <alignment horizontal="center" vertical="center"/>
    </xf>
    <xf numFmtId="9" fontId="22" fillId="0" borderId="1" xfId="250" applyFont="1" applyBorder="1" applyAlignment="1" applyProtection="1">
      <alignment horizontal="center"/>
    </xf>
    <xf numFmtId="0" fontId="97" fillId="0" borderId="1" xfId="142" applyFont="1" applyBorder="1" applyAlignment="1" applyProtection="1">
      <alignment horizontal="center" vertical="center" shrinkToFit="1"/>
    </xf>
    <xf numFmtId="0" fontId="49" fillId="68" borderId="1" xfId="142" applyFont="1" applyFill="1" applyBorder="1" applyAlignment="1" applyProtection="1">
      <alignment horizontal="center" vertical="center" shrinkToFit="1"/>
    </xf>
    <xf numFmtId="0" fontId="94" fillId="71" borderId="0" xfId="0" applyFont="1" applyFill="1"/>
    <xf numFmtId="0" fontId="63" fillId="71" borderId="0" xfId="0" applyFont="1" applyFill="1" applyAlignment="1">
      <alignment horizontal="center"/>
    </xf>
    <xf numFmtId="170" fontId="84" fillId="71" borderId="0" xfId="0" applyNumberFormat="1" applyFont="1" applyFill="1" applyAlignment="1">
      <alignment horizontal="center"/>
    </xf>
    <xf numFmtId="0" fontId="9" fillId="71" borderId="0" xfId="0" applyFont="1" applyFill="1"/>
    <xf numFmtId="0" fontId="48" fillId="0" borderId="0" xfId="0" applyFont="1" applyAlignment="1">
      <alignment horizontal="center" vertical="center"/>
    </xf>
    <xf numFmtId="0" fontId="49" fillId="112" borderId="1" xfId="142" applyFont="1" applyFill="1" applyBorder="1" applyAlignment="1" applyProtection="1">
      <alignment horizontal="center" vertical="center" shrinkToFit="1"/>
    </xf>
    <xf numFmtId="0" fontId="43" fillId="0" borderId="0" xfId="0" applyFont="1" applyAlignment="1">
      <alignment wrapText="1" shrinkToFit="1"/>
    </xf>
    <xf numFmtId="2" fontId="31" fillId="0" borderId="0" xfId="56" applyNumberFormat="1" applyFont="1" applyAlignment="1" applyProtection="1">
      <alignment shrinkToFit="1"/>
    </xf>
    <xf numFmtId="0" fontId="3" fillId="0" borderId="1" xfId="152" applyFont="1" applyBorder="1" applyAlignment="1" applyProtection="1">
      <alignment horizontal="center" vertical="center"/>
    </xf>
    <xf numFmtId="0" fontId="3" fillId="0" borderId="39" xfId="152" applyFont="1" applyBorder="1" applyAlignment="1" applyProtection="1">
      <alignment horizontal="center" vertical="center"/>
    </xf>
    <xf numFmtId="0" fontId="98" fillId="71" borderId="39" xfId="131" applyFont="1" applyFill="1" applyBorder="1" applyAlignment="1">
      <alignment horizontal="center"/>
    </xf>
    <xf numFmtId="0" fontId="51" fillId="92" borderId="1" xfId="142" applyFont="1" applyFill="1" applyBorder="1" applyAlignment="1" applyProtection="1">
      <alignment horizontal="center" vertical="center" shrinkToFit="1"/>
    </xf>
    <xf numFmtId="0" fontId="43" fillId="0" borderId="0" xfId="0" applyFont="1" applyAlignment="1">
      <alignment shrinkToFit="1"/>
    </xf>
    <xf numFmtId="0" fontId="3" fillId="0" borderId="15" xfId="142" applyFont="1" applyBorder="1" applyAlignment="1" applyProtection="1">
      <alignment horizontal="center" vertical="center" shrinkToFit="1"/>
    </xf>
    <xf numFmtId="0" fontId="81" fillId="0" borderId="62" xfId="142" applyFont="1" applyBorder="1" applyAlignment="1" applyProtection="1">
      <alignment horizontal="center" vertical="center" shrinkToFit="1"/>
    </xf>
    <xf numFmtId="0" fontId="32" fillId="35" borderId="5" xfId="0" applyFont="1" applyFill="1" applyBorder="1" applyAlignment="1">
      <alignment horizontal="center" vertical="center"/>
    </xf>
    <xf numFmtId="173" fontId="3" fillId="104" borderId="0" xfId="142" applyNumberFormat="1" applyFont="1" applyFill="1" applyAlignment="1" applyProtection="1">
      <alignment horizontal="center" vertical="center"/>
    </xf>
    <xf numFmtId="173" fontId="3" fillId="101" borderId="0" xfId="152" applyNumberFormat="1" applyFont="1" applyFill="1" applyAlignment="1" applyProtection="1">
      <alignment horizontal="center" vertical="center" shrinkToFit="1"/>
    </xf>
    <xf numFmtId="170" fontId="3" fillId="102" borderId="0" xfId="152" applyNumberFormat="1" applyFont="1" applyFill="1" applyAlignment="1" applyProtection="1">
      <alignment horizontal="center" vertical="center" shrinkToFit="1"/>
    </xf>
    <xf numFmtId="170" fontId="65" fillId="113" borderId="0" xfId="142" applyNumberFormat="1" applyFont="1" applyFill="1" applyAlignment="1" applyProtection="1">
      <alignment horizontal="center" vertical="center"/>
    </xf>
    <xf numFmtId="0" fontId="96" fillId="63" borderId="39" xfId="131" applyFont="1" applyFill="1" applyBorder="1" applyAlignment="1">
      <alignment horizontal="center"/>
    </xf>
    <xf numFmtId="0" fontId="51" fillId="114" borderId="1" xfId="142" applyFont="1" applyFill="1" applyBorder="1" applyAlignment="1" applyProtection="1">
      <alignment horizontal="center" vertical="center" shrinkToFit="1"/>
    </xf>
    <xf numFmtId="0" fontId="49" fillId="115" borderId="1" xfId="142" applyFont="1" applyFill="1" applyBorder="1" applyAlignment="1" applyProtection="1">
      <alignment horizontal="center" vertical="center" shrinkToFit="1"/>
    </xf>
    <xf numFmtId="0" fontId="32" fillId="37" borderId="31" xfId="0" applyFont="1" applyFill="1" applyBorder="1" applyAlignment="1">
      <alignment horizontal="center" vertical="center"/>
    </xf>
    <xf numFmtId="0" fontId="52" fillId="101" borderId="39" xfId="131" applyFont="1" applyFill="1" applyBorder="1" applyAlignment="1">
      <alignment horizontal="center"/>
    </xf>
    <xf numFmtId="0" fontId="62" fillId="0" borderId="1" xfId="142" applyFont="1" applyBorder="1" applyAlignment="1" applyProtection="1">
      <alignment horizontal="center" vertical="center" shrinkToFit="1"/>
    </xf>
    <xf numFmtId="0" fontId="49" fillId="116" borderId="1" xfId="142" applyFont="1" applyFill="1" applyBorder="1" applyAlignment="1" applyProtection="1">
      <alignment horizontal="center" vertical="center" shrinkToFit="1"/>
    </xf>
    <xf numFmtId="0" fontId="39" fillId="57" borderId="24" xfId="0" applyFont="1" applyFill="1" applyBorder="1" applyAlignment="1">
      <alignment horizontal="center" vertical="center"/>
    </xf>
    <xf numFmtId="0" fontId="48" fillId="64" borderId="39" xfId="131" applyFont="1" applyFill="1" applyBorder="1" applyAlignment="1">
      <alignment horizontal="center"/>
    </xf>
    <xf numFmtId="0" fontId="49" fillId="117" borderId="1" xfId="142" applyFont="1" applyFill="1" applyBorder="1" applyAlignment="1" applyProtection="1">
      <alignment horizontal="center" vertical="center" shrinkToFit="1"/>
    </xf>
    <xf numFmtId="3" fontId="43" fillId="0" borderId="0" xfId="0" applyNumberFormat="1" applyFont="1" applyAlignment="1">
      <alignment shrinkToFit="1"/>
    </xf>
    <xf numFmtId="0" fontId="32" fillId="55" borderId="31" xfId="0" applyFont="1" applyFill="1" applyBorder="1" applyAlignment="1">
      <alignment horizontal="center" vertical="center"/>
    </xf>
    <xf numFmtId="0" fontId="52" fillId="88" borderId="39" xfId="131" applyFont="1" applyFill="1" applyBorder="1" applyAlignment="1">
      <alignment horizontal="center"/>
    </xf>
    <xf numFmtId="0" fontId="49" fillId="118" borderId="1" xfId="142" applyFont="1" applyFill="1" applyBorder="1" applyAlignment="1" applyProtection="1">
      <alignment horizontal="center" vertical="center" shrinkToFit="1"/>
    </xf>
    <xf numFmtId="0" fontId="31" fillId="62" borderId="0" xfId="0" applyFont="1" applyFill="1" applyAlignment="1">
      <alignment horizontal="center" vertical="center"/>
    </xf>
    <xf numFmtId="0" fontId="99" fillId="0" borderId="1" xfId="142" applyFont="1" applyBorder="1" applyAlignment="1" applyProtection="1">
      <alignment horizontal="center" vertical="center" shrinkToFit="1"/>
    </xf>
    <xf numFmtId="0" fontId="48" fillId="64" borderId="1" xfId="0" applyFont="1" applyFill="1" applyBorder="1" applyAlignment="1">
      <alignment horizontal="center" vertical="center"/>
    </xf>
    <xf numFmtId="0" fontId="32" fillId="54" borderId="23" xfId="0" applyFont="1" applyFill="1" applyBorder="1" applyAlignment="1">
      <alignment horizontal="center" vertical="center"/>
    </xf>
    <xf numFmtId="0" fontId="48" fillId="75" borderId="1" xfId="0" applyFont="1" applyFill="1" applyBorder="1" applyAlignment="1">
      <alignment horizontal="center" vertical="center"/>
    </xf>
    <xf numFmtId="0" fontId="31" fillId="58" borderId="0" xfId="0" applyFont="1" applyFill="1" applyAlignment="1">
      <alignment horizontal="center" vertical="center"/>
    </xf>
    <xf numFmtId="0" fontId="52" fillId="119" borderId="39" xfId="131" applyFont="1" applyFill="1" applyBorder="1" applyAlignment="1">
      <alignment horizontal="center"/>
    </xf>
    <xf numFmtId="0" fontId="48" fillId="63" borderId="1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2" fillId="49" borderId="22" xfId="0" applyFont="1" applyFill="1" applyBorder="1" applyAlignment="1">
      <alignment horizontal="center" vertical="center"/>
    </xf>
    <xf numFmtId="0" fontId="52" fillId="52" borderId="39" xfId="131" applyFont="1" applyFill="1" applyBorder="1" applyAlignment="1">
      <alignment horizontal="center"/>
    </xf>
    <xf numFmtId="0" fontId="96" fillId="91" borderId="1" xfId="0" applyFont="1" applyFill="1" applyBorder="1" applyAlignment="1">
      <alignment horizontal="center" vertical="center"/>
    </xf>
    <xf numFmtId="0" fontId="32" fillId="45" borderId="63" xfId="0" applyFont="1" applyFill="1" applyBorder="1" applyAlignment="1">
      <alignment horizontal="center" vertical="center"/>
    </xf>
    <xf numFmtId="0" fontId="96" fillId="0" borderId="1" xfId="142" applyFont="1" applyBorder="1" applyAlignment="1" applyProtection="1">
      <alignment vertical="center" shrinkToFit="1"/>
    </xf>
    <xf numFmtId="0" fontId="51" fillId="120" borderId="39" xfId="142" applyFont="1" applyFill="1" applyBorder="1" applyAlignment="1" applyProtection="1">
      <alignment horizontal="center" vertical="center" shrinkToFit="1"/>
    </xf>
    <xf numFmtId="0" fontId="102" fillId="121" borderId="1" xfId="142" applyFont="1" applyFill="1" applyBorder="1" applyAlignment="1" applyProtection="1">
      <alignment horizontal="center" vertical="center" shrinkToFit="1"/>
    </xf>
    <xf numFmtId="0" fontId="51" fillId="0" borderId="1" xfId="142" applyFont="1" applyBorder="1" applyAlignment="1" applyProtection="1">
      <alignment horizontal="center" vertical="center" shrinkToFit="1"/>
    </xf>
    <xf numFmtId="0" fontId="40" fillId="0" borderId="1" xfId="152" applyFont="1" applyBorder="1" applyAlignment="1" applyProtection="1">
      <alignment horizontal="center" vertical="center" shrinkToFit="1"/>
    </xf>
    <xf numFmtId="0" fontId="49" fillId="0" borderId="1" xfId="142" applyFont="1" applyBorder="1" applyAlignment="1" applyProtection="1">
      <alignment horizontal="center" vertical="center" shrinkToFit="1"/>
    </xf>
    <xf numFmtId="0" fontId="37" fillId="50" borderId="31" xfId="0" applyFont="1" applyFill="1" applyBorder="1" applyAlignment="1">
      <alignment horizontal="center" vertical="center"/>
    </xf>
    <xf numFmtId="0" fontId="51" fillId="122" borderId="39" xfId="142" applyFont="1" applyFill="1" applyBorder="1" applyAlignment="1" applyProtection="1">
      <alignment horizontal="center" vertical="center" shrinkToFit="1"/>
    </xf>
    <xf numFmtId="0" fontId="52" fillId="98" borderId="1" xfId="0" applyFont="1" applyFill="1" applyBorder="1" applyAlignment="1">
      <alignment horizontal="center" vertical="center"/>
    </xf>
    <xf numFmtId="0" fontId="32" fillId="54" borderId="31" xfId="0" applyFont="1" applyFill="1" applyBorder="1" applyAlignment="1">
      <alignment horizontal="center" vertical="center"/>
    </xf>
    <xf numFmtId="0" fontId="51" fillId="123" borderId="39" xfId="142" applyFont="1" applyFill="1" applyBorder="1" applyAlignment="1" applyProtection="1">
      <alignment horizontal="center" vertical="center" shrinkToFit="1"/>
    </xf>
    <xf numFmtId="0" fontId="49" fillId="124" borderId="1" xfId="142" applyFont="1" applyFill="1" applyBorder="1" applyAlignment="1" applyProtection="1">
      <alignment horizontal="center" vertical="center" shrinkToFit="1"/>
    </xf>
    <xf numFmtId="0" fontId="49" fillId="125" borderId="1" xfId="142" applyFont="1" applyFill="1" applyBorder="1" applyAlignment="1" applyProtection="1">
      <alignment horizontal="center" vertical="center" shrinkToFit="1"/>
    </xf>
    <xf numFmtId="0" fontId="35" fillId="42" borderId="24" xfId="0" applyFont="1" applyFill="1" applyBorder="1" applyAlignment="1">
      <alignment horizontal="center" vertical="center"/>
    </xf>
    <xf numFmtId="0" fontId="103" fillId="88" borderId="1" xfId="131" applyFont="1" applyFill="1" applyBorder="1" applyAlignment="1">
      <alignment horizontal="center"/>
    </xf>
    <xf numFmtId="0" fontId="92" fillId="43" borderId="0" xfId="0" applyFont="1" applyFill="1" applyAlignment="1">
      <alignment horizontal="center" vertical="center"/>
    </xf>
    <xf numFmtId="0" fontId="104" fillId="0" borderId="15" xfId="142" applyFont="1" applyBorder="1" applyAlignment="1" applyProtection="1">
      <alignment horizontal="center" vertical="center" shrinkToFit="1"/>
    </xf>
    <xf numFmtId="0" fontId="96" fillId="0" borderId="1" xfId="142" applyFont="1" applyBorder="1" applyAlignment="1" applyProtection="1">
      <alignment shrinkToFit="1"/>
    </xf>
    <xf numFmtId="0" fontId="51" fillId="126" borderId="1" xfId="142" applyFont="1" applyFill="1" applyBorder="1" applyAlignment="1" applyProtection="1">
      <alignment horizontal="center" vertical="center" shrinkToFit="1"/>
    </xf>
    <xf numFmtId="0" fontId="31" fillId="52" borderId="24" xfId="0" applyFont="1" applyFill="1" applyBorder="1" applyAlignment="1">
      <alignment horizontal="center" vertical="center"/>
    </xf>
    <xf numFmtId="0" fontId="49" fillId="127" borderId="39" xfId="142" applyFont="1" applyFill="1" applyBorder="1" applyAlignment="1" applyProtection="1">
      <alignment horizontal="center" vertical="center" shrinkToFit="1"/>
    </xf>
    <xf numFmtId="0" fontId="55" fillId="128" borderId="1" xfId="142" applyFont="1" applyFill="1" applyBorder="1" applyAlignment="1" applyProtection="1">
      <alignment horizontal="center" vertical="center" shrinkToFit="1"/>
    </xf>
    <xf numFmtId="0" fontId="48" fillId="107" borderId="1" xfId="0" applyFont="1" applyFill="1" applyBorder="1" applyAlignment="1">
      <alignment horizontal="center" vertical="center"/>
    </xf>
    <xf numFmtId="0" fontId="32" fillId="53" borderId="24" xfId="0" applyFont="1" applyFill="1" applyBorder="1" applyAlignment="1">
      <alignment horizontal="center" vertical="center"/>
    </xf>
    <xf numFmtId="0" fontId="55" fillId="129" borderId="39" xfId="142" applyFont="1" applyFill="1" applyBorder="1" applyAlignment="1" applyProtection="1">
      <alignment horizontal="center" vertical="center" shrinkToFit="1"/>
    </xf>
    <xf numFmtId="0" fontId="51" fillId="130" borderId="1" xfId="142" applyFont="1" applyFill="1" applyBorder="1" applyAlignment="1" applyProtection="1">
      <alignment horizontal="center" vertical="center" shrinkToFit="1"/>
    </xf>
    <xf numFmtId="0" fontId="48" fillId="0" borderId="1" xfId="0" applyFont="1" applyBorder="1" applyAlignment="1">
      <alignment horizontal="center" vertical="center"/>
    </xf>
    <xf numFmtId="0" fontId="31" fillId="36" borderId="24" xfId="0" applyFont="1" applyFill="1" applyBorder="1" applyAlignment="1">
      <alignment horizontal="center" vertical="center"/>
    </xf>
    <xf numFmtId="0" fontId="49" fillId="131" borderId="39" xfId="142" applyFont="1" applyFill="1" applyBorder="1" applyAlignment="1" applyProtection="1">
      <alignment horizontal="center" vertical="center" shrinkToFit="1"/>
    </xf>
    <xf numFmtId="0" fontId="105" fillId="94" borderId="1" xfId="142" applyFont="1" applyFill="1" applyBorder="1" applyAlignment="1" applyProtection="1">
      <alignment horizontal="center" vertical="center" shrinkToFit="1"/>
    </xf>
    <xf numFmtId="0" fontId="32" fillId="40" borderId="24" xfId="0" applyFont="1" applyFill="1" applyBorder="1" applyAlignment="1">
      <alignment horizontal="center" vertical="center"/>
    </xf>
    <xf numFmtId="0" fontId="49" fillId="132" borderId="39" xfId="142" applyFont="1" applyFill="1" applyBorder="1" applyAlignment="1" applyProtection="1">
      <alignment horizontal="center" vertical="center" shrinkToFit="1"/>
    </xf>
    <xf numFmtId="0" fontId="101" fillId="0" borderId="1" xfId="0" applyFont="1" applyBorder="1" applyAlignment="1">
      <alignment horizontal="center" vertical="center"/>
    </xf>
    <xf numFmtId="0" fontId="40" fillId="63" borderId="24" xfId="0" applyFont="1" applyFill="1" applyBorder="1" applyAlignment="1">
      <alignment horizontal="center" vertical="center"/>
    </xf>
    <xf numFmtId="0" fontId="52" fillId="74" borderId="1" xfId="0" applyFont="1" applyFill="1" applyBorder="1" applyAlignment="1">
      <alignment horizontal="center"/>
    </xf>
    <xf numFmtId="0" fontId="49" fillId="133" borderId="1" xfId="142" applyFont="1" applyFill="1" applyBorder="1" applyAlignment="1" applyProtection="1">
      <alignment horizontal="center" vertical="center" shrinkToFit="1"/>
    </xf>
    <xf numFmtId="0" fontId="52" fillId="88" borderId="1" xfId="0" applyFont="1" applyFill="1" applyBorder="1" applyAlignment="1">
      <alignment horizontal="center" vertical="center"/>
    </xf>
    <xf numFmtId="0" fontId="35" fillId="56" borderId="24" xfId="0" applyFont="1" applyFill="1" applyBorder="1" applyAlignment="1">
      <alignment horizontal="center" vertical="center"/>
    </xf>
    <xf numFmtId="0" fontId="96" fillId="134" borderId="1" xfId="0" applyFont="1" applyFill="1" applyBorder="1" applyAlignment="1">
      <alignment horizontal="center" vertical="center"/>
    </xf>
    <xf numFmtId="0" fontId="106" fillId="0" borderId="1" xfId="0" applyFont="1" applyBorder="1" applyAlignment="1">
      <alignment horizontal="center" vertical="center"/>
    </xf>
    <xf numFmtId="0" fontId="32" fillId="105" borderId="24" xfId="0" applyFont="1" applyFill="1" applyBorder="1" applyAlignment="1">
      <alignment horizontal="center" vertical="center"/>
    </xf>
    <xf numFmtId="0" fontId="96" fillId="34" borderId="1" xfId="0" applyFont="1" applyFill="1" applyBorder="1" applyAlignment="1">
      <alignment horizontal="center" vertical="center"/>
    </xf>
    <xf numFmtId="0" fontId="106" fillId="135" borderId="1" xfId="0" applyFont="1" applyFill="1" applyBorder="1" applyAlignment="1">
      <alignment horizontal="center" vertical="center"/>
    </xf>
    <xf numFmtId="0" fontId="89" fillId="0" borderId="58" xfId="0" applyFont="1" applyBorder="1"/>
    <xf numFmtId="0" fontId="31" fillId="136" borderId="57" xfId="142" applyFont="1" applyFill="1" applyBorder="1" applyAlignment="1" applyProtection="1">
      <alignment vertical="center" shrinkToFit="1"/>
    </xf>
    <xf numFmtId="170" fontId="3" fillId="104" borderId="0" xfId="142" applyNumberFormat="1" applyFont="1" applyFill="1" applyAlignment="1" applyProtection="1">
      <alignment horizontal="center" vertical="center"/>
    </xf>
    <xf numFmtId="170" fontId="3" fillId="101" borderId="0" xfId="152" applyNumberFormat="1" applyFont="1" applyFill="1" applyAlignment="1" applyProtection="1">
      <alignment horizontal="center" vertical="center" shrinkToFit="1"/>
    </xf>
    <xf numFmtId="0" fontId="31" fillId="136" borderId="64" xfId="142" applyFont="1" applyFill="1" applyBorder="1" applyAlignment="1" applyProtection="1">
      <alignment vertical="center" shrinkToFit="1"/>
    </xf>
    <xf numFmtId="0" fontId="96" fillId="0" borderId="15" xfId="126" applyFont="1" applyBorder="1" applyAlignment="1">
      <alignment horizontal="left" shrinkToFit="1"/>
    </xf>
    <xf numFmtId="0" fontId="49" fillId="138" borderId="1" xfId="142" applyFont="1" applyFill="1" applyBorder="1" applyAlignment="1" applyProtection="1">
      <alignment horizontal="center" vertical="center" shrinkToFit="1"/>
    </xf>
    <xf numFmtId="0" fontId="22" fillId="0" borderId="0" xfId="0" applyFont="1"/>
    <xf numFmtId="0" fontId="55" fillId="105" borderId="1" xfId="142" applyFont="1" applyFill="1" applyBorder="1" applyAlignment="1" applyProtection="1">
      <alignment horizontal="center" vertical="center" shrinkToFit="1"/>
    </xf>
    <xf numFmtId="0" fontId="108" fillId="0" borderId="1" xfId="0" applyFont="1" applyBorder="1" applyAlignment="1">
      <alignment horizontal="center" vertical="center"/>
    </xf>
    <xf numFmtId="0" fontId="3" fillId="0" borderId="65" xfId="142" applyFont="1" applyBorder="1" applyAlignment="1" applyProtection="1">
      <alignment horizontal="center" vertical="center" shrinkToFit="1"/>
    </xf>
    <xf numFmtId="0" fontId="81" fillId="0" borderId="67" xfId="142" applyFont="1" applyBorder="1" applyAlignment="1" applyProtection="1">
      <alignment horizontal="center" vertical="center" shrinkToFit="1"/>
    </xf>
    <xf numFmtId="0" fontId="33" fillId="39" borderId="0" xfId="0" applyFont="1" applyFill="1" applyAlignment="1">
      <alignment horizontal="center" vertical="center"/>
    </xf>
    <xf numFmtId="0" fontId="101" fillId="75" borderId="1" xfId="0" applyFont="1" applyFill="1" applyBorder="1" applyAlignment="1">
      <alignment horizontal="center"/>
    </xf>
    <xf numFmtId="0" fontId="52" fillId="139" borderId="1" xfId="0" applyFont="1" applyFill="1" applyBorder="1" applyAlignment="1">
      <alignment horizontal="center" vertical="center"/>
    </xf>
    <xf numFmtId="0" fontId="81" fillId="0" borderId="56" xfId="142" applyFont="1" applyBorder="1" applyAlignment="1" applyProtection="1">
      <alignment horizontal="center" vertical="center" shrinkToFit="1"/>
    </xf>
    <xf numFmtId="0" fontId="31" fillId="140" borderId="1" xfId="0" applyFont="1" applyFill="1" applyBorder="1" applyAlignment="1">
      <alignment horizontal="center" vertical="center"/>
    </xf>
    <xf numFmtId="0" fontId="31" fillId="140" borderId="24" xfId="0" applyFont="1" applyFill="1" applyBorder="1" applyAlignment="1">
      <alignment horizontal="center" vertical="center"/>
    </xf>
    <xf numFmtId="0" fontId="52" fillId="75" borderId="1" xfId="0" applyFont="1" applyFill="1" applyBorder="1" applyAlignment="1">
      <alignment horizontal="center"/>
    </xf>
    <xf numFmtId="0" fontId="67" fillId="94" borderId="1" xfId="142" applyFont="1" applyFill="1" applyBorder="1" applyAlignment="1" applyProtection="1">
      <alignment horizontal="center" vertical="center" shrinkToFit="1"/>
    </xf>
    <xf numFmtId="0" fontId="33" fillId="72" borderId="68" xfId="0" applyFont="1" applyFill="1" applyBorder="1" applyAlignment="1">
      <alignment horizontal="center" vertical="center"/>
    </xf>
    <xf numFmtId="0" fontId="31" fillId="50" borderId="69" xfId="0" applyFont="1" applyFill="1" applyBorder="1" applyAlignment="1">
      <alignment horizontal="center" vertical="center"/>
    </xf>
    <xf numFmtId="0" fontId="52" fillId="65" borderId="1" xfId="0" applyFont="1" applyFill="1" applyBorder="1" applyAlignment="1">
      <alignment horizontal="center"/>
    </xf>
    <xf numFmtId="0" fontId="67" fillId="97" borderId="1" xfId="142" applyFont="1" applyFill="1" applyBorder="1" applyAlignment="1" applyProtection="1">
      <alignment horizontal="center" vertical="center" shrinkToFit="1"/>
    </xf>
    <xf numFmtId="0" fontId="49" fillId="141" borderId="1" xfId="142" applyFont="1" applyFill="1" applyBorder="1" applyAlignment="1" applyProtection="1">
      <alignment horizontal="center" vertical="center" shrinkToFit="1"/>
    </xf>
    <xf numFmtId="0" fontId="41" fillId="55" borderId="5" xfId="0" applyFont="1" applyFill="1" applyBorder="1" applyAlignment="1">
      <alignment horizontal="center" vertical="center"/>
    </xf>
    <xf numFmtId="0" fontId="55" fillId="96" borderId="1" xfId="142" applyFont="1" applyFill="1" applyBorder="1" applyAlignment="1" applyProtection="1">
      <alignment horizontal="center" vertical="center" shrinkToFit="1"/>
    </xf>
    <xf numFmtId="0" fontId="49" fillId="94" borderId="1" xfId="142" applyFont="1" applyFill="1" applyBorder="1" applyAlignment="1" applyProtection="1">
      <alignment horizontal="center" vertical="center" shrinkToFit="1"/>
    </xf>
    <xf numFmtId="0" fontId="51" fillId="142" borderId="1" xfId="142" applyFont="1" applyFill="1" applyBorder="1" applyAlignment="1" applyProtection="1">
      <alignment horizontal="center" vertical="center" shrinkToFit="1"/>
    </xf>
    <xf numFmtId="0" fontId="31" fillId="46" borderId="63" xfId="0" applyFont="1" applyFill="1" applyBorder="1" applyAlignment="1">
      <alignment horizontal="center" vertical="center"/>
    </xf>
    <xf numFmtId="0" fontId="52" fillId="134" borderId="1" xfId="0" applyFont="1" applyFill="1" applyBorder="1" applyAlignment="1">
      <alignment horizontal="center"/>
    </xf>
    <xf numFmtId="0" fontId="49" fillId="143" borderId="1" xfId="142" applyFont="1" applyFill="1" applyBorder="1" applyAlignment="1" applyProtection="1">
      <alignment horizontal="center" vertical="center" shrinkToFit="1"/>
    </xf>
    <xf numFmtId="0" fontId="89" fillId="109" borderId="43" xfId="0" applyFont="1" applyFill="1" applyBorder="1" applyAlignment="1">
      <alignment wrapText="1"/>
    </xf>
    <xf numFmtId="0" fontId="32" fillId="59" borderId="70" xfId="0" applyFont="1" applyFill="1" applyBorder="1" applyAlignment="1">
      <alignment horizontal="center" vertical="center"/>
    </xf>
    <xf numFmtId="0" fontId="31" fillId="61" borderId="71" xfId="0" applyFont="1" applyFill="1" applyBorder="1" applyAlignment="1">
      <alignment horizontal="center" vertical="center"/>
    </xf>
    <xf numFmtId="0" fontId="31" fillId="61" borderId="31" xfId="0" applyFont="1" applyFill="1" applyBorder="1" applyAlignment="1">
      <alignment horizontal="center" vertical="center"/>
    </xf>
    <xf numFmtId="0" fontId="49" fillId="144" borderId="1" xfId="142" applyFont="1" applyFill="1" applyBorder="1" applyAlignment="1" applyProtection="1">
      <alignment horizontal="center" vertical="center" shrinkToFit="1"/>
    </xf>
    <xf numFmtId="0" fontId="96" fillId="55" borderId="1" xfId="0" applyFont="1" applyFill="1" applyBorder="1" applyAlignment="1">
      <alignment horizontal="center" vertical="center"/>
    </xf>
    <xf numFmtId="0" fontId="31" fillId="34" borderId="72" xfId="0" applyFont="1" applyFill="1" applyBorder="1" applyAlignment="1">
      <alignment horizontal="center" vertical="center"/>
    </xf>
    <xf numFmtId="0" fontId="3" fillId="104" borderId="0" xfId="142" applyFont="1" applyFill="1" applyAlignment="1" applyProtection="1">
      <alignment horizontal="center" vertical="center"/>
    </xf>
    <xf numFmtId="0" fontId="3" fillId="101" borderId="0" xfId="152" applyFont="1" applyFill="1" applyAlignment="1" applyProtection="1">
      <alignment horizontal="center" vertical="center" shrinkToFit="1"/>
    </xf>
    <xf numFmtId="0" fontId="96" fillId="145" borderId="1" xfId="0" applyFont="1" applyFill="1" applyBorder="1" applyAlignment="1">
      <alignment horizontal="center"/>
    </xf>
    <xf numFmtId="0" fontId="49" fillId="146" borderId="1" xfId="142" applyFont="1" applyFill="1" applyBorder="1" applyAlignment="1" applyProtection="1">
      <alignment horizontal="center" vertical="center" shrinkToFit="1"/>
    </xf>
    <xf numFmtId="0" fontId="31" fillId="41" borderId="69" xfId="0" applyFont="1" applyFill="1" applyBorder="1" applyAlignment="1">
      <alignment horizontal="center" vertical="center"/>
    </xf>
    <xf numFmtId="0" fontId="31" fillId="41" borderId="24" xfId="0" applyFont="1" applyFill="1" applyBorder="1" applyAlignment="1">
      <alignment horizontal="center" vertical="center"/>
    </xf>
    <xf numFmtId="0" fontId="49" fillId="147" borderId="1" xfId="142" applyFont="1" applyFill="1" applyBorder="1" applyAlignment="1" applyProtection="1">
      <alignment horizontal="center" vertical="center" shrinkToFit="1"/>
    </xf>
    <xf numFmtId="0" fontId="31" fillId="0" borderId="1" xfId="152" applyFont="1" applyBorder="1" applyAlignment="1" applyProtection="1">
      <alignment horizontal="center" vertical="center" shrinkToFit="1"/>
    </xf>
    <xf numFmtId="0" fontId="49" fillId="102" borderId="1" xfId="142" applyFont="1" applyFill="1" applyBorder="1" applyAlignment="1" applyProtection="1">
      <alignment horizontal="center" vertical="center" shrinkToFit="1"/>
    </xf>
    <xf numFmtId="0" fontId="36" fillId="35" borderId="63" xfId="0" applyFont="1" applyFill="1" applyBorder="1" applyAlignment="1">
      <alignment horizontal="center" vertical="center"/>
    </xf>
    <xf numFmtId="0" fontId="67" fillId="35" borderId="1" xfId="0" applyFont="1" applyFill="1" applyBorder="1" applyAlignment="1">
      <alignment horizontal="center" vertical="center"/>
    </xf>
    <xf numFmtId="0" fontId="49" fillId="148" borderId="1" xfId="142" applyFont="1" applyFill="1" applyBorder="1" applyAlignment="1" applyProtection="1">
      <alignment horizontal="center" vertical="center" shrinkToFit="1"/>
    </xf>
    <xf numFmtId="0" fontId="31" fillId="50" borderId="24" xfId="0" applyFont="1" applyFill="1" applyBorder="1" applyAlignment="1">
      <alignment horizontal="center" vertical="center"/>
    </xf>
    <xf numFmtId="0" fontId="50" fillId="65" borderId="1" xfId="0" applyFont="1" applyFill="1" applyBorder="1" applyAlignment="1">
      <alignment horizontal="center"/>
    </xf>
    <xf numFmtId="0" fontId="109" fillId="134" borderId="1" xfId="0" applyFont="1" applyFill="1" applyBorder="1" applyAlignment="1">
      <alignment horizontal="center" vertical="center"/>
    </xf>
    <xf numFmtId="0" fontId="89" fillId="109" borderId="33" xfId="0" applyFont="1" applyFill="1" applyBorder="1" applyAlignment="1">
      <alignment wrapText="1"/>
    </xf>
    <xf numFmtId="0" fontId="38" fillId="73" borderId="24" xfId="0" applyFont="1" applyFill="1" applyBorder="1" applyAlignment="1">
      <alignment horizontal="center" vertical="center"/>
    </xf>
    <xf numFmtId="0" fontId="49" fillId="149" borderId="1" xfId="142" applyFont="1" applyFill="1" applyBorder="1" applyAlignment="1" applyProtection="1">
      <alignment horizontal="center" vertical="center" shrinkToFit="1"/>
    </xf>
    <xf numFmtId="0" fontId="52" fillId="0" borderId="1" xfId="0" applyFont="1" applyBorder="1"/>
    <xf numFmtId="170" fontId="52" fillId="0" borderId="1" xfId="0" applyNumberFormat="1" applyFont="1" applyBorder="1" applyAlignment="1">
      <alignment horizontal="center" vertical="center"/>
    </xf>
    <xf numFmtId="0" fontId="31" fillId="34" borderId="24" xfId="0" applyFont="1" applyFill="1" applyBorder="1" applyAlignment="1">
      <alignment horizontal="center" vertical="center"/>
    </xf>
    <xf numFmtId="0" fontId="51" fillId="120" borderId="1" xfId="142" applyFont="1" applyFill="1" applyBorder="1" applyAlignment="1" applyProtection="1">
      <alignment horizontal="center" vertical="center" shrinkToFit="1"/>
    </xf>
    <xf numFmtId="0" fontId="49" fillId="150" borderId="1" xfId="0" applyFont="1" applyFill="1" applyBorder="1" applyAlignment="1">
      <alignment horizontal="center" vertical="center"/>
    </xf>
    <xf numFmtId="0" fontId="31" fillId="114" borderId="24" xfId="0" applyFont="1" applyFill="1" applyBorder="1" applyAlignment="1">
      <alignment horizontal="center" vertical="center"/>
    </xf>
    <xf numFmtId="0" fontId="110" fillId="97" borderId="1" xfId="131" applyFont="1" applyFill="1" applyBorder="1" applyAlignment="1">
      <alignment horizontal="center"/>
    </xf>
    <xf numFmtId="0" fontId="31" fillId="88" borderId="24" xfId="0" applyFont="1" applyFill="1" applyBorder="1" applyAlignment="1">
      <alignment horizontal="center" vertical="center"/>
    </xf>
    <xf numFmtId="0" fontId="96" fillId="0" borderId="1" xfId="126" applyFont="1" applyBorder="1" applyAlignment="1" applyProtection="1">
      <alignment shrinkToFit="1"/>
      <protection locked="0"/>
    </xf>
    <xf numFmtId="0" fontId="51" fillId="88" borderId="1" xfId="0" applyFont="1" applyFill="1" applyBorder="1" applyAlignment="1">
      <alignment horizontal="center" vertical="center"/>
    </xf>
    <xf numFmtId="0" fontId="89" fillId="101" borderId="0" xfId="0" applyFont="1" applyFill="1"/>
    <xf numFmtId="0" fontId="3" fillId="0" borderId="56" xfId="142" applyFont="1" applyBorder="1" applyAlignment="1" applyProtection="1">
      <alignment horizontal="center" vertical="center" shrinkToFit="1"/>
    </xf>
    <xf numFmtId="0" fontId="31" fillId="73" borderId="0" xfId="0" applyFont="1" applyFill="1" applyAlignment="1">
      <alignment horizontal="center" vertical="center"/>
    </xf>
    <xf numFmtId="0" fontId="3" fillId="0" borderId="0" xfId="142" applyFont="1" applyAlignment="1" applyProtection="1">
      <alignment horizontal="center" vertical="center" shrinkToFit="1"/>
    </xf>
    <xf numFmtId="0" fontId="81" fillId="0" borderId="0" xfId="142" applyFont="1" applyAlignment="1" applyProtection="1">
      <alignment horizontal="center" vertical="center" shrinkToFit="1"/>
    </xf>
    <xf numFmtId="0" fontId="51" fillId="62" borderId="1" xfId="0" applyFont="1" applyFill="1" applyBorder="1" applyAlignment="1">
      <alignment horizontal="center" vertical="center" wrapText="1"/>
    </xf>
    <xf numFmtId="0" fontId="31" fillId="136" borderId="39" xfId="142" applyFont="1" applyFill="1" applyBorder="1" applyAlignment="1" applyProtection="1">
      <alignment vertical="center" shrinkToFit="1"/>
    </xf>
    <xf numFmtId="0" fontId="31" fillId="136" borderId="77" xfId="142" applyFont="1" applyFill="1" applyBorder="1" applyAlignment="1" applyProtection="1">
      <alignment vertical="center" shrinkToFit="1"/>
    </xf>
    <xf numFmtId="0" fontId="50" fillId="35" borderId="39" xfId="0" applyFont="1" applyFill="1" applyBorder="1" applyAlignment="1">
      <alignment horizontal="center"/>
    </xf>
    <xf numFmtId="0" fontId="49" fillId="151" borderId="1" xfId="142" applyFont="1" applyFill="1" applyBorder="1" applyAlignment="1" applyProtection="1">
      <alignment horizontal="center" vertical="center" shrinkToFit="1"/>
    </xf>
    <xf numFmtId="0" fontId="101" fillId="0" borderId="1" xfId="0" applyFont="1" applyBorder="1" applyAlignment="1">
      <alignment horizontal="center"/>
    </xf>
    <xf numFmtId="0" fontId="102" fillId="0" borderId="1" xfId="0" applyFont="1" applyBorder="1" applyAlignment="1">
      <alignment horizontal="center" vertical="center"/>
    </xf>
    <xf numFmtId="0" fontId="52" fillId="153" borderId="1" xfId="0" applyFont="1" applyFill="1" applyBorder="1" applyAlignment="1">
      <alignment horizontal="center"/>
    </xf>
    <xf numFmtId="0" fontId="112" fillId="0" borderId="1" xfId="142" applyFont="1" applyBorder="1" applyAlignment="1" applyProtection="1">
      <alignment horizontal="center" vertical="center" shrinkToFit="1"/>
    </xf>
    <xf numFmtId="0" fontId="55" fillId="129" borderId="1" xfId="142" applyFont="1" applyFill="1" applyBorder="1" applyAlignment="1" applyProtection="1">
      <alignment horizontal="center" vertical="center" shrinkToFit="1"/>
    </xf>
    <xf numFmtId="0" fontId="49" fillId="154" borderId="1" xfId="142" applyFont="1" applyFill="1" applyBorder="1" applyAlignment="1" applyProtection="1">
      <alignment horizontal="center" vertical="center" shrinkToFit="1"/>
    </xf>
    <xf numFmtId="0" fontId="52" fillId="35" borderId="1" xfId="0" applyFont="1" applyFill="1" applyBorder="1" applyAlignment="1">
      <alignment horizontal="center"/>
    </xf>
    <xf numFmtId="0" fontId="49" fillId="155" borderId="1" xfId="142" applyFont="1" applyFill="1" applyBorder="1" applyAlignment="1" applyProtection="1">
      <alignment horizontal="center" vertical="center" shrinkToFit="1"/>
    </xf>
    <xf numFmtId="0" fontId="89" fillId="101" borderId="0" xfId="0" applyFont="1" applyFill="1" applyAlignment="1">
      <alignment wrapText="1"/>
    </xf>
    <xf numFmtId="0" fontId="48" fillId="88" borderId="1" xfId="0" applyFont="1" applyFill="1" applyBorder="1" applyAlignment="1">
      <alignment horizontal="center"/>
    </xf>
    <xf numFmtId="0" fontId="113" fillId="0" borderId="1" xfId="0" applyFont="1" applyBorder="1" applyAlignment="1">
      <alignment horizontal="center" vertical="center"/>
    </xf>
    <xf numFmtId="0" fontId="31" fillId="156" borderId="24" xfId="0" applyFont="1" applyFill="1" applyBorder="1" applyAlignment="1">
      <alignment horizontal="center" vertical="center"/>
    </xf>
    <xf numFmtId="0" fontId="49" fillId="157" borderId="1" xfId="142" applyFont="1" applyFill="1" applyBorder="1" applyAlignment="1" applyProtection="1">
      <alignment horizontal="center" vertical="center" shrinkToFit="1"/>
    </xf>
    <xf numFmtId="0" fontId="55" fillId="152" borderId="1" xfId="142" applyFont="1" applyFill="1" applyBorder="1" applyAlignment="1" applyProtection="1">
      <alignment horizontal="center" vertical="center" shrinkToFit="1"/>
    </xf>
    <xf numFmtId="0" fontId="36" fillId="55" borderId="0" xfId="0" applyFont="1" applyFill="1" applyAlignment="1">
      <alignment horizontal="center" vertical="center"/>
    </xf>
    <xf numFmtId="0" fontId="67" fillId="44" borderId="1" xfId="142" applyFont="1" applyFill="1" applyBorder="1" applyAlignment="1" applyProtection="1">
      <alignment horizontal="center" vertical="center" shrinkToFit="1"/>
    </xf>
    <xf numFmtId="0" fontId="48" fillId="78" borderId="1" xfId="0" applyFont="1" applyFill="1" applyBorder="1" applyAlignment="1">
      <alignment horizontal="center" vertical="center"/>
    </xf>
    <xf numFmtId="0" fontId="49" fillId="50" borderId="1" xfId="0" applyFont="1" applyFill="1" applyBorder="1" applyAlignment="1">
      <alignment horizontal="center" vertical="center"/>
    </xf>
    <xf numFmtId="0" fontId="31" fillId="44" borderId="24" xfId="0" applyFont="1" applyFill="1" applyBorder="1" applyAlignment="1">
      <alignment horizontal="center" vertical="center"/>
    </xf>
    <xf numFmtId="0" fontId="114" fillId="44" borderId="1" xfId="142" applyFont="1" applyFill="1" applyBorder="1" applyAlignment="1" applyProtection="1">
      <alignment horizontal="center" vertical="center" shrinkToFit="1"/>
    </xf>
    <xf numFmtId="0" fontId="49" fillId="158" borderId="1" xfId="142" applyFont="1" applyFill="1" applyBorder="1" applyAlignment="1" applyProtection="1">
      <alignment horizontal="center" vertical="center" shrinkToFit="1"/>
    </xf>
    <xf numFmtId="0" fontId="22" fillId="43" borderId="43" xfId="0" applyFont="1" applyFill="1" applyBorder="1" applyAlignment="1">
      <alignment wrapText="1"/>
    </xf>
    <xf numFmtId="0" fontId="31" fillId="38" borderId="24" xfId="0" applyFont="1" applyFill="1" applyBorder="1" applyAlignment="1">
      <alignment horizontal="center" vertical="center"/>
    </xf>
    <xf numFmtId="0" fontId="115" fillId="50" borderId="1" xfId="142" applyFont="1" applyFill="1" applyBorder="1" applyAlignment="1" applyProtection="1">
      <alignment horizontal="center" vertical="center" shrinkToFit="1"/>
    </xf>
    <xf numFmtId="0" fontId="31" fillId="51" borderId="31" xfId="0" applyFont="1" applyFill="1" applyBorder="1" applyAlignment="1">
      <alignment horizontal="center" vertical="center"/>
    </xf>
    <xf numFmtId="0" fontId="51" fillId="159" borderId="1" xfId="142" applyFont="1" applyFill="1" applyBorder="1" applyAlignment="1" applyProtection="1">
      <alignment horizontal="center" vertical="center" shrinkToFit="1"/>
    </xf>
    <xf numFmtId="0" fontId="33" fillId="55" borderId="0" xfId="0" applyFont="1" applyFill="1" applyAlignment="1">
      <alignment horizontal="center" vertical="center"/>
    </xf>
    <xf numFmtId="0" fontId="51" fillId="160" borderId="1" xfId="142" applyFont="1" applyFill="1" applyBorder="1" applyAlignment="1">
      <alignment horizontal="center" vertical="center" shrinkToFit="1"/>
      <protection locked="0"/>
    </xf>
    <xf numFmtId="0" fontId="55" fillId="72" borderId="1" xfId="142" applyFont="1" applyFill="1" applyBorder="1" applyAlignment="1" applyProtection="1">
      <alignment horizontal="center" vertical="center" shrinkToFit="1"/>
    </xf>
    <xf numFmtId="0" fontId="55" fillId="161" borderId="1" xfId="0" applyFont="1" applyFill="1" applyBorder="1" applyAlignment="1">
      <alignment horizontal="center" vertical="center"/>
    </xf>
    <xf numFmtId="0" fontId="49" fillId="162" borderId="1" xfId="142" applyFont="1" applyFill="1" applyBorder="1" applyAlignment="1" applyProtection="1">
      <alignment horizontal="center" vertical="center" shrinkToFit="1"/>
    </xf>
    <xf numFmtId="0" fontId="51" fillId="163" borderId="1" xfId="142" applyFont="1" applyFill="1" applyBorder="1" applyAlignment="1" applyProtection="1">
      <alignment horizontal="center" vertical="center" shrinkToFit="1"/>
    </xf>
    <xf numFmtId="0" fontId="31" fillId="60" borderId="0" xfId="0" applyFont="1" applyFill="1" applyAlignment="1">
      <alignment horizontal="center" vertical="center"/>
    </xf>
    <xf numFmtId="0" fontId="52" fillId="64" borderId="1" xfId="0" applyFont="1" applyFill="1" applyBorder="1" applyAlignment="1">
      <alignment horizontal="center"/>
    </xf>
    <xf numFmtId="0" fontId="55" fillId="164" borderId="1" xfId="142" applyFont="1" applyFill="1" applyBorder="1" applyAlignment="1" applyProtection="1">
      <alignment horizontal="center" vertical="center" shrinkToFit="1"/>
    </xf>
    <xf numFmtId="0" fontId="51" fillId="140" borderId="1" xfId="0" applyFont="1" applyFill="1" applyBorder="1" applyAlignment="1">
      <alignment horizontal="center" vertical="center" wrapText="1"/>
    </xf>
    <xf numFmtId="0" fontId="34" fillId="47" borderId="0" xfId="0" applyFont="1" applyFill="1" applyAlignment="1">
      <alignment horizontal="center" vertical="center"/>
    </xf>
    <xf numFmtId="0" fontId="55" fillId="165" borderId="1" xfId="142" applyFont="1" applyFill="1" applyBorder="1" applyAlignment="1" applyProtection="1">
      <alignment horizontal="center" vertical="center" shrinkToFit="1"/>
    </xf>
    <xf numFmtId="0" fontId="97" fillId="0" borderId="1" xfId="0" applyFont="1" applyBorder="1" applyAlignment="1">
      <alignment horizontal="center" vertical="center"/>
    </xf>
    <xf numFmtId="0" fontId="97" fillId="48" borderId="1" xfId="142" applyFont="1" applyFill="1" applyBorder="1" applyAlignment="1" applyProtection="1">
      <alignment horizontal="center" vertical="center" shrinkToFit="1"/>
    </xf>
    <xf numFmtId="0" fontId="51" fillId="34" borderId="1" xfId="0" applyFont="1" applyFill="1" applyBorder="1" applyAlignment="1">
      <alignment horizontal="center" vertical="center"/>
    </xf>
    <xf numFmtId="0" fontId="31" fillId="60" borderId="31" xfId="0" applyFont="1" applyFill="1" applyBorder="1" applyAlignment="1">
      <alignment horizontal="center" vertical="center"/>
    </xf>
    <xf numFmtId="0" fontId="67" fillId="52" borderId="1" xfId="142" applyFont="1" applyFill="1" applyBorder="1" applyAlignment="1">
      <alignment horizontal="center" vertical="center" shrinkToFit="1"/>
      <protection locked="0"/>
    </xf>
    <xf numFmtId="0" fontId="116" fillId="166" borderId="1" xfId="142" applyFont="1" applyFill="1" applyBorder="1" applyAlignment="1" applyProtection="1">
      <alignment horizontal="center" vertical="center" shrinkToFit="1"/>
    </xf>
    <xf numFmtId="0" fontId="51" fillId="166" borderId="1" xfId="142" applyFont="1" applyFill="1" applyBorder="1" applyAlignment="1" applyProtection="1">
      <alignment horizontal="center" vertical="center" shrinkToFit="1"/>
    </xf>
    <xf numFmtId="0" fontId="51" fillId="114" borderId="1" xfId="0" applyFont="1" applyFill="1" applyBorder="1" applyAlignment="1">
      <alignment horizontal="center" vertical="center"/>
    </xf>
    <xf numFmtId="0" fontId="31" fillId="60" borderId="23" xfId="0" applyFont="1" applyFill="1" applyBorder="1" applyAlignment="1">
      <alignment horizontal="center" vertical="center"/>
    </xf>
    <xf numFmtId="0" fontId="51" fillId="167" borderId="1" xfId="142" applyFont="1" applyFill="1" applyBorder="1" applyAlignment="1" applyProtection="1">
      <alignment horizontal="center" vertical="center" shrinkToFit="1"/>
    </xf>
    <xf numFmtId="0" fontId="31" fillId="43" borderId="0" xfId="0" applyFont="1" applyFill="1" applyAlignment="1">
      <alignment horizontal="center" vertical="center"/>
    </xf>
    <xf numFmtId="0" fontId="52" fillId="140" borderId="1" xfId="0" applyFont="1" applyFill="1" applyBorder="1" applyAlignment="1">
      <alignment horizontal="center"/>
    </xf>
    <xf numFmtId="0" fontId="34" fillId="38" borderId="0" xfId="0" applyFont="1" applyFill="1" applyAlignment="1">
      <alignment horizontal="center" vertical="center"/>
    </xf>
    <xf numFmtId="0" fontId="52" fillId="50" borderId="1" xfId="0" applyFont="1" applyFill="1" applyBorder="1" applyAlignment="1">
      <alignment horizontal="center"/>
    </xf>
    <xf numFmtId="0" fontId="51" fillId="168" borderId="1" xfId="0" applyFont="1" applyFill="1" applyBorder="1" applyAlignment="1">
      <alignment horizontal="center" vertical="center" wrapText="1"/>
    </xf>
    <xf numFmtId="0" fontId="31" fillId="48" borderId="0" xfId="0" applyFont="1" applyFill="1" applyAlignment="1">
      <alignment horizontal="center" vertical="center"/>
    </xf>
    <xf numFmtId="0" fontId="38" fillId="102" borderId="24" xfId="0" applyFont="1" applyFill="1" applyBorder="1" applyAlignment="1">
      <alignment horizontal="center" vertical="center"/>
    </xf>
    <xf numFmtId="0" fontId="52" fillId="52" borderId="1" xfId="0" applyFont="1" applyFill="1" applyBorder="1" applyAlignment="1">
      <alignment horizontal="center"/>
    </xf>
    <xf numFmtId="0" fontId="52" fillId="144" borderId="1" xfId="0" applyFont="1" applyFill="1" applyBorder="1" applyAlignment="1">
      <alignment horizontal="center"/>
    </xf>
    <xf numFmtId="0" fontId="117" fillId="169" borderId="1" xfId="142" applyFont="1" applyFill="1" applyBorder="1" applyAlignment="1" applyProtection="1">
      <alignment horizontal="center" vertical="center" shrinkToFit="1"/>
    </xf>
    <xf numFmtId="0" fontId="43" fillId="0" borderId="0" xfId="142" applyFont="1" applyAlignment="1" applyProtection="1">
      <alignment horizontal="center" vertical="center" shrinkToFit="1"/>
    </xf>
    <xf numFmtId="0" fontId="31" fillId="136" borderId="0" xfId="142" applyFont="1" applyFill="1" applyAlignment="1" applyProtection="1">
      <alignment vertical="center" shrinkToFit="1"/>
    </xf>
    <xf numFmtId="170" fontId="22" fillId="0" borderId="0" xfId="0" applyNumberFormat="1" applyFont="1"/>
    <xf numFmtId="0" fontId="49" fillId="43" borderId="1" xfId="0" applyFont="1" applyFill="1" applyBorder="1" applyAlignment="1">
      <alignment horizontal="center" vertical="center"/>
    </xf>
    <xf numFmtId="0" fontId="55" fillId="0" borderId="81" xfId="142" applyFont="1" applyBorder="1" applyAlignment="1" applyProtection="1">
      <alignment vertical="center" shrinkToFit="1"/>
    </xf>
    <xf numFmtId="0" fontId="2" fillId="0" borderId="39" xfId="152" applyBorder="1" applyAlignment="1" applyProtection="1">
      <alignment horizontal="center" vertical="center"/>
    </xf>
    <xf numFmtId="0" fontId="2" fillId="0" borderId="1" xfId="152" applyBorder="1" applyAlignment="1" applyProtection="1">
      <alignment horizontal="center" vertical="center"/>
    </xf>
    <xf numFmtId="0" fontId="118" fillId="0" borderId="15" xfId="142" applyFont="1" applyBorder="1" applyAlignment="1" applyProtection="1">
      <alignment horizontal="center" vertical="center" shrinkToFit="1"/>
    </xf>
    <xf numFmtId="0" fontId="51" fillId="170" borderId="1" xfId="142" applyFont="1" applyFill="1" applyBorder="1" applyAlignment="1" applyProtection="1">
      <alignment horizontal="center" vertical="center" shrinkToFit="1"/>
    </xf>
    <xf numFmtId="0" fontId="97" fillId="94" borderId="1" xfId="142" applyFont="1" applyFill="1" applyBorder="1" applyAlignment="1" applyProtection="1">
      <alignment horizontal="center" vertical="center" shrinkToFit="1"/>
    </xf>
    <xf numFmtId="0" fontId="118" fillId="0" borderId="1" xfId="142" applyFont="1" applyBorder="1" applyAlignment="1" applyProtection="1">
      <alignment horizontal="center" vertical="center" shrinkToFit="1"/>
    </xf>
    <xf numFmtId="0" fontId="119" fillId="0" borderId="1" xfId="142" applyFont="1" applyBorder="1" applyAlignment="1" applyProtection="1">
      <alignment horizontal="center" vertical="center" shrinkToFit="1"/>
    </xf>
    <xf numFmtId="0" fontId="120" fillId="0" borderId="1" xfId="0" applyFont="1" applyBorder="1" applyAlignment="1">
      <alignment horizontal="center" vertical="center"/>
    </xf>
    <xf numFmtId="0" fontId="38" fillId="52" borderId="16" xfId="152" applyFont="1" applyFill="1" applyBorder="1" applyAlignment="1" applyProtection="1">
      <alignment horizontal="center" vertical="center" shrinkToFit="1"/>
    </xf>
    <xf numFmtId="0" fontId="119" fillId="0" borderId="36" xfId="142" applyFont="1" applyBorder="1" applyAlignment="1" applyProtection="1">
      <alignment horizontal="center" vertical="center" shrinkToFit="1"/>
    </xf>
    <xf numFmtId="0" fontId="51" fillId="97" borderId="1" xfId="0" applyFont="1" applyFill="1" applyBorder="1" applyAlignment="1">
      <alignment horizontal="center" vertical="center"/>
    </xf>
    <xf numFmtId="0" fontId="42" fillId="171" borderId="16" xfId="152" applyFont="1" applyFill="1" applyBorder="1" applyAlignment="1" applyProtection="1">
      <alignment horizontal="center" vertical="center" shrinkToFit="1"/>
    </xf>
    <xf numFmtId="0" fontId="49" fillId="172" borderId="1" xfId="142" applyFont="1" applyFill="1" applyBorder="1" applyAlignment="1" applyProtection="1">
      <alignment horizontal="center" vertical="center" shrinkToFit="1"/>
    </xf>
    <xf numFmtId="0" fontId="52" fillId="0" borderId="36" xfId="0" applyFont="1" applyBorder="1"/>
    <xf numFmtId="170" fontId="3" fillId="173" borderId="0" xfId="152" applyNumberFormat="1" applyFont="1" applyFill="1" applyAlignment="1" applyProtection="1">
      <alignment horizontal="center" vertical="center" shrinkToFit="1"/>
    </xf>
    <xf numFmtId="170" fontId="22" fillId="101" borderId="0" xfId="0" applyNumberFormat="1" applyFont="1" applyFill="1"/>
    <xf numFmtId="0" fontId="3" fillId="102" borderId="0" xfId="152" applyFont="1" applyFill="1" applyAlignment="1" applyProtection="1">
      <alignment horizontal="center" vertical="center" shrinkToFit="1"/>
    </xf>
    <xf numFmtId="0" fontId="61" fillId="55" borderId="82" xfId="0" applyFont="1" applyFill="1" applyBorder="1" applyAlignment="1">
      <alignment horizontal="center"/>
    </xf>
    <xf numFmtId="0" fontId="52" fillId="114" borderId="1" xfId="0" applyFont="1" applyFill="1" applyBorder="1" applyAlignment="1">
      <alignment horizontal="center"/>
    </xf>
    <xf numFmtId="0" fontId="22" fillId="0" borderId="83" xfId="0" applyFont="1" applyBorder="1"/>
    <xf numFmtId="0" fontId="22" fillId="0" borderId="21" xfId="0" applyFont="1" applyBorder="1"/>
    <xf numFmtId="0" fontId="89" fillId="0" borderId="1" xfId="0" applyFont="1" applyBorder="1"/>
    <xf numFmtId="0" fontId="121" fillId="0" borderId="1" xfId="0" applyFont="1" applyBorder="1" applyAlignment="1">
      <alignment horizontal="center" vertical="center" wrapText="1"/>
    </xf>
    <xf numFmtId="0" fontId="89" fillId="48" borderId="0" xfId="0" applyFont="1" applyFill="1" applyAlignment="1">
      <alignment wrapText="1"/>
    </xf>
    <xf numFmtId="0" fontId="104" fillId="174" borderId="17" xfId="142" applyFont="1" applyFill="1" applyBorder="1" applyAlignment="1" applyProtection="1">
      <alignment horizontal="center" vertical="center" shrinkToFit="1"/>
    </xf>
    <xf numFmtId="0" fontId="52" fillId="175" borderId="1" xfId="0" applyFont="1" applyFill="1" applyBorder="1" applyAlignment="1">
      <alignment horizontal="center"/>
    </xf>
    <xf numFmtId="0" fontId="51" fillId="94" borderId="1" xfId="0" applyFont="1" applyFill="1" applyBorder="1" applyAlignment="1">
      <alignment horizontal="center" vertical="center" wrapText="1"/>
    </xf>
    <xf numFmtId="0" fontId="43" fillId="176" borderId="17" xfId="152" applyFont="1" applyFill="1" applyBorder="1" applyAlignment="1" applyProtection="1">
      <alignment horizontal="center" vertical="center" shrinkToFit="1"/>
    </xf>
    <xf numFmtId="0" fontId="51" fillId="177" borderId="1" xfId="142" applyFont="1" applyFill="1" applyBorder="1" applyAlignment="1" applyProtection="1">
      <alignment horizontal="center" vertical="center" shrinkToFit="1"/>
    </xf>
    <xf numFmtId="0" fontId="51" fillId="55" borderId="1" xfId="0" applyFont="1" applyFill="1" applyBorder="1" applyAlignment="1">
      <alignment horizontal="center" vertical="center" wrapText="1"/>
    </xf>
    <xf numFmtId="0" fontId="31" fillId="178" borderId="1" xfId="152" applyFont="1" applyFill="1" applyBorder="1" applyAlignment="1" applyProtection="1">
      <alignment horizontal="center" vertical="center" shrinkToFit="1"/>
    </xf>
    <xf numFmtId="0" fontId="49" fillId="179" borderId="1" xfId="142" applyFont="1" applyFill="1" applyBorder="1" applyAlignment="1" applyProtection="1">
      <alignment horizontal="center" vertical="center" shrinkToFit="1"/>
    </xf>
    <xf numFmtId="0" fontId="122" fillId="0" borderId="1" xfId="0" applyFont="1" applyBorder="1" applyAlignment="1">
      <alignment horizontal="center" vertical="center" wrapText="1"/>
    </xf>
    <xf numFmtId="0" fontId="52" fillId="180" borderId="1" xfId="0" applyFont="1" applyFill="1" applyBorder="1" applyAlignment="1">
      <alignment horizontal="center"/>
    </xf>
    <xf numFmtId="0" fontId="55" fillId="0" borderId="1" xfId="0" applyFont="1" applyBorder="1" applyAlignment="1">
      <alignment horizontal="center" vertical="center" wrapText="1"/>
    </xf>
    <xf numFmtId="0" fontId="51" fillId="78" borderId="1" xfId="0" applyFont="1" applyFill="1" applyBorder="1" applyAlignment="1">
      <alignment horizontal="center" vertical="center"/>
    </xf>
    <xf numFmtId="0" fontId="52" fillId="168" borderId="1" xfId="0" applyFont="1" applyFill="1" applyBorder="1" applyAlignment="1">
      <alignment horizontal="center"/>
    </xf>
    <xf numFmtId="0" fontId="51" fillId="115" borderId="1" xfId="142" applyFont="1" applyFill="1" applyBorder="1" applyAlignment="1" applyProtection="1">
      <alignment horizontal="center" vertical="center" shrinkToFit="1"/>
    </xf>
    <xf numFmtId="0" fontId="107" fillId="0" borderId="0" xfId="142" applyFont="1" applyAlignment="1" applyProtection="1">
      <alignment shrinkToFit="1"/>
    </xf>
    <xf numFmtId="0" fontId="49" fillId="181" borderId="1" xfId="142" applyFont="1" applyFill="1" applyBorder="1" applyAlignment="1" applyProtection="1">
      <alignment horizontal="center" vertical="center" shrinkToFit="1"/>
    </xf>
    <xf numFmtId="0" fontId="81" fillId="0" borderId="0" xfId="142" applyFont="1" applyAlignment="1" applyProtection="1">
      <alignment vertical="center" shrinkToFit="1"/>
    </xf>
    <xf numFmtId="0" fontId="42" fillId="0" borderId="15" xfId="142" applyFont="1" applyBorder="1" applyAlignment="1" applyProtection="1">
      <alignment horizontal="center" vertical="center" shrinkToFit="1"/>
    </xf>
    <xf numFmtId="0" fontId="52" fillId="98" borderId="1" xfId="0" applyFont="1" applyFill="1" applyBorder="1" applyAlignment="1">
      <alignment horizontal="center"/>
    </xf>
    <xf numFmtId="0" fontId="51" fillId="48" borderId="36" xfId="0" applyFont="1" applyFill="1" applyBorder="1" applyAlignment="1">
      <alignment horizontal="center" vertical="center"/>
    </xf>
    <xf numFmtId="0" fontId="118" fillId="182" borderId="1" xfId="142" applyFont="1" applyFill="1" applyBorder="1" applyAlignment="1" applyProtection="1">
      <alignment horizontal="center" vertical="center" shrinkToFit="1"/>
    </xf>
    <xf numFmtId="0" fontId="49" fillId="122" borderId="1" xfId="142" applyFont="1" applyFill="1" applyBorder="1" applyAlignment="1" applyProtection="1">
      <alignment horizontal="center" vertical="center" shrinkToFit="1"/>
    </xf>
    <xf numFmtId="10" fontId="81" fillId="0" borderId="0" xfId="126" applyNumberFormat="1" applyFont="1" applyAlignment="1">
      <alignment vertical="center" shrinkToFit="1"/>
    </xf>
    <xf numFmtId="0" fontId="44" fillId="0" borderId="16" xfId="152" applyFont="1" applyBorder="1" applyAlignment="1" applyProtection="1">
      <alignment horizontal="center" vertical="center" shrinkToFi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/>
    </xf>
    <xf numFmtId="0" fontId="42" fillId="0" borderId="16" xfId="152" applyFont="1" applyBorder="1" applyAlignment="1" applyProtection="1">
      <alignment horizontal="center" vertical="center" shrinkToFit="1"/>
    </xf>
    <xf numFmtId="0" fontId="67" fillId="183" borderId="1" xfId="142" applyFont="1" applyFill="1" applyBorder="1" applyAlignment="1" applyProtection="1">
      <alignment horizontal="center" vertical="center" shrinkToFit="1"/>
    </xf>
    <xf numFmtId="0" fontId="67" fillId="184" borderId="2" xfId="0" applyFont="1" applyFill="1" applyBorder="1" applyAlignment="1">
      <alignment horizontal="center" vertical="center"/>
    </xf>
    <xf numFmtId="0" fontId="51" fillId="138" borderId="2" xfId="142" applyFont="1" applyFill="1" applyBorder="1" applyAlignment="1" applyProtection="1">
      <alignment horizontal="center" vertical="center" shrinkToFit="1"/>
    </xf>
    <xf numFmtId="0" fontId="49" fillId="185" borderId="1" xfId="142" applyFont="1" applyFill="1" applyBorder="1" applyAlignment="1" applyProtection="1">
      <alignment horizontal="center" vertical="center" shrinkToFit="1"/>
    </xf>
    <xf numFmtId="0" fontId="49" fillId="186" borderId="1" xfId="142" applyFont="1" applyFill="1" applyBorder="1" applyAlignment="1" applyProtection="1">
      <alignment horizontal="center" vertical="center" shrinkToFit="1"/>
    </xf>
    <xf numFmtId="0" fontId="49" fillId="187" borderId="1" xfId="142" applyFont="1" applyFill="1" applyBorder="1" applyAlignment="1" applyProtection="1">
      <alignment horizontal="center" vertical="center" shrinkToFit="1"/>
    </xf>
    <xf numFmtId="0" fontId="55" fillId="70" borderId="1" xfId="142" applyFont="1" applyFill="1" applyBorder="1" applyAlignment="1" applyProtection="1">
      <alignment horizontal="center" vertical="center" shrinkToFit="1"/>
    </xf>
    <xf numFmtId="0" fontId="104" fillId="188" borderId="17" xfId="142" applyFont="1" applyFill="1" applyBorder="1" applyAlignment="1" applyProtection="1">
      <alignment horizontal="center" vertical="center" shrinkToFit="1"/>
    </xf>
    <xf numFmtId="0" fontId="67" fillId="0" borderId="1" xfId="0" applyFont="1" applyBorder="1" applyAlignment="1">
      <alignment horizontal="center" vertical="center"/>
    </xf>
    <xf numFmtId="0" fontId="43" fillId="189" borderId="17" xfId="152" applyFont="1" applyFill="1" applyBorder="1" applyAlignment="1" applyProtection="1">
      <alignment horizontal="center" vertical="center" shrinkToFit="1"/>
    </xf>
    <xf numFmtId="0" fontId="67" fillId="65" borderId="1" xfId="0" applyFont="1" applyFill="1" applyBorder="1" applyAlignment="1">
      <alignment horizontal="center" vertical="center" wrapText="1"/>
    </xf>
    <xf numFmtId="0" fontId="31" fillId="190" borderId="1" xfId="152" applyFont="1" applyFill="1" applyBorder="1" applyAlignment="1" applyProtection="1">
      <alignment horizontal="center" vertical="center" shrinkToFit="1"/>
    </xf>
    <xf numFmtId="0" fontId="52" fillId="97" borderId="1" xfId="0" applyFont="1" applyFill="1" applyBorder="1" applyAlignment="1">
      <alignment horizontal="center"/>
    </xf>
    <xf numFmtId="0" fontId="67" fillId="48" borderId="1" xfId="0" applyFont="1" applyFill="1" applyBorder="1" applyAlignment="1">
      <alignment horizontal="center" vertical="center" wrapText="1"/>
    </xf>
    <xf numFmtId="0" fontId="49" fillId="174" borderId="1" xfId="0" applyFont="1" applyFill="1" applyBorder="1" applyAlignment="1">
      <alignment horizontal="center" vertical="center" wrapText="1"/>
    </xf>
    <xf numFmtId="0" fontId="89" fillId="87" borderId="0" xfId="0" applyFont="1" applyFill="1"/>
    <xf numFmtId="170" fontId="81" fillId="104" borderId="0" xfId="142" applyNumberFormat="1" applyFont="1" applyFill="1" applyAlignment="1" applyProtection="1">
      <alignment horizontal="center" vertical="center"/>
    </xf>
    <xf numFmtId="0" fontId="125" fillId="35" borderId="1" xfId="0" applyFont="1" applyFill="1" applyBorder="1" applyAlignment="1">
      <alignment horizontal="center" vertical="center" wrapText="1"/>
    </xf>
    <xf numFmtId="0" fontId="49" fillId="52" borderId="1" xfId="0" applyFont="1" applyFill="1" applyBorder="1" applyAlignment="1">
      <alignment horizontal="center" vertical="center"/>
    </xf>
    <xf numFmtId="0" fontId="43" fillId="0" borderId="0" xfId="142" applyFont="1" applyAlignment="1" applyProtection="1">
      <alignment horizontal="center" shrinkToFit="1"/>
    </xf>
    <xf numFmtId="0" fontId="51" fillId="52" borderId="1" xfId="0" applyFont="1" applyFill="1" applyBorder="1" applyAlignment="1">
      <alignment horizontal="center" vertical="center" wrapText="1"/>
    </xf>
    <xf numFmtId="0" fontId="49" fillId="73" borderId="1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51" fillId="0" borderId="1" xfId="0" applyFont="1" applyBorder="1" applyAlignment="1">
      <alignment horizontal="center" vertical="center"/>
    </xf>
    <xf numFmtId="0" fontId="51" fillId="191" borderId="1" xfId="142" applyFont="1" applyFill="1" applyBorder="1" applyAlignment="1" applyProtection="1">
      <alignment horizontal="center" vertical="center" shrinkToFit="1"/>
    </xf>
    <xf numFmtId="0" fontId="49" fillId="78" borderId="1" xfId="0" applyFont="1" applyFill="1" applyBorder="1" applyAlignment="1">
      <alignment horizontal="center" vertical="center"/>
    </xf>
    <xf numFmtId="0" fontId="97" fillId="48" borderId="1" xfId="0" applyFont="1" applyFill="1" applyBorder="1" applyAlignment="1">
      <alignment horizontal="center" vertical="center"/>
    </xf>
    <xf numFmtId="0" fontId="51" fillId="174" borderId="1" xfId="0" applyFont="1" applyFill="1" applyBorder="1" applyAlignment="1">
      <alignment horizontal="center" vertical="center"/>
    </xf>
    <xf numFmtId="0" fontId="49" fillId="192" borderId="1" xfId="0" applyFont="1" applyFill="1" applyBorder="1" applyAlignment="1">
      <alignment horizontal="center" vertical="center"/>
    </xf>
    <xf numFmtId="170" fontId="126" fillId="0" borderId="3" xfId="0" applyNumberFormat="1" applyFont="1" applyBorder="1" applyAlignment="1">
      <alignment horizontal="center" vertical="center"/>
    </xf>
    <xf numFmtId="0" fontId="89" fillId="0" borderId="85" xfId="0" applyFont="1" applyBorder="1"/>
    <xf numFmtId="0" fontId="51" fillId="134" borderId="1" xfId="0" applyFont="1" applyFill="1" applyBorder="1" applyAlignment="1">
      <alignment horizontal="center" vertical="center"/>
    </xf>
    <xf numFmtId="0" fontId="127" fillId="87" borderId="0" xfId="0" applyFont="1" applyFill="1"/>
    <xf numFmtId="0" fontId="63" fillId="0" borderId="25" xfId="0" applyFont="1" applyBorder="1" applyAlignment="1" applyProtection="1">
      <alignment horizontal="center"/>
      <protection locked="0"/>
    </xf>
    <xf numFmtId="0" fontId="63" fillId="0" borderId="26" xfId="0" applyFont="1" applyBorder="1" applyAlignment="1" applyProtection="1">
      <alignment horizontal="center"/>
      <protection locked="0"/>
    </xf>
    <xf numFmtId="0" fontId="63" fillId="0" borderId="0" xfId="0" applyFont="1" applyAlignment="1" applyProtection="1">
      <alignment horizontal="center"/>
      <protection locked="0"/>
    </xf>
    <xf numFmtId="0" fontId="128" fillId="0" borderId="1" xfId="0" applyFont="1" applyBorder="1" applyAlignment="1">
      <alignment horizontal="center" vertical="center"/>
    </xf>
    <xf numFmtId="0" fontId="49" fillId="80" borderId="88" xfId="142" applyFont="1" applyFill="1" applyBorder="1" applyAlignment="1" applyProtection="1">
      <alignment horizontal="center" vertical="center" shrinkToFit="1"/>
    </xf>
    <xf numFmtId="0" fontId="89" fillId="73" borderId="0" xfId="0" applyFont="1" applyFill="1"/>
    <xf numFmtId="0" fontId="51" fillId="35" borderId="17" xfId="142" applyFont="1" applyFill="1" applyBorder="1" applyAlignment="1" applyProtection="1">
      <alignment horizontal="center" vertical="center" shrinkToFit="1"/>
    </xf>
    <xf numFmtId="0" fontId="124" fillId="0" borderId="1" xfId="0" applyFont="1" applyBorder="1" applyAlignment="1">
      <alignment horizontal="center" vertical="center" wrapText="1"/>
    </xf>
    <xf numFmtId="0" fontId="51" fillId="180" borderId="1" xfId="0" applyFont="1" applyFill="1" applyBorder="1" applyAlignment="1">
      <alignment horizontal="center" vertical="center"/>
    </xf>
    <xf numFmtId="0" fontId="51" fillId="193" borderId="1" xfId="142" applyFont="1" applyFill="1" applyBorder="1" applyAlignment="1" applyProtection="1">
      <alignment horizontal="center" vertical="center" shrinkToFit="1"/>
    </xf>
    <xf numFmtId="0" fontId="89" fillId="88" borderId="61" xfId="0" applyFont="1" applyFill="1" applyBorder="1" applyAlignment="1">
      <alignment horizontal="center" wrapText="1"/>
    </xf>
    <xf numFmtId="170" fontId="33" fillId="137" borderId="1" xfId="141" applyNumberFormat="1" applyFont="1" applyFill="1" applyBorder="1" applyAlignment="1">
      <alignment vertical="center" shrinkToFit="1"/>
    </xf>
    <xf numFmtId="0" fontId="43" fillId="0" borderId="58" xfId="142" applyFont="1" applyBorder="1" applyAlignment="1" applyProtection="1">
      <alignment horizontal="center" shrinkToFit="1"/>
    </xf>
    <xf numFmtId="0" fontId="89" fillId="88" borderId="0" xfId="0" applyFont="1" applyFill="1" applyAlignment="1">
      <alignment horizontal="center" wrapText="1"/>
    </xf>
    <xf numFmtId="0" fontId="51" fillId="167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51" fillId="100" borderId="17" xfId="0" applyFont="1" applyFill="1" applyBorder="1" applyAlignment="1">
      <alignment horizontal="center" vertical="center"/>
    </xf>
    <xf numFmtId="0" fontId="51" fillId="81" borderId="17" xfId="142" applyFont="1" applyFill="1" applyBorder="1" applyAlignment="1" applyProtection="1">
      <alignment horizontal="center" vertical="center" shrinkToFit="1"/>
    </xf>
    <xf numFmtId="0" fontId="51" fillId="0" borderId="1" xfId="0" applyFont="1" applyBorder="1" applyAlignment="1">
      <alignment horizontal="center" vertical="center" wrapText="1"/>
    </xf>
    <xf numFmtId="0" fontId="51" fillId="82" borderId="16" xfId="142" applyFont="1" applyFill="1" applyBorder="1" applyAlignment="1" applyProtection="1">
      <alignment horizontal="center" vertical="center" shrinkToFit="1"/>
    </xf>
    <xf numFmtId="0" fontId="130" fillId="0" borderId="0" xfId="142" applyFont="1" applyAlignment="1" applyProtection="1">
      <alignment horizontal="center" vertical="center" shrinkToFit="1"/>
    </xf>
    <xf numFmtId="0" fontId="51" fillId="48" borderId="1" xfId="0" applyFont="1" applyFill="1" applyBorder="1" applyAlignment="1">
      <alignment horizontal="center" vertical="center"/>
    </xf>
    <xf numFmtId="0" fontId="49" fillId="194" borderId="1" xfId="0" applyFont="1" applyFill="1" applyBorder="1" applyAlignment="1">
      <alignment horizontal="center" vertical="center" wrapText="1"/>
    </xf>
    <xf numFmtId="0" fontId="49" fillId="195" borderId="1" xfId="0" applyFont="1" applyFill="1" applyBorder="1" applyAlignment="1">
      <alignment horizontal="center" vertical="center" wrapText="1"/>
    </xf>
    <xf numFmtId="0" fontId="22" fillId="0" borderId="85" xfId="0" applyFont="1" applyBorder="1"/>
    <xf numFmtId="0" fontId="120" fillId="0" borderId="1" xfId="0" applyFont="1" applyBorder="1" applyAlignment="1">
      <alignment horizontal="center" vertical="center" wrapText="1"/>
    </xf>
    <xf numFmtId="0" fontId="111" fillId="0" borderId="0" xfId="142" applyFont="1" applyAlignment="1" applyProtection="1">
      <alignment horizontal="center" vertical="center" shrinkToFit="1"/>
    </xf>
    <xf numFmtId="0" fontId="89" fillId="0" borderId="44" xfId="0" applyFont="1" applyBorder="1"/>
    <xf numFmtId="0" fontId="131" fillId="196" borderId="88" xfId="142" applyFont="1" applyFill="1" applyBorder="1" applyAlignment="1" applyProtection="1">
      <alignment horizontal="center" vertical="center" shrinkToFit="1"/>
    </xf>
    <xf numFmtId="0" fontId="89" fillId="114" borderId="61" xfId="0" applyFont="1" applyFill="1" applyBorder="1" applyAlignment="1">
      <alignment horizontal="center" wrapText="1"/>
    </xf>
    <xf numFmtId="0" fontId="89" fillId="114" borderId="0" xfId="0" applyFont="1" applyFill="1" applyAlignment="1">
      <alignment horizontal="center" wrapText="1"/>
    </xf>
    <xf numFmtId="0" fontId="116" fillId="114" borderId="1" xfId="0" applyFont="1" applyFill="1" applyBorder="1" applyAlignment="1">
      <alignment horizontal="center" vertical="center"/>
    </xf>
    <xf numFmtId="0" fontId="49" fillId="114" borderId="1" xfId="0" applyFont="1" applyFill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55" fillId="35" borderId="1" xfId="0" applyFont="1" applyFill="1" applyBorder="1" applyAlignment="1">
      <alignment horizontal="center" vertical="center"/>
    </xf>
    <xf numFmtId="0" fontId="49" fillId="48" borderId="1" xfId="0" applyFont="1" applyFill="1" applyBorder="1" applyAlignment="1">
      <alignment horizontal="center" vertical="center"/>
    </xf>
    <xf numFmtId="0" fontId="121" fillId="0" borderId="1" xfId="0" applyFont="1" applyBorder="1" applyAlignment="1">
      <alignment horizontal="center" vertical="center"/>
    </xf>
    <xf numFmtId="0" fontId="51" fillId="197" borderId="88" xfId="142" applyFont="1" applyFill="1" applyBorder="1" applyAlignment="1" applyProtection="1">
      <alignment horizontal="center" vertical="center" shrinkToFit="1"/>
    </xf>
    <xf numFmtId="0" fontId="89" fillId="52" borderId="0" xfId="0" applyFont="1" applyFill="1"/>
    <xf numFmtId="0" fontId="51" fillId="198" borderId="17" xfId="142" applyFont="1" applyFill="1" applyBorder="1" applyAlignment="1" applyProtection="1">
      <alignment horizontal="center" vertical="center" shrinkToFit="1"/>
    </xf>
    <xf numFmtId="0" fontId="51" fillId="35" borderId="88" xfId="0" applyFont="1" applyFill="1" applyBorder="1" applyAlignment="1">
      <alignment horizontal="center" vertical="center"/>
    </xf>
    <xf numFmtId="0" fontId="22" fillId="199" borderId="0" xfId="0" applyFont="1" applyFill="1"/>
    <xf numFmtId="0" fontId="49" fillId="77" borderId="17" xfId="0" applyFont="1" applyFill="1" applyBorder="1" applyAlignment="1">
      <alignment horizontal="center" vertical="center"/>
    </xf>
    <xf numFmtId="0" fontId="51" fillId="200" borderId="1" xfId="0" applyFont="1" applyFill="1" applyBorder="1" applyAlignment="1">
      <alignment horizontal="center" vertical="center"/>
    </xf>
    <xf numFmtId="0" fontId="22" fillId="156" borderId="1" xfId="0" applyFont="1" applyFill="1" applyBorder="1"/>
    <xf numFmtId="0" fontId="49" fillId="144" borderId="1" xfId="0" applyFont="1" applyFill="1" applyBorder="1" applyAlignment="1">
      <alignment horizontal="center" vertical="center"/>
    </xf>
    <xf numFmtId="0" fontId="51" fillId="201" borderId="1" xfId="142" applyFont="1" applyFill="1" applyBorder="1" applyAlignment="1" applyProtection="1">
      <alignment horizontal="center" vertical="center" shrinkToFit="1"/>
    </xf>
    <xf numFmtId="0" fontId="51" fillId="197" borderId="1" xfId="142" applyFont="1" applyFill="1" applyBorder="1" applyAlignment="1" applyProtection="1">
      <alignment horizontal="center" vertical="center" shrinkToFit="1"/>
    </xf>
    <xf numFmtId="0" fontId="51" fillId="202" borderId="88" xfId="142" applyFont="1" applyFill="1" applyBorder="1" applyAlignment="1" applyProtection="1">
      <alignment horizontal="center" vertical="center" shrinkToFit="1"/>
    </xf>
    <xf numFmtId="0" fontId="89" fillId="77" borderId="61" xfId="0" applyFont="1" applyFill="1" applyBorder="1" applyAlignment="1">
      <alignment horizontal="center" wrapText="1"/>
    </xf>
    <xf numFmtId="0" fontId="51" fillId="79" borderId="17" xfId="142" applyFont="1" applyFill="1" applyBorder="1" applyAlignment="1" applyProtection="1">
      <alignment horizontal="center" vertical="center" shrinkToFit="1"/>
    </xf>
    <xf numFmtId="0" fontId="89" fillId="77" borderId="0" xfId="0" applyFont="1" applyFill="1" applyAlignment="1">
      <alignment horizontal="center" wrapText="1"/>
    </xf>
    <xf numFmtId="0" fontId="51" fillId="120" borderId="88" xfId="142" applyFont="1" applyFill="1" applyBorder="1" applyAlignment="1" applyProtection="1">
      <alignment horizontal="center" vertical="center" shrinkToFit="1"/>
    </xf>
    <xf numFmtId="0" fontId="51" fillId="177" borderId="17" xfId="142" applyFont="1" applyFill="1" applyBorder="1" applyAlignment="1" applyProtection="1">
      <alignment horizontal="center" vertical="center" shrinkToFit="1"/>
    </xf>
    <xf numFmtId="0" fontId="51" fillId="203" borderId="17" xfId="142" applyFont="1" applyFill="1" applyBorder="1" applyAlignment="1" applyProtection="1">
      <alignment horizontal="center" vertical="center" shrinkToFit="1"/>
    </xf>
    <xf numFmtId="0" fontId="51" fillId="204" borderId="16" xfId="142" applyFont="1" applyFill="1" applyBorder="1" applyAlignment="1" applyProtection="1">
      <alignment horizontal="center" vertical="center" shrinkToFit="1"/>
    </xf>
    <xf numFmtId="0" fontId="51" fillId="122" borderId="88" xfId="142" applyFont="1" applyFill="1" applyBorder="1" applyAlignment="1" applyProtection="1">
      <alignment horizontal="center" vertical="center" shrinkToFit="1"/>
    </xf>
    <xf numFmtId="0" fontId="51" fillId="122" borderId="43" xfId="142" applyFont="1" applyFill="1" applyBorder="1" applyAlignment="1" applyProtection="1">
      <alignment horizontal="center" vertical="center" shrinkToFit="1"/>
    </xf>
    <xf numFmtId="0" fontId="67" fillId="100" borderId="1" xfId="142" applyFont="1" applyFill="1" applyBorder="1" applyAlignment="1" applyProtection="1">
      <alignment horizontal="center" vertical="center" shrinkToFit="1"/>
    </xf>
    <xf numFmtId="0" fontId="89" fillId="35" borderId="0" xfId="0" applyFont="1" applyFill="1"/>
    <xf numFmtId="0" fontId="49" fillId="205" borderId="95" xfId="142" applyFont="1" applyFill="1" applyBorder="1" applyAlignment="1" applyProtection="1">
      <alignment horizontal="center" vertical="center" shrinkToFit="1"/>
    </xf>
    <xf numFmtId="0" fontId="49" fillId="206" borderId="88" xfId="142" applyFont="1" applyFill="1" applyBorder="1" applyAlignment="1" applyProtection="1">
      <alignment horizontal="center" vertical="center" shrinkToFit="1"/>
    </xf>
    <xf numFmtId="0" fontId="22" fillId="69" borderId="0" xfId="0" applyFont="1" applyFill="1"/>
    <xf numFmtId="0" fontId="51" fillId="0" borderId="1" xfId="0" applyFont="1" applyBorder="1"/>
    <xf numFmtId="0" fontId="89" fillId="100" borderId="0" xfId="0" applyFont="1" applyFill="1"/>
    <xf numFmtId="0" fontId="49" fillId="131" borderId="88" xfId="142" applyFont="1" applyFill="1" applyBorder="1" applyAlignment="1" applyProtection="1">
      <alignment horizontal="center" vertical="center" shrinkToFit="1"/>
    </xf>
    <xf numFmtId="0" fontId="22" fillId="100" borderId="0" xfId="0" applyFont="1" applyFill="1"/>
    <xf numFmtId="0" fontId="51" fillId="207" borderId="88" xfId="142" applyFont="1" applyFill="1" applyBorder="1" applyAlignment="1" applyProtection="1">
      <alignment horizontal="center" vertical="center" shrinkToFit="1"/>
    </xf>
    <xf numFmtId="0" fontId="51" fillId="208" borderId="88" xfId="142" applyFont="1" applyFill="1" applyBorder="1" applyAlignment="1" applyProtection="1">
      <alignment horizontal="center" vertical="center" shrinkToFit="1"/>
    </xf>
    <xf numFmtId="0" fontId="51" fillId="209" borderId="88" xfId="142" applyFont="1" applyFill="1" applyBorder="1" applyAlignment="1" applyProtection="1">
      <alignment horizontal="center" vertical="center" shrinkToFit="1"/>
    </xf>
    <xf numFmtId="0" fontId="51" fillId="210" borderId="88" xfId="142" applyFont="1" applyFill="1" applyBorder="1" applyAlignment="1" applyProtection="1">
      <alignment horizontal="center" vertical="center" shrinkToFit="1"/>
    </xf>
    <xf numFmtId="0" fontId="132" fillId="0" borderId="1" xfId="142" applyFont="1" applyBorder="1" applyAlignment="1" applyProtection="1">
      <alignment horizontal="center" vertical="center" shrinkToFit="1"/>
    </xf>
    <xf numFmtId="0" fontId="51" fillId="211" borderId="88" xfId="142" applyFont="1" applyFill="1" applyBorder="1" applyAlignment="1" applyProtection="1">
      <alignment horizontal="center" vertical="center" shrinkToFit="1"/>
    </xf>
    <xf numFmtId="0" fontId="133" fillId="0" borderId="1" xfId="142" applyFont="1" applyBorder="1" applyAlignment="1" applyProtection="1">
      <alignment horizontal="center" vertical="center" shrinkToFit="1"/>
    </xf>
    <xf numFmtId="0" fontId="51" fillId="212" borderId="88" xfId="142" applyFont="1" applyFill="1" applyBorder="1" applyAlignment="1" applyProtection="1">
      <alignment horizontal="center" vertical="center" shrinkToFit="1"/>
    </xf>
    <xf numFmtId="0" fontId="51" fillId="213" borderId="88" xfId="142" applyFont="1" applyFill="1" applyBorder="1" applyAlignment="1" applyProtection="1">
      <alignment horizontal="center" vertical="center" shrinkToFit="1"/>
    </xf>
    <xf numFmtId="0" fontId="134" fillId="0" borderId="1" xfId="142" applyFont="1" applyBorder="1" applyAlignment="1" applyProtection="1">
      <alignment horizontal="center" vertical="center" shrinkToFit="1"/>
    </xf>
    <xf numFmtId="0" fontId="51" fillId="81" borderId="88" xfId="142" applyFont="1" applyFill="1" applyBorder="1" applyAlignment="1" applyProtection="1">
      <alignment horizontal="center" vertical="center" shrinkToFit="1"/>
    </xf>
    <xf numFmtId="0" fontId="52" fillId="0" borderId="2" xfId="0" applyFont="1" applyBorder="1"/>
    <xf numFmtId="0" fontId="51" fillId="214" borderId="88" xfId="142" applyFont="1" applyFill="1" applyBorder="1" applyAlignment="1" applyProtection="1">
      <alignment horizontal="center" vertical="center" shrinkToFit="1"/>
    </xf>
    <xf numFmtId="0" fontId="67" fillId="35" borderId="1" xfId="142" applyFont="1" applyFill="1" applyBorder="1" applyAlignment="1" applyProtection="1">
      <alignment horizontal="center" vertical="center" shrinkToFit="1"/>
    </xf>
    <xf numFmtId="0" fontId="49" fillId="0" borderId="95" xfId="142" applyFont="1" applyBorder="1" applyAlignment="1" applyProtection="1">
      <alignment horizontal="center" vertical="center" shrinkToFit="1"/>
    </xf>
    <xf numFmtId="0" fontId="51" fillId="0" borderId="85" xfId="142" applyFont="1" applyBorder="1" applyAlignment="1" applyProtection="1">
      <alignment horizontal="center" vertical="center" shrinkToFit="1"/>
    </xf>
    <xf numFmtId="0" fontId="51" fillId="0" borderId="0" xfId="142" applyFont="1" applyAlignment="1" applyProtection="1">
      <alignment horizontal="center" vertical="center" shrinkToFit="1"/>
    </xf>
    <xf numFmtId="0" fontId="52" fillId="0" borderId="0" xfId="0" applyFont="1"/>
    <xf numFmtId="170" fontId="52" fillId="0" borderId="0" xfId="0" applyNumberFormat="1" applyFont="1" applyAlignment="1">
      <alignment horizontal="center" vertical="center"/>
    </xf>
    <xf numFmtId="0" fontId="22" fillId="0" borderId="97" xfId="0" applyFont="1" applyBorder="1"/>
    <xf numFmtId="0" fontId="22" fillId="0" borderId="98" xfId="0" applyFont="1" applyBorder="1"/>
    <xf numFmtId="0" fontId="94" fillId="0" borderId="99" xfId="0" applyFont="1" applyBorder="1" applyAlignment="1">
      <alignment horizontal="right"/>
    </xf>
    <xf numFmtId="0" fontId="22" fillId="0" borderId="0" xfId="0" applyFont="1" applyAlignment="1">
      <alignment horizontal="left" vertical="center"/>
    </xf>
    <xf numFmtId="0" fontId="107" fillId="0" borderId="0" xfId="142" applyFont="1" applyAlignment="1" applyProtection="1">
      <alignment horizontal="center" shrinkToFit="1"/>
    </xf>
    <xf numFmtId="10" fontId="81" fillId="0" borderId="0" xfId="126" applyNumberFormat="1" applyFont="1" applyAlignment="1">
      <alignment horizontal="center" vertical="center" shrinkToFit="1"/>
    </xf>
    <xf numFmtId="0" fontId="94" fillId="55" borderId="0" xfId="0" applyFont="1" applyFill="1" applyAlignment="1">
      <alignment horizontal="center" vertical="center"/>
    </xf>
    <xf numFmtId="0" fontId="0" fillId="66" borderId="0" xfId="0" applyFill="1" applyAlignment="1">
      <alignment vertical="center"/>
    </xf>
    <xf numFmtId="0" fontId="22" fillId="66" borderId="30" xfId="0" applyFont="1" applyFill="1" applyBorder="1"/>
    <xf numFmtId="0" fontId="22" fillId="66" borderId="24" xfId="0" applyFont="1" applyFill="1" applyBorder="1"/>
    <xf numFmtId="0" fontId="48" fillId="66" borderId="32" xfId="131" applyFont="1" applyFill="1" applyBorder="1" applyAlignment="1">
      <alignment horizontal="center"/>
    </xf>
    <xf numFmtId="0" fontId="22" fillId="66" borderId="32" xfId="0" applyFont="1" applyFill="1" applyBorder="1"/>
    <xf numFmtId="0" fontId="48" fillId="66" borderId="1" xfId="131" applyFont="1" applyFill="1" applyBorder="1" applyAlignment="1">
      <alignment horizontal="center"/>
    </xf>
    <xf numFmtId="0" fontId="50" fillId="66" borderId="1" xfId="131" applyFont="1" applyFill="1" applyBorder="1" applyAlignment="1">
      <alignment horizontal="center"/>
    </xf>
    <xf numFmtId="0" fontId="22" fillId="66" borderId="0" xfId="0" applyFont="1" applyFill="1"/>
    <xf numFmtId="0" fontId="47" fillId="66" borderId="1" xfId="0" applyFont="1" applyFill="1" applyBorder="1" applyAlignment="1">
      <alignment horizontal="center" vertical="center"/>
    </xf>
    <xf numFmtId="0" fontId="51" fillId="215" borderId="1" xfId="142" applyFont="1" applyFill="1" applyBorder="1" applyAlignment="1" applyProtection="1">
      <alignment horizontal="center" vertical="center" shrinkToFit="1"/>
    </xf>
    <xf numFmtId="0" fontId="48" fillId="66" borderId="0" xfId="131" applyFont="1" applyFill="1" applyAlignment="1">
      <alignment horizontal="center"/>
    </xf>
    <xf numFmtId="0" fontId="47" fillId="66" borderId="0" xfId="0" applyFont="1" applyFill="1" applyAlignment="1">
      <alignment horizontal="center" vertical="center"/>
    </xf>
    <xf numFmtId="0" fontId="48" fillId="66" borderId="1" xfId="0" applyFont="1" applyFill="1" applyBorder="1" applyAlignment="1">
      <alignment horizontal="center"/>
    </xf>
    <xf numFmtId="0" fontId="55" fillId="66" borderId="1" xfId="142" applyFont="1" applyFill="1" applyBorder="1" applyAlignment="1" applyProtection="1">
      <alignment horizontal="center" vertical="center" shrinkToFit="1"/>
    </xf>
    <xf numFmtId="0" fontId="56" fillId="66" borderId="1" xfId="131" applyFont="1" applyFill="1" applyBorder="1" applyAlignment="1">
      <alignment horizontal="center"/>
    </xf>
    <xf numFmtId="0" fontId="48" fillId="66" borderId="36" xfId="131" applyFont="1" applyFill="1" applyBorder="1" applyAlignment="1">
      <alignment horizontal="center"/>
    </xf>
    <xf numFmtId="0" fontId="22" fillId="66" borderId="25" xfId="0" applyFont="1" applyFill="1" applyBorder="1"/>
    <xf numFmtId="0" fontId="22" fillId="66" borderId="26" xfId="0" applyFont="1" applyFill="1" applyBorder="1"/>
    <xf numFmtId="0" fontId="52" fillId="66" borderId="37" xfId="131" applyFont="1" applyFill="1" applyBorder="1" applyAlignment="1">
      <alignment horizontal="center"/>
    </xf>
    <xf numFmtId="0" fontId="22" fillId="66" borderId="28" xfId="0" applyFont="1" applyFill="1" applyBorder="1"/>
    <xf numFmtId="0" fontId="22" fillId="66" borderId="38" xfId="0" applyFont="1" applyFill="1" applyBorder="1"/>
    <xf numFmtId="0" fontId="22" fillId="66" borderId="41" xfId="0" applyFont="1" applyFill="1" applyBorder="1"/>
    <xf numFmtId="0" fontId="51" fillId="66" borderId="0" xfId="142" applyFont="1" applyFill="1" applyAlignment="1" applyProtection="1">
      <alignment horizontal="center" vertical="center" shrinkToFit="1"/>
    </xf>
    <xf numFmtId="0" fontId="53" fillId="66" borderId="1" xfId="0" applyFont="1" applyFill="1" applyBorder="1" applyAlignment="1">
      <alignment horizontal="center"/>
    </xf>
    <xf numFmtId="0" fontId="49" fillId="66" borderId="34" xfId="142" applyFont="1" applyFill="1" applyBorder="1" applyAlignment="1" applyProtection="1">
      <alignment horizontal="center" vertical="center" shrinkToFit="1"/>
    </xf>
    <xf numFmtId="0" fontId="51" fillId="66" borderId="34" xfId="142" applyFont="1" applyFill="1" applyBorder="1" applyAlignment="1" applyProtection="1">
      <alignment horizontal="center" vertical="center" shrinkToFit="1"/>
    </xf>
    <xf numFmtId="0" fontId="51" fillId="66" borderId="35" xfId="142" applyFont="1" applyFill="1" applyBorder="1" applyAlignment="1" applyProtection="1">
      <alignment horizontal="center" vertical="center" shrinkToFit="1"/>
    </xf>
    <xf numFmtId="0" fontId="49" fillId="66" borderId="1" xfId="0" applyFont="1" applyFill="1" applyBorder="1" applyAlignment="1">
      <alignment horizontal="center" vertical="center" wrapText="1"/>
    </xf>
    <xf numFmtId="0" fontId="49" fillId="215" borderId="1" xfId="142" applyFont="1" applyFill="1" applyBorder="1" applyAlignment="1" applyProtection="1">
      <alignment horizontal="center" vertical="center" shrinkToFit="1"/>
    </xf>
    <xf numFmtId="0" fontId="51" fillId="216" borderId="1" xfId="142" applyFont="1" applyFill="1" applyBorder="1" applyAlignment="1" applyProtection="1">
      <alignment horizontal="center" vertical="center" shrinkToFit="1"/>
    </xf>
    <xf numFmtId="0" fontId="51" fillId="217" borderId="1" xfId="142" applyFont="1" applyFill="1" applyBorder="1" applyAlignment="1" applyProtection="1">
      <alignment horizontal="center" vertical="center" shrinkToFit="1"/>
    </xf>
    <xf numFmtId="0" fontId="51" fillId="218" borderId="1" xfId="142" applyFont="1" applyFill="1" applyBorder="1" applyAlignment="1" applyProtection="1">
      <alignment horizontal="center" vertical="center" shrinkToFit="1"/>
    </xf>
    <xf numFmtId="0" fontId="51" fillId="219" borderId="1" xfId="142" applyFont="1" applyFill="1" applyBorder="1" applyAlignment="1" applyProtection="1">
      <alignment horizontal="center" vertical="center" shrinkToFit="1"/>
    </xf>
    <xf numFmtId="0" fontId="60" fillId="66" borderId="1" xfId="0" applyFont="1" applyFill="1" applyBorder="1" applyAlignment="1">
      <alignment horizontal="center" vertical="center" wrapText="1"/>
    </xf>
    <xf numFmtId="0" fontId="57" fillId="66" borderId="0" xfId="0" applyFont="1" applyFill="1" applyAlignment="1">
      <alignment horizontal="center"/>
    </xf>
    <xf numFmtId="0" fontId="59" fillId="220" borderId="0" xfId="0" applyFont="1" applyFill="1" applyAlignment="1">
      <alignment horizontal="center" vertical="center"/>
    </xf>
    <xf numFmtId="0" fontId="61" fillId="66" borderId="0" xfId="0" applyFont="1" applyFill="1" applyAlignment="1">
      <alignment horizontal="center" vertical="center"/>
    </xf>
    <xf numFmtId="0" fontId="63" fillId="66" borderId="0" xfId="0" applyFont="1" applyFill="1" applyAlignment="1">
      <alignment horizontal="center" vertical="center"/>
    </xf>
    <xf numFmtId="0" fontId="58" fillId="221" borderId="1" xfId="131" applyFont="1" applyFill="1" applyBorder="1" applyAlignment="1">
      <alignment horizontal="center"/>
    </xf>
    <xf numFmtId="0" fontId="22" fillId="66" borderId="29" xfId="0" applyFont="1" applyFill="1" applyBorder="1"/>
    <xf numFmtId="0" fontId="67" fillId="218" borderId="1" xfId="142" applyFont="1" applyFill="1" applyBorder="1" applyAlignment="1" applyProtection="1">
      <alignment horizontal="center" vertical="center" shrinkToFit="1"/>
    </xf>
    <xf numFmtId="0" fontId="49" fillId="66" borderId="1" xfId="0" applyFont="1" applyFill="1" applyBorder="1" applyAlignment="1">
      <alignment horizontal="center" vertical="center"/>
    </xf>
    <xf numFmtId="0" fontId="51" fillId="66" borderId="1" xfId="142" applyFont="1" applyFill="1" applyBorder="1" applyAlignment="1" applyProtection="1">
      <alignment horizontal="center" vertical="center" shrinkToFit="1"/>
    </xf>
    <xf numFmtId="0" fontId="22" fillId="66" borderId="42" xfId="0" applyFont="1" applyFill="1" applyBorder="1"/>
    <xf numFmtId="0" fontId="54" fillId="66" borderId="0" xfId="0" applyFont="1" applyFill="1" applyAlignment="1">
      <alignment horizontal="center" vertical="center"/>
    </xf>
    <xf numFmtId="0" fontId="52" fillId="66" borderId="1" xfId="131" applyFont="1" applyFill="1" applyBorder="1" applyAlignment="1">
      <alignment horizontal="center"/>
    </xf>
    <xf numFmtId="0" fontId="31" fillId="66" borderId="0" xfId="0" applyFont="1" applyFill="1" applyAlignment="1">
      <alignment horizontal="center" vertical="center" shrinkToFit="1"/>
    </xf>
    <xf numFmtId="0" fontId="57" fillId="66" borderId="0" xfId="0" applyFont="1" applyFill="1" applyAlignment="1">
      <alignment horizontal="right"/>
    </xf>
    <xf numFmtId="0" fontId="57" fillId="66" borderId="0" xfId="0" applyFont="1" applyFill="1" applyAlignment="1">
      <alignment horizontal="left"/>
    </xf>
    <xf numFmtId="0" fontId="55" fillId="66" borderId="0" xfId="0" applyFont="1" applyFill="1" applyAlignment="1">
      <alignment horizontal="center" vertical="center" shrinkToFit="1"/>
    </xf>
    <xf numFmtId="0" fontId="64" fillId="66" borderId="0" xfId="0" applyFont="1" applyFill="1" applyAlignment="1">
      <alignment horizontal="center" vertical="center"/>
    </xf>
    <xf numFmtId="0" fontId="52" fillId="66" borderId="39" xfId="131" applyFont="1" applyFill="1" applyBorder="1" applyAlignment="1">
      <alignment horizontal="center"/>
    </xf>
    <xf numFmtId="0" fontId="54" fillId="66" borderId="25" xfId="0" applyFont="1" applyFill="1" applyBorder="1" applyAlignment="1">
      <alignment horizontal="center" wrapText="1"/>
    </xf>
    <xf numFmtId="0" fontId="54" fillId="66" borderId="27" xfId="0" applyFont="1" applyFill="1" applyBorder="1" applyAlignment="1">
      <alignment horizontal="center" wrapText="1"/>
    </xf>
    <xf numFmtId="0" fontId="54" fillId="66" borderId="30" xfId="0" applyFont="1" applyFill="1" applyBorder="1" applyAlignment="1">
      <alignment horizontal="center" wrapText="1"/>
    </xf>
    <xf numFmtId="0" fontId="54" fillId="66" borderId="31" xfId="0" applyFont="1" applyFill="1" applyBorder="1" applyAlignment="1">
      <alignment horizontal="center" wrapText="1"/>
    </xf>
    <xf numFmtId="0" fontId="54" fillId="66" borderId="0" xfId="0" applyFont="1" applyFill="1" applyAlignment="1">
      <alignment horizontal="center"/>
    </xf>
    <xf numFmtId="0" fontId="54" fillId="66" borderId="25" xfId="0" applyFont="1" applyFill="1" applyBorder="1" applyAlignment="1">
      <alignment horizontal="center" vertical="center"/>
    </xf>
    <xf numFmtId="0" fontId="54" fillId="66" borderId="26" xfId="0" applyFont="1" applyFill="1" applyBorder="1" applyAlignment="1">
      <alignment horizontal="center" vertical="center"/>
    </xf>
    <xf numFmtId="0" fontId="54" fillId="66" borderId="27" xfId="0" applyFont="1" applyFill="1" applyBorder="1" applyAlignment="1">
      <alignment horizontal="center" vertical="center"/>
    </xf>
    <xf numFmtId="0" fontId="54" fillId="66" borderId="28" xfId="0" applyFont="1" applyFill="1" applyBorder="1" applyAlignment="1">
      <alignment horizontal="center" vertical="center"/>
    </xf>
    <xf numFmtId="0" fontId="54" fillId="66" borderId="0" xfId="0" applyFont="1" applyFill="1" applyAlignment="1">
      <alignment horizontal="center" vertical="center"/>
    </xf>
    <xf numFmtId="0" fontId="54" fillId="66" borderId="29" xfId="0" applyFont="1" applyFill="1" applyBorder="1" applyAlignment="1">
      <alignment horizontal="center" vertical="center"/>
    </xf>
    <xf numFmtId="0" fontId="54" fillId="66" borderId="30" xfId="0" applyFont="1" applyFill="1" applyBorder="1" applyAlignment="1">
      <alignment horizontal="center" vertical="center"/>
    </xf>
    <xf numFmtId="0" fontId="54" fillId="66" borderId="24" xfId="0" applyFont="1" applyFill="1" applyBorder="1" applyAlignment="1">
      <alignment horizontal="center" vertical="center"/>
    </xf>
    <xf numFmtId="0" fontId="54" fillId="66" borderId="31" xfId="0" applyFont="1" applyFill="1" applyBorder="1" applyAlignment="1">
      <alignment horizontal="center" vertical="center"/>
    </xf>
    <xf numFmtId="0" fontId="22" fillId="66" borderId="25" xfId="0" applyFont="1" applyFill="1" applyBorder="1" applyAlignment="1">
      <alignment horizontal="center" vertical="center"/>
    </xf>
    <xf numFmtId="0" fontId="22" fillId="66" borderId="0" xfId="0" applyFont="1" applyFill="1" applyAlignment="1">
      <alignment horizontal="center" vertical="center"/>
    </xf>
    <xf numFmtId="0" fontId="22" fillId="66" borderId="28" xfId="0" applyFont="1" applyFill="1" applyBorder="1" applyAlignment="1">
      <alignment horizontal="center" vertical="center"/>
    </xf>
    <xf numFmtId="0" fontId="22" fillId="66" borderId="29" xfId="0" applyFont="1" applyFill="1" applyBorder="1" applyAlignment="1">
      <alignment horizontal="center" vertical="center"/>
    </xf>
    <xf numFmtId="0" fontId="22" fillId="66" borderId="30" xfId="0" applyFont="1" applyFill="1" applyBorder="1" applyAlignment="1">
      <alignment horizontal="center" vertical="center"/>
    </xf>
    <xf numFmtId="0" fontId="22" fillId="66" borderId="24" xfId="0" applyFont="1" applyFill="1" applyBorder="1" applyAlignment="1">
      <alignment horizontal="center" vertical="center"/>
    </xf>
    <xf numFmtId="0" fontId="22" fillId="66" borderId="31" xfId="0" applyFont="1" applyFill="1" applyBorder="1" applyAlignment="1">
      <alignment horizontal="center" vertical="center"/>
    </xf>
    <xf numFmtId="0" fontId="46" fillId="69" borderId="23" xfId="0" applyFont="1" applyFill="1" applyBorder="1" applyAlignment="1">
      <alignment horizontal="center" vertical="center"/>
    </xf>
    <xf numFmtId="0" fontId="46" fillId="69" borderId="5" xfId="0" applyFont="1" applyFill="1" applyBorder="1" applyAlignment="1">
      <alignment horizontal="center" vertical="center"/>
    </xf>
    <xf numFmtId="0" fontId="22" fillId="66" borderId="26" xfId="0" applyFont="1" applyFill="1" applyBorder="1" applyAlignment="1">
      <alignment horizontal="center" vertical="center"/>
    </xf>
    <xf numFmtId="0" fontId="22" fillId="66" borderId="27" xfId="0" applyFont="1" applyFill="1" applyBorder="1" applyAlignment="1">
      <alignment horizontal="center" vertical="center"/>
    </xf>
    <xf numFmtId="0" fontId="22" fillId="66" borderId="33" xfId="0" applyFont="1" applyFill="1" applyBorder="1" applyAlignment="1">
      <alignment horizontal="center"/>
    </xf>
    <xf numFmtId="0" fontId="107" fillId="0" borderId="0" xfId="142" applyFont="1" applyAlignment="1" applyProtection="1">
      <alignment horizontal="center" shrinkToFit="1"/>
    </xf>
    <xf numFmtId="0" fontId="55" fillId="0" borderId="0" xfId="126" applyFont="1" applyAlignment="1">
      <alignment horizontal="center" shrinkToFit="1"/>
    </xf>
    <xf numFmtId="0" fontId="43" fillId="0" borderId="0" xfId="142" applyFont="1" applyAlignment="1" applyProtection="1">
      <alignment horizontal="center" shrinkToFit="1"/>
    </xf>
    <xf numFmtId="0" fontId="81" fillId="0" borderId="0" xfId="126" applyFont="1" applyAlignment="1">
      <alignment horizontal="center" vertical="center" shrinkToFit="1"/>
    </xf>
    <xf numFmtId="0" fontId="55" fillId="0" borderId="89" xfId="142" applyFont="1" applyBorder="1" applyAlignment="1" applyProtection="1">
      <alignment horizontal="center" vertical="center" shrinkToFit="1"/>
    </xf>
    <xf numFmtId="0" fontId="55" fillId="0" borderId="20" xfId="142" applyFont="1" applyBorder="1" applyAlignment="1" applyProtection="1">
      <alignment horizontal="center" vertical="center" shrinkToFit="1"/>
    </xf>
    <xf numFmtId="0" fontId="55" fillId="0" borderId="57" xfId="142" applyFont="1" applyBorder="1" applyAlignment="1" applyProtection="1">
      <alignment horizontal="center" vertical="center" shrinkToFit="1"/>
    </xf>
    <xf numFmtId="0" fontId="92" fillId="0" borderId="55" xfId="142" applyFont="1" applyBorder="1" applyAlignment="1" applyProtection="1">
      <alignment horizontal="left" vertical="center" shrinkToFit="1"/>
    </xf>
    <xf numFmtId="0" fontId="92" fillId="0" borderId="56" xfId="142" applyFont="1" applyBorder="1" applyAlignment="1" applyProtection="1">
      <alignment horizontal="left" vertical="center" shrinkToFit="1"/>
    </xf>
    <xf numFmtId="0" fontId="92" fillId="0" borderId="62" xfId="142" applyFont="1" applyBorder="1" applyAlignment="1" applyProtection="1">
      <alignment horizontal="left" vertical="center" shrinkToFit="1"/>
    </xf>
    <xf numFmtId="0" fontId="51" fillId="0" borderId="55" xfId="142" applyFont="1" applyBorder="1" applyAlignment="1" applyProtection="1">
      <alignment horizontal="center" vertical="center" shrinkToFit="1"/>
    </xf>
    <xf numFmtId="0" fontId="51" fillId="0" borderId="56" xfId="142" applyFont="1" applyBorder="1" applyAlignment="1" applyProtection="1">
      <alignment horizontal="center" vertical="center" shrinkToFit="1"/>
    </xf>
    <xf numFmtId="0" fontId="51" fillId="0" borderId="39" xfId="142" applyFont="1" applyBorder="1" applyAlignment="1" applyProtection="1">
      <alignment horizontal="center" vertical="center" shrinkToFit="1"/>
    </xf>
    <xf numFmtId="0" fontId="92" fillId="0" borderId="39" xfId="142" applyFont="1" applyBorder="1" applyAlignment="1" applyProtection="1">
      <alignment horizontal="left" vertical="center" shrinkToFit="1"/>
    </xf>
    <xf numFmtId="0" fontId="81" fillId="0" borderId="1" xfId="142" applyFont="1" applyBorder="1" applyAlignment="1" applyProtection="1">
      <alignment horizontal="left" vertical="center" shrinkToFit="1"/>
    </xf>
    <xf numFmtId="0" fontId="55" fillId="0" borderId="88" xfId="142" applyFont="1" applyBorder="1" applyAlignment="1" applyProtection="1">
      <alignment horizontal="center" vertical="center" shrinkToFit="1"/>
    </xf>
    <xf numFmtId="0" fontId="55" fillId="0" borderId="21" xfId="142" applyFont="1" applyBorder="1" applyAlignment="1" applyProtection="1">
      <alignment horizontal="center" vertical="center" shrinkToFit="1"/>
    </xf>
    <xf numFmtId="0" fontId="55" fillId="0" borderId="96" xfId="142" applyFont="1" applyBorder="1" applyAlignment="1" applyProtection="1">
      <alignment horizontal="center" vertical="center" shrinkToFit="1"/>
    </xf>
    <xf numFmtId="0" fontId="81" fillId="0" borderId="17" xfId="142" applyFont="1" applyBorder="1" applyAlignment="1" applyProtection="1">
      <alignment horizontal="left" vertical="center" shrinkToFit="1"/>
    </xf>
    <xf numFmtId="0" fontId="81" fillId="0" borderId="18" xfId="142" applyFont="1" applyBorder="1" applyAlignment="1" applyProtection="1">
      <alignment horizontal="left" vertical="center" shrinkToFit="1"/>
    </xf>
    <xf numFmtId="0" fontId="81" fillId="0" borderId="19" xfId="142" applyFont="1" applyBorder="1" applyAlignment="1" applyProtection="1">
      <alignment horizontal="left" vertical="center" shrinkToFit="1"/>
    </xf>
    <xf numFmtId="0" fontId="55" fillId="0" borderId="17" xfId="142" applyFont="1" applyBorder="1" applyAlignment="1" applyProtection="1">
      <alignment horizontal="center" vertical="center" shrinkToFit="1"/>
    </xf>
    <xf numFmtId="0" fontId="55" fillId="0" borderId="18" xfId="142" applyFont="1" applyBorder="1" applyAlignment="1" applyProtection="1">
      <alignment horizontal="center" vertical="center" shrinkToFit="1"/>
    </xf>
    <xf numFmtId="0" fontId="55" fillId="0" borderId="86" xfId="142" applyFont="1" applyBorder="1" applyAlignment="1" applyProtection="1">
      <alignment horizontal="center" vertical="center" shrinkToFit="1"/>
    </xf>
    <xf numFmtId="0" fontId="55" fillId="0" borderId="16" xfId="142" applyFont="1" applyBorder="1" applyAlignment="1" applyProtection="1">
      <alignment horizontal="center" vertical="center" shrinkToFit="1"/>
    </xf>
    <xf numFmtId="0" fontId="81" fillId="0" borderId="94" xfId="142" applyFont="1" applyBorder="1" applyAlignment="1" applyProtection="1">
      <alignment horizontal="left" vertical="center" shrinkToFit="1"/>
    </xf>
    <xf numFmtId="0" fontId="92" fillId="0" borderId="75" xfId="142" applyFont="1" applyBorder="1" applyAlignment="1" applyProtection="1">
      <alignment horizontal="left" vertical="center" shrinkToFit="1"/>
    </xf>
    <xf numFmtId="0" fontId="92" fillId="0" borderId="74" xfId="142" applyFont="1" applyBorder="1" applyAlignment="1" applyProtection="1">
      <alignment horizontal="left" vertical="center" shrinkToFit="1"/>
    </xf>
    <xf numFmtId="0" fontId="92" fillId="0" borderId="87" xfId="142" applyFont="1" applyBorder="1" applyAlignment="1" applyProtection="1">
      <alignment horizontal="left" vertical="center" shrinkToFit="1"/>
    </xf>
    <xf numFmtId="0" fontId="55" fillId="0" borderId="84" xfId="142" applyFont="1" applyBorder="1" applyAlignment="1" applyProtection="1">
      <alignment horizontal="center" vertical="center" shrinkToFit="1"/>
    </xf>
    <xf numFmtId="0" fontId="55" fillId="0" borderId="91" xfId="0" applyFont="1" applyBorder="1" applyAlignment="1">
      <alignment horizontal="left" vertical="center" wrapText="1" shrinkToFit="1"/>
    </xf>
    <xf numFmtId="0" fontId="55" fillId="0" borderId="92" xfId="0" applyFont="1" applyBorder="1" applyAlignment="1">
      <alignment horizontal="left" vertical="center" wrapText="1" shrinkToFit="1"/>
    </xf>
    <xf numFmtId="0" fontId="55" fillId="0" borderId="93" xfId="0" applyFont="1" applyBorder="1" applyAlignment="1">
      <alignment horizontal="left" vertical="center" wrapText="1" shrinkToFit="1"/>
    </xf>
    <xf numFmtId="170" fontId="33" fillId="137" borderId="15" xfId="141" applyNumberFormat="1" applyFont="1" applyFill="1" applyBorder="1" applyAlignment="1">
      <alignment horizontal="center" vertical="center" shrinkToFit="1"/>
    </xf>
    <xf numFmtId="170" fontId="33" fillId="137" borderId="56" xfId="141" applyNumberFormat="1" applyFont="1" applyFill="1" applyBorder="1" applyAlignment="1">
      <alignment horizontal="center" vertical="center" shrinkToFit="1"/>
    </xf>
    <xf numFmtId="170" fontId="33" fillId="137" borderId="39" xfId="141" applyNumberFormat="1" applyFont="1" applyFill="1" applyBorder="1" applyAlignment="1">
      <alignment horizontal="center" vertical="center" shrinkToFit="1"/>
    </xf>
    <xf numFmtId="0" fontId="129" fillId="0" borderId="1" xfId="152" applyFont="1" applyBorder="1" applyAlignment="1" applyProtection="1">
      <alignment horizontal="left" vertical="center" shrinkToFit="1"/>
    </xf>
    <xf numFmtId="170" fontId="43" fillId="0" borderId="15" xfId="142" applyNumberFormat="1" applyFont="1" applyBorder="1" applyAlignment="1" applyProtection="1">
      <alignment horizontal="center" vertical="center" shrinkToFit="1"/>
    </xf>
    <xf numFmtId="170" fontId="43" fillId="0" borderId="56" xfId="142" applyNumberFormat="1" applyFont="1" applyBorder="1" applyAlignment="1" applyProtection="1">
      <alignment horizontal="center" vertical="center" shrinkToFit="1"/>
    </xf>
    <xf numFmtId="170" fontId="43" fillId="0" borderId="39" xfId="142" applyNumberFormat="1" applyFont="1" applyBorder="1" applyAlignment="1" applyProtection="1">
      <alignment horizontal="center" vertical="center" shrinkToFit="1"/>
    </xf>
    <xf numFmtId="170" fontId="43" fillId="0" borderId="1" xfId="142" applyNumberFormat="1" applyFont="1" applyBorder="1" applyAlignment="1" applyProtection="1">
      <alignment horizontal="center" vertical="center" shrinkToFit="1"/>
    </xf>
    <xf numFmtId="0" fontId="43" fillId="0" borderId="4" xfId="0" applyFont="1" applyBorder="1" applyAlignment="1">
      <alignment horizontal="center" vertical="center" wrapText="1" shrinkToFit="1"/>
    </xf>
    <xf numFmtId="0" fontId="43" fillId="0" borderId="23" xfId="0" applyFont="1" applyBorder="1" applyAlignment="1">
      <alignment horizontal="center" vertical="center" wrapText="1" shrinkToFit="1"/>
    </xf>
    <xf numFmtId="0" fontId="43" fillId="0" borderId="5" xfId="0" applyFont="1" applyBorder="1" applyAlignment="1">
      <alignment horizontal="center" vertical="center" wrapText="1" shrinkToFit="1"/>
    </xf>
    <xf numFmtId="0" fontId="92" fillId="0" borderId="84" xfId="142" applyFont="1" applyBorder="1" applyAlignment="1" applyProtection="1">
      <alignment horizontal="left" vertical="center" shrinkToFit="1"/>
    </xf>
    <xf numFmtId="0" fontId="92" fillId="0" borderId="18" xfId="142" applyFont="1" applyBorder="1" applyAlignment="1" applyProtection="1">
      <alignment horizontal="left" vertical="center" shrinkToFit="1"/>
    </xf>
    <xf numFmtId="0" fontId="92" fillId="0" borderId="19" xfId="142" applyFont="1" applyBorder="1" applyAlignment="1" applyProtection="1">
      <alignment horizontal="left" vertical="center" shrinkToFit="1"/>
    </xf>
    <xf numFmtId="0" fontId="43" fillId="0" borderId="4" xfId="0" applyFont="1" applyBorder="1" applyAlignment="1">
      <alignment horizontal="center" vertical="center" shrinkToFit="1"/>
    </xf>
    <xf numFmtId="0" fontId="43" fillId="0" borderId="23" xfId="0" applyFont="1" applyBorder="1" applyAlignment="1">
      <alignment horizontal="center" vertical="center" shrinkToFit="1"/>
    </xf>
    <xf numFmtId="0" fontId="43" fillId="0" borderId="5" xfId="0" applyFont="1" applyBorder="1" applyAlignment="1">
      <alignment horizontal="center" vertical="center" shrinkToFit="1"/>
    </xf>
    <xf numFmtId="0" fontId="92" fillId="0" borderId="15" xfId="0" applyFont="1" applyBorder="1" applyAlignment="1">
      <alignment horizontal="left" wrapText="1"/>
    </xf>
    <xf numFmtId="0" fontId="92" fillId="0" borderId="56" xfId="0" applyFont="1" applyBorder="1" applyAlignment="1">
      <alignment horizontal="left" wrapText="1"/>
    </xf>
    <xf numFmtId="0" fontId="92" fillId="0" borderId="62" xfId="0" applyFont="1" applyBorder="1" applyAlignment="1">
      <alignment horizontal="left" wrapText="1"/>
    </xf>
    <xf numFmtId="0" fontId="51" fillId="0" borderId="15" xfId="0" applyFont="1" applyBorder="1" applyAlignment="1">
      <alignment horizontal="center" wrapText="1"/>
    </xf>
    <xf numFmtId="0" fontId="51" fillId="0" borderId="56" xfId="0" applyFont="1" applyBorder="1" applyAlignment="1">
      <alignment horizontal="center" wrapText="1"/>
    </xf>
    <xf numFmtId="0" fontId="51" fillId="0" borderId="39" xfId="0" applyFont="1" applyBorder="1" applyAlignment="1">
      <alignment horizontal="center" wrapText="1"/>
    </xf>
    <xf numFmtId="0" fontId="55" fillId="0" borderId="4" xfId="0" applyFont="1" applyBorder="1" applyAlignment="1">
      <alignment horizontal="left" vertical="center" wrapText="1" shrinkToFit="1"/>
    </xf>
    <xf numFmtId="0" fontId="55" fillId="0" borderId="23" xfId="0" applyFont="1" applyBorder="1" applyAlignment="1">
      <alignment horizontal="left" vertical="center" wrapText="1" shrinkToFit="1"/>
    </xf>
    <xf numFmtId="0" fontId="81" fillId="0" borderId="73" xfId="142" applyFont="1" applyBorder="1" applyAlignment="1" applyProtection="1">
      <alignment horizontal="left" vertical="center" shrinkToFit="1"/>
    </xf>
    <xf numFmtId="0" fontId="81" fillId="0" borderId="74" xfId="142" applyFont="1" applyBorder="1" applyAlignment="1" applyProtection="1">
      <alignment horizontal="left" vertical="center" shrinkToFit="1"/>
    </xf>
    <xf numFmtId="0" fontId="81" fillId="0" borderId="87" xfId="142" applyFont="1" applyBorder="1" applyAlignment="1" applyProtection="1">
      <alignment horizontal="left" vertical="center" shrinkToFit="1"/>
    </xf>
    <xf numFmtId="0" fontId="129" fillId="0" borderId="36" xfId="152" applyFont="1" applyBorder="1" applyAlignment="1" applyProtection="1">
      <alignment horizontal="left" vertical="center" shrinkToFit="1"/>
    </xf>
    <xf numFmtId="0" fontId="52" fillId="0" borderId="15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39" xfId="0" applyFont="1" applyBorder="1" applyAlignment="1">
      <alignment horizontal="center"/>
    </xf>
    <xf numFmtId="0" fontId="92" fillId="0" borderId="17" xfId="0" applyFont="1" applyBorder="1" applyAlignment="1">
      <alignment horizontal="left" wrapText="1"/>
    </xf>
    <xf numFmtId="0" fontId="92" fillId="0" borderId="18" xfId="0" applyFont="1" applyBorder="1" applyAlignment="1">
      <alignment horizontal="left" wrapText="1"/>
    </xf>
    <xf numFmtId="0" fontId="55" fillId="0" borderId="36" xfId="0" applyFont="1" applyBorder="1" applyAlignment="1">
      <alignment horizontal="left" vertical="center" wrapText="1" shrinkToFit="1"/>
    </xf>
    <xf numFmtId="0" fontId="129" fillId="0" borderId="2" xfId="152" applyFont="1" applyBorder="1" applyAlignment="1" applyProtection="1">
      <alignment horizontal="left" vertical="center" shrinkToFit="1"/>
    </xf>
    <xf numFmtId="0" fontId="55" fillId="0" borderId="90" xfId="0" applyFont="1" applyBorder="1" applyAlignment="1">
      <alignment horizontal="left" vertical="center" wrapText="1" shrinkToFit="1"/>
    </xf>
    <xf numFmtId="0" fontId="55" fillId="0" borderId="61" xfId="0" applyFont="1" applyBorder="1" applyAlignment="1">
      <alignment horizontal="left" vertical="center" wrapText="1" shrinkToFit="1"/>
    </xf>
    <xf numFmtId="0" fontId="92" fillId="0" borderId="17" xfId="0" applyFont="1" applyBorder="1" applyAlignment="1">
      <alignment horizontal="left" vertical="center" wrapText="1"/>
    </xf>
    <xf numFmtId="0" fontId="92" fillId="0" borderId="18" xfId="0" applyFont="1" applyBorder="1" applyAlignment="1">
      <alignment horizontal="left" vertical="center" wrapText="1"/>
    </xf>
    <xf numFmtId="170" fontId="43" fillId="0" borderId="0" xfId="142" applyNumberFormat="1" applyFont="1" applyAlignment="1" applyProtection="1">
      <alignment horizontal="center" vertical="center" shrinkToFit="1"/>
    </xf>
    <xf numFmtId="0" fontId="66" fillId="98" borderId="4" xfId="0" applyFont="1" applyFill="1" applyBorder="1" applyAlignment="1">
      <alignment horizontal="center" vertical="center"/>
    </xf>
    <xf numFmtId="0" fontId="66" fillId="98" borderId="23" xfId="0" applyFont="1" applyFill="1" applyBorder="1" applyAlignment="1">
      <alignment horizontal="center" vertical="center"/>
    </xf>
    <xf numFmtId="0" fontId="66" fillId="98" borderId="5" xfId="0" applyFont="1" applyFill="1" applyBorder="1" applyAlignment="1">
      <alignment horizontal="center" vertical="center"/>
    </xf>
    <xf numFmtId="0" fontId="63" fillId="0" borderId="4" xfId="0" applyFont="1" applyBorder="1" applyAlignment="1" applyProtection="1">
      <alignment horizontal="center"/>
      <protection locked="0"/>
    </xf>
    <xf numFmtId="0" fontId="63" fillId="0" borderId="23" xfId="0" applyFont="1" applyBorder="1" applyAlignment="1" applyProtection="1">
      <alignment horizontal="center"/>
      <protection locked="0"/>
    </xf>
    <xf numFmtId="0" fontId="63" fillId="0" borderId="5" xfId="0" applyFont="1" applyBorder="1" applyAlignment="1" applyProtection="1">
      <alignment horizontal="center"/>
      <protection locked="0"/>
    </xf>
    <xf numFmtId="173" fontId="84" fillId="44" borderId="4" xfId="0" applyNumberFormat="1" applyFont="1" applyFill="1" applyBorder="1" applyAlignment="1">
      <alignment horizontal="center" vertical="center"/>
    </xf>
    <xf numFmtId="173" fontId="84" fillId="44" borderId="5" xfId="0" applyNumberFormat="1" applyFont="1" applyFill="1" applyBorder="1" applyAlignment="1">
      <alignment horizontal="center" vertical="center"/>
    </xf>
    <xf numFmtId="0" fontId="85" fillId="35" borderId="0" xfId="0" applyFont="1" applyFill="1" applyAlignment="1" applyProtection="1">
      <alignment horizontal="center" vertical="center"/>
      <protection locked="0"/>
    </xf>
    <xf numFmtId="0" fontId="43" fillId="0" borderId="76" xfId="142" applyFont="1" applyBorder="1" applyAlignment="1" applyProtection="1">
      <alignment horizontal="center" vertical="center" shrinkToFit="1"/>
    </xf>
    <xf numFmtId="0" fontId="43" fillId="0" borderId="56" xfId="142" applyFont="1" applyBorder="1" applyAlignment="1" applyProtection="1">
      <alignment horizontal="center" vertical="center" shrinkToFit="1"/>
    </xf>
    <xf numFmtId="170" fontId="31" fillId="44" borderId="1" xfId="142" applyNumberFormat="1" applyFont="1" applyFill="1" applyBorder="1" applyAlignment="1" applyProtection="1">
      <alignment horizontal="center" vertical="center" shrinkToFit="1"/>
    </xf>
    <xf numFmtId="0" fontId="43" fillId="0" borderId="1" xfId="142" applyFont="1" applyBorder="1" applyAlignment="1" applyProtection="1">
      <alignment horizontal="center" vertical="center" wrapText="1" shrinkToFit="1"/>
    </xf>
    <xf numFmtId="0" fontId="43" fillId="0" borderId="1" xfId="142" applyFont="1" applyBorder="1" applyAlignment="1" applyProtection="1">
      <alignment horizontal="center" vertical="center" shrinkToFit="1"/>
    </xf>
    <xf numFmtId="170" fontId="31" fillId="44" borderId="36" xfId="142" applyNumberFormat="1" applyFont="1" applyFill="1" applyBorder="1" applyAlignment="1" applyProtection="1">
      <alignment horizontal="center" vertical="center" shrinkToFit="1"/>
    </xf>
    <xf numFmtId="0" fontId="81" fillId="0" borderId="15" xfId="152" applyFont="1" applyBorder="1" applyAlignment="1" applyProtection="1">
      <alignment horizontal="left" vertical="center" shrinkToFit="1"/>
    </xf>
    <xf numFmtId="0" fontId="81" fillId="0" borderId="56" xfId="152" applyFont="1" applyBorder="1" applyAlignment="1" applyProtection="1">
      <alignment horizontal="left" vertical="center" shrinkToFit="1"/>
    </xf>
    <xf numFmtId="0" fontId="81" fillId="0" borderId="39" xfId="152" applyFont="1" applyBorder="1" applyAlignment="1" applyProtection="1">
      <alignment horizontal="left" vertical="center" shrinkToFit="1"/>
    </xf>
    <xf numFmtId="0" fontId="81" fillId="0" borderId="15" xfId="142" applyFont="1" applyBorder="1" applyAlignment="1" applyProtection="1">
      <alignment horizontal="left" vertical="center" shrinkToFit="1"/>
    </xf>
    <xf numFmtId="0" fontId="81" fillId="0" borderId="39" xfId="142" applyFont="1" applyBorder="1" applyAlignment="1" applyProtection="1">
      <alignment horizontal="left" vertical="center" shrinkToFit="1"/>
    </xf>
    <xf numFmtId="0" fontId="55" fillId="174" borderId="80" xfId="142" applyFont="1" applyFill="1" applyBorder="1" applyAlignment="1" applyProtection="1">
      <alignment horizontal="center" vertical="center" shrinkToFit="1"/>
    </xf>
    <xf numFmtId="0" fontId="55" fillId="174" borderId="74" xfId="142" applyFont="1" applyFill="1" applyBorder="1" applyAlignment="1" applyProtection="1">
      <alignment horizontal="center" vertical="center" shrinkToFit="1"/>
    </xf>
    <xf numFmtId="0" fontId="55" fillId="174" borderId="64" xfId="142" applyFont="1" applyFill="1" applyBorder="1" applyAlignment="1" applyProtection="1">
      <alignment horizontal="center" vertical="center" shrinkToFit="1"/>
    </xf>
    <xf numFmtId="170" fontId="43" fillId="0" borderId="33" xfId="142" applyNumberFormat="1" applyFont="1" applyBorder="1" applyAlignment="1" applyProtection="1">
      <alignment horizontal="center" vertical="center" shrinkToFit="1"/>
    </xf>
    <xf numFmtId="170" fontId="43" fillId="0" borderId="66" xfId="142" applyNumberFormat="1" applyFont="1" applyBorder="1" applyAlignment="1" applyProtection="1">
      <alignment horizontal="center" vertical="center" shrinkToFit="1"/>
    </xf>
    <xf numFmtId="0" fontId="55" fillId="97" borderId="80" xfId="142" applyFont="1" applyFill="1" applyBorder="1" applyAlignment="1" applyProtection="1">
      <alignment horizontal="center" vertical="center" shrinkToFit="1"/>
    </xf>
    <xf numFmtId="0" fontId="55" fillId="97" borderId="74" xfId="142" applyFont="1" applyFill="1" applyBorder="1" applyAlignment="1" applyProtection="1">
      <alignment horizontal="center" vertical="center" shrinkToFit="1"/>
    </xf>
    <xf numFmtId="0" fontId="55" fillId="97" borderId="64" xfId="142" applyFont="1" applyFill="1" applyBorder="1" applyAlignment="1" applyProtection="1">
      <alignment horizontal="center" vertical="center" shrinkToFit="1"/>
    </xf>
    <xf numFmtId="0" fontId="55" fillId="64" borderId="80" xfId="142" applyFont="1" applyFill="1" applyBorder="1" applyAlignment="1" applyProtection="1">
      <alignment horizontal="center" vertical="center" shrinkToFit="1"/>
    </xf>
    <xf numFmtId="0" fontId="55" fillId="64" borderId="74" xfId="142" applyFont="1" applyFill="1" applyBorder="1" applyAlignment="1" applyProtection="1">
      <alignment horizontal="center" vertical="center" shrinkToFit="1"/>
    </xf>
    <xf numFmtId="0" fontId="55" fillId="64" borderId="64" xfId="142" applyFont="1" applyFill="1" applyBorder="1" applyAlignment="1" applyProtection="1">
      <alignment horizontal="center" vertical="center" shrinkToFit="1"/>
    </xf>
    <xf numFmtId="0" fontId="89" fillId="0" borderId="55" xfId="0" applyFont="1" applyBorder="1" applyAlignment="1">
      <alignment horizontal="center"/>
    </xf>
    <xf numFmtId="0" fontId="89" fillId="0" borderId="56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5" fillId="55" borderId="80" xfId="142" applyFont="1" applyFill="1" applyBorder="1" applyAlignment="1" applyProtection="1">
      <alignment horizontal="center" vertical="center" shrinkToFit="1"/>
    </xf>
    <xf numFmtId="0" fontId="55" fillId="55" borderId="74" xfId="142" applyFont="1" applyFill="1" applyBorder="1" applyAlignment="1" applyProtection="1">
      <alignment horizontal="center" vertical="center" shrinkToFit="1"/>
    </xf>
    <xf numFmtId="0" fontId="55" fillId="55" borderId="64" xfId="142" applyFont="1" applyFill="1" applyBorder="1" applyAlignment="1" applyProtection="1">
      <alignment horizontal="center" vertical="center" shrinkToFit="1"/>
    </xf>
    <xf numFmtId="170" fontId="33" fillId="137" borderId="1" xfId="142" applyNumberFormat="1" applyFont="1" applyFill="1" applyBorder="1" applyAlignment="1" applyProtection="1">
      <alignment horizontal="center" vertical="center" shrinkToFit="1"/>
    </xf>
    <xf numFmtId="0" fontId="43" fillId="0" borderId="17" xfId="142" applyFont="1" applyBorder="1" applyAlignment="1" applyProtection="1">
      <alignment horizontal="center" vertical="center" shrinkToFit="1"/>
    </xf>
    <xf numFmtId="0" fontId="43" fillId="0" borderId="18" xfId="142" applyFont="1" applyBorder="1" applyAlignment="1" applyProtection="1">
      <alignment horizontal="center" vertical="center" shrinkToFit="1"/>
    </xf>
    <xf numFmtId="170" fontId="111" fillId="137" borderId="1" xfId="142" applyNumberFormat="1" applyFont="1" applyFill="1" applyBorder="1" applyAlignment="1" applyProtection="1">
      <alignment horizontal="center" vertical="center" shrinkToFit="1"/>
    </xf>
    <xf numFmtId="0" fontId="107" fillId="96" borderId="15" xfId="142" applyFont="1" applyFill="1" applyBorder="1" applyAlignment="1" applyProtection="1">
      <alignment horizontal="center" vertical="center" shrinkToFit="1"/>
    </xf>
    <xf numFmtId="0" fontId="107" fillId="96" borderId="56" xfId="142" applyFont="1" applyFill="1" applyBorder="1" applyAlignment="1" applyProtection="1">
      <alignment horizontal="center" vertical="center" shrinkToFit="1"/>
    </xf>
    <xf numFmtId="0" fontId="107" fillId="96" borderId="39" xfId="142" applyFont="1" applyFill="1" applyBorder="1" applyAlignment="1" applyProtection="1">
      <alignment horizontal="center" vertical="center" shrinkToFit="1"/>
    </xf>
    <xf numFmtId="170" fontId="43" fillId="0" borderId="78" xfId="142" applyNumberFormat="1" applyFont="1" applyBorder="1" applyAlignment="1" applyProtection="1">
      <alignment horizontal="center" vertical="center" shrinkToFit="1"/>
    </xf>
    <xf numFmtId="170" fontId="43" fillId="0" borderId="79" xfId="142" applyNumberFormat="1" applyFont="1" applyBorder="1" applyAlignment="1" applyProtection="1">
      <alignment horizontal="center" vertical="center" shrinkToFit="1"/>
    </xf>
    <xf numFmtId="170" fontId="43" fillId="0" borderId="77" xfId="142" applyNumberFormat="1" applyFont="1" applyBorder="1" applyAlignment="1" applyProtection="1">
      <alignment horizontal="center" vertical="center" shrinkToFit="1"/>
    </xf>
    <xf numFmtId="0" fontId="81" fillId="71" borderId="15" xfId="152" applyFont="1" applyFill="1" applyBorder="1" applyAlignment="1" applyProtection="1">
      <alignment horizontal="left" vertical="center" shrinkToFit="1"/>
    </xf>
    <xf numFmtId="0" fontId="81" fillId="71" borderId="56" xfId="152" applyFont="1" applyFill="1" applyBorder="1" applyAlignment="1" applyProtection="1">
      <alignment horizontal="left" vertical="center" shrinkToFit="1"/>
    </xf>
    <xf numFmtId="0" fontId="81" fillId="71" borderId="39" xfId="152" applyFont="1" applyFill="1" applyBorder="1" applyAlignment="1" applyProtection="1">
      <alignment horizontal="left" vertical="center" shrinkToFit="1"/>
    </xf>
    <xf numFmtId="0" fontId="107" fillId="152" borderId="15" xfId="142" applyFont="1" applyFill="1" applyBorder="1" applyAlignment="1" applyProtection="1">
      <alignment horizontal="center" vertical="center" shrinkToFit="1"/>
    </xf>
    <xf numFmtId="0" fontId="107" fillId="152" borderId="56" xfId="142" applyFont="1" applyFill="1" applyBorder="1" applyAlignment="1" applyProtection="1">
      <alignment horizontal="center" vertical="center" shrinkToFit="1"/>
    </xf>
    <xf numFmtId="0" fontId="107" fillId="152" borderId="39" xfId="142" applyFont="1" applyFill="1" applyBorder="1" applyAlignment="1" applyProtection="1">
      <alignment horizontal="center" vertical="center" shrinkToFit="1"/>
    </xf>
    <xf numFmtId="0" fontId="81" fillId="71" borderId="65" xfId="152" applyFont="1" applyFill="1" applyBorder="1" applyAlignment="1" applyProtection="1">
      <alignment horizontal="left" vertical="center" shrinkToFit="1"/>
    </xf>
    <xf numFmtId="0" fontId="81" fillId="71" borderId="33" xfId="152" applyFont="1" applyFill="1" applyBorder="1" applyAlignment="1" applyProtection="1">
      <alignment horizontal="left" vertical="center" shrinkToFit="1"/>
    </xf>
    <xf numFmtId="0" fontId="81" fillId="71" borderId="66" xfId="152" applyFont="1" applyFill="1" applyBorder="1" applyAlignment="1" applyProtection="1">
      <alignment horizontal="left" vertical="center" shrinkToFit="1"/>
    </xf>
    <xf numFmtId="170" fontId="43" fillId="0" borderId="65" xfId="142" applyNumberFormat="1" applyFont="1" applyBorder="1" applyAlignment="1" applyProtection="1">
      <alignment horizontal="center" vertical="center" shrinkToFit="1"/>
    </xf>
    <xf numFmtId="0" fontId="81" fillId="0" borderId="64" xfId="142" applyFont="1" applyBorder="1" applyAlignment="1" applyProtection="1">
      <alignment horizontal="left" vertical="center" shrinkToFit="1"/>
    </xf>
    <xf numFmtId="0" fontId="107" fillId="52" borderId="15" xfId="142" applyFont="1" applyFill="1" applyBorder="1" applyAlignment="1" applyProtection="1">
      <alignment horizontal="center" vertical="center" shrinkToFit="1"/>
    </xf>
    <xf numFmtId="0" fontId="107" fillId="52" borderId="56" xfId="142" applyFont="1" applyFill="1" applyBorder="1" applyAlignment="1" applyProtection="1">
      <alignment horizontal="center" vertical="center" shrinkToFit="1"/>
    </xf>
    <xf numFmtId="0" fontId="107" fillId="52" borderId="39" xfId="142" applyFont="1" applyFill="1" applyBorder="1" applyAlignment="1" applyProtection="1">
      <alignment horizontal="center" vertical="center" shrinkToFit="1"/>
    </xf>
    <xf numFmtId="0" fontId="43" fillId="0" borderId="16" xfId="142" applyFont="1" applyBorder="1" applyAlignment="1" applyProtection="1">
      <alignment horizontal="center" vertical="center" shrinkToFit="1"/>
    </xf>
    <xf numFmtId="0" fontId="43" fillId="0" borderId="20" xfId="142" applyFont="1" applyBorder="1" applyAlignment="1" applyProtection="1">
      <alignment horizontal="center" vertical="center" shrinkToFit="1"/>
    </xf>
    <xf numFmtId="170" fontId="33" fillId="137" borderId="36" xfId="142" applyNumberFormat="1" applyFont="1" applyFill="1" applyBorder="1" applyAlignment="1" applyProtection="1">
      <alignment horizontal="center" vertical="center" shrinkToFit="1"/>
    </xf>
    <xf numFmtId="0" fontId="49" fillId="44" borderId="15" xfId="142" applyFont="1" applyFill="1" applyBorder="1" applyAlignment="1" applyProtection="1">
      <alignment horizontal="center" vertical="center" shrinkToFit="1"/>
    </xf>
    <xf numFmtId="0" fontId="49" fillId="44" borderId="56" xfId="142" applyFont="1" applyFill="1" applyBorder="1" applyAlignment="1" applyProtection="1">
      <alignment horizontal="center" vertical="center" shrinkToFit="1"/>
    </xf>
    <xf numFmtId="0" fontId="55" fillId="34" borderId="43" xfId="142" applyFont="1" applyFill="1" applyBorder="1" applyAlignment="1" applyProtection="1">
      <alignment horizontal="center" vertical="center" shrinkToFit="1"/>
    </xf>
    <xf numFmtId="0" fontId="55" fillId="34" borderId="0" xfId="142" applyFont="1" applyFill="1" applyAlignment="1" applyProtection="1">
      <alignment horizontal="center" vertical="center" shrinkToFit="1"/>
    </xf>
    <xf numFmtId="0" fontId="55" fillId="34" borderId="44" xfId="142" applyFont="1" applyFill="1" applyBorder="1" applyAlignment="1" applyProtection="1">
      <alignment horizontal="center" vertical="center" shrinkToFit="1"/>
    </xf>
    <xf numFmtId="0" fontId="63" fillId="0" borderId="4" xfId="0" applyFont="1" applyBorder="1" applyAlignment="1">
      <alignment horizontal="center"/>
    </xf>
    <xf numFmtId="0" fontId="63" fillId="0" borderId="23" xfId="0" applyFont="1" applyBorder="1" applyAlignment="1">
      <alignment horizontal="center"/>
    </xf>
    <xf numFmtId="0" fontId="63" fillId="0" borderId="5" xfId="0" applyFont="1" applyBorder="1" applyAlignment="1">
      <alignment horizontal="center"/>
    </xf>
    <xf numFmtId="170" fontId="84" fillId="44" borderId="4" xfId="0" applyNumberFormat="1" applyFont="1" applyFill="1" applyBorder="1" applyAlignment="1">
      <alignment horizontal="center"/>
    </xf>
    <xf numFmtId="170" fontId="84" fillId="44" borderId="5" xfId="0" applyNumberFormat="1" applyFont="1" applyFill="1" applyBorder="1" applyAlignment="1">
      <alignment horizontal="center"/>
    </xf>
    <xf numFmtId="0" fontId="61" fillId="0" borderId="25" xfId="0" applyFont="1" applyBorder="1" applyAlignment="1">
      <alignment horizontal="center"/>
    </xf>
    <xf numFmtId="0" fontId="61" fillId="0" borderId="26" xfId="0" applyFont="1" applyBorder="1" applyAlignment="1">
      <alignment horizontal="center"/>
    </xf>
    <xf numFmtId="0" fontId="61" fillId="0" borderId="23" xfId="0" applyFont="1" applyBorder="1" applyAlignment="1">
      <alignment horizontal="center"/>
    </xf>
    <xf numFmtId="0" fontId="61" fillId="0" borderId="5" xfId="0" applyFont="1" applyBorder="1" applyAlignment="1">
      <alignment horizontal="center"/>
    </xf>
    <xf numFmtId="170" fontId="84" fillId="107" borderId="25" xfId="0" applyNumberFormat="1" applyFont="1" applyFill="1" applyBorder="1" applyAlignment="1">
      <alignment horizontal="center"/>
    </xf>
    <xf numFmtId="170" fontId="84" fillId="107" borderId="27" xfId="0" applyNumberFormat="1" applyFont="1" applyFill="1" applyBorder="1" applyAlignment="1">
      <alignment horizontal="center"/>
    </xf>
    <xf numFmtId="0" fontId="61" fillId="0" borderId="27" xfId="0" applyFont="1" applyBorder="1" applyAlignment="1">
      <alignment horizontal="center"/>
    </xf>
    <xf numFmtId="0" fontId="55" fillId="0" borderId="55" xfId="142" applyFont="1" applyBorder="1" applyAlignment="1" applyProtection="1">
      <alignment horizontal="center" vertical="center" shrinkToFit="1"/>
    </xf>
    <xf numFmtId="0" fontId="55" fillId="0" borderId="56" xfId="142" applyFont="1" applyBorder="1" applyAlignment="1" applyProtection="1">
      <alignment horizontal="center" vertical="center" shrinkToFit="1"/>
    </xf>
    <xf numFmtId="0" fontId="55" fillId="0" borderId="39" xfId="142" applyFont="1" applyBorder="1" applyAlignment="1" applyProtection="1">
      <alignment horizontal="center" vertical="center" shrinkToFit="1"/>
    </xf>
    <xf numFmtId="0" fontId="61" fillId="0" borderId="59" xfId="0" applyFont="1" applyBorder="1" applyAlignment="1">
      <alignment horizontal="center"/>
    </xf>
    <xf numFmtId="0" fontId="61" fillId="0" borderId="60" xfId="0" applyFont="1" applyBorder="1" applyAlignment="1">
      <alignment horizontal="center"/>
    </xf>
    <xf numFmtId="0" fontId="85" fillId="35" borderId="28" xfId="0" applyFont="1" applyFill="1" applyBorder="1" applyAlignment="1">
      <alignment horizontal="center"/>
    </xf>
    <xf numFmtId="0" fontId="85" fillId="35" borderId="0" xfId="0" applyFont="1" applyFill="1" applyAlignment="1">
      <alignment horizontal="center"/>
    </xf>
    <xf numFmtId="170" fontId="63" fillId="0" borderId="50" xfId="0" applyNumberFormat="1" applyFont="1" applyBorder="1" applyAlignment="1">
      <alignment horizontal="center"/>
    </xf>
    <xf numFmtId="170" fontId="63" fillId="0" borderId="51" xfId="0" applyNumberFormat="1" applyFont="1" applyBorder="1" applyAlignment="1">
      <alignment horizontal="center"/>
    </xf>
    <xf numFmtId="0" fontId="88" fillId="106" borderId="25" xfId="0" applyFont="1" applyFill="1" applyBorder="1" applyAlignment="1">
      <alignment horizontal="center" vertical="center"/>
    </xf>
    <xf numFmtId="0" fontId="88" fillId="106" borderId="26" xfId="0" applyFont="1" applyFill="1" applyBorder="1" applyAlignment="1">
      <alignment horizontal="center" vertical="center"/>
    </xf>
    <xf numFmtId="0" fontId="88" fillId="106" borderId="27" xfId="0" applyFont="1" applyFill="1" applyBorder="1" applyAlignment="1">
      <alignment horizontal="center" vertical="center"/>
    </xf>
    <xf numFmtId="0" fontId="88" fillId="106" borderId="30" xfId="0" applyFont="1" applyFill="1" applyBorder="1" applyAlignment="1">
      <alignment horizontal="center" vertical="center"/>
    </xf>
    <xf numFmtId="0" fontId="88" fillId="106" borderId="24" xfId="0" applyFont="1" applyFill="1" applyBorder="1" applyAlignment="1">
      <alignment horizontal="center" vertical="center"/>
    </xf>
    <xf numFmtId="0" fontId="88" fillId="106" borderId="31" xfId="0" applyFont="1" applyFill="1" applyBorder="1" applyAlignment="1">
      <alignment horizontal="center" vertical="center"/>
    </xf>
    <xf numFmtId="0" fontId="64" fillId="0" borderId="43" xfId="0" applyFont="1" applyBorder="1" applyAlignment="1">
      <alignment horizontal="center"/>
    </xf>
    <xf numFmtId="0" fontId="64" fillId="0" borderId="44" xfId="0" applyFont="1" applyBorder="1" applyAlignment="1">
      <alignment horizontal="center"/>
    </xf>
    <xf numFmtId="0" fontId="79" fillId="71" borderId="4" xfId="142" applyFont="1" applyFill="1" applyBorder="1" applyAlignment="1" applyProtection="1">
      <alignment horizontal="center" vertical="center" shrinkToFit="1"/>
    </xf>
    <xf numFmtId="0" fontId="79" fillId="71" borderId="23" xfId="142" applyFont="1" applyFill="1" applyBorder="1" applyAlignment="1" applyProtection="1">
      <alignment horizontal="center" vertical="center" shrinkToFit="1"/>
    </xf>
    <xf numFmtId="0" fontId="63" fillId="0" borderId="46" xfId="0" applyFont="1" applyBorder="1" applyAlignment="1">
      <alignment horizontal="center" vertical="center"/>
    </xf>
    <xf numFmtId="0" fontId="63" fillId="0" borderId="47" xfId="0" applyFont="1" applyBorder="1" applyAlignment="1">
      <alignment horizontal="center" vertical="center"/>
    </xf>
    <xf numFmtId="0" fontId="63" fillId="0" borderId="48" xfId="0" applyFont="1" applyBorder="1" applyAlignment="1">
      <alignment horizontal="center" vertical="center"/>
    </xf>
    <xf numFmtId="0" fontId="76" fillId="97" borderId="1" xfId="0" applyFont="1" applyFill="1" applyBorder="1" applyAlignment="1">
      <alignment horizontal="center" wrapText="1"/>
    </xf>
    <xf numFmtId="0" fontId="77" fillId="44" borderId="4" xfId="142" applyFont="1" applyFill="1" applyBorder="1" applyAlignment="1" applyProtection="1">
      <alignment horizontal="center" vertical="center" shrinkToFit="1"/>
    </xf>
    <xf numFmtId="0" fontId="77" fillId="44" borderId="23" xfId="142" applyFont="1" applyFill="1" applyBorder="1" applyAlignment="1" applyProtection="1">
      <alignment horizontal="center" vertical="center" shrinkToFit="1"/>
    </xf>
    <xf numFmtId="0" fontId="77" fillId="44" borderId="5" xfId="142" applyFont="1" applyFill="1" applyBorder="1" applyAlignment="1" applyProtection="1">
      <alignment horizontal="center" vertical="center" shrinkToFit="1"/>
    </xf>
    <xf numFmtId="170" fontId="78" fillId="44" borderId="4" xfId="142" applyNumberFormat="1" applyFont="1" applyFill="1" applyBorder="1" applyAlignment="1" applyProtection="1">
      <alignment horizontal="center" vertical="center" shrinkToFit="1"/>
    </xf>
    <xf numFmtId="170" fontId="78" fillId="44" borderId="23" xfId="142" applyNumberFormat="1" applyFont="1" applyFill="1" applyBorder="1" applyAlignment="1" applyProtection="1">
      <alignment horizontal="center" vertical="center" shrinkToFit="1"/>
    </xf>
    <xf numFmtId="170" fontId="78" fillId="44" borderId="5" xfId="142" applyNumberFormat="1" applyFont="1" applyFill="1" applyBorder="1" applyAlignment="1" applyProtection="1">
      <alignment horizontal="center" vertical="center" shrinkToFit="1"/>
    </xf>
    <xf numFmtId="14" fontId="76" fillId="0" borderId="1" xfId="0" applyNumberFormat="1" applyFont="1" applyBorder="1" applyAlignment="1" applyProtection="1">
      <alignment horizontal="center" wrapText="1"/>
      <protection locked="0"/>
    </xf>
    <xf numFmtId="0" fontId="76" fillId="0" borderId="1" xfId="0" applyFont="1" applyBorder="1" applyAlignment="1" applyProtection="1">
      <alignment horizontal="center" wrapText="1"/>
      <protection locked="0"/>
    </xf>
    <xf numFmtId="14" fontId="76" fillId="0" borderId="1" xfId="0" applyNumberFormat="1" applyFont="1" applyBorder="1" applyAlignment="1">
      <alignment horizontal="center" wrapText="1"/>
    </xf>
    <xf numFmtId="0" fontId="54" fillId="35" borderId="25" xfId="0" applyFont="1" applyFill="1" applyBorder="1" applyAlignment="1">
      <alignment horizontal="center" wrapText="1"/>
    </xf>
    <xf numFmtId="0" fontId="54" fillId="35" borderId="27" xfId="0" applyFont="1" applyFill="1" applyBorder="1" applyAlignment="1">
      <alignment horizontal="center" wrapText="1"/>
    </xf>
    <xf numFmtId="0" fontId="54" fillId="35" borderId="30" xfId="0" applyFont="1" applyFill="1" applyBorder="1" applyAlignment="1">
      <alignment horizontal="center" wrapText="1"/>
    </xf>
    <xf numFmtId="0" fontId="54" fillId="35" borderId="31" xfId="0" applyFont="1" applyFill="1" applyBorder="1" applyAlignment="1">
      <alignment horizontal="center" wrapText="1"/>
    </xf>
    <xf numFmtId="0" fontId="54" fillId="35" borderId="0" xfId="0" applyFont="1" applyFill="1" applyAlignment="1">
      <alignment horizontal="center"/>
    </xf>
    <xf numFmtId="0" fontId="54" fillId="35" borderId="25" xfId="0" applyFont="1" applyFill="1" applyBorder="1" applyAlignment="1">
      <alignment horizontal="center" vertical="center"/>
    </xf>
    <xf numFmtId="0" fontId="54" fillId="35" borderId="26" xfId="0" applyFont="1" applyFill="1" applyBorder="1" applyAlignment="1">
      <alignment horizontal="center" vertical="center"/>
    </xf>
    <xf numFmtId="0" fontId="54" fillId="35" borderId="27" xfId="0" applyFont="1" applyFill="1" applyBorder="1" applyAlignment="1">
      <alignment horizontal="center" vertical="center"/>
    </xf>
    <xf numFmtId="0" fontId="54" fillId="35" borderId="28" xfId="0" applyFont="1" applyFill="1" applyBorder="1" applyAlignment="1">
      <alignment horizontal="center" vertical="center"/>
    </xf>
    <xf numFmtId="0" fontId="54" fillId="35" borderId="0" xfId="0" applyFont="1" applyFill="1" applyAlignment="1">
      <alignment horizontal="center" vertical="center"/>
    </xf>
    <xf numFmtId="0" fontId="54" fillId="35" borderId="29" xfId="0" applyFont="1" applyFill="1" applyBorder="1" applyAlignment="1">
      <alignment horizontal="center" vertical="center"/>
    </xf>
    <xf numFmtId="0" fontId="54" fillId="35" borderId="30" xfId="0" applyFont="1" applyFill="1" applyBorder="1" applyAlignment="1">
      <alignment horizontal="center" vertical="center"/>
    </xf>
    <xf numFmtId="0" fontId="54" fillId="35" borderId="24" xfId="0" applyFont="1" applyFill="1" applyBorder="1" applyAlignment="1">
      <alignment horizontal="center" vertical="center"/>
    </xf>
    <xf numFmtId="0" fontId="54" fillId="35" borderId="31" xfId="0" applyFont="1" applyFill="1" applyBorder="1" applyAlignment="1">
      <alignment horizontal="center" vertical="center"/>
    </xf>
    <xf numFmtId="0" fontId="69" fillId="96" borderId="4" xfId="251" applyFont="1" applyFill="1" applyBorder="1" applyAlignment="1" applyProtection="1">
      <alignment horizontal="center" vertical="top" shrinkToFit="1"/>
    </xf>
    <xf numFmtId="0" fontId="70" fillId="96" borderId="23" xfId="251" applyFont="1" applyFill="1" applyBorder="1" applyAlignment="1" applyProtection="1">
      <alignment horizontal="center" vertical="top" shrinkToFit="1"/>
    </xf>
    <xf numFmtId="0" fontId="70" fillId="96" borderId="5" xfId="251" applyFont="1" applyFill="1" applyBorder="1" applyAlignment="1" applyProtection="1">
      <alignment horizontal="center" vertical="top" shrinkToFit="1"/>
    </xf>
    <xf numFmtId="170" fontId="71" fillId="96" borderId="4" xfId="251" applyNumberFormat="1" applyFont="1" applyFill="1" applyBorder="1" applyAlignment="1" applyProtection="1">
      <alignment horizontal="center" vertical="center" shrinkToFit="1"/>
    </xf>
    <xf numFmtId="170" fontId="71" fillId="96" borderId="23" xfId="251" applyNumberFormat="1" applyFont="1" applyFill="1" applyBorder="1" applyAlignment="1" applyProtection="1">
      <alignment horizontal="center" vertical="center" shrinkToFit="1"/>
    </xf>
    <xf numFmtId="170" fontId="71" fillId="96" borderId="5" xfId="251" applyNumberFormat="1" applyFont="1" applyFill="1" applyBorder="1" applyAlignment="1" applyProtection="1">
      <alignment horizontal="center" vertical="center" shrinkToFit="1"/>
    </xf>
    <xf numFmtId="0" fontId="72" fillId="64" borderId="1" xfId="0" applyFont="1" applyFill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35" borderId="33" xfId="0" applyFont="1" applyFill="1" applyBorder="1" applyAlignment="1">
      <alignment horizontal="center"/>
    </xf>
    <xf numFmtId="174" fontId="46" fillId="69" borderId="23" xfId="0" applyNumberFormat="1" applyFont="1" applyFill="1" applyBorder="1" applyAlignment="1">
      <alignment horizontal="center" vertical="center"/>
    </xf>
    <xf numFmtId="174" fontId="46" fillId="69" borderId="5" xfId="0" applyNumberFormat="1" applyFont="1" applyFill="1" applyBorder="1" applyAlignment="1">
      <alignment horizontal="center" vertical="center"/>
    </xf>
    <xf numFmtId="174" fontId="0" fillId="0" borderId="0" xfId="0" applyNumberFormat="1" applyAlignment="1">
      <alignment vertical="center"/>
    </xf>
    <xf numFmtId="174" fontId="22" fillId="0" borderId="24" xfId="0" applyNumberFormat="1" applyFont="1" applyBorder="1"/>
    <xf numFmtId="174" fontId="22" fillId="66" borderId="25" xfId="0" applyNumberFormat="1" applyFont="1" applyFill="1" applyBorder="1" applyAlignment="1">
      <alignment horizontal="center" vertical="center"/>
    </xf>
    <xf numFmtId="174" fontId="22" fillId="66" borderId="26" xfId="0" applyNumberFormat="1" applyFont="1" applyFill="1" applyBorder="1" applyAlignment="1">
      <alignment horizontal="center" vertical="center"/>
    </xf>
    <xf numFmtId="174" fontId="22" fillId="66" borderId="27" xfId="0" applyNumberFormat="1" applyFont="1" applyFill="1" applyBorder="1" applyAlignment="1">
      <alignment horizontal="center" vertical="center"/>
    </xf>
    <xf numFmtId="174" fontId="0" fillId="66" borderId="0" xfId="0" applyNumberFormat="1" applyFill="1" applyAlignment="1">
      <alignment vertical="center"/>
    </xf>
    <xf numFmtId="174" fontId="22" fillId="66" borderId="28" xfId="0" applyNumberFormat="1" applyFont="1" applyFill="1" applyBorder="1" applyAlignment="1">
      <alignment horizontal="center" vertical="center"/>
    </xf>
    <xf numFmtId="174" fontId="22" fillId="66" borderId="0" xfId="0" applyNumberFormat="1" applyFont="1" applyFill="1" applyAlignment="1">
      <alignment horizontal="center" vertical="center"/>
    </xf>
    <xf numFmtId="174" fontId="22" fillId="66" borderId="29" xfId="0" applyNumberFormat="1" applyFont="1" applyFill="1" applyBorder="1" applyAlignment="1">
      <alignment horizontal="center" vertical="center"/>
    </xf>
    <xf numFmtId="174" fontId="22" fillId="0" borderId="28" xfId="0" applyNumberFormat="1" applyFont="1" applyBorder="1"/>
    <xf numFmtId="174" fontId="22" fillId="66" borderId="30" xfId="0" applyNumberFormat="1" applyFont="1" applyFill="1" applyBorder="1" applyAlignment="1">
      <alignment horizontal="center" vertical="center"/>
    </xf>
    <xf numFmtId="174" fontId="22" fillId="66" borderId="24" xfId="0" applyNumberFormat="1" applyFont="1" applyFill="1" applyBorder="1" applyAlignment="1">
      <alignment horizontal="center" vertical="center"/>
    </xf>
    <xf numFmtId="174" fontId="22" fillId="66" borderId="31" xfId="0" applyNumberFormat="1" applyFont="1" applyFill="1" applyBorder="1" applyAlignment="1">
      <alignment horizontal="center" vertical="center"/>
    </xf>
    <xf numFmtId="174" fontId="22" fillId="66" borderId="30" xfId="0" applyNumberFormat="1" applyFont="1" applyFill="1" applyBorder="1"/>
    <xf numFmtId="174" fontId="22" fillId="66" borderId="24" xfId="0" applyNumberFormat="1" applyFont="1" applyFill="1" applyBorder="1"/>
    <xf numFmtId="174" fontId="22" fillId="0" borderId="31" xfId="0" applyNumberFormat="1" applyFont="1" applyBorder="1"/>
    <xf numFmtId="174" fontId="47" fillId="71" borderId="29" xfId="0" applyNumberFormat="1" applyFont="1" applyFill="1" applyBorder="1" applyAlignment="1">
      <alignment horizontal="center" vertical="center"/>
    </xf>
    <xf numFmtId="174" fontId="48" fillId="66" borderId="32" xfId="131" applyNumberFormat="1" applyFont="1" applyFill="1" applyBorder="1" applyAlignment="1">
      <alignment horizontal="center"/>
    </xf>
    <xf numFmtId="174" fontId="22" fillId="66" borderId="32" xfId="0" applyNumberFormat="1" applyFont="1" applyFill="1" applyBorder="1"/>
    <xf numFmtId="174" fontId="22" fillId="71" borderId="32" xfId="0" applyNumberFormat="1" applyFont="1" applyFill="1" applyBorder="1"/>
    <xf numFmtId="174" fontId="48" fillId="66" borderId="1" xfId="131" applyNumberFormat="1" applyFont="1" applyFill="1" applyBorder="1" applyAlignment="1">
      <alignment horizontal="center"/>
    </xf>
    <xf numFmtId="174" fontId="22" fillId="66" borderId="33" xfId="0" applyNumberFormat="1" applyFont="1" applyFill="1" applyBorder="1" applyAlignment="1">
      <alignment horizontal="center"/>
    </xf>
    <xf numFmtId="174" fontId="49" fillId="0" borderId="1" xfId="0" applyNumberFormat="1" applyFont="1" applyBorder="1" applyAlignment="1">
      <alignment horizontal="center" vertical="center" wrapText="1"/>
    </xf>
    <xf numFmtId="174" fontId="50" fillId="66" borderId="1" xfId="131" applyNumberFormat="1" applyFont="1" applyFill="1" applyBorder="1" applyAlignment="1">
      <alignment horizontal="center"/>
    </xf>
    <xf numFmtId="174" fontId="22" fillId="66" borderId="0" xfId="0" applyNumberFormat="1" applyFont="1" applyFill="1"/>
    <xf numFmtId="174" fontId="47" fillId="66" borderId="1" xfId="0" applyNumberFormat="1" applyFont="1" applyFill="1" applyBorder="1" applyAlignment="1">
      <alignment horizontal="center" vertical="center"/>
    </xf>
    <xf numFmtId="174" fontId="51" fillId="215" borderId="1" xfId="142" applyNumberFormat="1" applyFont="1" applyFill="1" applyBorder="1" applyAlignment="1" applyProtection="1">
      <alignment horizontal="center" vertical="center" shrinkToFit="1"/>
    </xf>
    <xf numFmtId="174" fontId="48" fillId="66" borderId="0" xfId="131" applyNumberFormat="1" applyFont="1" applyFill="1" applyAlignment="1">
      <alignment horizontal="center"/>
    </xf>
    <xf numFmtId="174" fontId="52" fillId="66" borderId="1" xfId="131" applyNumberFormat="1" applyFont="1" applyFill="1" applyBorder="1" applyAlignment="1">
      <alignment horizontal="center"/>
    </xf>
    <xf numFmtId="174" fontId="49" fillId="66" borderId="34" xfId="142" applyNumberFormat="1" applyFont="1" applyFill="1" applyBorder="1" applyAlignment="1" applyProtection="1">
      <alignment horizontal="center" vertical="center" shrinkToFit="1"/>
    </xf>
    <xf numFmtId="174" fontId="51" fillId="66" borderId="34" xfId="142" applyNumberFormat="1" applyFont="1" applyFill="1" applyBorder="1" applyAlignment="1" applyProtection="1">
      <alignment horizontal="center" vertical="center" shrinkToFit="1"/>
    </xf>
    <xf numFmtId="174" fontId="53" fillId="66" borderId="1" xfId="0" applyNumberFormat="1" applyFont="1" applyFill="1" applyBorder="1" applyAlignment="1">
      <alignment horizontal="center"/>
    </xf>
    <xf numFmtId="174" fontId="47" fillId="66" borderId="0" xfId="0" applyNumberFormat="1" applyFont="1" applyFill="1" applyAlignment="1">
      <alignment horizontal="center" vertical="center"/>
    </xf>
    <xf numFmtId="174" fontId="51" fillId="66" borderId="35" xfId="142" applyNumberFormat="1" applyFont="1" applyFill="1" applyBorder="1" applyAlignment="1" applyProtection="1">
      <alignment horizontal="center" vertical="center" shrinkToFit="1"/>
    </xf>
    <xf numFmtId="174" fontId="49" fillId="66" borderId="1" xfId="0" applyNumberFormat="1" applyFont="1" applyFill="1" applyBorder="1" applyAlignment="1">
      <alignment horizontal="center" vertical="center" wrapText="1"/>
    </xf>
    <xf numFmtId="174" fontId="48" fillId="66" borderId="1" xfId="0" applyNumberFormat="1" applyFont="1" applyFill="1" applyBorder="1" applyAlignment="1">
      <alignment horizontal="center"/>
    </xf>
    <xf numFmtId="174" fontId="54" fillId="66" borderId="0" xfId="0" applyNumberFormat="1" applyFont="1" applyFill="1" applyAlignment="1">
      <alignment horizontal="center"/>
    </xf>
    <xf numFmtId="174" fontId="55" fillId="66" borderId="1" xfId="142" applyNumberFormat="1" applyFont="1" applyFill="1" applyBorder="1" applyAlignment="1" applyProtection="1">
      <alignment horizontal="center" vertical="center" shrinkToFit="1"/>
    </xf>
    <xf numFmtId="174" fontId="31" fillId="66" borderId="0" xfId="0" applyNumberFormat="1" applyFont="1" applyFill="1" applyAlignment="1">
      <alignment horizontal="center" vertical="center" shrinkToFit="1"/>
    </xf>
    <xf numFmtId="174" fontId="49" fillId="215" borderId="1" xfId="142" applyNumberFormat="1" applyFont="1" applyFill="1" applyBorder="1" applyAlignment="1" applyProtection="1">
      <alignment horizontal="center" vertical="center" shrinkToFit="1"/>
    </xf>
    <xf numFmtId="174" fontId="51" fillId="216" borderId="1" xfId="142" applyNumberFormat="1" applyFont="1" applyFill="1" applyBorder="1" applyAlignment="1" applyProtection="1">
      <alignment horizontal="center" vertical="center" shrinkToFit="1"/>
    </xf>
    <xf numFmtId="174" fontId="51" fillId="217" borderId="1" xfId="142" applyNumberFormat="1" applyFont="1" applyFill="1" applyBorder="1" applyAlignment="1" applyProtection="1">
      <alignment horizontal="center" vertical="center" shrinkToFit="1"/>
    </xf>
    <xf numFmtId="174" fontId="56" fillId="66" borderId="1" xfId="131" applyNumberFormat="1" applyFont="1" applyFill="1" applyBorder="1" applyAlignment="1">
      <alignment horizontal="center"/>
    </xf>
    <xf numFmtId="174" fontId="57" fillId="66" borderId="0" xfId="0" applyNumberFormat="1" applyFont="1" applyFill="1" applyAlignment="1">
      <alignment horizontal="right"/>
    </xf>
    <xf numFmtId="174" fontId="58" fillId="221" borderId="1" xfId="131" applyNumberFormat="1" applyFont="1" applyFill="1" applyBorder="1" applyAlignment="1">
      <alignment horizontal="center"/>
    </xf>
    <xf numFmtId="174" fontId="57" fillId="66" borderId="0" xfId="0" applyNumberFormat="1" applyFont="1" applyFill="1" applyAlignment="1">
      <alignment horizontal="left"/>
    </xf>
    <xf numFmtId="174" fontId="51" fillId="218" borderId="1" xfId="142" applyNumberFormat="1" applyFont="1" applyFill="1" applyBorder="1" applyAlignment="1" applyProtection="1">
      <alignment horizontal="center" vertical="center" shrinkToFit="1"/>
    </xf>
    <xf numFmtId="174" fontId="51" fillId="219" borderId="1" xfId="142" applyNumberFormat="1" applyFont="1" applyFill="1" applyBorder="1" applyAlignment="1" applyProtection="1">
      <alignment horizontal="center" vertical="center" shrinkToFit="1"/>
    </xf>
    <xf numFmtId="174" fontId="59" fillId="220" borderId="0" xfId="0" applyNumberFormat="1" applyFont="1" applyFill="1" applyAlignment="1">
      <alignment horizontal="center" vertical="center"/>
    </xf>
    <xf numFmtId="174" fontId="60" fillId="66" borderId="1" xfId="0" applyNumberFormat="1" applyFont="1" applyFill="1" applyBorder="1" applyAlignment="1">
      <alignment horizontal="center" vertical="center" wrapText="1"/>
    </xf>
    <xf numFmtId="174" fontId="48" fillId="66" borderId="36" xfId="131" applyNumberFormat="1" applyFont="1" applyFill="1" applyBorder="1" applyAlignment="1">
      <alignment horizontal="center"/>
    </xf>
    <xf numFmtId="174" fontId="22" fillId="66" borderId="25" xfId="0" applyNumberFormat="1" applyFont="1" applyFill="1" applyBorder="1"/>
    <xf numFmtId="174" fontId="22" fillId="66" borderId="26" xfId="0" applyNumberFormat="1" applyFont="1" applyFill="1" applyBorder="1"/>
    <xf numFmtId="174" fontId="54" fillId="66" borderId="25" xfId="0" applyNumberFormat="1" applyFont="1" applyFill="1" applyBorder="1" applyAlignment="1">
      <alignment horizontal="center" wrapText="1"/>
    </xf>
    <xf numFmtId="174" fontId="54" fillId="66" borderId="27" xfId="0" applyNumberFormat="1" applyFont="1" applyFill="1" applyBorder="1" applyAlignment="1">
      <alignment horizontal="center" wrapText="1"/>
    </xf>
    <xf numFmtId="174" fontId="52" fillId="66" borderId="37" xfId="131" applyNumberFormat="1" applyFont="1" applyFill="1" applyBorder="1" applyAlignment="1">
      <alignment horizontal="center"/>
    </xf>
    <xf numFmtId="174" fontId="22" fillId="66" borderId="28" xfId="0" applyNumberFormat="1" applyFont="1" applyFill="1" applyBorder="1"/>
    <xf numFmtId="174" fontId="54" fillId="66" borderId="30" xfId="0" applyNumberFormat="1" applyFont="1" applyFill="1" applyBorder="1" applyAlignment="1">
      <alignment horizontal="center" wrapText="1"/>
    </xf>
    <xf numFmtId="174" fontId="54" fillId="66" borderId="31" xfId="0" applyNumberFormat="1" applyFont="1" applyFill="1" applyBorder="1" applyAlignment="1">
      <alignment horizontal="center" wrapText="1"/>
    </xf>
    <xf numFmtId="174" fontId="57" fillId="66" borderId="0" xfId="0" applyNumberFormat="1" applyFont="1" applyFill="1" applyAlignment="1">
      <alignment horizontal="center"/>
    </xf>
    <xf numFmtId="174" fontId="47" fillId="71" borderId="0" xfId="0" applyNumberFormat="1" applyFont="1" applyFill="1" applyAlignment="1">
      <alignment horizontal="center" vertical="center"/>
    </xf>
    <xf numFmtId="174" fontId="22" fillId="71" borderId="35" xfId="0" applyNumberFormat="1" applyFont="1" applyFill="1" applyBorder="1"/>
    <xf numFmtId="174" fontId="22" fillId="71" borderId="0" xfId="0" applyNumberFormat="1" applyFont="1" applyFill="1"/>
    <xf numFmtId="174" fontId="61" fillId="66" borderId="0" xfId="0" applyNumberFormat="1" applyFont="1" applyFill="1" applyAlignment="1">
      <alignment horizontal="center" vertical="center"/>
    </xf>
    <xf numFmtId="174" fontId="48" fillId="71" borderId="35" xfId="0" applyNumberFormat="1" applyFont="1" applyFill="1" applyBorder="1" applyAlignment="1">
      <alignment horizontal="center"/>
    </xf>
    <xf numFmtId="174" fontId="62" fillId="71" borderId="0" xfId="142" applyNumberFormat="1" applyFont="1" applyFill="1" applyAlignment="1" applyProtection="1">
      <alignment horizontal="center" vertical="center" shrinkToFit="1"/>
    </xf>
    <xf numFmtId="174" fontId="22" fillId="66" borderId="38" xfId="0" applyNumberFormat="1" applyFont="1" applyFill="1" applyBorder="1"/>
    <xf numFmtId="174" fontId="63" fillId="66" borderId="0" xfId="0" applyNumberFormat="1" applyFont="1" applyFill="1" applyAlignment="1">
      <alignment horizontal="center" vertical="center"/>
    </xf>
    <xf numFmtId="174" fontId="55" fillId="66" borderId="0" xfId="0" applyNumberFormat="1" applyFont="1" applyFill="1" applyAlignment="1">
      <alignment horizontal="center" vertical="center" shrinkToFit="1"/>
    </xf>
    <xf numFmtId="174" fontId="54" fillId="66" borderId="0" xfId="0" applyNumberFormat="1" applyFont="1" applyFill="1" applyAlignment="1">
      <alignment horizontal="center" vertical="center"/>
    </xf>
    <xf numFmtId="174" fontId="51" fillId="71" borderId="0" xfId="142" applyNumberFormat="1" applyFont="1" applyFill="1" applyAlignment="1" applyProtection="1">
      <alignment horizontal="center" vertical="center" shrinkToFit="1"/>
    </xf>
    <xf numFmtId="174" fontId="64" fillId="66" borderId="0" xfId="0" applyNumberFormat="1" applyFont="1" applyFill="1" applyAlignment="1">
      <alignment horizontal="center" vertical="center"/>
    </xf>
    <xf numFmtId="174" fontId="39" fillId="57" borderId="1" xfId="0" applyNumberFormat="1" applyFont="1" applyFill="1" applyBorder="1" applyAlignment="1">
      <alignment horizontal="center" vertical="center"/>
    </xf>
    <xf numFmtId="174" fontId="35" fillId="56" borderId="1" xfId="0" applyNumberFormat="1" applyFont="1" applyFill="1" applyBorder="1" applyAlignment="1">
      <alignment horizontal="center" vertical="center"/>
    </xf>
    <xf numFmtId="174" fontId="31" fillId="58" borderId="1" xfId="0" applyNumberFormat="1" applyFont="1" applyFill="1" applyBorder="1" applyAlignment="1">
      <alignment horizontal="center" vertical="center"/>
    </xf>
    <xf numFmtId="174" fontId="32" fillId="53" borderId="1" xfId="0" applyNumberFormat="1" applyFont="1" applyFill="1" applyBorder="1" applyAlignment="1">
      <alignment horizontal="center" vertical="center"/>
    </xf>
    <xf numFmtId="174" fontId="41" fillId="55" borderId="1" xfId="0" applyNumberFormat="1" applyFont="1" applyFill="1" applyBorder="1" applyAlignment="1">
      <alignment horizontal="center" vertical="center"/>
    </xf>
    <xf numFmtId="174" fontId="31" fillId="60" borderId="1" xfId="0" applyNumberFormat="1" applyFont="1" applyFill="1" applyBorder="1" applyAlignment="1">
      <alignment horizontal="center" vertical="center"/>
    </xf>
    <xf numFmtId="174" fontId="65" fillId="91" borderId="0" xfId="0" applyNumberFormat="1" applyFont="1" applyFill="1" applyAlignment="1">
      <alignment horizontal="center" vertical="center"/>
    </xf>
    <xf numFmtId="174" fontId="22" fillId="65" borderId="0" xfId="0" applyNumberFormat="1" applyFont="1" applyFill="1"/>
    <xf numFmtId="174" fontId="57" fillId="0" borderId="0" xfId="0" applyNumberFormat="1" applyFont="1" applyAlignment="1">
      <alignment horizontal="right"/>
    </xf>
    <xf numFmtId="174" fontId="57" fillId="65" borderId="0" xfId="0" applyNumberFormat="1" applyFont="1" applyFill="1" applyAlignment="1">
      <alignment horizontal="center" vertical="center"/>
    </xf>
    <xf numFmtId="174" fontId="66" fillId="65" borderId="0" xfId="0" applyNumberFormat="1" applyFont="1" applyFill="1" applyAlignment="1">
      <alignment horizontal="center" vertical="center"/>
    </xf>
    <xf numFmtId="174" fontId="22" fillId="66" borderId="29" xfId="0" applyNumberFormat="1" applyFont="1" applyFill="1" applyBorder="1"/>
    <xf numFmtId="174" fontId="64" fillId="74" borderId="0" xfId="0" applyNumberFormat="1" applyFont="1" applyFill="1" applyAlignment="1">
      <alignment horizontal="center" vertical="center"/>
    </xf>
    <xf numFmtId="174" fontId="52" fillId="66" borderId="39" xfId="131" applyNumberFormat="1" applyFont="1" applyFill="1" applyBorder="1" applyAlignment="1">
      <alignment horizontal="center"/>
    </xf>
    <xf numFmtId="174" fontId="48" fillId="71" borderId="0" xfId="131" applyNumberFormat="1" applyFont="1" applyFill="1" applyAlignment="1">
      <alignment horizontal="center"/>
    </xf>
    <xf numFmtId="174" fontId="59" fillId="67" borderId="0" xfId="0" applyNumberFormat="1" applyFont="1" applyFill="1" applyAlignment="1">
      <alignment horizontal="center" vertical="center"/>
    </xf>
    <xf numFmtId="174" fontId="47" fillId="71" borderId="35" xfId="0" applyNumberFormat="1" applyFont="1" applyFill="1" applyBorder="1" applyAlignment="1">
      <alignment horizontal="center" vertical="center"/>
    </xf>
    <xf numFmtId="174" fontId="22" fillId="71" borderId="40" xfId="0" applyNumberFormat="1" applyFont="1" applyFill="1" applyBorder="1"/>
    <xf numFmtId="174" fontId="22" fillId="66" borderId="41" xfId="0" applyNumberFormat="1" applyFont="1" applyFill="1" applyBorder="1"/>
    <xf numFmtId="174" fontId="67" fillId="218" borderId="1" xfId="142" applyNumberFormat="1" applyFont="1" applyFill="1" applyBorder="1" applyAlignment="1" applyProtection="1">
      <alignment horizontal="center" vertical="center" shrinkToFit="1"/>
    </xf>
    <xf numFmtId="174" fontId="49" fillId="66" borderId="1" xfId="0" applyNumberFormat="1" applyFont="1" applyFill="1" applyBorder="1" applyAlignment="1">
      <alignment horizontal="center" vertical="center"/>
    </xf>
    <xf numFmtId="174" fontId="51" fillId="66" borderId="1" xfId="142" applyNumberFormat="1" applyFont="1" applyFill="1" applyBorder="1" applyAlignment="1" applyProtection="1">
      <alignment horizontal="center" vertical="center" shrinkToFit="1"/>
    </xf>
    <xf numFmtId="174" fontId="52" fillId="71" borderId="40" xfId="131" applyNumberFormat="1" applyFont="1" applyFill="1" applyBorder="1" applyAlignment="1">
      <alignment horizontal="center"/>
    </xf>
    <xf numFmtId="174" fontId="51" fillId="66" borderId="0" xfId="142" applyNumberFormat="1" applyFont="1" applyFill="1" applyAlignment="1" applyProtection="1">
      <alignment horizontal="center" vertical="center" shrinkToFit="1"/>
    </xf>
    <xf numFmtId="174" fontId="56" fillId="71" borderId="0" xfId="131" applyNumberFormat="1" applyFont="1" applyFill="1" applyAlignment="1">
      <alignment horizontal="center"/>
    </xf>
    <xf numFmtId="174" fontId="22" fillId="66" borderId="42" xfId="0" applyNumberFormat="1" applyFont="1" applyFill="1" applyBorder="1"/>
    <xf numFmtId="174" fontId="22" fillId="0" borderId="42" xfId="0" applyNumberFormat="1" applyFont="1" applyBorder="1"/>
    <xf numFmtId="174" fontId="54" fillId="71" borderId="0" xfId="0" applyNumberFormat="1" applyFont="1" applyFill="1"/>
    <xf numFmtId="174" fontId="22" fillId="0" borderId="26" xfId="0" applyNumberFormat="1" applyFont="1" applyBorder="1"/>
    <xf numFmtId="174" fontId="68" fillId="0" borderId="0" xfId="0" applyNumberFormat="1" applyFont="1" applyAlignment="1">
      <alignment horizontal="center" vertical="center"/>
    </xf>
    <xf numFmtId="174" fontId="45" fillId="0" borderId="0" xfId="0" applyNumberFormat="1" applyFont="1" applyAlignment="1">
      <alignment horizontal="center" vertical="center"/>
    </xf>
    <xf numFmtId="174" fontId="54" fillId="66" borderId="25" xfId="0" applyNumberFormat="1" applyFont="1" applyFill="1" applyBorder="1" applyAlignment="1">
      <alignment horizontal="center" vertical="center"/>
    </xf>
    <xf numFmtId="174" fontId="54" fillId="66" borderId="26" xfId="0" applyNumberFormat="1" applyFont="1" applyFill="1" applyBorder="1" applyAlignment="1">
      <alignment horizontal="center" vertical="center"/>
    </xf>
    <xf numFmtId="174" fontId="54" fillId="66" borderId="27" xfId="0" applyNumberFormat="1" applyFont="1" applyFill="1" applyBorder="1" applyAlignment="1">
      <alignment horizontal="center" vertical="center"/>
    </xf>
    <xf numFmtId="174" fontId="54" fillId="66" borderId="28" xfId="0" applyNumberFormat="1" applyFont="1" applyFill="1" applyBorder="1" applyAlignment="1">
      <alignment horizontal="center" vertical="center"/>
    </xf>
    <xf numFmtId="174" fontId="54" fillId="66" borderId="0" xfId="0" applyNumberFormat="1" applyFont="1" applyFill="1" applyAlignment="1">
      <alignment horizontal="center" vertical="center"/>
    </xf>
    <xf numFmtId="174" fontId="54" fillId="66" borderId="29" xfId="0" applyNumberFormat="1" applyFont="1" applyFill="1" applyBorder="1" applyAlignment="1">
      <alignment horizontal="center" vertical="center"/>
    </xf>
    <xf numFmtId="174" fontId="54" fillId="66" borderId="30" xfId="0" applyNumberFormat="1" applyFont="1" applyFill="1" applyBorder="1" applyAlignment="1">
      <alignment horizontal="center" vertical="center"/>
    </xf>
    <xf numFmtId="174" fontId="54" fillId="66" borderId="24" xfId="0" applyNumberFormat="1" applyFont="1" applyFill="1" applyBorder="1" applyAlignment="1">
      <alignment horizontal="center" vertical="center"/>
    </xf>
    <xf numFmtId="174" fontId="54" fillId="66" borderId="31" xfId="0" applyNumberFormat="1" applyFont="1" applyFill="1" applyBorder="1" applyAlignment="1">
      <alignment horizontal="center" vertical="center"/>
    </xf>
  </cellXfs>
  <cellStyles count="25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46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Hipervínculo 3 2" xfId="36" xr:uid="{00000000-0005-0000-0000-000023000000}"/>
    <cellStyle name="Incorrecto" xfId="37" builtinId="27" customBuiltin="1"/>
    <cellStyle name="Millares 2" xfId="38" xr:uid="{00000000-0005-0000-0000-000025000000}"/>
    <cellStyle name="Millares 2 2" xfId="39" xr:uid="{00000000-0005-0000-0000-000026000000}"/>
    <cellStyle name="Millares 2 2 2" xfId="40" xr:uid="{00000000-0005-0000-0000-000027000000}"/>
    <cellStyle name="Millares 3" xfId="41" xr:uid="{00000000-0005-0000-0000-000028000000}"/>
    <cellStyle name="Millares 3 2" xfId="42" xr:uid="{00000000-0005-0000-0000-000029000000}"/>
    <cellStyle name="Millares 3 2 2" xfId="43" xr:uid="{00000000-0005-0000-0000-00002A000000}"/>
    <cellStyle name="Millares 3 3" xfId="44" xr:uid="{00000000-0005-0000-0000-00002B000000}"/>
    <cellStyle name="Millares 3 3 2" xfId="45" xr:uid="{00000000-0005-0000-0000-00002C000000}"/>
    <cellStyle name="Millares 3 4" xfId="46" xr:uid="{00000000-0005-0000-0000-00002D000000}"/>
    <cellStyle name="Millares 3 5" xfId="47" xr:uid="{00000000-0005-0000-0000-00002E000000}"/>
    <cellStyle name="Millares 4" xfId="48" xr:uid="{00000000-0005-0000-0000-00002F000000}"/>
    <cellStyle name="Millares 4 2" xfId="49" xr:uid="{00000000-0005-0000-0000-000030000000}"/>
    <cellStyle name="Millares 4 2 2" xfId="50" xr:uid="{00000000-0005-0000-0000-000031000000}"/>
    <cellStyle name="Millares 4 3" xfId="51" xr:uid="{00000000-0005-0000-0000-000032000000}"/>
    <cellStyle name="Millares 4 3 2" xfId="52" xr:uid="{00000000-0005-0000-0000-000033000000}"/>
    <cellStyle name="Millares 4 4" xfId="53" xr:uid="{00000000-0005-0000-0000-000034000000}"/>
    <cellStyle name="Millares 5" xfId="54" xr:uid="{00000000-0005-0000-0000-000035000000}"/>
    <cellStyle name="Millares 5 2" xfId="55" xr:uid="{00000000-0005-0000-0000-000036000000}"/>
    <cellStyle name="Millares 5 2 2" xfId="56" xr:uid="{00000000-0005-0000-0000-000037000000}"/>
    <cellStyle name="Millares 5 2 2 2" xfId="57" xr:uid="{00000000-0005-0000-0000-000038000000}"/>
    <cellStyle name="Millares 5 2 2 2 2" xfId="58" xr:uid="{00000000-0005-0000-0000-000039000000}"/>
    <cellStyle name="Millares 5 2 2 2 2 2" xfId="59" xr:uid="{00000000-0005-0000-0000-00003A000000}"/>
    <cellStyle name="Millares 5 2 2 2 2 3" xfId="60" xr:uid="{00000000-0005-0000-0000-00003B000000}"/>
    <cellStyle name="Millares 5 2 2 2 2 4" xfId="61" xr:uid="{00000000-0005-0000-0000-00003C000000}"/>
    <cellStyle name="Millares 5 2 2 2 3" xfId="62" xr:uid="{00000000-0005-0000-0000-00003D000000}"/>
    <cellStyle name="Millares 5 2 2 2 4" xfId="63" xr:uid="{00000000-0005-0000-0000-00003E000000}"/>
    <cellStyle name="Millares 5 2 2 3" xfId="64" xr:uid="{00000000-0005-0000-0000-00003F000000}"/>
    <cellStyle name="Millares 5 2 2 3 2" xfId="65" xr:uid="{00000000-0005-0000-0000-000040000000}"/>
    <cellStyle name="Millares 5 2 2 3 2 2" xfId="66" xr:uid="{00000000-0005-0000-0000-000041000000}"/>
    <cellStyle name="Millares 5 2 2 3 2 3" xfId="67" xr:uid="{00000000-0005-0000-0000-000042000000}"/>
    <cellStyle name="Millares 5 2 2 3 2 4" xfId="68" xr:uid="{00000000-0005-0000-0000-000043000000}"/>
    <cellStyle name="Millares 5 2 2 3 3" xfId="69" xr:uid="{00000000-0005-0000-0000-000044000000}"/>
    <cellStyle name="Millares 5 2 2 3 4" xfId="70" xr:uid="{00000000-0005-0000-0000-000045000000}"/>
    <cellStyle name="Millares 5 2 2 4" xfId="71" xr:uid="{00000000-0005-0000-0000-000046000000}"/>
    <cellStyle name="Millares 5 2 2 4 2" xfId="72" xr:uid="{00000000-0005-0000-0000-000047000000}"/>
    <cellStyle name="Millares 5 2 2 4 3" xfId="73" xr:uid="{00000000-0005-0000-0000-000048000000}"/>
    <cellStyle name="Millares 5 2 2 4 4" xfId="74" xr:uid="{00000000-0005-0000-0000-000049000000}"/>
    <cellStyle name="Millares 5 2 2 5" xfId="75" xr:uid="{00000000-0005-0000-0000-00004A000000}"/>
    <cellStyle name="Millares 5 2 2 6" xfId="76" xr:uid="{00000000-0005-0000-0000-00004B000000}"/>
    <cellStyle name="Millares 5 2 3" xfId="77" xr:uid="{00000000-0005-0000-0000-00004C000000}"/>
    <cellStyle name="Millares 5 3" xfId="78" xr:uid="{00000000-0005-0000-0000-00004D000000}"/>
    <cellStyle name="Millares 5 4" xfId="79" xr:uid="{00000000-0005-0000-0000-00004E000000}"/>
    <cellStyle name="Millares 6" xfId="80" xr:uid="{00000000-0005-0000-0000-00004F000000}"/>
    <cellStyle name="Millares 6 2" xfId="81" xr:uid="{00000000-0005-0000-0000-000050000000}"/>
    <cellStyle name="Moneda 2" xfId="82" xr:uid="{00000000-0005-0000-0000-000051000000}"/>
    <cellStyle name="Moneda 2 2" xfId="83" xr:uid="{00000000-0005-0000-0000-000052000000}"/>
    <cellStyle name="Moneda 2 2 2" xfId="84" xr:uid="{00000000-0005-0000-0000-000053000000}"/>
    <cellStyle name="Moneda 2 2 2 2" xfId="85" xr:uid="{00000000-0005-0000-0000-000054000000}"/>
    <cellStyle name="Moneda 2 2 2 3" xfId="86" xr:uid="{00000000-0005-0000-0000-000055000000}"/>
    <cellStyle name="Moneda 2 2 2 4" xfId="87" xr:uid="{00000000-0005-0000-0000-000056000000}"/>
    <cellStyle name="Moneda 2 2 3" xfId="88" xr:uid="{00000000-0005-0000-0000-000057000000}"/>
    <cellStyle name="Moneda 2 2 4" xfId="89" xr:uid="{00000000-0005-0000-0000-000058000000}"/>
    <cellStyle name="Moneda 2 3" xfId="90" xr:uid="{00000000-0005-0000-0000-000059000000}"/>
    <cellStyle name="Moneda 2 4" xfId="91" xr:uid="{00000000-0005-0000-0000-00005A000000}"/>
    <cellStyle name="Moneda 2 4 2" xfId="92" xr:uid="{00000000-0005-0000-0000-00005B000000}"/>
    <cellStyle name="Moneda 2 4 3" xfId="93" xr:uid="{00000000-0005-0000-0000-00005C000000}"/>
    <cellStyle name="Moneda 2 4 4" xfId="94" xr:uid="{00000000-0005-0000-0000-00005D000000}"/>
    <cellStyle name="Moneda 2 5" xfId="95" xr:uid="{00000000-0005-0000-0000-00005E000000}"/>
    <cellStyle name="Moneda 2 6" xfId="96" xr:uid="{00000000-0005-0000-0000-00005F000000}"/>
    <cellStyle name="Moneda 3" xfId="97" xr:uid="{00000000-0005-0000-0000-000060000000}"/>
    <cellStyle name="Moneda 3 2" xfId="98" xr:uid="{00000000-0005-0000-0000-000061000000}"/>
    <cellStyle name="Moneda 3 3" xfId="99" xr:uid="{00000000-0005-0000-0000-000062000000}"/>
    <cellStyle name="Moneda 3 4" xfId="100" xr:uid="{00000000-0005-0000-0000-000063000000}"/>
    <cellStyle name="Moneda 4" xfId="101" xr:uid="{00000000-0005-0000-0000-000064000000}"/>
    <cellStyle name="Moneda 4 3" xfId="102" xr:uid="{00000000-0005-0000-0000-000065000000}"/>
    <cellStyle name="Neutral" xfId="103" builtinId="28" customBuiltin="1"/>
    <cellStyle name="Normal" xfId="0" builtinId="0"/>
    <cellStyle name="Normal 10" xfId="104" xr:uid="{00000000-0005-0000-0000-000068000000}"/>
    <cellStyle name="Normal 11" xfId="105" xr:uid="{00000000-0005-0000-0000-000069000000}"/>
    <cellStyle name="Normal 11 2" xfId="106" xr:uid="{00000000-0005-0000-0000-00006A000000}"/>
    <cellStyle name="Normal 12" xfId="107" xr:uid="{00000000-0005-0000-0000-00006B000000}"/>
    <cellStyle name="Normal 12 2" xfId="108" xr:uid="{00000000-0005-0000-0000-00006C000000}"/>
    <cellStyle name="Normal 124" xfId="109" xr:uid="{00000000-0005-0000-0000-00006D000000}"/>
    <cellStyle name="Normal 125" xfId="110" xr:uid="{00000000-0005-0000-0000-00006E000000}"/>
    <cellStyle name="Normal 13" xfId="111" xr:uid="{00000000-0005-0000-0000-00006F000000}"/>
    <cellStyle name="Normal 14" xfId="112" xr:uid="{00000000-0005-0000-0000-000070000000}"/>
    <cellStyle name="Normal 14 2" xfId="113" xr:uid="{00000000-0005-0000-0000-000071000000}"/>
    <cellStyle name="Normal 15" xfId="114" xr:uid="{00000000-0005-0000-0000-000072000000}"/>
    <cellStyle name="Normal 16" xfId="115" xr:uid="{00000000-0005-0000-0000-000073000000}"/>
    <cellStyle name="Normal 17" xfId="116" xr:uid="{00000000-0005-0000-0000-000074000000}"/>
    <cellStyle name="Normal 19" xfId="117" xr:uid="{00000000-0005-0000-0000-000075000000}"/>
    <cellStyle name="Normal 2" xfId="118" xr:uid="{00000000-0005-0000-0000-000076000000}"/>
    <cellStyle name="Normal 2 10 2" xfId="119" xr:uid="{00000000-0005-0000-0000-000077000000}"/>
    <cellStyle name="Normal 2 10 2 2" xfId="120" xr:uid="{00000000-0005-0000-0000-000078000000}"/>
    <cellStyle name="Normal 2 100" xfId="121" xr:uid="{00000000-0005-0000-0000-000079000000}"/>
    <cellStyle name="Normal 2 100 2" xfId="122" xr:uid="{00000000-0005-0000-0000-00007A000000}"/>
    <cellStyle name="Normal 2 2" xfId="123" xr:uid="{00000000-0005-0000-0000-00007B000000}"/>
    <cellStyle name="Normal 2 2 10" xfId="124" xr:uid="{00000000-0005-0000-0000-00007C000000}"/>
    <cellStyle name="Normal 2 2 10 2" xfId="125" xr:uid="{00000000-0005-0000-0000-00007D000000}"/>
    <cellStyle name="Normal 2 2 2" xfId="126" xr:uid="{00000000-0005-0000-0000-00007E000000}"/>
    <cellStyle name="Normal 2 2 2 2" xfId="127" xr:uid="{00000000-0005-0000-0000-00007F000000}"/>
    <cellStyle name="Normal 2 2 2 3" xfId="128" xr:uid="{00000000-0005-0000-0000-000080000000}"/>
    <cellStyle name="Normal 2 2 2 4" xfId="129" xr:uid="{00000000-0005-0000-0000-000081000000}"/>
    <cellStyle name="Normal 2 2 3" xfId="130" xr:uid="{00000000-0005-0000-0000-000082000000}"/>
    <cellStyle name="Normal 2 2 4" xfId="131" xr:uid="{00000000-0005-0000-0000-000083000000}"/>
    <cellStyle name="Normal 2 2 4 2" xfId="132" xr:uid="{00000000-0005-0000-0000-000084000000}"/>
    <cellStyle name="Normal 2 2 4 2 2" xfId="133" xr:uid="{00000000-0005-0000-0000-000085000000}"/>
    <cellStyle name="Normal 2 2 4 2 2 3" xfId="134" xr:uid="{00000000-0005-0000-0000-000086000000}"/>
    <cellStyle name="Normal 2 2 4 3" xfId="135" xr:uid="{00000000-0005-0000-0000-000087000000}"/>
    <cellStyle name="Normal 2 2 4 4" xfId="136" xr:uid="{00000000-0005-0000-0000-000088000000}"/>
    <cellStyle name="Normal 2 2 5" xfId="137" xr:uid="{00000000-0005-0000-0000-000089000000}"/>
    <cellStyle name="Normal 2 3" xfId="138" xr:uid="{00000000-0005-0000-0000-00008A000000}"/>
    <cellStyle name="Normal 2 3 2" xfId="139" xr:uid="{00000000-0005-0000-0000-00008B000000}"/>
    <cellStyle name="Normal 2 3 2 2" xfId="140" xr:uid="{00000000-0005-0000-0000-00008C000000}"/>
    <cellStyle name="Normal 2 3 2 2 2 2" xfId="141" xr:uid="{00000000-0005-0000-0000-00008D000000}"/>
    <cellStyle name="Normal 2 3 2 3" xfId="142" xr:uid="{00000000-0005-0000-0000-00008E000000}"/>
    <cellStyle name="Normal 2 3 3" xfId="143" xr:uid="{00000000-0005-0000-0000-00008F000000}"/>
    <cellStyle name="Normal 2 3 3 2 3 2" xfId="144" xr:uid="{00000000-0005-0000-0000-000090000000}"/>
    <cellStyle name="Normal 2 3 4" xfId="145" xr:uid="{00000000-0005-0000-0000-000091000000}"/>
    <cellStyle name="Normal 2 3 5" xfId="146" xr:uid="{00000000-0005-0000-0000-000092000000}"/>
    <cellStyle name="Normal 2 3 6" xfId="147" xr:uid="{00000000-0005-0000-0000-000093000000}"/>
    <cellStyle name="Normal 2 4" xfId="148" xr:uid="{00000000-0005-0000-0000-000094000000}"/>
    <cellStyle name="Normal 2 5" xfId="149" xr:uid="{00000000-0005-0000-0000-000095000000}"/>
    <cellStyle name="Normal 2 6" xfId="150" xr:uid="{00000000-0005-0000-0000-000096000000}"/>
    <cellStyle name="Normal 2 6 10" xfId="151" xr:uid="{00000000-0005-0000-0000-000097000000}"/>
    <cellStyle name="Normal 2 6 10 2" xfId="152" xr:uid="{00000000-0005-0000-0000-000098000000}"/>
    <cellStyle name="Normal 2 6 2" xfId="153" xr:uid="{00000000-0005-0000-0000-000099000000}"/>
    <cellStyle name="Normal 2 7" xfId="154" xr:uid="{00000000-0005-0000-0000-00009A000000}"/>
    <cellStyle name="Normal 2 9" xfId="155" xr:uid="{00000000-0005-0000-0000-00009B000000}"/>
    <cellStyle name="Normal 2_2010 Enero METEPEC(1)" xfId="156" xr:uid="{00000000-0005-0000-0000-00009C000000}"/>
    <cellStyle name="Normal 21" xfId="157" xr:uid="{00000000-0005-0000-0000-00009D000000}"/>
    <cellStyle name="Normal 22" xfId="158" xr:uid="{00000000-0005-0000-0000-00009E000000}"/>
    <cellStyle name="Normal 23" xfId="159" xr:uid="{00000000-0005-0000-0000-00009F000000}"/>
    <cellStyle name="Normal 3" xfId="160" xr:uid="{00000000-0005-0000-0000-0000A0000000}"/>
    <cellStyle name="Normal 3 2" xfId="161" xr:uid="{00000000-0005-0000-0000-0000A1000000}"/>
    <cellStyle name="Normal 3 2 2" xfId="162" xr:uid="{00000000-0005-0000-0000-0000A2000000}"/>
    <cellStyle name="Normal 3 3" xfId="163" xr:uid="{00000000-0005-0000-0000-0000A3000000}"/>
    <cellStyle name="Normal 3 4" xfId="164" xr:uid="{00000000-0005-0000-0000-0000A4000000}"/>
    <cellStyle name="Normal 3 4 2 4" xfId="165" xr:uid="{00000000-0005-0000-0000-0000A5000000}"/>
    <cellStyle name="Normal 3 5" xfId="166" xr:uid="{00000000-0005-0000-0000-0000A6000000}"/>
    <cellStyle name="Normal 3 5 2" xfId="167" xr:uid="{00000000-0005-0000-0000-0000A7000000}"/>
    <cellStyle name="Normal 3 6" xfId="168" xr:uid="{00000000-0005-0000-0000-0000A8000000}"/>
    <cellStyle name="Normal 3 7" xfId="169" xr:uid="{00000000-0005-0000-0000-0000A9000000}"/>
    <cellStyle name="Normal 3_2010-09-30-PUEBLA(1)" xfId="170" xr:uid="{00000000-0005-0000-0000-0000AA000000}"/>
    <cellStyle name="Normal 4" xfId="171" xr:uid="{00000000-0005-0000-0000-0000AB000000}"/>
    <cellStyle name="Normal 4 2" xfId="172" xr:uid="{00000000-0005-0000-0000-0000AC000000}"/>
    <cellStyle name="Normal 4 3" xfId="173" xr:uid="{00000000-0005-0000-0000-0000AD000000}"/>
    <cellStyle name="Normal 4 4" xfId="174" xr:uid="{00000000-0005-0000-0000-0000AE000000}"/>
    <cellStyle name="Normal 5" xfId="175" xr:uid="{00000000-0005-0000-0000-0000AF000000}"/>
    <cellStyle name="Normal 5 2" xfId="176" xr:uid="{00000000-0005-0000-0000-0000B0000000}"/>
    <cellStyle name="Normal 5 2 2" xfId="177" xr:uid="{00000000-0005-0000-0000-0000B1000000}"/>
    <cellStyle name="Normal 5 2 2 3" xfId="178" xr:uid="{00000000-0005-0000-0000-0000B2000000}"/>
    <cellStyle name="Normal 5 3" xfId="179" xr:uid="{00000000-0005-0000-0000-0000B3000000}"/>
    <cellStyle name="Normal 5 3 2" xfId="180" xr:uid="{00000000-0005-0000-0000-0000B4000000}"/>
    <cellStyle name="Normal 5 4" xfId="181" xr:uid="{00000000-0005-0000-0000-0000B5000000}"/>
    <cellStyle name="Normal 5 5" xfId="182" xr:uid="{00000000-0005-0000-0000-0000B6000000}"/>
    <cellStyle name="Normal 5_CAMBIO DE MIX CAPRI SATELITE CON PWB y FISH 2-11-11(1)" xfId="183" xr:uid="{00000000-0005-0000-0000-0000B7000000}"/>
    <cellStyle name="Normal 6" xfId="184" xr:uid="{00000000-0005-0000-0000-0000B8000000}"/>
    <cellStyle name="Normal 6 2" xfId="185" xr:uid="{00000000-0005-0000-0000-0000B9000000}"/>
    <cellStyle name="Normal 6 3" xfId="186" xr:uid="{00000000-0005-0000-0000-0000BA000000}"/>
    <cellStyle name="Normal 7" xfId="187" xr:uid="{00000000-0005-0000-0000-0000BB000000}"/>
    <cellStyle name="Normal 8" xfId="188" xr:uid="{00000000-0005-0000-0000-0000BC000000}"/>
    <cellStyle name="Normal 8 2" xfId="189" xr:uid="{00000000-0005-0000-0000-0000BD000000}"/>
    <cellStyle name="Normal 8_PROPUESTA MIX PALACE CANCUN 5-03-12-P(1)" xfId="190" xr:uid="{00000000-0005-0000-0000-0000BE000000}"/>
    <cellStyle name="Normal 9" xfId="191" xr:uid="{00000000-0005-0000-0000-0000BF000000}"/>
    <cellStyle name="Normal 9 2 2" xfId="192" xr:uid="{00000000-0005-0000-0000-0000C0000000}"/>
    <cellStyle name="Normal_Hoja1" xfId="251" xr:uid="{DC44B895-7377-4BC2-A175-6A8E67713A17}"/>
    <cellStyle name="Notas 2" xfId="193" xr:uid="{00000000-0005-0000-0000-0000C1000000}"/>
    <cellStyle name="Notas 2 2" xfId="194" xr:uid="{00000000-0005-0000-0000-0000C2000000}"/>
    <cellStyle name="Notas 2 2 2" xfId="195" xr:uid="{00000000-0005-0000-0000-0000C3000000}"/>
    <cellStyle name="Notas 2 2 3" xfId="196" xr:uid="{00000000-0005-0000-0000-0000C4000000}"/>
    <cellStyle name="Notas 2 2 4" xfId="197" xr:uid="{00000000-0005-0000-0000-0000C5000000}"/>
    <cellStyle name="Notas 2 3" xfId="198" xr:uid="{00000000-0005-0000-0000-0000C6000000}"/>
    <cellStyle name="Notas 2 4" xfId="199" xr:uid="{00000000-0005-0000-0000-0000C7000000}"/>
    <cellStyle name="Porcentaje" xfId="250" builtinId="5"/>
    <cellStyle name="Porcentaje 2" xfId="200" xr:uid="{00000000-0005-0000-0000-0000C8000000}"/>
    <cellStyle name="Porcentaje 2 2" xfId="201" xr:uid="{00000000-0005-0000-0000-0000C9000000}"/>
    <cellStyle name="Porcentaje 2 2 2" xfId="202" xr:uid="{00000000-0005-0000-0000-0000CA000000}"/>
    <cellStyle name="Porcentaje 2 2 2 2" xfId="203" xr:uid="{00000000-0005-0000-0000-0000CB000000}"/>
    <cellStyle name="Porcentaje 2 2 2 3" xfId="204" xr:uid="{00000000-0005-0000-0000-0000CC000000}"/>
    <cellStyle name="Porcentaje 2 2 2 4" xfId="205" xr:uid="{00000000-0005-0000-0000-0000CD000000}"/>
    <cellStyle name="Porcentaje 2 2 2 4 2" xfId="206" xr:uid="{00000000-0005-0000-0000-0000CE000000}"/>
    <cellStyle name="Porcentaje 2 2 3" xfId="207" xr:uid="{00000000-0005-0000-0000-0000CF000000}"/>
    <cellStyle name="Porcentaje 2 2 4" xfId="208" xr:uid="{00000000-0005-0000-0000-0000D0000000}"/>
    <cellStyle name="Porcentaje 2 3" xfId="209" xr:uid="{00000000-0005-0000-0000-0000D1000000}"/>
    <cellStyle name="Porcentaje 2 4" xfId="210" xr:uid="{00000000-0005-0000-0000-0000D2000000}"/>
    <cellStyle name="Porcentaje 2 4 2" xfId="211" xr:uid="{00000000-0005-0000-0000-0000D3000000}"/>
    <cellStyle name="Porcentaje 2 4 2 2" xfId="212" xr:uid="{00000000-0005-0000-0000-0000D4000000}"/>
    <cellStyle name="Porcentaje 2 4 2 3" xfId="213" xr:uid="{00000000-0005-0000-0000-0000D5000000}"/>
    <cellStyle name="Porcentaje 2 4 2 4" xfId="214" xr:uid="{00000000-0005-0000-0000-0000D6000000}"/>
    <cellStyle name="Porcentaje 2 4 3" xfId="215" xr:uid="{00000000-0005-0000-0000-0000D7000000}"/>
    <cellStyle name="Porcentaje 2 4 4" xfId="216" xr:uid="{00000000-0005-0000-0000-0000D8000000}"/>
    <cellStyle name="Porcentaje 2 5" xfId="217" xr:uid="{00000000-0005-0000-0000-0000D9000000}"/>
    <cellStyle name="Porcentaje 2 5 2" xfId="218" xr:uid="{00000000-0005-0000-0000-0000DA000000}"/>
    <cellStyle name="Porcentaje 2 5 3" xfId="219" xr:uid="{00000000-0005-0000-0000-0000DB000000}"/>
    <cellStyle name="Porcentaje 2 5 4" xfId="220" xr:uid="{00000000-0005-0000-0000-0000DC000000}"/>
    <cellStyle name="Porcentaje 2 6" xfId="221" xr:uid="{00000000-0005-0000-0000-0000DD000000}"/>
    <cellStyle name="Porcentaje 3" xfId="222" xr:uid="{00000000-0005-0000-0000-0000DE000000}"/>
    <cellStyle name="Porcentaje 3 2" xfId="223" xr:uid="{00000000-0005-0000-0000-0000DF000000}"/>
    <cellStyle name="Porcentaje 4" xfId="224" xr:uid="{00000000-0005-0000-0000-0000E0000000}"/>
    <cellStyle name="Porcentaje 4 2" xfId="225" xr:uid="{00000000-0005-0000-0000-0000E1000000}"/>
    <cellStyle name="Porcentaje 4 2 2" xfId="226" xr:uid="{00000000-0005-0000-0000-0000E2000000}"/>
    <cellStyle name="Porcentaje 4 2 2 2" xfId="227" xr:uid="{00000000-0005-0000-0000-0000E3000000}"/>
    <cellStyle name="Porcentaje 4 2 2 3" xfId="228" xr:uid="{00000000-0005-0000-0000-0000E4000000}"/>
    <cellStyle name="Porcentaje 4 2 2 4" xfId="229" xr:uid="{00000000-0005-0000-0000-0000E5000000}"/>
    <cellStyle name="Porcentaje 4 2 3" xfId="230" xr:uid="{00000000-0005-0000-0000-0000E6000000}"/>
    <cellStyle name="Porcentaje 4 2 4" xfId="231" xr:uid="{00000000-0005-0000-0000-0000E7000000}"/>
    <cellStyle name="Porcentaje 4 2 5" xfId="232" xr:uid="{00000000-0005-0000-0000-0000E8000000}"/>
    <cellStyle name="Porcentaje 4 3" xfId="233" xr:uid="{00000000-0005-0000-0000-0000E9000000}"/>
    <cellStyle name="Porcentaje 4 4" xfId="234" xr:uid="{00000000-0005-0000-0000-0000EA000000}"/>
    <cellStyle name="Porcentaje 4 5" xfId="235" xr:uid="{00000000-0005-0000-0000-0000EB000000}"/>
    <cellStyle name="Porcentaje 4 6" xfId="236" xr:uid="{00000000-0005-0000-0000-0000EC000000}"/>
    <cellStyle name="Porcentaje 4 7" xfId="237" xr:uid="{00000000-0005-0000-0000-0000ED000000}"/>
    <cellStyle name="Porcentual 2" xfId="238" xr:uid="{00000000-0005-0000-0000-0000EE000000}"/>
    <cellStyle name="Salida" xfId="239" builtinId="21" customBuiltin="1"/>
    <cellStyle name="Style 1 10" xfId="240" xr:uid="{00000000-0005-0000-0000-0000F0000000}"/>
    <cellStyle name="Style 1 12" xfId="241" xr:uid="{00000000-0005-0000-0000-0000F1000000}"/>
    <cellStyle name="TableStyleLight1" xfId="242" xr:uid="{00000000-0005-0000-0000-0000F2000000}"/>
    <cellStyle name="Texto de advertencia" xfId="243" builtinId="11" customBuiltin="1"/>
    <cellStyle name="Texto explicativo" xfId="244" builtinId="53" customBuiltin="1"/>
    <cellStyle name="Título" xfId="245" builtinId="15" customBuiltin="1"/>
    <cellStyle name="Título 2" xfId="247" builtinId="17" customBuiltin="1"/>
    <cellStyle name="Título 3" xfId="248" builtinId="18" customBuiltin="1"/>
    <cellStyle name="Total" xfId="249" builtinId="25" customBuiltin="1"/>
  </cellStyles>
  <dxfs count="64"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BFBFBF"/>
      </font>
      <fill>
        <patternFill patternType="solid">
          <fgColor rgb="FFFFFFFF"/>
          <bgColor rgb="FFDBEEF3"/>
        </patternFill>
      </fill>
    </dxf>
    <dxf>
      <font>
        <sz val="11"/>
        <color rgb="FFBFBFBF"/>
      </font>
      <fill>
        <patternFill patternType="solid">
          <fgColor rgb="FFFFFFFF"/>
          <bgColor rgb="FFDBEEF3"/>
        </patternFill>
      </fill>
    </dxf>
    <dxf>
      <font>
        <sz val="11"/>
        <color rgb="FFBFBFBF"/>
      </font>
      <fill>
        <patternFill patternType="solid">
          <fgColor rgb="FFFFFFFF"/>
          <bgColor rgb="FFDBEEF3"/>
        </patternFill>
      </fill>
    </dxf>
    <dxf>
      <font>
        <sz val="11"/>
        <color rgb="FFBFBFBF"/>
      </font>
      <fill>
        <patternFill patternType="solid"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 patternType="solid">
          <fgColor rgb="FFFFFFFF"/>
          <bgColor rgb="FFDBEEF3"/>
        </patternFill>
      </fill>
    </dxf>
    <dxf>
      <font>
        <sz val="11"/>
        <color rgb="FFBFBFBF"/>
      </font>
      <fill>
        <patternFill patternType="solid">
          <fgColor rgb="FFFFFFFF"/>
          <bgColor rgb="FFDBEEF3"/>
        </patternFill>
      </fill>
    </dxf>
    <dxf>
      <font>
        <sz val="11"/>
        <color rgb="FFBFBFBF"/>
      </font>
      <fill>
        <patternFill patternType="solid"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 patternType="solid">
          <fgColor rgb="FFFFFFFF"/>
          <bgColor rgb="FFDBEEF3"/>
        </patternFill>
      </fill>
    </dxf>
    <dxf>
      <font>
        <sz val="11"/>
        <color rgb="FFBFBFBF"/>
      </font>
      <fill>
        <patternFill patternType="solid">
          <fgColor rgb="FFFFFFFF"/>
          <bgColor rgb="FFDBEEF3"/>
        </patternFill>
      </fill>
    </dxf>
    <dxf>
      <font>
        <sz val="11"/>
        <color rgb="FFBFBFBF"/>
      </font>
      <fill>
        <patternFill patternType="solid">
          <fgColor rgb="FFFFFFFF"/>
          <bgColor rgb="FFDBEEF3"/>
        </patternFill>
      </fill>
    </dxf>
    <dxf>
      <font>
        <sz val="11"/>
        <color rgb="FFBFBFBF"/>
      </font>
      <fill>
        <patternFill patternType="solid">
          <fgColor rgb="FFFFFFFF"/>
          <bgColor rgb="FFDBEEF3"/>
        </patternFill>
      </fill>
    </dxf>
    <dxf>
      <font>
        <sz val="11"/>
        <color rgb="FFBFBFBF"/>
      </font>
      <fill>
        <patternFill patternType="solid">
          <fgColor rgb="FFFFFFFF"/>
          <bgColor rgb="FFDBEEF3"/>
        </patternFill>
      </fill>
    </dxf>
    <dxf>
      <font>
        <sz val="11"/>
        <color rgb="FFBFBFBF"/>
      </font>
      <fill>
        <patternFill patternType="solid">
          <fgColor rgb="FFFFFFFF"/>
          <bgColor rgb="FFDBEEF3"/>
        </patternFill>
      </fill>
    </dxf>
    <dxf>
      <font>
        <sz val="11"/>
        <color rgb="FFBFBFBF"/>
      </font>
      <fill>
        <patternFill patternType="solid"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284716</xdr:colOff>
      <xdr:row>38</xdr:row>
      <xdr:rowOff>139079</xdr:rowOff>
    </xdr:from>
    <xdr:to>
      <xdr:col>7</xdr:col>
      <xdr:colOff>367413</xdr:colOff>
      <xdr:row>45</xdr:row>
      <xdr:rowOff>114076</xdr:rowOff>
    </xdr:to>
    <xdr:pic>
      <xdr:nvPicPr>
        <xdr:cNvPr id="2" name="Imagen 1" descr=" 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6685516" y="8673479"/>
          <a:ext cx="1149497" cy="137517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39</xdr:col>
      <xdr:colOff>647404</xdr:colOff>
      <xdr:row>25</xdr:row>
      <xdr:rowOff>152362</xdr:rowOff>
    </xdr:from>
    <xdr:to>
      <xdr:col>40</xdr:col>
      <xdr:colOff>575339</xdr:colOff>
      <xdr:row>31</xdr:row>
      <xdr:rowOff>37703</xdr:rowOff>
    </xdr:to>
    <xdr:pic>
      <xdr:nvPicPr>
        <xdr:cNvPr id="3" name="10 Imagen" descr=" 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2252604" y="5581612"/>
          <a:ext cx="994735" cy="110454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39</xdr:col>
      <xdr:colOff>237460</xdr:colOff>
      <xdr:row>24</xdr:row>
      <xdr:rowOff>88292</xdr:rowOff>
    </xdr:from>
    <xdr:to>
      <xdr:col>41</xdr:col>
      <xdr:colOff>637953</xdr:colOff>
      <xdr:row>25</xdr:row>
      <xdr:rowOff>88292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1842660" y="5317517"/>
          <a:ext cx="2534093" cy="2000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5</xdr:col>
      <xdr:colOff>166576</xdr:colOff>
      <xdr:row>36</xdr:row>
      <xdr:rowOff>121309</xdr:rowOff>
    </xdr:from>
    <xdr:to>
      <xdr:col>9</xdr:col>
      <xdr:colOff>356781</xdr:colOff>
      <xdr:row>38</xdr:row>
      <xdr:rowOff>88292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500576" y="8160409"/>
          <a:ext cx="4457405" cy="46228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BC54"/>
  <sheetViews>
    <sheetView tabSelected="1" zoomScale="40" zoomScaleNormal="40" workbookViewId="0">
      <selection sqref="A1:XFD1048576"/>
    </sheetView>
  </sheetViews>
  <sheetFormatPr baseColWidth="10" defaultColWidth="16" defaultRowHeight="15" x14ac:dyDescent="0.25"/>
  <cols>
    <col min="1" max="13" width="16" style="857"/>
    <col min="14" max="40" width="1.7109375" style="857" customWidth="1"/>
    <col min="41" max="53" width="2.7109375" style="857" customWidth="1"/>
    <col min="54" max="16384" width="16" style="857"/>
  </cols>
  <sheetData>
    <row r="1" spans="1:55" ht="36.75" thickBot="1" x14ac:dyDescent="0.3">
      <c r="A1" s="855" t="s">
        <v>149</v>
      </c>
      <c r="B1" s="855"/>
      <c r="C1" s="855"/>
      <c r="D1" s="855"/>
      <c r="E1" s="855"/>
      <c r="F1" s="855"/>
      <c r="G1" s="855"/>
      <c r="H1" s="855"/>
      <c r="I1" s="855"/>
      <c r="J1" s="855"/>
      <c r="K1" s="855"/>
      <c r="L1" s="855"/>
      <c r="M1" s="855"/>
      <c r="N1" s="855"/>
      <c r="O1" s="855"/>
      <c r="P1" s="855"/>
      <c r="Q1" s="855"/>
      <c r="R1" s="855"/>
      <c r="S1" s="855"/>
      <c r="T1" s="855"/>
      <c r="U1" s="855"/>
      <c r="V1" s="855"/>
      <c r="W1" s="855"/>
      <c r="X1" s="855"/>
      <c r="Y1" s="855"/>
      <c r="Z1" s="855"/>
      <c r="AA1" s="855"/>
      <c r="AB1" s="855"/>
      <c r="AC1" s="855"/>
      <c r="AD1" s="855"/>
      <c r="AE1" s="855"/>
      <c r="AF1" s="855"/>
      <c r="AG1" s="855"/>
      <c r="AH1" s="855"/>
      <c r="AI1" s="855"/>
      <c r="AJ1" s="855"/>
      <c r="AK1" s="855"/>
      <c r="AL1" s="855"/>
      <c r="AM1" s="855"/>
      <c r="AN1" s="855"/>
      <c r="AO1" s="855"/>
      <c r="AP1" s="855"/>
      <c r="AQ1" s="855"/>
      <c r="AR1" s="855"/>
      <c r="AS1" s="855"/>
      <c r="AT1" s="855"/>
      <c r="AU1" s="855"/>
      <c r="AV1" s="855"/>
      <c r="AW1" s="855"/>
      <c r="AX1" s="855"/>
      <c r="AY1" s="855"/>
      <c r="AZ1" s="855"/>
      <c r="BA1" s="855"/>
      <c r="BB1" s="855"/>
      <c r="BC1" s="856"/>
    </row>
    <row r="2" spans="1:55" ht="15.75" thickBot="1" x14ac:dyDescent="0.3">
      <c r="B2" s="858"/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858"/>
      <c r="P2" s="858"/>
      <c r="Q2" s="858"/>
      <c r="R2" s="858"/>
      <c r="S2" s="858"/>
      <c r="T2" s="858"/>
      <c r="U2" s="858"/>
      <c r="V2" s="858"/>
      <c r="W2" s="858"/>
      <c r="X2" s="858"/>
      <c r="Y2" s="858"/>
      <c r="Z2" s="858"/>
      <c r="AA2" s="858"/>
      <c r="AB2" s="858"/>
      <c r="AC2" s="858"/>
      <c r="AD2" s="858"/>
      <c r="AE2" s="858"/>
      <c r="AF2" s="858"/>
      <c r="AG2" s="858"/>
      <c r="AH2" s="858"/>
      <c r="AI2" s="858"/>
      <c r="AJ2" s="858"/>
      <c r="AK2" s="858"/>
    </row>
    <row r="3" spans="1:55" ht="15" customHeight="1" x14ac:dyDescent="0.25">
      <c r="B3" s="859"/>
      <c r="C3" s="860"/>
      <c r="D3" s="860"/>
      <c r="E3" s="860"/>
      <c r="F3" s="861"/>
      <c r="G3" s="862"/>
      <c r="H3" s="862"/>
      <c r="I3" s="862"/>
      <c r="J3" s="862"/>
      <c r="K3" s="862"/>
      <c r="L3" s="862"/>
      <c r="M3" s="862"/>
      <c r="N3" s="862"/>
      <c r="O3" s="862"/>
      <c r="P3" s="862"/>
      <c r="Q3" s="862"/>
      <c r="R3" s="862"/>
      <c r="S3" s="862"/>
      <c r="T3" s="862"/>
      <c r="AB3" s="859"/>
      <c r="AC3" s="860"/>
      <c r="AD3" s="860"/>
      <c r="AE3" s="860"/>
      <c r="AF3" s="861"/>
      <c r="AL3" s="859"/>
      <c r="AM3" s="860"/>
      <c r="AN3" s="860"/>
      <c r="AO3" s="860"/>
      <c r="AP3" s="860"/>
      <c r="AQ3" s="860"/>
      <c r="AR3" s="860"/>
      <c r="AS3" s="860"/>
      <c r="AT3" s="860"/>
      <c r="AU3" s="860"/>
      <c r="AV3" s="860"/>
      <c r="AW3" s="860"/>
      <c r="AX3" s="860"/>
      <c r="AY3" s="860"/>
      <c r="AZ3" s="860"/>
      <c r="BA3" s="860"/>
      <c r="BB3" s="861"/>
    </row>
    <row r="4" spans="1:55" x14ac:dyDescent="0.25">
      <c r="B4" s="863"/>
      <c r="C4" s="864"/>
      <c r="D4" s="864"/>
      <c r="E4" s="864"/>
      <c r="F4" s="865"/>
      <c r="G4" s="862"/>
      <c r="H4" s="862"/>
      <c r="I4" s="862"/>
      <c r="J4" s="862"/>
      <c r="K4" s="862"/>
      <c r="L4" s="862"/>
      <c r="M4" s="862"/>
      <c r="N4" s="862"/>
      <c r="O4" s="862"/>
      <c r="P4" s="862"/>
      <c r="Q4" s="862"/>
      <c r="R4" s="862"/>
      <c r="S4" s="862"/>
      <c r="T4" s="862"/>
      <c r="AB4" s="863"/>
      <c r="AC4" s="864"/>
      <c r="AD4" s="864"/>
      <c r="AE4" s="864"/>
      <c r="AF4" s="865"/>
      <c r="AL4" s="863"/>
      <c r="AM4" s="864"/>
      <c r="AN4" s="864"/>
      <c r="AO4" s="864"/>
      <c r="AP4" s="864"/>
      <c r="AQ4" s="864"/>
      <c r="AR4" s="864"/>
      <c r="AS4" s="864"/>
      <c r="AT4" s="864"/>
      <c r="AU4" s="864"/>
      <c r="AV4" s="864"/>
      <c r="AW4" s="864"/>
      <c r="AX4" s="864"/>
      <c r="AY4" s="864"/>
      <c r="AZ4" s="864"/>
      <c r="BA4" s="864"/>
      <c r="BB4" s="865"/>
    </row>
    <row r="5" spans="1:55" x14ac:dyDescent="0.25">
      <c r="B5" s="863"/>
      <c r="C5" s="864"/>
      <c r="D5" s="864"/>
      <c r="E5" s="864"/>
      <c r="F5" s="865"/>
      <c r="G5" s="862"/>
      <c r="H5" s="862"/>
      <c r="I5" s="862"/>
      <c r="J5" s="862"/>
      <c r="K5" s="862"/>
      <c r="L5" s="862"/>
      <c r="M5" s="862"/>
      <c r="N5" s="862"/>
      <c r="O5" s="862"/>
      <c r="P5" s="862"/>
      <c r="Q5" s="862"/>
      <c r="R5" s="862"/>
      <c r="S5" s="862"/>
      <c r="T5" s="862"/>
      <c r="AB5" s="863"/>
      <c r="AC5" s="864"/>
      <c r="AD5" s="864"/>
      <c r="AE5" s="864"/>
      <c r="AF5" s="865"/>
      <c r="AL5" s="863"/>
      <c r="AM5" s="864"/>
      <c r="AN5" s="864"/>
      <c r="AO5" s="864"/>
      <c r="AP5" s="864"/>
      <c r="AQ5" s="864"/>
      <c r="AR5" s="864"/>
      <c r="AS5" s="864"/>
      <c r="AT5" s="864"/>
      <c r="AU5" s="864"/>
      <c r="AV5" s="864"/>
      <c r="AW5" s="864"/>
      <c r="AX5" s="864"/>
      <c r="AY5" s="864"/>
      <c r="AZ5" s="864"/>
      <c r="BA5" s="864"/>
      <c r="BB5" s="865"/>
      <c r="BC5" s="866"/>
    </row>
    <row r="6" spans="1:55" ht="15.75" thickBot="1" x14ac:dyDescent="0.3">
      <c r="B6" s="867"/>
      <c r="C6" s="868"/>
      <c r="D6" s="868"/>
      <c r="E6" s="868"/>
      <c r="F6" s="869"/>
      <c r="G6" s="870"/>
      <c r="H6" s="871"/>
      <c r="I6" s="871"/>
      <c r="J6" s="871"/>
      <c r="K6" s="871"/>
      <c r="L6" s="871"/>
      <c r="M6" s="871"/>
      <c r="N6" s="871"/>
      <c r="O6" s="871"/>
      <c r="P6" s="871"/>
      <c r="Q6" s="871"/>
      <c r="R6" s="862"/>
      <c r="S6" s="862"/>
      <c r="T6" s="862"/>
      <c r="V6" s="858"/>
      <c r="W6" s="858"/>
      <c r="X6" s="858"/>
      <c r="Y6" s="858"/>
      <c r="Z6" s="858"/>
      <c r="AA6" s="872"/>
      <c r="AB6" s="867"/>
      <c r="AC6" s="868"/>
      <c r="AD6" s="868"/>
      <c r="AE6" s="868"/>
      <c r="AF6" s="869"/>
      <c r="AL6" s="863"/>
      <c r="AM6" s="864"/>
      <c r="AN6" s="864"/>
      <c r="AO6" s="864"/>
      <c r="AP6" s="864"/>
      <c r="AQ6" s="864"/>
      <c r="AR6" s="864"/>
      <c r="AS6" s="864"/>
      <c r="AT6" s="864"/>
      <c r="AU6" s="864"/>
      <c r="AV6" s="864"/>
      <c r="AW6" s="864"/>
      <c r="AX6" s="864"/>
      <c r="AY6" s="864"/>
      <c r="AZ6" s="864"/>
      <c r="BA6" s="864"/>
      <c r="BB6" s="865"/>
      <c r="BC6" s="866"/>
    </row>
    <row r="7" spans="1:55" ht="15.75" x14ac:dyDescent="0.25">
      <c r="A7" s="873"/>
      <c r="B7" s="862"/>
      <c r="C7" s="862"/>
      <c r="D7" s="862"/>
      <c r="E7" s="862"/>
      <c r="F7" s="862"/>
      <c r="G7" s="862"/>
      <c r="H7" s="862"/>
      <c r="I7" s="862"/>
      <c r="J7" s="862"/>
      <c r="K7" s="862"/>
      <c r="L7" s="862"/>
      <c r="M7" s="862"/>
      <c r="N7" s="862"/>
      <c r="O7" s="862"/>
      <c r="P7" s="862"/>
      <c r="Q7" s="862"/>
      <c r="R7" s="874"/>
      <c r="S7" s="875"/>
      <c r="T7" s="874"/>
      <c r="U7" s="876"/>
      <c r="AL7" s="863"/>
      <c r="AM7" s="864"/>
      <c r="AN7" s="864"/>
      <c r="AO7" s="864"/>
      <c r="AP7" s="864"/>
      <c r="AQ7" s="864"/>
      <c r="AR7" s="864"/>
      <c r="AS7" s="864"/>
      <c r="AT7" s="864"/>
      <c r="AU7" s="864"/>
      <c r="AV7" s="864"/>
      <c r="AW7" s="864"/>
      <c r="AX7" s="864"/>
      <c r="AY7" s="864"/>
      <c r="AZ7" s="864"/>
      <c r="BA7" s="864"/>
      <c r="BB7" s="865"/>
      <c r="BC7" s="866"/>
    </row>
    <row r="8" spans="1:55" ht="15.75" thickBot="1" x14ac:dyDescent="0.3">
      <c r="A8" s="873"/>
      <c r="B8" s="862"/>
      <c r="C8" s="862"/>
      <c r="D8" s="862"/>
      <c r="E8" s="862"/>
      <c r="F8" s="862"/>
      <c r="G8" s="862"/>
      <c r="H8" s="862"/>
      <c r="I8" s="862"/>
      <c r="J8" s="862"/>
      <c r="K8" s="862"/>
      <c r="L8" s="862"/>
      <c r="M8" s="862"/>
      <c r="N8" s="862"/>
      <c r="O8" s="862"/>
      <c r="P8" s="862"/>
      <c r="Q8" s="862"/>
      <c r="R8" s="862"/>
      <c r="S8" s="862"/>
      <c r="T8" s="862"/>
      <c r="AL8" s="867"/>
      <c r="AM8" s="868"/>
      <c r="AN8" s="868"/>
      <c r="AO8" s="868"/>
      <c r="AP8" s="868"/>
      <c r="AQ8" s="868"/>
      <c r="AR8" s="868"/>
      <c r="AS8" s="868"/>
      <c r="AT8" s="868"/>
      <c r="AU8" s="868"/>
      <c r="AV8" s="868"/>
      <c r="AW8" s="868"/>
      <c r="AX8" s="868"/>
      <c r="AY8" s="868"/>
      <c r="AZ8" s="868"/>
      <c r="BA8" s="868"/>
      <c r="BB8" s="869"/>
      <c r="BC8" s="866"/>
    </row>
    <row r="9" spans="1:55" ht="78.75" x14ac:dyDescent="0.25">
      <c r="A9" s="873"/>
      <c r="B9" s="877"/>
      <c r="C9" s="862"/>
      <c r="D9" s="862"/>
      <c r="E9" s="878"/>
      <c r="F9" s="878"/>
      <c r="G9" s="862"/>
      <c r="H9" s="862"/>
      <c r="I9" s="862"/>
      <c r="J9" s="862"/>
      <c r="K9" s="862"/>
      <c r="L9" s="862"/>
      <c r="M9" s="862"/>
      <c r="N9" s="862"/>
      <c r="O9" s="862"/>
      <c r="P9" s="862"/>
      <c r="Q9" s="862"/>
      <c r="R9" s="862"/>
      <c r="S9" s="862"/>
      <c r="T9" s="862"/>
      <c r="AD9" s="879" t="s">
        <v>155</v>
      </c>
      <c r="AE9" s="879" t="s">
        <v>155</v>
      </c>
      <c r="AL9" s="866"/>
      <c r="BC9" s="866"/>
    </row>
    <row r="10" spans="1:55" ht="15.75" x14ac:dyDescent="0.25">
      <c r="A10" s="873"/>
      <c r="B10" s="877"/>
      <c r="C10" s="862"/>
      <c r="D10" s="862"/>
      <c r="E10" s="880"/>
      <c r="F10" s="880"/>
      <c r="G10" s="862"/>
      <c r="H10" s="862"/>
      <c r="I10" s="862"/>
      <c r="J10" s="862"/>
      <c r="K10" s="862"/>
      <c r="L10" s="862"/>
      <c r="M10" s="862"/>
      <c r="N10" s="862"/>
      <c r="O10" s="862"/>
      <c r="P10" s="862"/>
      <c r="Q10" s="862"/>
      <c r="R10" s="862"/>
      <c r="S10" s="862"/>
      <c r="T10" s="862"/>
      <c r="AL10" s="866"/>
      <c r="AN10" s="862"/>
      <c r="AO10" s="862"/>
      <c r="AP10" s="862"/>
      <c r="AQ10" s="862"/>
      <c r="AR10" s="862"/>
      <c r="AS10" s="862"/>
      <c r="AT10" s="862"/>
      <c r="AU10" s="862"/>
      <c r="AV10" s="862"/>
      <c r="AW10" s="862"/>
      <c r="AX10" s="862"/>
      <c r="AY10" s="862"/>
      <c r="AZ10" s="862"/>
      <c r="BA10" s="862"/>
      <c r="BB10" s="862"/>
      <c r="BC10" s="866"/>
    </row>
    <row r="11" spans="1:55" ht="15.75" x14ac:dyDescent="0.25">
      <c r="A11" s="873"/>
      <c r="B11" s="877"/>
      <c r="C11" s="862"/>
      <c r="D11" s="862"/>
      <c r="E11" s="880"/>
      <c r="F11" s="880"/>
      <c r="G11" s="862"/>
      <c r="H11" s="862"/>
      <c r="I11" s="862"/>
      <c r="J11" s="881"/>
      <c r="K11" s="862"/>
      <c r="L11" s="862"/>
      <c r="M11" s="862"/>
      <c r="N11" s="862"/>
      <c r="O11" s="862"/>
      <c r="P11" s="862"/>
      <c r="Q11" s="862"/>
      <c r="R11" s="862"/>
      <c r="S11" s="862"/>
      <c r="T11" s="862"/>
      <c r="W11" s="862"/>
      <c r="X11" s="862"/>
      <c r="Y11" s="862"/>
      <c r="Z11" s="862"/>
      <c r="AA11" s="862"/>
      <c r="AB11" s="862"/>
      <c r="AC11" s="862"/>
      <c r="AD11" s="862"/>
      <c r="AE11" s="862"/>
      <c r="AF11" s="862"/>
      <c r="AG11" s="862"/>
      <c r="AH11" s="862"/>
      <c r="AI11" s="862"/>
      <c r="AJ11" s="862"/>
      <c r="AK11" s="862"/>
      <c r="AL11" s="866"/>
      <c r="AN11" s="862"/>
      <c r="AO11" s="862"/>
      <c r="AP11" s="862"/>
      <c r="AQ11" s="862"/>
      <c r="AR11" s="862"/>
      <c r="AS11" s="862"/>
      <c r="AT11" s="862"/>
      <c r="AU11" s="862"/>
      <c r="AV11" s="862"/>
      <c r="AW11" s="862"/>
      <c r="AX11" s="862"/>
      <c r="AY11" s="862"/>
      <c r="AZ11" s="862"/>
      <c r="BA11" s="862"/>
      <c r="BB11" s="862"/>
      <c r="BC11" s="866"/>
    </row>
    <row r="12" spans="1:55" ht="15.75" x14ac:dyDescent="0.25">
      <c r="A12" s="873"/>
      <c r="B12" s="882"/>
      <c r="C12" s="862"/>
      <c r="D12" s="862"/>
      <c r="E12" s="880"/>
      <c r="F12" s="880"/>
      <c r="G12" s="862"/>
      <c r="H12" s="862"/>
      <c r="I12" s="862"/>
      <c r="J12" s="883"/>
      <c r="K12" s="883"/>
      <c r="L12" s="883"/>
      <c r="M12" s="884"/>
      <c r="N12" s="862"/>
      <c r="O12" s="862"/>
      <c r="P12" s="862"/>
      <c r="Q12" s="877"/>
      <c r="R12" s="877"/>
      <c r="S12" s="877"/>
      <c r="T12" s="862"/>
      <c r="W12" s="862"/>
      <c r="X12" s="881"/>
      <c r="Y12" s="881"/>
      <c r="Z12" s="862"/>
      <c r="AA12" s="862"/>
      <c r="AB12" s="862"/>
      <c r="AC12" s="862"/>
      <c r="AD12" s="862"/>
      <c r="AE12" s="862"/>
      <c r="AF12" s="862"/>
      <c r="AG12" s="862"/>
      <c r="AH12" s="862"/>
      <c r="AI12" s="862"/>
      <c r="AJ12" s="862"/>
      <c r="AK12" s="862"/>
      <c r="AL12" s="866"/>
      <c r="AN12" s="877"/>
      <c r="AO12" s="877"/>
      <c r="AP12" s="862"/>
      <c r="AQ12" s="862"/>
      <c r="AR12" s="862"/>
      <c r="AS12" s="862"/>
      <c r="AT12" s="862"/>
      <c r="AU12" s="862"/>
      <c r="AV12" s="862"/>
      <c r="AW12" s="862"/>
      <c r="AX12" s="885"/>
      <c r="AY12" s="885"/>
      <c r="AZ12" s="862"/>
      <c r="BA12" s="862"/>
      <c r="BB12" s="862"/>
      <c r="BC12" s="866"/>
    </row>
    <row r="13" spans="1:55" ht="16.5" thickBot="1" x14ac:dyDescent="0.3">
      <c r="A13" s="873"/>
      <c r="B13" s="877"/>
      <c r="C13" s="862"/>
      <c r="D13" s="862"/>
      <c r="E13" s="880"/>
      <c r="F13" s="880"/>
      <c r="G13" s="862"/>
      <c r="H13" s="862"/>
      <c r="I13" s="862"/>
      <c r="J13" s="883"/>
      <c r="K13" s="883"/>
      <c r="L13" s="883"/>
      <c r="M13" s="884"/>
      <c r="N13" s="862"/>
      <c r="O13" s="862"/>
      <c r="P13" s="862"/>
      <c r="Q13" s="877"/>
      <c r="R13" s="877"/>
      <c r="S13" s="877"/>
      <c r="T13" s="862"/>
      <c r="W13" s="862"/>
      <c r="X13" s="886"/>
      <c r="Y13" s="887"/>
      <c r="Z13" s="881"/>
      <c r="AA13" s="862"/>
      <c r="AB13" s="862"/>
      <c r="AC13" s="862"/>
      <c r="AD13" s="862"/>
      <c r="AE13" s="862"/>
      <c r="AF13" s="862"/>
      <c r="AG13" s="862"/>
      <c r="AH13" s="862"/>
      <c r="AI13" s="862"/>
      <c r="AJ13" s="862"/>
      <c r="AK13" s="862"/>
      <c r="AL13" s="866"/>
      <c r="AN13" s="862"/>
      <c r="AO13" s="877"/>
      <c r="AP13" s="877"/>
      <c r="AQ13" s="862"/>
      <c r="AR13" s="862"/>
      <c r="AS13" s="862"/>
      <c r="AT13" s="862"/>
      <c r="AU13" s="862"/>
      <c r="AV13" s="862"/>
      <c r="AW13" s="885"/>
      <c r="AX13" s="885"/>
      <c r="AY13" s="862"/>
      <c r="AZ13" s="862"/>
      <c r="BA13" s="862"/>
      <c r="BB13" s="888"/>
      <c r="BC13" s="866"/>
    </row>
    <row r="14" spans="1:55" ht="15.75" x14ac:dyDescent="0.25">
      <c r="A14" s="873"/>
      <c r="B14" s="877"/>
      <c r="C14" s="862"/>
      <c r="D14" s="862"/>
      <c r="E14" s="862"/>
      <c r="F14" s="889"/>
      <c r="G14" s="862"/>
      <c r="H14" s="862"/>
      <c r="I14" s="862"/>
      <c r="J14" s="862"/>
      <c r="K14" s="862"/>
      <c r="L14" s="862"/>
      <c r="M14" s="862"/>
      <c r="N14" s="862"/>
      <c r="O14" s="862"/>
      <c r="P14" s="862"/>
      <c r="Q14" s="862"/>
      <c r="R14" s="862"/>
      <c r="S14" s="862"/>
      <c r="T14" s="862"/>
      <c r="W14" s="859"/>
      <c r="X14" s="864"/>
      <c r="Y14" s="864"/>
      <c r="Z14" s="890"/>
      <c r="AA14" s="862"/>
      <c r="AB14" s="862"/>
      <c r="AC14" s="862"/>
      <c r="AD14" s="862"/>
      <c r="AE14" s="862"/>
      <c r="AF14" s="862"/>
      <c r="AG14" s="862"/>
      <c r="AH14" s="862"/>
      <c r="AI14" s="862"/>
      <c r="AJ14" s="862"/>
      <c r="AK14" s="862"/>
      <c r="AL14" s="866"/>
      <c r="AN14" s="862"/>
      <c r="AO14" s="862"/>
      <c r="AP14" s="877"/>
      <c r="AQ14" s="877"/>
      <c r="AR14" s="862"/>
      <c r="AS14" s="862"/>
      <c r="AT14" s="862"/>
      <c r="AU14" s="862"/>
      <c r="AV14" s="885"/>
      <c r="AW14" s="885"/>
      <c r="AX14" s="862"/>
      <c r="AY14" s="862"/>
      <c r="AZ14" s="862"/>
      <c r="BA14" s="862"/>
      <c r="BB14" s="888"/>
      <c r="BC14" s="866"/>
    </row>
    <row r="15" spans="1:55" ht="15.75" x14ac:dyDescent="0.25">
      <c r="A15" s="873"/>
      <c r="B15" s="877"/>
      <c r="C15" s="862"/>
      <c r="D15" s="862"/>
      <c r="E15" s="862"/>
      <c r="F15" s="889"/>
      <c r="G15" s="862"/>
      <c r="H15" s="862"/>
      <c r="I15" s="862"/>
      <c r="J15" s="862"/>
      <c r="K15" s="862"/>
      <c r="L15" s="862"/>
      <c r="M15" s="862"/>
      <c r="N15" s="862"/>
      <c r="O15" s="862"/>
      <c r="P15" s="862"/>
      <c r="Q15" s="862"/>
      <c r="R15" s="862"/>
      <c r="S15" s="862"/>
      <c r="T15" s="862"/>
      <c r="W15" s="863"/>
      <c r="X15" s="864"/>
      <c r="Y15" s="864"/>
      <c r="Z15" s="890"/>
      <c r="AA15" s="862"/>
      <c r="AB15" s="862"/>
      <c r="AC15" s="862"/>
      <c r="AD15" s="862"/>
      <c r="AE15" s="862"/>
      <c r="AF15" s="862"/>
      <c r="AG15" s="862"/>
      <c r="AH15" s="862"/>
      <c r="AI15" s="862"/>
      <c r="AJ15" s="862"/>
      <c r="AK15" s="862"/>
      <c r="AL15" s="866"/>
      <c r="AN15" s="862"/>
      <c r="AO15" s="862"/>
      <c r="AP15" s="862"/>
      <c r="AQ15" s="877"/>
      <c r="AR15" s="877"/>
      <c r="AS15" s="862"/>
      <c r="AT15" s="862"/>
      <c r="AU15" s="885"/>
      <c r="AV15" s="885"/>
      <c r="AW15" s="862"/>
      <c r="AX15" s="862"/>
      <c r="AY15" s="862"/>
      <c r="AZ15" s="862"/>
      <c r="BA15" s="862"/>
      <c r="BB15" s="888"/>
      <c r="BC15" s="866"/>
    </row>
    <row r="16" spans="1:55" ht="15.75" x14ac:dyDescent="0.25">
      <c r="A16" s="873"/>
      <c r="B16" s="877"/>
      <c r="C16" s="862"/>
      <c r="D16" s="862"/>
      <c r="E16" s="880"/>
      <c r="F16" s="880"/>
      <c r="G16" s="862"/>
      <c r="H16" s="862"/>
      <c r="I16" s="862"/>
      <c r="J16" s="862"/>
      <c r="K16" s="862"/>
      <c r="L16" s="862"/>
      <c r="M16" s="862"/>
      <c r="N16" s="862"/>
      <c r="O16" s="862"/>
      <c r="P16" s="862"/>
      <c r="Q16" s="862"/>
      <c r="R16" s="862"/>
      <c r="S16" s="862"/>
      <c r="T16" s="862"/>
      <c r="W16" s="863"/>
      <c r="X16" s="864"/>
      <c r="Y16" s="865"/>
      <c r="Z16" s="891"/>
      <c r="AA16" s="862"/>
      <c r="AB16" s="862"/>
      <c r="AC16" s="862"/>
      <c r="AD16" s="862"/>
      <c r="AE16" s="862"/>
      <c r="AF16" s="862"/>
      <c r="AG16" s="862"/>
      <c r="AH16" s="862"/>
      <c r="AI16" s="862"/>
      <c r="AJ16" s="862"/>
      <c r="AK16" s="862"/>
      <c r="AL16" s="866"/>
      <c r="AN16" s="862"/>
      <c r="AO16" s="862"/>
      <c r="AP16" s="862"/>
      <c r="AQ16" s="862"/>
      <c r="AR16" s="862"/>
      <c r="AS16" s="862"/>
      <c r="AT16" s="862"/>
      <c r="AU16" s="862"/>
      <c r="AV16" s="862"/>
      <c r="AW16" s="862"/>
      <c r="AX16" s="862"/>
      <c r="AY16" s="862"/>
      <c r="AZ16" s="862"/>
      <c r="BA16" s="862"/>
      <c r="BB16" s="888"/>
      <c r="BC16" s="866"/>
    </row>
    <row r="17" spans="1:55" ht="15.75" x14ac:dyDescent="0.25">
      <c r="A17" s="873"/>
      <c r="B17" s="877"/>
      <c r="C17" s="862"/>
      <c r="D17" s="862"/>
      <c r="E17" s="880"/>
      <c r="F17" s="880"/>
      <c r="G17" s="862"/>
      <c r="H17" s="862"/>
      <c r="I17" s="862"/>
      <c r="J17" s="892"/>
      <c r="K17" s="892"/>
      <c r="L17" s="892"/>
      <c r="M17" s="892"/>
      <c r="N17" s="862"/>
      <c r="O17" s="862"/>
      <c r="P17" s="877"/>
      <c r="Q17" s="877"/>
      <c r="R17" s="877"/>
      <c r="S17" s="877"/>
      <c r="T17" s="862"/>
      <c r="W17" s="863"/>
      <c r="X17" s="864"/>
      <c r="Y17" s="865"/>
      <c r="Z17" s="891"/>
      <c r="AA17" s="862"/>
      <c r="AB17" s="862"/>
      <c r="AC17" s="862"/>
      <c r="AD17" s="862"/>
      <c r="AE17" s="862"/>
      <c r="AF17" s="862"/>
      <c r="AG17" s="862"/>
      <c r="AH17" s="862"/>
      <c r="AI17" s="862"/>
      <c r="AJ17" s="862"/>
      <c r="AK17" s="862"/>
      <c r="AL17" s="866"/>
      <c r="AN17" s="862"/>
      <c r="AO17" s="862"/>
      <c r="AP17" s="862"/>
      <c r="AQ17" s="862"/>
      <c r="AR17" s="862"/>
      <c r="AS17" s="862"/>
      <c r="AT17" s="862"/>
      <c r="AU17" s="893"/>
      <c r="AV17" s="893"/>
      <c r="AW17" s="893"/>
      <c r="AX17" s="893"/>
      <c r="AY17" s="893"/>
      <c r="AZ17" s="862"/>
      <c r="BA17" s="862"/>
      <c r="BB17" s="888"/>
      <c r="BC17" s="866"/>
    </row>
    <row r="18" spans="1:55" ht="15.75" x14ac:dyDescent="0.25">
      <c r="A18" s="873"/>
      <c r="B18" s="882"/>
      <c r="C18" s="862"/>
      <c r="D18" s="862"/>
      <c r="E18" s="880"/>
      <c r="F18" s="880"/>
      <c r="G18" s="862"/>
      <c r="H18" s="862"/>
      <c r="I18" s="862"/>
      <c r="J18" s="892"/>
      <c r="K18" s="892"/>
      <c r="L18" s="892"/>
      <c r="M18" s="892"/>
      <c r="N18" s="862"/>
      <c r="O18" s="862"/>
      <c r="P18" s="877"/>
      <c r="Q18" s="877"/>
      <c r="R18" s="877"/>
      <c r="S18" s="877"/>
      <c r="T18" s="862"/>
      <c r="W18" s="863"/>
      <c r="X18" s="864"/>
      <c r="Y18" s="865"/>
      <c r="Z18" s="891"/>
      <c r="AA18" s="862"/>
      <c r="AB18" s="862"/>
      <c r="AC18" s="862"/>
      <c r="AD18" s="862"/>
      <c r="AE18" s="862"/>
      <c r="AF18" s="862"/>
      <c r="AG18" s="862"/>
      <c r="AH18" s="862"/>
      <c r="AI18" s="862"/>
      <c r="AJ18" s="862"/>
      <c r="AK18" s="862"/>
      <c r="AL18" s="866"/>
      <c r="AN18" s="862"/>
      <c r="AO18" s="862"/>
      <c r="AP18" s="862"/>
      <c r="AQ18" s="862"/>
      <c r="AR18" s="862"/>
      <c r="AS18" s="862"/>
      <c r="AT18" s="862"/>
      <c r="AU18" s="862"/>
      <c r="AV18" s="862"/>
      <c r="AW18" s="862"/>
      <c r="AX18" s="862"/>
      <c r="AY18" s="862"/>
      <c r="AZ18" s="862"/>
      <c r="BA18" s="862"/>
      <c r="BB18" s="888"/>
      <c r="BC18" s="866"/>
    </row>
    <row r="19" spans="1:55" ht="18" x14ac:dyDescent="0.25">
      <c r="A19" s="873"/>
      <c r="B19" s="894"/>
      <c r="C19" s="862"/>
      <c r="D19" s="862"/>
      <c r="E19" s="880"/>
      <c r="F19" s="880"/>
      <c r="G19" s="862"/>
      <c r="H19" s="862"/>
      <c r="I19" s="862"/>
      <c r="J19" s="862"/>
      <c r="K19" s="862"/>
      <c r="L19" s="862"/>
      <c r="M19" s="862"/>
      <c r="N19" s="862"/>
      <c r="O19" s="862"/>
      <c r="P19" s="862"/>
      <c r="Q19" s="862"/>
      <c r="R19" s="862"/>
      <c r="S19" s="862"/>
      <c r="T19" s="862"/>
      <c r="W19" s="863"/>
      <c r="X19" s="864"/>
      <c r="Y19" s="865"/>
      <c r="Z19" s="891"/>
      <c r="AA19" s="862"/>
      <c r="AB19" s="862"/>
      <c r="AC19" s="862"/>
      <c r="AD19" s="862"/>
      <c r="AE19" s="862"/>
      <c r="AF19" s="862"/>
      <c r="AG19" s="862"/>
      <c r="AH19" s="862"/>
      <c r="AI19" s="862"/>
      <c r="AJ19" s="862"/>
      <c r="AK19" s="862"/>
      <c r="AL19" s="866"/>
      <c r="AN19" s="862"/>
      <c r="AO19" s="862"/>
      <c r="AP19" s="862"/>
      <c r="AQ19" s="862"/>
      <c r="AR19" s="862"/>
      <c r="AS19" s="862"/>
      <c r="AT19" s="862"/>
      <c r="AU19" s="862"/>
      <c r="AV19" s="862"/>
      <c r="AW19" s="862"/>
      <c r="AX19" s="895"/>
      <c r="AY19" s="895"/>
      <c r="AZ19" s="862"/>
      <c r="BA19" s="862"/>
      <c r="BB19" s="888"/>
      <c r="BC19" s="866"/>
    </row>
    <row r="20" spans="1:55" ht="18.75" thickBot="1" x14ac:dyDescent="0.3">
      <c r="A20" s="873"/>
      <c r="B20" s="894"/>
      <c r="C20" s="862"/>
      <c r="D20" s="862"/>
      <c r="E20" s="862"/>
      <c r="F20" s="862"/>
      <c r="G20" s="862"/>
      <c r="H20" s="862"/>
      <c r="I20" s="862"/>
      <c r="J20" s="862"/>
      <c r="K20" s="862"/>
      <c r="L20" s="862"/>
      <c r="M20" s="862"/>
      <c r="N20" s="862"/>
      <c r="O20" s="862"/>
      <c r="P20" s="862"/>
      <c r="Q20" s="862"/>
      <c r="R20" s="862"/>
      <c r="S20" s="862"/>
      <c r="T20" s="862"/>
      <c r="W20" s="867"/>
      <c r="X20" s="868"/>
      <c r="Y20" s="869"/>
      <c r="Z20" s="862"/>
      <c r="AA20" s="862"/>
      <c r="AB20" s="862"/>
      <c r="AC20" s="862"/>
      <c r="AD20" s="862"/>
      <c r="AE20" s="862"/>
      <c r="AF20" s="862"/>
      <c r="AG20" s="896"/>
      <c r="AH20" s="897"/>
      <c r="AI20" s="896"/>
      <c r="AJ20" s="898"/>
      <c r="AK20" s="862"/>
      <c r="AL20" s="866"/>
      <c r="AN20" s="899"/>
      <c r="AO20" s="899"/>
      <c r="AP20" s="862"/>
      <c r="AQ20" s="862"/>
      <c r="AR20" s="862"/>
      <c r="AS20" s="862"/>
      <c r="AT20" s="862"/>
      <c r="AU20" s="862"/>
      <c r="AV20" s="900"/>
      <c r="AW20" s="895"/>
      <c r="AX20" s="901"/>
      <c r="AY20" s="901"/>
      <c r="AZ20" s="895"/>
      <c r="BA20" s="902"/>
      <c r="BB20" s="888"/>
      <c r="BC20" s="866"/>
    </row>
    <row r="21" spans="1:55" ht="18" x14ac:dyDescent="0.25">
      <c r="A21" s="873"/>
      <c r="B21" s="894"/>
      <c r="C21" s="862"/>
      <c r="D21" s="862"/>
      <c r="E21" s="862"/>
      <c r="F21" s="862"/>
      <c r="G21" s="862"/>
      <c r="H21" s="862"/>
      <c r="I21" s="862"/>
      <c r="J21" s="862"/>
      <c r="K21" s="862"/>
      <c r="L21" s="862"/>
      <c r="M21" s="862"/>
      <c r="N21" s="862"/>
      <c r="O21" s="862"/>
      <c r="P21" s="862"/>
      <c r="Q21" s="862"/>
      <c r="R21" s="862"/>
      <c r="S21" s="862"/>
      <c r="T21" s="862"/>
      <c r="W21" s="862"/>
      <c r="X21" s="862"/>
      <c r="Y21" s="862"/>
      <c r="Z21" s="862"/>
      <c r="AA21" s="862"/>
      <c r="AB21" s="862"/>
      <c r="AC21" s="862"/>
      <c r="AD21" s="862"/>
      <c r="AE21" s="862"/>
      <c r="AF21" s="862"/>
      <c r="AG21" s="903"/>
      <c r="AH21" s="897"/>
      <c r="AI21" s="904"/>
      <c r="AJ21" s="898"/>
      <c r="AK21" s="862"/>
      <c r="AL21" s="866"/>
      <c r="AN21" s="862"/>
      <c r="AO21" s="899"/>
      <c r="AP21" s="899"/>
      <c r="AQ21" s="862"/>
      <c r="AR21" s="862"/>
      <c r="AS21" s="862"/>
      <c r="AT21" s="862"/>
      <c r="AU21" s="900"/>
      <c r="AV21" s="895"/>
      <c r="AW21" s="901"/>
      <c r="AX21" s="901"/>
      <c r="AY21" s="895"/>
      <c r="AZ21" s="902"/>
      <c r="BA21" s="862"/>
      <c r="BB21" s="888"/>
      <c r="BC21" s="866"/>
    </row>
    <row r="22" spans="1:55" ht="18" x14ac:dyDescent="0.25">
      <c r="A22" s="873"/>
      <c r="B22" s="894"/>
      <c r="C22" s="862"/>
      <c r="D22" s="862"/>
      <c r="E22" s="899"/>
      <c r="F22" s="899"/>
      <c r="G22" s="862"/>
      <c r="H22" s="862"/>
      <c r="I22" s="862"/>
      <c r="J22" s="862"/>
      <c r="K22" s="862"/>
      <c r="L22" s="862"/>
      <c r="M22" s="862"/>
      <c r="N22" s="862"/>
      <c r="O22" s="862"/>
      <c r="P22" s="862"/>
      <c r="Q22" s="862"/>
      <c r="R22" s="862"/>
      <c r="S22" s="862"/>
      <c r="T22" s="862"/>
      <c r="W22" s="862"/>
      <c r="X22" s="862"/>
      <c r="Y22" s="862"/>
      <c r="Z22" s="862"/>
      <c r="AA22" s="862"/>
      <c r="AB22" s="862"/>
      <c r="AC22" s="862"/>
      <c r="AD22" s="862"/>
      <c r="AE22" s="862"/>
      <c r="AF22" s="862"/>
      <c r="AG22" s="862"/>
      <c r="AH22" s="862"/>
      <c r="AI22" s="862"/>
      <c r="AJ22" s="862"/>
      <c r="AK22" s="862"/>
      <c r="AL22" s="866"/>
      <c r="AN22" s="862"/>
      <c r="AO22" s="862"/>
      <c r="AP22" s="899"/>
      <c r="AQ22" s="899"/>
      <c r="AR22" s="862"/>
      <c r="AS22" s="862"/>
      <c r="AT22" s="900"/>
      <c r="AU22" s="895"/>
      <c r="AV22" s="901"/>
      <c r="AW22" s="901"/>
      <c r="AX22" s="895"/>
      <c r="AY22" s="902"/>
      <c r="AZ22" s="862"/>
      <c r="BA22" s="862"/>
      <c r="BB22" s="888"/>
      <c r="BC22" s="866"/>
    </row>
    <row r="23" spans="1:55" ht="18" x14ac:dyDescent="0.25">
      <c r="A23" s="873"/>
      <c r="B23" s="894"/>
      <c r="C23" s="862"/>
      <c r="D23" s="862"/>
      <c r="E23" s="899"/>
      <c r="F23" s="899"/>
      <c r="G23" s="862"/>
      <c r="H23" s="862"/>
      <c r="I23" s="862"/>
      <c r="J23" s="894"/>
      <c r="K23" s="894"/>
      <c r="L23" s="894"/>
      <c r="M23" s="894"/>
      <c r="N23" s="862"/>
      <c r="O23" s="862"/>
      <c r="P23" s="877"/>
      <c r="Q23" s="877"/>
      <c r="R23" s="877"/>
      <c r="S23" s="877"/>
      <c r="T23" s="862"/>
      <c r="W23" s="862"/>
      <c r="X23" s="862"/>
      <c r="Y23" s="862"/>
      <c r="Z23" s="862"/>
      <c r="AA23" s="862"/>
      <c r="AB23" s="862"/>
      <c r="AC23" s="862"/>
      <c r="AD23" s="862"/>
      <c r="AE23" s="862"/>
      <c r="AF23" s="862"/>
      <c r="AG23" s="862"/>
      <c r="AH23" s="862"/>
      <c r="AI23" s="862"/>
      <c r="AJ23" s="862"/>
      <c r="AK23" s="862"/>
      <c r="AL23" s="866"/>
      <c r="AN23" s="862"/>
      <c r="AO23" s="862"/>
      <c r="AP23" s="862"/>
      <c r="AQ23" s="899"/>
      <c r="AR23" s="899"/>
      <c r="AS23" s="900"/>
      <c r="AT23" s="895"/>
      <c r="AU23" s="901"/>
      <c r="AV23" s="901"/>
      <c r="AW23" s="895"/>
      <c r="AX23" s="902"/>
      <c r="AY23" s="862"/>
      <c r="AZ23" s="862"/>
      <c r="BA23" s="862"/>
      <c r="BB23" s="888"/>
      <c r="BC23" s="866"/>
    </row>
    <row r="24" spans="1:55" ht="18" x14ac:dyDescent="0.25">
      <c r="A24" s="873"/>
      <c r="B24" s="894"/>
      <c r="C24" s="862"/>
      <c r="D24" s="862"/>
      <c r="E24" s="899"/>
      <c r="F24" s="899"/>
      <c r="G24" s="862"/>
      <c r="H24" s="862"/>
      <c r="I24" s="862"/>
      <c r="J24" s="894"/>
      <c r="K24" s="894"/>
      <c r="L24" s="894"/>
      <c r="M24" s="894"/>
      <c r="N24" s="862"/>
      <c r="O24" s="862"/>
      <c r="P24" s="877"/>
      <c r="Q24" s="877"/>
      <c r="R24" s="877"/>
      <c r="S24" s="877"/>
      <c r="T24" s="862"/>
      <c r="W24" s="862"/>
      <c r="X24" s="862"/>
      <c r="Y24" s="862"/>
      <c r="Z24" s="862"/>
      <c r="AA24" s="862"/>
      <c r="AB24" s="862"/>
      <c r="AC24" s="862"/>
      <c r="AD24" s="862"/>
      <c r="AE24" s="862"/>
      <c r="AF24" s="862"/>
      <c r="AG24" s="862"/>
      <c r="AH24" s="862"/>
      <c r="AI24" s="862"/>
      <c r="AJ24" s="862"/>
      <c r="AK24" s="862"/>
      <c r="AO24" s="862"/>
      <c r="AP24" s="862"/>
      <c r="AQ24" s="862"/>
      <c r="AR24" s="862"/>
      <c r="AS24" s="862"/>
      <c r="AT24" s="905"/>
      <c r="AU24" s="895"/>
      <c r="AV24" s="895"/>
      <c r="AW24" s="862"/>
      <c r="AX24" s="862"/>
      <c r="AY24" s="862"/>
      <c r="AZ24" s="862"/>
      <c r="BA24" s="862"/>
      <c r="BB24" s="888"/>
      <c r="BC24" s="866"/>
    </row>
    <row r="25" spans="1:55" ht="15.75" x14ac:dyDescent="0.25">
      <c r="A25" s="873"/>
      <c r="B25" s="862"/>
      <c r="C25" s="862"/>
      <c r="D25" s="862"/>
      <c r="E25" s="899"/>
      <c r="F25" s="899"/>
      <c r="G25" s="862"/>
      <c r="H25" s="862"/>
      <c r="I25" s="862"/>
      <c r="J25" s="862"/>
      <c r="K25" s="862"/>
      <c r="L25" s="862"/>
      <c r="M25" s="862"/>
      <c r="N25" s="862"/>
      <c r="O25" s="862"/>
      <c r="P25" s="862"/>
      <c r="Q25" s="862"/>
      <c r="R25" s="862"/>
      <c r="S25" s="862"/>
      <c r="T25" s="862"/>
      <c r="W25" s="862"/>
      <c r="X25" s="862"/>
      <c r="Y25" s="862"/>
      <c r="Z25" s="862"/>
      <c r="AA25" s="862"/>
      <c r="AB25" s="862"/>
      <c r="AC25" s="862"/>
      <c r="AD25" s="862"/>
      <c r="AE25" s="862"/>
      <c r="AF25" s="862"/>
      <c r="AG25" s="906"/>
      <c r="AH25" s="906"/>
      <c r="AI25" s="906"/>
      <c r="AJ25" s="906"/>
      <c r="AK25" s="862"/>
      <c r="AO25" s="862"/>
      <c r="AP25" s="862"/>
      <c r="AQ25" s="862"/>
      <c r="AR25" s="862"/>
      <c r="AS25" s="862"/>
      <c r="AT25" s="862"/>
      <c r="AU25" s="862"/>
      <c r="AV25" s="862"/>
      <c r="AW25" s="862"/>
      <c r="AX25" s="862"/>
      <c r="AY25" s="862"/>
      <c r="AZ25" s="862"/>
      <c r="BA25" s="862"/>
      <c r="BB25" s="885"/>
      <c r="BC25" s="866"/>
    </row>
    <row r="26" spans="1:55" ht="15.75" x14ac:dyDescent="0.25">
      <c r="A26" s="873"/>
      <c r="B26" s="862"/>
      <c r="C26" s="862"/>
      <c r="D26" s="862"/>
      <c r="E26" s="862"/>
      <c r="F26" s="862"/>
      <c r="G26" s="862"/>
      <c r="H26" s="862"/>
      <c r="I26" s="862"/>
      <c r="J26" s="862"/>
      <c r="K26" s="862"/>
      <c r="L26" s="862"/>
      <c r="M26" s="862"/>
      <c r="N26" s="862"/>
      <c r="O26" s="862"/>
      <c r="P26" s="862"/>
      <c r="Q26" s="862"/>
      <c r="R26" s="862"/>
      <c r="S26" s="862"/>
      <c r="T26" s="862"/>
      <c r="W26" s="862"/>
      <c r="X26" s="862"/>
      <c r="Y26" s="862"/>
      <c r="Z26" s="862"/>
      <c r="AA26" s="862"/>
      <c r="AB26" s="862"/>
      <c r="AC26" s="862"/>
      <c r="AD26" s="862"/>
      <c r="AE26" s="862"/>
      <c r="AF26" s="862"/>
      <c r="AG26" s="906"/>
      <c r="AH26" s="906"/>
      <c r="AI26" s="906"/>
      <c r="AJ26" s="906"/>
      <c r="AK26" s="862"/>
      <c r="AL26" s="866"/>
      <c r="AN26" s="862"/>
      <c r="AO26" s="862"/>
      <c r="AP26" s="862"/>
      <c r="AQ26" s="862"/>
      <c r="AR26" s="862"/>
      <c r="AS26" s="862"/>
      <c r="AT26" s="862"/>
      <c r="AU26" s="862"/>
      <c r="AV26" s="862"/>
      <c r="AW26" s="862"/>
      <c r="AX26" s="862"/>
      <c r="AY26" s="862"/>
      <c r="AZ26" s="862"/>
      <c r="BA26" s="862"/>
      <c r="BB26" s="885"/>
      <c r="BC26" s="866"/>
    </row>
    <row r="27" spans="1:55" ht="15.75" x14ac:dyDescent="0.25">
      <c r="A27" s="873"/>
      <c r="B27" s="862"/>
      <c r="C27" s="862"/>
      <c r="D27" s="862"/>
      <c r="E27" s="862"/>
      <c r="F27" s="862"/>
      <c r="G27" s="862"/>
      <c r="H27" s="862"/>
      <c r="I27" s="862"/>
      <c r="J27" s="862"/>
      <c r="K27" s="862"/>
      <c r="L27" s="862"/>
      <c r="M27" s="862"/>
      <c r="N27" s="862"/>
      <c r="O27" s="862"/>
      <c r="P27" s="862"/>
      <c r="Q27" s="862"/>
      <c r="R27" s="862"/>
      <c r="S27" s="862"/>
      <c r="T27" s="862"/>
      <c r="W27" s="862"/>
      <c r="X27" s="862"/>
      <c r="Y27" s="862"/>
      <c r="Z27" s="862"/>
      <c r="AA27" s="862"/>
      <c r="AB27" s="862"/>
      <c r="AC27" s="862"/>
      <c r="AD27" s="862"/>
      <c r="AE27" s="862"/>
      <c r="AF27" s="862"/>
      <c r="AG27" s="862"/>
      <c r="AH27" s="862"/>
      <c r="AI27" s="862"/>
      <c r="AJ27" s="862"/>
      <c r="AK27" s="862"/>
      <c r="AL27" s="866"/>
      <c r="AN27" s="862"/>
      <c r="AO27" s="862"/>
      <c r="AP27" s="862"/>
      <c r="AQ27" s="862"/>
      <c r="AR27" s="862"/>
      <c r="AS27" s="862"/>
      <c r="AT27" s="862"/>
      <c r="AU27" s="862"/>
      <c r="AV27" s="862"/>
      <c r="AW27" s="862"/>
      <c r="AX27" s="862"/>
      <c r="AY27" s="862"/>
      <c r="AZ27" s="862"/>
      <c r="BA27" s="862"/>
      <c r="BB27" s="885"/>
      <c r="BC27" s="866"/>
    </row>
    <row r="28" spans="1:55" ht="15.75" x14ac:dyDescent="0.25">
      <c r="A28" s="873"/>
      <c r="B28" s="862"/>
      <c r="C28" s="862"/>
      <c r="D28" s="862"/>
      <c r="E28" s="862"/>
      <c r="F28" s="862"/>
      <c r="G28" s="862"/>
      <c r="H28" s="862"/>
      <c r="I28" s="862"/>
      <c r="J28" s="862"/>
      <c r="K28" s="862"/>
      <c r="L28" s="862"/>
      <c r="M28" s="862"/>
      <c r="N28" s="862"/>
      <c r="O28" s="862"/>
      <c r="P28" s="862"/>
      <c r="Q28" s="862"/>
      <c r="R28" s="862"/>
      <c r="S28" s="862"/>
      <c r="T28" s="862"/>
      <c r="W28" s="862"/>
      <c r="X28" s="862"/>
      <c r="Y28" s="862"/>
      <c r="Z28" s="862"/>
      <c r="AA28" s="862"/>
      <c r="AB28" s="862"/>
      <c r="AC28" s="862"/>
      <c r="AD28" s="862"/>
      <c r="AE28" s="862"/>
      <c r="AF28" s="862"/>
      <c r="AG28" s="862"/>
      <c r="AH28" s="862"/>
      <c r="AI28" s="862"/>
      <c r="AJ28" s="862"/>
      <c r="AK28" s="862"/>
      <c r="AL28" s="866"/>
      <c r="AN28" s="862"/>
      <c r="AO28" s="862"/>
      <c r="AP28" s="862"/>
      <c r="AQ28" s="862"/>
      <c r="AR28" s="862"/>
      <c r="AS28" s="877"/>
      <c r="AT28" s="877"/>
      <c r="AU28" s="862"/>
      <c r="AV28" s="862"/>
      <c r="AW28" s="862"/>
      <c r="AX28" s="862"/>
      <c r="AY28" s="862"/>
      <c r="AZ28" s="862"/>
      <c r="BA28" s="862"/>
      <c r="BB28" s="885"/>
      <c r="BC28" s="866"/>
    </row>
    <row r="29" spans="1:55" ht="16.5" thickBot="1" x14ac:dyDescent="0.3">
      <c r="A29" s="873"/>
      <c r="B29" s="862"/>
      <c r="C29" s="862"/>
      <c r="D29" s="862"/>
      <c r="E29" s="862"/>
      <c r="F29" s="862"/>
      <c r="G29" s="862"/>
      <c r="H29" s="862"/>
      <c r="I29" s="862"/>
      <c r="J29" s="877"/>
      <c r="K29" s="907"/>
      <c r="L29" s="907"/>
      <c r="M29" s="907"/>
      <c r="N29" s="907"/>
      <c r="O29" s="877"/>
      <c r="P29" s="862"/>
      <c r="Q29" s="862"/>
      <c r="R29" s="862"/>
      <c r="S29" s="862"/>
      <c r="T29" s="862"/>
      <c r="W29" s="862"/>
      <c r="X29" s="862"/>
      <c r="Y29" s="862"/>
      <c r="Z29" s="862"/>
      <c r="AA29" s="862"/>
      <c r="AB29" s="862"/>
      <c r="AC29" s="862"/>
      <c r="AD29" s="862"/>
      <c r="AE29" s="862"/>
      <c r="AF29" s="862"/>
      <c r="AG29" s="862"/>
      <c r="AH29" s="862"/>
      <c r="AI29" s="862"/>
      <c r="AJ29" s="862"/>
      <c r="AK29" s="862"/>
      <c r="AL29" s="866"/>
      <c r="AN29" s="862"/>
      <c r="AO29" s="862"/>
      <c r="AP29" s="862"/>
      <c r="AQ29" s="862"/>
      <c r="AR29" s="862"/>
      <c r="AS29" s="877"/>
      <c r="AT29" s="877"/>
      <c r="AU29" s="862"/>
      <c r="AV29" s="862"/>
      <c r="AW29" s="862"/>
      <c r="AX29" s="862"/>
      <c r="AY29" s="862"/>
      <c r="AZ29" s="862"/>
      <c r="BA29" s="862"/>
      <c r="BB29" s="885"/>
      <c r="BC29" s="866"/>
    </row>
    <row r="30" spans="1:55" ht="15.75" x14ac:dyDescent="0.25">
      <c r="A30" s="873"/>
      <c r="B30" s="908"/>
      <c r="C30" s="909"/>
      <c r="D30" s="909"/>
      <c r="E30" s="909"/>
      <c r="F30" s="909"/>
      <c r="G30" s="909"/>
      <c r="H30" s="910"/>
      <c r="I30" s="911"/>
      <c r="J30" s="909"/>
      <c r="K30" s="912"/>
      <c r="L30" s="912"/>
      <c r="M30" s="912"/>
      <c r="N30" s="912"/>
      <c r="O30" s="909"/>
      <c r="P30" s="909"/>
      <c r="Q30" s="909"/>
      <c r="R30" s="913"/>
      <c r="S30" s="862"/>
      <c r="T30" s="862"/>
      <c r="W30" s="862"/>
      <c r="X30" s="862"/>
      <c r="Y30" s="862"/>
      <c r="Z30" s="862"/>
      <c r="AA30" s="893"/>
      <c r="AB30" s="893"/>
      <c r="AC30" s="893"/>
      <c r="AD30" s="893"/>
      <c r="AE30" s="862"/>
      <c r="AF30" s="862"/>
      <c r="AG30" s="862"/>
      <c r="AH30" s="862"/>
      <c r="AI30" s="862"/>
      <c r="AJ30" s="862"/>
      <c r="AK30" s="862"/>
      <c r="AL30" s="866"/>
      <c r="AN30" s="862"/>
      <c r="AO30" s="862"/>
      <c r="AP30" s="862"/>
      <c r="AQ30" s="862"/>
      <c r="AR30" s="862"/>
      <c r="AS30" s="862"/>
      <c r="AT30" s="862"/>
      <c r="AU30" s="862"/>
      <c r="AV30" s="862"/>
      <c r="AW30" s="862"/>
      <c r="AX30" s="862"/>
      <c r="AY30" s="862"/>
      <c r="AZ30" s="862"/>
      <c r="BA30" s="862"/>
      <c r="BB30" s="885"/>
      <c r="BC30" s="866"/>
    </row>
    <row r="31" spans="1:55" ht="16.5" thickBot="1" x14ac:dyDescent="0.3">
      <c r="A31" s="873"/>
      <c r="B31" s="913"/>
      <c r="C31" s="862"/>
      <c r="D31" s="862"/>
      <c r="E31" s="862"/>
      <c r="F31" s="862"/>
      <c r="G31" s="862"/>
      <c r="H31" s="914"/>
      <c r="I31" s="915"/>
      <c r="J31" s="862"/>
      <c r="K31" s="862"/>
      <c r="L31" s="862"/>
      <c r="M31" s="862"/>
      <c r="N31" s="862"/>
      <c r="O31" s="862"/>
      <c r="P31" s="862"/>
      <c r="Q31" s="862"/>
      <c r="R31" s="913"/>
      <c r="S31" s="862"/>
      <c r="T31" s="862"/>
      <c r="W31" s="862"/>
      <c r="X31" s="862"/>
      <c r="Y31" s="862"/>
      <c r="Z31" s="862"/>
      <c r="AA31" s="916"/>
      <c r="AB31" s="916"/>
      <c r="AC31" s="916"/>
      <c r="AD31" s="916"/>
      <c r="AE31" s="862"/>
      <c r="AF31" s="862"/>
      <c r="AG31" s="862"/>
      <c r="AH31" s="862"/>
      <c r="AI31" s="862"/>
      <c r="AJ31" s="862"/>
      <c r="AK31" s="862"/>
      <c r="AL31" s="866"/>
      <c r="AN31" s="862"/>
      <c r="AO31" s="862"/>
      <c r="AP31" s="862"/>
      <c r="AQ31" s="862"/>
      <c r="AR31" s="862"/>
      <c r="AS31" s="862"/>
      <c r="AT31" s="862"/>
      <c r="AU31" s="862"/>
      <c r="AV31" s="862"/>
      <c r="AW31" s="862"/>
      <c r="AX31" s="862"/>
      <c r="AY31" s="862"/>
      <c r="AZ31" s="862"/>
      <c r="BA31" s="862"/>
      <c r="BB31" s="885"/>
      <c r="BC31" s="866"/>
    </row>
    <row r="32" spans="1:55" ht="18.75" x14ac:dyDescent="0.25">
      <c r="A32" s="917"/>
      <c r="B32" s="918"/>
      <c r="C32" s="919"/>
      <c r="D32" s="919"/>
      <c r="E32" s="919"/>
      <c r="F32" s="919"/>
      <c r="G32" s="919"/>
      <c r="Q32" s="919"/>
      <c r="R32" s="866"/>
      <c r="W32" s="862"/>
      <c r="X32" s="862"/>
      <c r="Y32" s="862"/>
      <c r="Z32" s="905"/>
      <c r="AA32" s="920"/>
      <c r="AB32" s="920"/>
      <c r="AC32" s="920"/>
      <c r="AD32" s="920"/>
      <c r="AE32" s="862"/>
      <c r="AF32" s="862"/>
      <c r="AG32" s="862"/>
      <c r="AH32" s="862"/>
      <c r="AI32" s="862"/>
      <c r="AJ32" s="862"/>
      <c r="AK32" s="862"/>
      <c r="AL32" s="866"/>
      <c r="AN32" s="893"/>
      <c r="AO32" s="893"/>
      <c r="AP32" s="893"/>
      <c r="AQ32" s="893"/>
      <c r="AR32" s="893"/>
      <c r="AS32" s="862"/>
      <c r="AT32" s="862"/>
      <c r="AU32" s="862"/>
      <c r="AV32" s="862"/>
      <c r="AW32" s="862"/>
      <c r="AX32" s="862"/>
      <c r="AY32" s="862"/>
      <c r="AZ32" s="862"/>
      <c r="BA32" s="862"/>
      <c r="BB32" s="885"/>
      <c r="BC32" s="866"/>
    </row>
    <row r="33" spans="1:55" ht="21" x14ac:dyDescent="0.25">
      <c r="A33" s="917"/>
      <c r="B33" s="921"/>
      <c r="C33" s="919"/>
      <c r="D33" s="919"/>
      <c r="E33" s="922"/>
      <c r="F33" s="922"/>
      <c r="G33" s="919"/>
      <c r="K33" s="862"/>
      <c r="L33" s="862"/>
      <c r="M33" s="862"/>
      <c r="N33" s="862"/>
      <c r="O33" s="862"/>
      <c r="P33" s="862"/>
      <c r="Q33" s="923"/>
      <c r="R33" s="892"/>
      <c r="S33" s="862"/>
      <c r="W33" s="862"/>
      <c r="X33" s="862"/>
      <c r="Y33" s="862"/>
      <c r="Z33" s="924"/>
      <c r="AA33" s="901"/>
      <c r="AB33" s="901"/>
      <c r="AC33" s="901"/>
      <c r="AD33" s="901"/>
      <c r="AE33" s="924"/>
      <c r="AF33" s="862"/>
      <c r="AG33" s="862"/>
      <c r="AH33" s="862"/>
      <c r="AI33" s="862"/>
      <c r="AJ33" s="862"/>
      <c r="AK33" s="862"/>
      <c r="AL33" s="866"/>
      <c r="AN33" s="862"/>
      <c r="AO33" s="862"/>
      <c r="AP33" s="862"/>
      <c r="AQ33" s="925"/>
      <c r="AR33" s="925"/>
      <c r="AS33" s="926"/>
      <c r="AT33" s="862"/>
      <c r="AU33" s="881"/>
      <c r="AV33" s="862"/>
      <c r="AW33" s="862"/>
      <c r="AX33" s="862"/>
      <c r="AY33" s="862"/>
      <c r="AZ33" s="862"/>
      <c r="BA33" s="862"/>
      <c r="BB33" s="885"/>
      <c r="BC33" s="866"/>
    </row>
    <row r="34" spans="1:55" ht="23.25" x14ac:dyDescent="0.25">
      <c r="A34" s="917"/>
      <c r="B34" s="921"/>
      <c r="C34" s="919"/>
      <c r="D34" s="919"/>
      <c r="E34" s="927"/>
      <c r="F34" s="927"/>
      <c r="G34" s="919"/>
      <c r="K34" s="862"/>
      <c r="L34" s="862"/>
      <c r="M34" s="862"/>
      <c r="N34" s="862"/>
      <c r="O34" s="881"/>
      <c r="P34" s="923"/>
      <c r="Q34" s="892"/>
      <c r="R34" s="862"/>
      <c r="S34" s="862"/>
      <c r="W34" s="862"/>
      <c r="X34" s="862"/>
      <c r="Y34" s="862"/>
      <c r="Z34" s="924"/>
      <c r="AA34" s="901"/>
      <c r="AB34" s="901"/>
      <c r="AC34" s="901"/>
      <c r="AD34" s="901"/>
      <c r="AE34" s="924"/>
      <c r="AF34" s="862"/>
      <c r="AG34" s="862"/>
      <c r="AH34" s="862"/>
      <c r="AI34" s="862"/>
      <c r="AJ34" s="862"/>
      <c r="AK34" s="862"/>
      <c r="AL34" s="866"/>
      <c r="AN34" s="862"/>
      <c r="AO34" s="900"/>
      <c r="AP34" s="928"/>
      <c r="AQ34" s="901"/>
      <c r="AR34" s="901"/>
      <c r="AS34" s="928"/>
      <c r="AT34" s="902"/>
      <c r="AU34" s="877"/>
      <c r="AV34" s="877"/>
      <c r="AW34" s="862"/>
      <c r="AX34" s="862"/>
      <c r="AY34" s="862"/>
      <c r="AZ34" s="862"/>
      <c r="BA34" s="862"/>
      <c r="BB34" s="885"/>
      <c r="BC34" s="866"/>
    </row>
    <row r="35" spans="1:55" ht="23.25" x14ac:dyDescent="0.25">
      <c r="A35" s="917"/>
      <c r="B35" s="929">
        <v>3510014</v>
      </c>
      <c r="C35" s="930">
        <v>3514840</v>
      </c>
      <c r="D35" s="931">
        <v>3510920</v>
      </c>
      <c r="E35" s="932">
        <v>3511068</v>
      </c>
      <c r="F35" s="933">
        <v>3511203</v>
      </c>
      <c r="G35" s="934">
        <v>3514256</v>
      </c>
      <c r="H35" s="934">
        <v>3510922</v>
      </c>
      <c r="I35" s="934">
        <v>3512636</v>
      </c>
      <c r="J35" s="935"/>
      <c r="K35" s="862"/>
      <c r="L35" s="862"/>
      <c r="M35" s="862"/>
      <c r="N35" s="862"/>
      <c r="O35" s="923"/>
      <c r="P35" s="892"/>
      <c r="Q35" s="862"/>
      <c r="R35" s="862"/>
      <c r="S35" s="862"/>
      <c r="V35" s="862"/>
      <c r="W35" s="862"/>
      <c r="X35" s="862"/>
      <c r="Y35" s="862"/>
      <c r="Z35" s="905"/>
      <c r="AA35" s="920"/>
      <c r="AB35" s="920"/>
      <c r="AC35" s="920"/>
      <c r="AD35" s="920"/>
      <c r="AE35" s="862"/>
      <c r="AF35" s="862"/>
      <c r="AG35" s="862"/>
      <c r="AH35" s="862"/>
      <c r="AI35" s="862"/>
      <c r="AJ35" s="862"/>
      <c r="AK35" s="862"/>
      <c r="AL35" s="866"/>
      <c r="AN35" s="900"/>
      <c r="AO35" s="928"/>
      <c r="AP35" s="901"/>
      <c r="AQ35" s="901"/>
      <c r="AR35" s="928"/>
      <c r="AS35" s="902"/>
      <c r="AT35" s="862"/>
      <c r="AU35" s="862"/>
      <c r="AV35" s="877"/>
      <c r="AW35" s="877"/>
      <c r="AX35" s="862"/>
      <c r="AY35" s="862"/>
      <c r="AZ35" s="862"/>
      <c r="BA35" s="862"/>
      <c r="BB35" s="885"/>
      <c r="BC35" s="866"/>
    </row>
    <row r="36" spans="1:55" ht="23.25" x14ac:dyDescent="0.25">
      <c r="A36" s="917"/>
      <c r="B36" s="935"/>
      <c r="C36" s="935"/>
      <c r="D36" s="935"/>
      <c r="E36" s="935"/>
      <c r="F36" s="935"/>
      <c r="G36" s="935"/>
      <c r="H36" s="935"/>
      <c r="I36" s="935"/>
      <c r="J36" s="936"/>
      <c r="K36" s="862"/>
      <c r="L36" s="862"/>
      <c r="M36" s="881"/>
      <c r="N36" s="923"/>
      <c r="O36" s="892"/>
      <c r="P36" s="862"/>
      <c r="Q36" s="862"/>
      <c r="R36" s="862"/>
      <c r="S36" s="862"/>
      <c r="V36" s="862"/>
      <c r="W36" s="862"/>
      <c r="X36" s="862"/>
      <c r="Y36" s="862"/>
      <c r="Z36" s="862"/>
      <c r="AA36" s="916"/>
      <c r="AB36" s="916"/>
      <c r="AC36" s="916"/>
      <c r="AD36" s="916"/>
      <c r="AE36" s="862"/>
      <c r="AF36" s="862"/>
      <c r="AG36" s="862"/>
      <c r="AH36" s="862"/>
      <c r="AI36" s="862"/>
      <c r="AJ36" s="862"/>
      <c r="AK36" s="862"/>
      <c r="AL36" s="866"/>
      <c r="AM36" s="937"/>
      <c r="AN36" s="928"/>
      <c r="AO36" s="901"/>
      <c r="AP36" s="901"/>
      <c r="AQ36" s="928"/>
      <c r="AR36" s="902"/>
      <c r="AS36" s="862"/>
      <c r="AT36" s="881"/>
      <c r="AU36" s="862"/>
      <c r="AV36" s="862"/>
      <c r="AW36" s="877"/>
      <c r="AX36" s="877"/>
      <c r="AY36" s="862"/>
      <c r="AZ36" s="862"/>
      <c r="BA36" s="862"/>
      <c r="BB36" s="885"/>
      <c r="BC36" s="866"/>
    </row>
    <row r="37" spans="1:55" ht="23.25" x14ac:dyDescent="0.25">
      <c r="A37" s="917"/>
      <c r="B37" s="938"/>
      <c r="C37" s="938"/>
      <c r="D37" s="938"/>
      <c r="E37" s="938"/>
      <c r="F37" s="938"/>
      <c r="G37" s="938"/>
      <c r="H37" s="938"/>
      <c r="I37" s="938"/>
      <c r="J37" s="939" t="s">
        <v>188</v>
      </c>
      <c r="K37" s="881"/>
      <c r="L37" s="862"/>
      <c r="M37" s="923"/>
      <c r="N37" s="892"/>
      <c r="O37" s="862"/>
      <c r="P37" s="862"/>
      <c r="Q37" s="862"/>
      <c r="R37" s="862"/>
      <c r="S37" s="862"/>
      <c r="U37" s="919"/>
      <c r="V37" s="881"/>
      <c r="W37" s="881"/>
      <c r="X37" s="881"/>
      <c r="Y37" s="881"/>
      <c r="Z37" s="862"/>
      <c r="AA37" s="893"/>
      <c r="AB37" s="893"/>
      <c r="AC37" s="893"/>
      <c r="AD37" s="893"/>
      <c r="AE37" s="862"/>
      <c r="AF37" s="862"/>
      <c r="AG37" s="862"/>
      <c r="AH37" s="862"/>
      <c r="AI37" s="862"/>
      <c r="AJ37" s="862"/>
      <c r="AK37" s="940"/>
      <c r="AL37" s="937"/>
      <c r="AM37" s="941"/>
      <c r="AN37" s="901"/>
      <c r="AO37" s="901"/>
      <c r="AP37" s="928"/>
      <c r="AQ37" s="902"/>
      <c r="AR37" s="862"/>
      <c r="AS37" s="942"/>
      <c r="AT37" s="942"/>
      <c r="AU37" s="862"/>
      <c r="AV37" s="862"/>
      <c r="AW37" s="862"/>
      <c r="AX37" s="877"/>
      <c r="AY37" s="877"/>
      <c r="AZ37" s="862"/>
      <c r="BA37" s="862"/>
      <c r="BB37" s="877"/>
      <c r="BC37" s="866"/>
    </row>
    <row r="38" spans="1:55" ht="15.75" x14ac:dyDescent="0.25">
      <c r="A38" s="917"/>
      <c r="B38" s="918"/>
      <c r="C38" s="919"/>
      <c r="D38" s="919"/>
      <c r="E38" s="943"/>
      <c r="F38" s="943"/>
      <c r="G38" s="919"/>
      <c r="K38" s="881"/>
      <c r="L38" s="923"/>
      <c r="M38" s="892"/>
      <c r="N38" s="862"/>
      <c r="O38" s="862"/>
      <c r="P38" s="881"/>
      <c r="Q38" s="899"/>
      <c r="R38" s="899"/>
      <c r="S38" s="899"/>
      <c r="U38" s="943"/>
      <c r="V38" s="888"/>
      <c r="W38" s="888"/>
      <c r="X38" s="888"/>
      <c r="Y38" s="888"/>
      <c r="Z38" s="862"/>
      <c r="AA38" s="862"/>
      <c r="AB38" s="862"/>
      <c r="AC38" s="862"/>
      <c r="AD38" s="862"/>
      <c r="AE38" s="862"/>
      <c r="AF38" s="862"/>
      <c r="AG38" s="862"/>
      <c r="AH38" s="862"/>
      <c r="AI38" s="862"/>
      <c r="AJ38" s="862"/>
      <c r="AK38" s="862"/>
      <c r="AL38" s="866"/>
      <c r="AM38" s="944"/>
      <c r="AN38" s="925"/>
      <c r="AO38" s="925"/>
      <c r="AP38" s="862"/>
      <c r="AQ38" s="862"/>
      <c r="AR38" s="862"/>
      <c r="AS38" s="942"/>
      <c r="AT38" s="942"/>
      <c r="AU38" s="862"/>
      <c r="AV38" s="862"/>
      <c r="AW38" s="862"/>
      <c r="AX38" s="862"/>
      <c r="AY38" s="862"/>
      <c r="AZ38" s="862"/>
      <c r="BA38" s="862"/>
      <c r="BB38" s="877"/>
      <c r="BC38" s="866"/>
    </row>
    <row r="39" spans="1:55" ht="15.75" x14ac:dyDescent="0.25">
      <c r="A39" s="917"/>
      <c r="B39" s="945"/>
      <c r="C39" s="919"/>
      <c r="D39" s="919"/>
      <c r="E39" s="943"/>
      <c r="F39" s="943"/>
      <c r="G39" s="919"/>
      <c r="J39" s="946"/>
      <c r="K39" s="947"/>
      <c r="L39" s="892"/>
      <c r="M39" s="862"/>
      <c r="N39" s="862"/>
      <c r="O39" s="862"/>
      <c r="P39" s="881"/>
      <c r="Q39" s="899"/>
      <c r="R39" s="899"/>
      <c r="S39" s="899"/>
      <c r="U39" s="919"/>
      <c r="V39" s="888"/>
      <c r="W39" s="888"/>
      <c r="X39" s="888"/>
      <c r="Y39" s="888"/>
      <c r="Z39" s="862"/>
      <c r="AA39" s="862"/>
      <c r="AB39" s="862"/>
      <c r="AC39" s="862"/>
      <c r="AD39" s="862"/>
      <c r="AE39" s="862"/>
      <c r="AF39" s="862"/>
      <c r="AG39" s="948"/>
      <c r="AH39" s="949"/>
      <c r="AI39" s="950"/>
      <c r="AJ39" s="950"/>
      <c r="AK39" s="950"/>
      <c r="AL39" s="866"/>
      <c r="AN39" s="862"/>
      <c r="AO39" s="862"/>
      <c r="AP39" s="862"/>
      <c r="AQ39" s="862"/>
      <c r="AR39" s="862"/>
      <c r="AS39" s="862"/>
      <c r="AT39" s="862"/>
      <c r="AU39" s="862"/>
      <c r="AV39" s="862"/>
      <c r="AW39" s="862"/>
      <c r="AX39" s="862"/>
      <c r="AY39" s="862"/>
      <c r="AZ39" s="862"/>
      <c r="BA39" s="862"/>
      <c r="BB39" s="877"/>
      <c r="BC39" s="866"/>
    </row>
    <row r="40" spans="1:55" ht="15.75" x14ac:dyDescent="0.25">
      <c r="A40" s="917"/>
      <c r="B40" s="918"/>
      <c r="C40" s="919"/>
      <c r="D40" s="919"/>
      <c r="E40" s="943"/>
      <c r="F40" s="943"/>
      <c r="G40" s="919"/>
      <c r="J40" s="951"/>
      <c r="K40" s="892"/>
      <c r="L40" s="862"/>
      <c r="M40" s="862"/>
      <c r="N40" s="862"/>
      <c r="O40" s="862"/>
      <c r="P40" s="881"/>
      <c r="Q40" s="952"/>
      <c r="R40" s="952"/>
      <c r="S40" s="881"/>
      <c r="U40" s="919"/>
      <c r="V40" s="881"/>
      <c r="W40" s="884"/>
      <c r="X40" s="884"/>
      <c r="Y40" s="881"/>
      <c r="Z40" s="862"/>
      <c r="AA40" s="862"/>
      <c r="AB40" s="862"/>
      <c r="AC40" s="862"/>
      <c r="AD40" s="862"/>
      <c r="AE40" s="862"/>
      <c r="AF40" s="862"/>
      <c r="AG40" s="948"/>
      <c r="AH40" s="949"/>
      <c r="AI40" s="898"/>
      <c r="AJ40" s="898"/>
      <c r="AK40" s="898"/>
      <c r="AL40" s="866"/>
      <c r="AN40" s="862"/>
      <c r="AO40" s="862"/>
      <c r="AP40" s="862"/>
      <c r="AQ40" s="862"/>
      <c r="AR40" s="862"/>
      <c r="AS40" s="862"/>
      <c r="AT40" s="862"/>
      <c r="AU40" s="862"/>
      <c r="AV40" s="862"/>
      <c r="AW40" s="862"/>
      <c r="AX40" s="862"/>
      <c r="AY40" s="862"/>
      <c r="AZ40" s="862"/>
      <c r="BA40" s="862"/>
      <c r="BB40" s="877"/>
      <c r="BC40" s="866"/>
    </row>
    <row r="41" spans="1:55" ht="15.75" x14ac:dyDescent="0.25">
      <c r="A41" s="917"/>
      <c r="B41" s="921"/>
      <c r="C41" s="919"/>
      <c r="D41" s="919"/>
      <c r="E41" s="943"/>
      <c r="F41" s="943"/>
      <c r="G41" s="919"/>
      <c r="J41" s="946"/>
      <c r="K41" s="862"/>
      <c r="L41" s="862"/>
      <c r="M41" s="862"/>
      <c r="N41" s="862"/>
      <c r="O41" s="862"/>
      <c r="P41" s="952"/>
      <c r="Q41" s="952"/>
      <c r="R41" s="881"/>
      <c r="S41" s="881"/>
      <c r="U41" s="919"/>
      <c r="V41" s="881"/>
      <c r="W41" s="881"/>
      <c r="X41" s="884"/>
      <c r="Y41" s="884"/>
      <c r="Z41" s="862"/>
      <c r="AA41" s="862"/>
      <c r="AB41" s="862"/>
      <c r="AC41" s="862"/>
      <c r="AD41" s="862"/>
      <c r="AE41" s="862"/>
      <c r="AF41" s="862"/>
      <c r="AG41" s="862"/>
      <c r="AH41" s="862"/>
      <c r="AI41" s="862"/>
      <c r="AJ41" s="862"/>
      <c r="AK41" s="862"/>
      <c r="AL41" s="866"/>
      <c r="AN41" s="862"/>
      <c r="AO41" s="862"/>
      <c r="AP41" s="862"/>
      <c r="AQ41" s="894"/>
      <c r="AR41" s="894"/>
      <c r="AS41" s="862"/>
      <c r="AT41" s="862"/>
      <c r="AU41" s="877"/>
      <c r="AV41" s="862"/>
      <c r="AW41" s="862"/>
      <c r="AX41" s="862"/>
      <c r="AY41" s="862"/>
      <c r="AZ41" s="862"/>
      <c r="BA41" s="862"/>
      <c r="BB41" s="862"/>
      <c r="BC41" s="866"/>
    </row>
    <row r="42" spans="1:55" ht="15.75" x14ac:dyDescent="0.25">
      <c r="A42" s="917"/>
      <c r="B42" s="918"/>
      <c r="C42" s="919"/>
      <c r="D42" s="919"/>
      <c r="E42" s="919"/>
      <c r="F42" s="919"/>
      <c r="G42" s="919"/>
      <c r="J42" s="946"/>
      <c r="W42" s="862"/>
      <c r="X42" s="862"/>
      <c r="Y42" s="862"/>
      <c r="Z42" s="862"/>
      <c r="AA42" s="862"/>
      <c r="AB42" s="862"/>
      <c r="AC42" s="862"/>
      <c r="AD42" s="862"/>
      <c r="AE42" s="862"/>
      <c r="AF42" s="862"/>
      <c r="AG42" s="862"/>
      <c r="AH42" s="862"/>
      <c r="AI42" s="862"/>
      <c r="AJ42" s="862"/>
      <c r="AK42" s="862"/>
      <c r="AL42" s="866"/>
      <c r="AN42" s="862"/>
      <c r="AO42" s="862"/>
      <c r="AP42" s="894"/>
      <c r="AQ42" s="894"/>
      <c r="AR42" s="862"/>
      <c r="AS42" s="862"/>
      <c r="AT42" s="862"/>
      <c r="AU42" s="877"/>
      <c r="AV42" s="877"/>
      <c r="AW42" s="862"/>
      <c r="AX42" s="862"/>
      <c r="AY42" s="862"/>
      <c r="AZ42" s="862"/>
      <c r="BA42" s="862"/>
      <c r="BB42" s="862"/>
      <c r="BC42" s="866"/>
    </row>
    <row r="43" spans="1:55" ht="15.75" x14ac:dyDescent="0.25">
      <c r="A43" s="917"/>
      <c r="B43" s="921"/>
      <c r="C43" s="919"/>
      <c r="D43" s="919"/>
      <c r="E43" s="919"/>
      <c r="F43" s="919"/>
      <c r="G43" s="919"/>
      <c r="J43" s="951"/>
      <c r="W43" s="862"/>
      <c r="X43" s="862"/>
      <c r="Y43" s="862"/>
      <c r="Z43" s="862"/>
      <c r="AA43" s="862"/>
      <c r="AB43" s="862"/>
      <c r="AC43" s="862"/>
      <c r="AD43" s="862"/>
      <c r="AE43" s="862"/>
      <c r="AF43" s="862"/>
      <c r="AG43" s="862"/>
      <c r="AH43" s="862"/>
      <c r="AI43" s="862"/>
      <c r="AJ43" s="862"/>
      <c r="AK43" s="862"/>
      <c r="AL43" s="866"/>
      <c r="AN43" s="862"/>
      <c r="AO43" s="894"/>
      <c r="AP43" s="894"/>
      <c r="AQ43" s="862"/>
      <c r="AR43" s="862"/>
      <c r="AS43" s="862"/>
      <c r="AT43" s="862"/>
      <c r="AU43" s="862"/>
      <c r="AV43" s="877"/>
      <c r="AW43" s="877"/>
      <c r="AX43" s="862"/>
      <c r="AY43" s="862"/>
      <c r="AZ43" s="862"/>
      <c r="BA43" s="862"/>
      <c r="BB43" s="862"/>
      <c r="BC43" s="866"/>
    </row>
    <row r="44" spans="1:55" ht="15.75" x14ac:dyDescent="0.25">
      <c r="A44" s="917"/>
      <c r="B44" s="918"/>
      <c r="C44" s="919"/>
      <c r="D44" s="919"/>
      <c r="E44" s="953"/>
      <c r="F44" s="953"/>
      <c r="G44" s="919"/>
      <c r="J44" s="946"/>
      <c r="L44" s="862"/>
      <c r="M44" s="862"/>
      <c r="N44" s="862"/>
      <c r="O44" s="862"/>
      <c r="P44" s="862"/>
      <c r="Q44" s="862"/>
      <c r="R44" s="862"/>
      <c r="S44" s="862"/>
      <c r="T44" s="862"/>
      <c r="W44" s="862"/>
      <c r="X44" s="862"/>
      <c r="Y44" s="862"/>
      <c r="Z44" s="862"/>
      <c r="AA44" s="862"/>
      <c r="AB44" s="862"/>
      <c r="AC44" s="862"/>
      <c r="AD44" s="862"/>
      <c r="AE44" s="862"/>
      <c r="AF44" s="862"/>
      <c r="AG44" s="862"/>
      <c r="AH44" s="862"/>
      <c r="AI44" s="862"/>
      <c r="AJ44" s="862"/>
      <c r="AK44" s="862"/>
      <c r="AL44" s="866"/>
      <c r="AN44" s="894"/>
      <c r="AO44" s="894"/>
      <c r="AP44" s="862"/>
      <c r="AQ44" s="862"/>
      <c r="AR44" s="862"/>
      <c r="AS44" s="862"/>
      <c r="AT44" s="862"/>
      <c r="AU44" s="862"/>
      <c r="AV44" s="862"/>
      <c r="AW44" s="877"/>
      <c r="AX44" s="877"/>
      <c r="AY44" s="862"/>
      <c r="AZ44" s="862"/>
      <c r="BA44" s="862"/>
      <c r="BB44" s="862"/>
      <c r="BC44" s="866"/>
    </row>
    <row r="45" spans="1:55" ht="15.75" x14ac:dyDescent="0.25">
      <c r="A45" s="917"/>
      <c r="B45" s="921"/>
      <c r="C45" s="919"/>
      <c r="D45" s="919"/>
      <c r="E45" s="953"/>
      <c r="F45" s="953"/>
      <c r="G45" s="919"/>
      <c r="J45" s="946"/>
      <c r="L45" s="862"/>
      <c r="M45" s="862"/>
      <c r="N45" s="862"/>
      <c r="O45" s="862"/>
      <c r="P45" s="862"/>
      <c r="Q45" s="862"/>
      <c r="R45" s="862"/>
      <c r="S45" s="862"/>
      <c r="T45" s="862"/>
      <c r="W45" s="862"/>
      <c r="X45" s="862"/>
      <c r="Y45" s="954"/>
      <c r="Z45" s="862"/>
      <c r="AA45" s="862"/>
      <c r="AB45" s="862"/>
      <c r="AC45" s="862"/>
      <c r="AD45" s="862"/>
      <c r="AE45" s="862"/>
      <c r="AF45" s="862"/>
      <c r="AG45" s="862"/>
      <c r="AH45" s="862"/>
      <c r="AI45" s="862"/>
      <c r="AJ45" s="862"/>
      <c r="AK45" s="862"/>
      <c r="AN45" s="881"/>
      <c r="AO45" s="862"/>
      <c r="AP45" s="862"/>
      <c r="AQ45" s="862"/>
      <c r="AR45" s="862"/>
      <c r="AS45" s="862"/>
      <c r="AT45" s="862"/>
      <c r="AU45" s="862"/>
      <c r="AV45" s="862"/>
      <c r="AW45" s="862"/>
      <c r="AX45" s="877"/>
      <c r="AY45" s="862"/>
      <c r="AZ45" s="862"/>
      <c r="BA45" s="862"/>
      <c r="BB45" s="862"/>
      <c r="BC45" s="866"/>
    </row>
    <row r="46" spans="1:55" ht="15.75" x14ac:dyDescent="0.25">
      <c r="A46" s="917"/>
      <c r="B46" s="918"/>
      <c r="C46" s="919"/>
      <c r="D46" s="919"/>
      <c r="E46" s="953"/>
      <c r="F46" s="953"/>
      <c r="G46" s="919"/>
      <c r="J46" s="951"/>
      <c r="L46" s="862"/>
      <c r="M46" s="862"/>
      <c r="N46" s="862"/>
      <c r="O46" s="862"/>
      <c r="P46" s="862"/>
      <c r="Q46" s="862"/>
      <c r="R46" s="862"/>
      <c r="S46" s="862"/>
      <c r="T46" s="862"/>
      <c r="W46" s="862"/>
      <c r="X46" s="954"/>
      <c r="Y46" s="862"/>
      <c r="Z46" s="862"/>
      <c r="AA46" s="862"/>
      <c r="AB46" s="862"/>
      <c r="AC46" s="862"/>
      <c r="AD46" s="862"/>
      <c r="AE46" s="862"/>
      <c r="AF46" s="862"/>
      <c r="AG46" s="862"/>
      <c r="AH46" s="862"/>
      <c r="AI46" s="862"/>
      <c r="AJ46" s="862"/>
      <c r="AK46" s="862"/>
      <c r="AN46" s="862"/>
      <c r="AO46" s="862"/>
      <c r="AP46" s="862"/>
      <c r="AQ46" s="862"/>
      <c r="AR46" s="862"/>
      <c r="AS46" s="862"/>
      <c r="AT46" s="862"/>
      <c r="AU46" s="862"/>
      <c r="AV46" s="862"/>
      <c r="AW46" s="862"/>
      <c r="AX46" s="862"/>
      <c r="AY46" s="862"/>
      <c r="AZ46" s="862"/>
      <c r="BA46" s="862"/>
      <c r="BB46" s="862"/>
      <c r="BC46" s="866"/>
    </row>
    <row r="47" spans="1:55" ht="16.5" thickBot="1" x14ac:dyDescent="0.3">
      <c r="A47" s="917"/>
      <c r="B47" s="918"/>
      <c r="C47" s="919"/>
      <c r="D47" s="919"/>
      <c r="E47" s="919"/>
      <c r="F47" s="919"/>
      <c r="G47" s="919"/>
      <c r="J47" s="946"/>
      <c r="L47" s="888"/>
      <c r="M47" s="888"/>
      <c r="N47" s="888"/>
      <c r="O47" s="888"/>
      <c r="P47" s="888"/>
      <c r="Q47" s="888"/>
      <c r="R47" s="888"/>
      <c r="S47" s="888"/>
      <c r="T47" s="862"/>
      <c r="W47" s="955"/>
      <c r="AN47" s="862"/>
      <c r="AO47" s="862"/>
      <c r="AP47" s="862"/>
      <c r="AQ47" s="862"/>
      <c r="AR47" s="862"/>
      <c r="AS47" s="862"/>
      <c r="AT47" s="862"/>
      <c r="AU47" s="862"/>
      <c r="AV47" s="862"/>
      <c r="AW47" s="862"/>
      <c r="AX47" s="862"/>
      <c r="AY47" s="862"/>
      <c r="AZ47" s="862"/>
      <c r="BA47" s="862"/>
      <c r="BB47" s="862"/>
      <c r="BC47" s="866"/>
    </row>
    <row r="48" spans="1:55" x14ac:dyDescent="0.25">
      <c r="A48" s="917"/>
      <c r="B48" s="918"/>
      <c r="C48" s="956"/>
      <c r="D48" s="919"/>
      <c r="E48" s="919"/>
      <c r="F48" s="919"/>
      <c r="G48" s="919"/>
      <c r="J48" s="946"/>
      <c r="K48" s="957"/>
      <c r="L48" s="909"/>
      <c r="M48" s="909"/>
      <c r="N48" s="909"/>
      <c r="O48" s="909"/>
      <c r="P48" s="909"/>
      <c r="Q48" s="909"/>
      <c r="R48" s="909"/>
      <c r="S48" s="909"/>
      <c r="T48" s="909"/>
      <c r="U48" s="957"/>
      <c r="V48" s="957"/>
      <c r="AN48" s="862"/>
      <c r="AO48" s="862"/>
      <c r="AP48" s="862"/>
      <c r="AQ48" s="862"/>
      <c r="AR48" s="862"/>
      <c r="AS48" s="862"/>
      <c r="AT48" s="862"/>
      <c r="AU48" s="862"/>
      <c r="AV48" s="862"/>
      <c r="AW48" s="862"/>
      <c r="AX48" s="862"/>
      <c r="AY48" s="862"/>
      <c r="AZ48" s="862"/>
      <c r="BA48" s="862"/>
      <c r="BB48" s="862"/>
      <c r="BC48" s="866"/>
    </row>
    <row r="49" spans="1:55" ht="18.75" x14ac:dyDescent="0.25">
      <c r="A49" s="873"/>
      <c r="C49" s="958"/>
      <c r="D49" s="959"/>
      <c r="J49" s="951"/>
      <c r="AN49" s="862"/>
      <c r="AO49" s="862"/>
      <c r="AP49" s="862"/>
      <c r="AQ49" s="862"/>
      <c r="AR49" s="862"/>
      <c r="AS49" s="862"/>
      <c r="AT49" s="862"/>
      <c r="AU49" s="862"/>
      <c r="AV49" s="862"/>
      <c r="AW49" s="862"/>
      <c r="AX49" s="862"/>
      <c r="AY49" s="862"/>
      <c r="AZ49" s="862"/>
      <c r="BA49" s="862"/>
      <c r="BB49" s="862"/>
      <c r="BC49" s="866"/>
    </row>
    <row r="50" spans="1:55" ht="15.75" thickBot="1" x14ac:dyDescent="0.3">
      <c r="A50" s="873"/>
      <c r="J50" s="946"/>
      <c r="BC50" s="866"/>
    </row>
    <row r="51" spans="1:55" x14ac:dyDescent="0.25">
      <c r="A51" s="873"/>
      <c r="B51" s="957"/>
      <c r="C51" s="957"/>
      <c r="D51" s="957"/>
      <c r="E51" s="957"/>
      <c r="F51" s="957"/>
      <c r="G51" s="957"/>
      <c r="H51" s="957"/>
      <c r="I51" s="957"/>
      <c r="Y51" s="955"/>
      <c r="Z51" s="960"/>
      <c r="AA51" s="961"/>
      <c r="AB51" s="961"/>
      <c r="AC51" s="961"/>
      <c r="AD51" s="961"/>
      <c r="AE51" s="961"/>
      <c r="AF51" s="962"/>
      <c r="AG51" s="862"/>
      <c r="AH51" s="862"/>
      <c r="AI51" s="862"/>
      <c r="AJ51" s="862"/>
      <c r="AK51" s="862"/>
      <c r="AL51" s="862"/>
      <c r="BC51" s="866"/>
    </row>
    <row r="52" spans="1:55" x14ac:dyDescent="0.25">
      <c r="A52" s="873"/>
      <c r="X52" s="955"/>
      <c r="Z52" s="963"/>
      <c r="AA52" s="964"/>
      <c r="AB52" s="964"/>
      <c r="AC52" s="964"/>
      <c r="AD52" s="964"/>
      <c r="AE52" s="964"/>
      <c r="AF52" s="965"/>
      <c r="AG52" s="862"/>
      <c r="AH52" s="862"/>
      <c r="AI52" s="862"/>
      <c r="AJ52" s="862"/>
      <c r="AK52" s="862"/>
      <c r="AL52" s="862"/>
      <c r="BC52" s="866"/>
    </row>
    <row r="53" spans="1:55" ht="16.5" thickBot="1" x14ac:dyDescent="0.3">
      <c r="A53" s="873"/>
      <c r="W53" s="955"/>
      <c r="Z53" s="966"/>
      <c r="AA53" s="967"/>
      <c r="AB53" s="967"/>
      <c r="AC53" s="967"/>
      <c r="AD53" s="967"/>
      <c r="AE53" s="967"/>
      <c r="AF53" s="968"/>
      <c r="AG53" s="862"/>
      <c r="AH53" s="906"/>
      <c r="AI53" s="906"/>
      <c r="AJ53" s="906"/>
      <c r="AK53" s="906"/>
      <c r="AL53" s="862"/>
      <c r="BC53" s="866"/>
    </row>
    <row r="54" spans="1:55" x14ac:dyDescent="0.25">
      <c r="B54" s="957"/>
      <c r="C54" s="957"/>
      <c r="D54" s="957"/>
      <c r="E54" s="957"/>
      <c r="F54" s="957"/>
      <c r="G54" s="957"/>
      <c r="H54" s="957"/>
      <c r="I54" s="957"/>
      <c r="J54" s="957"/>
      <c r="K54" s="957"/>
      <c r="L54" s="957"/>
      <c r="M54" s="957"/>
      <c r="N54" s="957"/>
      <c r="O54" s="957"/>
      <c r="P54" s="957"/>
      <c r="Q54" s="957"/>
      <c r="R54" s="957"/>
      <c r="S54" s="957"/>
      <c r="T54" s="957"/>
      <c r="U54" s="957"/>
      <c r="V54" s="957"/>
      <c r="W54" s="957"/>
      <c r="X54" s="957"/>
      <c r="Y54" s="957"/>
      <c r="Z54" s="957"/>
      <c r="AA54" s="957"/>
      <c r="AB54" s="957"/>
      <c r="AC54" s="957"/>
      <c r="AD54" s="957"/>
      <c r="AE54" s="957"/>
      <c r="AF54" s="957"/>
      <c r="AG54" s="957"/>
      <c r="AH54" s="957"/>
      <c r="AI54" s="957"/>
      <c r="AJ54" s="957"/>
      <c r="AK54" s="957"/>
      <c r="AL54" s="957"/>
      <c r="AM54" s="957"/>
      <c r="AN54" s="957"/>
      <c r="AO54" s="957"/>
      <c r="AP54" s="957"/>
      <c r="AQ54" s="957"/>
      <c r="AR54" s="957"/>
      <c r="AS54" s="957"/>
      <c r="AT54" s="957"/>
      <c r="AU54" s="957"/>
      <c r="AV54" s="957"/>
      <c r="AW54" s="957"/>
      <c r="AX54" s="957"/>
      <c r="AY54" s="957"/>
      <c r="AZ54" s="957"/>
      <c r="BA54" s="957"/>
      <c r="BB54" s="957"/>
    </row>
  </sheetData>
  <mergeCells count="12">
    <mergeCell ref="W14:Y20"/>
    <mergeCell ref="AU17:AY17"/>
    <mergeCell ref="A1:BC1"/>
    <mergeCell ref="B3:F6"/>
    <mergeCell ref="AB3:AF6"/>
    <mergeCell ref="AL3:BB8"/>
    <mergeCell ref="E9:F9"/>
    <mergeCell ref="H30:I31"/>
    <mergeCell ref="AA30:AD30"/>
    <mergeCell ref="AN32:AR32"/>
    <mergeCell ref="AA37:AD37"/>
    <mergeCell ref="Z51:AF53"/>
  </mergeCells>
  <phoneticPr fontId="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BF451"/>
  <sheetViews>
    <sheetView topLeftCell="A13" zoomScale="55" zoomScaleNormal="55" workbookViewId="0">
      <selection activeCell="AL1" sqref="A1:XFD1048576"/>
    </sheetView>
  </sheetViews>
  <sheetFormatPr baseColWidth="10" defaultColWidth="16" defaultRowHeight="15" x14ac:dyDescent="0.25"/>
  <cols>
    <col min="1" max="16384" width="16" style="7"/>
  </cols>
  <sheetData>
    <row r="1" spans="1:55" ht="36.75" thickBot="1" x14ac:dyDescent="0.3">
      <c r="A1" s="632" t="s">
        <v>149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632"/>
      <c r="AU1" s="632"/>
      <c r="AV1" s="632"/>
      <c r="AW1" s="632"/>
      <c r="AX1" s="632"/>
      <c r="AY1" s="632"/>
      <c r="AZ1" s="632"/>
      <c r="BA1" s="632"/>
      <c r="BB1" s="632"/>
      <c r="BC1" s="633"/>
    </row>
    <row r="2" spans="1:55" ht="15.75" thickBot="1" x14ac:dyDescent="0.3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55" ht="15" customHeight="1" x14ac:dyDescent="0.25">
      <c r="B3" s="845" t="s">
        <v>150</v>
      </c>
      <c r="C3" s="846"/>
      <c r="D3" s="846"/>
      <c r="E3" s="846"/>
      <c r="F3" s="847"/>
      <c r="AB3" s="845" t="s">
        <v>151</v>
      </c>
      <c r="AC3" s="846"/>
      <c r="AD3" s="846"/>
      <c r="AE3" s="846"/>
      <c r="AF3" s="847"/>
      <c r="AL3" s="845" t="s">
        <v>152</v>
      </c>
      <c r="AM3" s="846"/>
      <c r="AN3" s="846"/>
      <c r="AO3" s="846"/>
      <c r="AP3" s="846"/>
      <c r="AQ3" s="846"/>
      <c r="AR3" s="846"/>
      <c r="AS3" s="846"/>
      <c r="AT3" s="846"/>
      <c r="AU3" s="846"/>
      <c r="AV3" s="846"/>
      <c r="AW3" s="846"/>
      <c r="AX3" s="846"/>
      <c r="AY3" s="846"/>
      <c r="AZ3" s="846"/>
      <c r="BA3" s="846"/>
      <c r="BB3" s="847"/>
    </row>
    <row r="4" spans="1:55" x14ac:dyDescent="0.25">
      <c r="B4" s="848"/>
      <c r="C4" s="849"/>
      <c r="D4" s="849"/>
      <c r="E4" s="849"/>
      <c r="F4" s="850"/>
      <c r="AB4" s="848"/>
      <c r="AC4" s="849"/>
      <c r="AD4" s="849"/>
      <c r="AE4" s="849"/>
      <c r="AF4" s="850"/>
      <c r="AL4" s="848"/>
      <c r="AM4" s="849"/>
      <c r="AN4" s="849"/>
      <c r="AO4" s="849"/>
      <c r="AP4" s="849"/>
      <c r="AQ4" s="849"/>
      <c r="AR4" s="849"/>
      <c r="AS4" s="849"/>
      <c r="AT4" s="849"/>
      <c r="AU4" s="849"/>
      <c r="AV4" s="849"/>
      <c r="AW4" s="849"/>
      <c r="AX4" s="849"/>
      <c r="AY4" s="849"/>
      <c r="AZ4" s="849"/>
      <c r="BA4" s="849"/>
      <c r="BB4" s="850"/>
    </row>
    <row r="5" spans="1:55" x14ac:dyDescent="0.25">
      <c r="B5" s="848"/>
      <c r="C5" s="849"/>
      <c r="D5" s="849"/>
      <c r="E5" s="849"/>
      <c r="F5" s="850"/>
      <c r="AB5" s="848"/>
      <c r="AC5" s="849"/>
      <c r="AD5" s="849"/>
      <c r="AE5" s="849"/>
      <c r="AF5" s="850"/>
      <c r="AL5" s="848"/>
      <c r="AM5" s="849"/>
      <c r="AN5" s="849"/>
      <c r="AO5" s="849"/>
      <c r="AP5" s="849"/>
      <c r="AQ5" s="849"/>
      <c r="AR5" s="849"/>
      <c r="AS5" s="849"/>
      <c r="AT5" s="849"/>
      <c r="AU5" s="849"/>
      <c r="AV5" s="849"/>
      <c r="AW5" s="849"/>
      <c r="AX5" s="849"/>
      <c r="AY5" s="849"/>
      <c r="AZ5" s="849"/>
      <c r="BA5" s="849"/>
      <c r="BB5" s="850"/>
      <c r="BC5" s="9"/>
    </row>
    <row r="6" spans="1:55" ht="15.75" thickBot="1" x14ac:dyDescent="0.3">
      <c r="B6" s="851"/>
      <c r="C6" s="852"/>
      <c r="D6" s="852"/>
      <c r="E6" s="852"/>
      <c r="F6" s="853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V6" s="8"/>
      <c r="W6" s="8"/>
      <c r="X6" s="8"/>
      <c r="Y6" s="8"/>
      <c r="Z6" s="8"/>
      <c r="AA6" s="11"/>
      <c r="AB6" s="851"/>
      <c r="AC6" s="852"/>
      <c r="AD6" s="852"/>
      <c r="AE6" s="852"/>
      <c r="AF6" s="853"/>
      <c r="AL6" s="848"/>
      <c r="AM6" s="849"/>
      <c r="AN6" s="849"/>
      <c r="AO6" s="849"/>
      <c r="AP6" s="849"/>
      <c r="AQ6" s="849"/>
      <c r="AR6" s="849"/>
      <c r="AS6" s="849"/>
      <c r="AT6" s="849"/>
      <c r="AU6" s="849"/>
      <c r="AV6" s="849"/>
      <c r="AW6" s="849"/>
      <c r="AX6" s="849"/>
      <c r="AY6" s="849"/>
      <c r="AZ6" s="849"/>
      <c r="BA6" s="849"/>
      <c r="BB6" s="850"/>
      <c r="BC6" s="9"/>
    </row>
    <row r="7" spans="1:55" ht="15.75" x14ac:dyDescent="0.25">
      <c r="A7" s="12"/>
      <c r="R7" s="13"/>
      <c r="S7" s="14"/>
      <c r="T7" s="13"/>
      <c r="U7" s="14"/>
      <c r="AL7" s="848"/>
      <c r="AM7" s="849"/>
      <c r="AN7" s="849"/>
      <c r="AO7" s="849"/>
      <c r="AP7" s="849"/>
      <c r="AQ7" s="849"/>
      <c r="AR7" s="849"/>
      <c r="AS7" s="849"/>
      <c r="AT7" s="849"/>
      <c r="AU7" s="849"/>
      <c r="AV7" s="849"/>
      <c r="AW7" s="849"/>
      <c r="AX7" s="849"/>
      <c r="AY7" s="849"/>
      <c r="AZ7" s="849"/>
      <c r="BA7" s="849"/>
      <c r="BB7" s="850"/>
      <c r="BC7" s="9"/>
    </row>
    <row r="8" spans="1:55" ht="15.75" thickBot="1" x14ac:dyDescent="0.3">
      <c r="A8" s="12"/>
      <c r="AL8" s="851"/>
      <c r="AM8" s="852"/>
      <c r="AN8" s="852"/>
      <c r="AO8" s="852"/>
      <c r="AP8" s="852"/>
      <c r="AQ8" s="852"/>
      <c r="AR8" s="852"/>
      <c r="AS8" s="852"/>
      <c r="AT8" s="852"/>
      <c r="AU8" s="852"/>
      <c r="AV8" s="852"/>
      <c r="AW8" s="852"/>
      <c r="AX8" s="852"/>
      <c r="AY8" s="852"/>
      <c r="AZ8" s="852"/>
      <c r="BA8" s="852"/>
      <c r="BB8" s="853"/>
      <c r="BC8" s="9"/>
    </row>
    <row r="9" spans="1:55" ht="15.75" x14ac:dyDescent="0.25">
      <c r="A9" s="12"/>
      <c r="B9" s="15" t="s">
        <v>153</v>
      </c>
      <c r="E9" s="854" t="s">
        <v>154</v>
      </c>
      <c r="F9" s="854"/>
      <c r="AD9" s="16" t="s">
        <v>155</v>
      </c>
      <c r="AE9" s="16" t="s">
        <v>155</v>
      </c>
      <c r="AL9" s="9"/>
      <c r="BC9" s="9"/>
    </row>
    <row r="10" spans="1:55" ht="15.75" x14ac:dyDescent="0.25">
      <c r="A10" s="12"/>
      <c r="B10" s="15" t="s">
        <v>153</v>
      </c>
      <c r="E10" s="17" t="s">
        <v>156</v>
      </c>
      <c r="F10" s="17" t="s">
        <v>156</v>
      </c>
      <c r="AL10" s="9"/>
      <c r="BC10" s="9"/>
    </row>
    <row r="11" spans="1:55" ht="15.75" x14ac:dyDescent="0.25">
      <c r="A11" s="12"/>
      <c r="B11" s="15" t="s">
        <v>153</v>
      </c>
      <c r="E11" s="17" t="s">
        <v>156</v>
      </c>
      <c r="F11" s="17" t="s">
        <v>156</v>
      </c>
      <c r="J11" s="18" t="s">
        <v>157</v>
      </c>
      <c r="Q11" s="7" t="s">
        <v>158</v>
      </c>
      <c r="AL11" s="9"/>
      <c r="BC11" s="9"/>
    </row>
    <row r="12" spans="1:55" ht="15.75" x14ac:dyDescent="0.25">
      <c r="A12" s="12"/>
      <c r="B12" s="19"/>
      <c r="E12" s="17" t="s">
        <v>156</v>
      </c>
      <c r="F12" s="17" t="s">
        <v>156</v>
      </c>
      <c r="J12" s="20" t="s">
        <v>159</v>
      </c>
      <c r="K12" s="20" t="s">
        <v>159</v>
      </c>
      <c r="L12" s="20" t="s">
        <v>159</v>
      </c>
      <c r="M12" s="21"/>
      <c r="Q12" s="15" t="s">
        <v>153</v>
      </c>
      <c r="R12" s="15" t="s">
        <v>153</v>
      </c>
      <c r="S12" s="15" t="s">
        <v>153</v>
      </c>
      <c r="X12" s="22"/>
      <c r="Y12" s="22"/>
      <c r="AL12" s="9"/>
      <c r="AN12" s="15" t="s">
        <v>153</v>
      </c>
      <c r="AO12" s="15" t="s">
        <v>153</v>
      </c>
      <c r="AX12" s="23" t="s">
        <v>160</v>
      </c>
      <c r="AY12" s="23" t="s">
        <v>160</v>
      </c>
      <c r="BC12" s="9"/>
    </row>
    <row r="13" spans="1:55" ht="16.5" thickBot="1" x14ac:dyDescent="0.3">
      <c r="A13" s="12"/>
      <c r="B13" s="15" t="s">
        <v>153</v>
      </c>
      <c r="E13" s="17" t="s">
        <v>156</v>
      </c>
      <c r="F13" s="17" t="s">
        <v>156</v>
      </c>
      <c r="J13" s="20" t="s">
        <v>159</v>
      </c>
      <c r="K13" s="20" t="s">
        <v>159</v>
      </c>
      <c r="L13" s="20" t="s">
        <v>159</v>
      </c>
      <c r="M13" s="21"/>
      <c r="Q13" s="15" t="s">
        <v>153</v>
      </c>
      <c r="R13" s="15" t="s">
        <v>153</v>
      </c>
      <c r="S13" s="15" t="s">
        <v>153</v>
      </c>
      <c r="X13" s="24"/>
      <c r="Y13" s="25"/>
      <c r="Z13" s="22"/>
      <c r="AL13" s="9"/>
      <c r="AO13" s="15" t="s">
        <v>153</v>
      </c>
      <c r="AP13" s="15" t="s">
        <v>153</v>
      </c>
      <c r="AW13" s="23" t="s">
        <v>160</v>
      </c>
      <c r="AX13" s="23" t="s">
        <v>160</v>
      </c>
      <c r="BB13" s="26" t="s">
        <v>161</v>
      </c>
      <c r="BC13" s="9"/>
    </row>
    <row r="14" spans="1:55" ht="15.75" x14ac:dyDescent="0.25">
      <c r="A14" s="12"/>
      <c r="B14" s="15" t="s">
        <v>153</v>
      </c>
      <c r="F14" s="27"/>
      <c r="W14" s="845" t="s">
        <v>162</v>
      </c>
      <c r="X14" s="849"/>
      <c r="Y14" s="849"/>
      <c r="Z14" s="28"/>
      <c r="AL14" s="9"/>
      <c r="AP14" s="15" t="s">
        <v>153</v>
      </c>
      <c r="AQ14" s="15" t="s">
        <v>153</v>
      </c>
      <c r="AV14" s="23" t="s">
        <v>160</v>
      </c>
      <c r="AW14" s="23" t="s">
        <v>160</v>
      </c>
      <c r="BB14" s="26" t="s">
        <v>161</v>
      </c>
      <c r="BC14" s="9"/>
    </row>
    <row r="15" spans="1:55" ht="15.75" x14ac:dyDescent="0.25">
      <c r="A15" s="12"/>
      <c r="B15" s="15" t="s">
        <v>153</v>
      </c>
      <c r="F15" s="27"/>
      <c r="W15" s="848"/>
      <c r="X15" s="849"/>
      <c r="Y15" s="849"/>
      <c r="Z15" s="28"/>
      <c r="AL15" s="9"/>
      <c r="AQ15" s="15" t="s">
        <v>153</v>
      </c>
      <c r="AR15" s="15" t="s">
        <v>153</v>
      </c>
      <c r="AU15" s="23" t="s">
        <v>160</v>
      </c>
      <c r="AV15" s="23" t="s">
        <v>160</v>
      </c>
      <c r="BB15" s="26" t="s">
        <v>161</v>
      </c>
      <c r="BC15" s="9"/>
    </row>
    <row r="16" spans="1:55" ht="15.75" x14ac:dyDescent="0.25">
      <c r="A16" s="12"/>
      <c r="B16" s="15" t="s">
        <v>153</v>
      </c>
      <c r="E16" s="17" t="s">
        <v>156</v>
      </c>
      <c r="F16" s="17" t="s">
        <v>156</v>
      </c>
      <c r="P16" s="7" t="s">
        <v>163</v>
      </c>
      <c r="W16" s="848"/>
      <c r="X16" s="849"/>
      <c r="Y16" s="850"/>
      <c r="Z16" s="16" t="s">
        <v>155</v>
      </c>
      <c r="AL16" s="9"/>
      <c r="BB16" s="26" t="s">
        <v>161</v>
      </c>
      <c r="BC16" s="9"/>
    </row>
    <row r="17" spans="1:55" ht="15.75" x14ac:dyDescent="0.25">
      <c r="A17" s="12"/>
      <c r="B17" s="15" t="s">
        <v>153</v>
      </c>
      <c r="C17" s="7" t="s">
        <v>164</v>
      </c>
      <c r="E17" s="17" t="s">
        <v>156</v>
      </c>
      <c r="F17" s="17" t="s">
        <v>156</v>
      </c>
      <c r="J17" s="29" t="s">
        <v>165</v>
      </c>
      <c r="K17" s="29" t="s">
        <v>165</v>
      </c>
      <c r="L17" s="29" t="s">
        <v>165</v>
      </c>
      <c r="M17" s="29" t="s">
        <v>165</v>
      </c>
      <c r="P17" s="15" t="s">
        <v>153</v>
      </c>
      <c r="Q17" s="15" t="s">
        <v>153</v>
      </c>
      <c r="R17" s="15" t="s">
        <v>153</v>
      </c>
      <c r="S17" s="15" t="s">
        <v>153</v>
      </c>
      <c r="W17" s="848"/>
      <c r="X17" s="849"/>
      <c r="Y17" s="850"/>
      <c r="Z17" s="16" t="s">
        <v>155</v>
      </c>
      <c r="AL17" s="9"/>
      <c r="AU17" s="828" t="s">
        <v>166</v>
      </c>
      <c r="AV17" s="828"/>
      <c r="AW17" s="828"/>
      <c r="AX17" s="828"/>
      <c r="AY17" s="828"/>
      <c r="BB17" s="26" t="s">
        <v>161</v>
      </c>
      <c r="BC17" s="9"/>
    </row>
    <row r="18" spans="1:55" ht="15.75" x14ac:dyDescent="0.25">
      <c r="A18" s="12"/>
      <c r="B18" s="19"/>
      <c r="E18" s="17" t="s">
        <v>156</v>
      </c>
      <c r="F18" s="17" t="s">
        <v>156</v>
      </c>
      <c r="J18" s="29" t="s">
        <v>165</v>
      </c>
      <c r="K18" s="29" t="s">
        <v>165</v>
      </c>
      <c r="L18" s="29" t="s">
        <v>165</v>
      </c>
      <c r="M18" s="29" t="s">
        <v>165</v>
      </c>
      <c r="P18" s="15" t="s">
        <v>153</v>
      </c>
      <c r="Q18" s="15" t="s">
        <v>153</v>
      </c>
      <c r="R18" s="15" t="s">
        <v>153</v>
      </c>
      <c r="S18" s="15" t="s">
        <v>153</v>
      </c>
      <c r="W18" s="848"/>
      <c r="X18" s="849"/>
      <c r="Y18" s="850"/>
      <c r="Z18" s="16" t="s">
        <v>155</v>
      </c>
      <c r="AL18" s="9"/>
      <c r="BB18" s="26" t="s">
        <v>161</v>
      </c>
      <c r="BC18" s="9"/>
    </row>
    <row r="19" spans="1:55" ht="18" x14ac:dyDescent="0.25">
      <c r="A19" s="12"/>
      <c r="B19" s="30" t="s">
        <v>167</v>
      </c>
      <c r="E19" s="17" t="s">
        <v>156</v>
      </c>
      <c r="F19" s="17" t="s">
        <v>156</v>
      </c>
      <c r="W19" s="848"/>
      <c r="X19" s="849"/>
      <c r="Y19" s="850"/>
      <c r="Z19" s="16" t="s">
        <v>155</v>
      </c>
      <c r="AL19" s="9"/>
      <c r="AN19" s="7" t="s">
        <v>168</v>
      </c>
      <c r="AX19" s="31" t="s">
        <v>169</v>
      </c>
      <c r="AY19" s="31"/>
      <c r="BB19" s="26" t="s">
        <v>161</v>
      </c>
      <c r="BC19" s="9"/>
    </row>
    <row r="20" spans="1:55" ht="18.75" thickBot="1" x14ac:dyDescent="0.3">
      <c r="A20" s="12"/>
      <c r="B20" s="30" t="s">
        <v>167</v>
      </c>
      <c r="W20" s="851"/>
      <c r="X20" s="852"/>
      <c r="Y20" s="853"/>
      <c r="AG20" s="32" t="s">
        <v>170</v>
      </c>
      <c r="AH20" s="33" t="s">
        <v>171</v>
      </c>
      <c r="AI20" s="32" t="s">
        <v>170</v>
      </c>
      <c r="AJ20" s="34" t="s">
        <v>172</v>
      </c>
      <c r="AL20" s="9"/>
      <c r="AN20" s="35" t="s">
        <v>173</v>
      </c>
      <c r="AO20" s="35" t="s">
        <v>173</v>
      </c>
      <c r="AV20" s="36">
        <v>4</v>
      </c>
      <c r="AW20" s="31" t="s">
        <v>169</v>
      </c>
      <c r="AX20" s="37" t="s">
        <v>48</v>
      </c>
      <c r="AY20" s="37" t="s">
        <v>48</v>
      </c>
      <c r="AZ20" s="38" t="s">
        <v>169</v>
      </c>
      <c r="BA20" s="39">
        <v>5</v>
      </c>
      <c r="BB20" s="26" t="s">
        <v>161</v>
      </c>
      <c r="BC20" s="9"/>
    </row>
    <row r="21" spans="1:55" ht="18" x14ac:dyDescent="0.25">
      <c r="A21" s="12"/>
      <c r="B21" s="30" t="s">
        <v>167</v>
      </c>
      <c r="AG21" s="40" t="s">
        <v>174</v>
      </c>
      <c r="AH21" s="33" t="s">
        <v>171</v>
      </c>
      <c r="AI21" s="41" t="s">
        <v>175</v>
      </c>
      <c r="AJ21" s="34" t="s">
        <v>172</v>
      </c>
      <c r="AL21" s="9"/>
      <c r="AO21" s="35" t="s">
        <v>173</v>
      </c>
      <c r="AP21" s="35" t="s">
        <v>173</v>
      </c>
      <c r="AU21" s="36">
        <v>3</v>
      </c>
      <c r="AV21" s="31" t="s">
        <v>169</v>
      </c>
      <c r="AW21" s="37" t="s">
        <v>48</v>
      </c>
      <c r="AX21" s="37" t="s">
        <v>48</v>
      </c>
      <c r="AY21" s="38"/>
      <c r="AZ21" s="39">
        <v>6</v>
      </c>
      <c r="BB21" s="26" t="s">
        <v>161</v>
      </c>
      <c r="BC21" s="9"/>
    </row>
    <row r="22" spans="1:55" ht="18" x14ac:dyDescent="0.25">
      <c r="A22" s="12"/>
      <c r="B22" s="30" t="s">
        <v>167</v>
      </c>
      <c r="E22" s="42" t="s">
        <v>176</v>
      </c>
      <c r="F22" s="42" t="s">
        <v>176</v>
      </c>
      <c r="J22" s="7" t="s">
        <v>177</v>
      </c>
      <c r="P22" s="7" t="s">
        <v>178</v>
      </c>
      <c r="AL22" s="9"/>
      <c r="AP22" s="35" t="s">
        <v>173</v>
      </c>
      <c r="AQ22" s="35" t="s">
        <v>173</v>
      </c>
      <c r="AT22" s="36">
        <v>2</v>
      </c>
      <c r="AU22" s="31" t="s">
        <v>169</v>
      </c>
      <c r="AV22" s="37" t="s">
        <v>48</v>
      </c>
      <c r="AW22" s="37" t="s">
        <v>48</v>
      </c>
      <c r="AX22" s="38" t="s">
        <v>169</v>
      </c>
      <c r="AY22" s="39">
        <v>7</v>
      </c>
      <c r="BB22" s="26" t="s">
        <v>161</v>
      </c>
      <c r="BC22" s="9"/>
    </row>
    <row r="23" spans="1:55" ht="18" x14ac:dyDescent="0.25">
      <c r="A23" s="12"/>
      <c r="B23" s="30" t="s">
        <v>167</v>
      </c>
      <c r="E23" s="42" t="s">
        <v>176</v>
      </c>
      <c r="F23" s="42" t="s">
        <v>176</v>
      </c>
      <c r="J23" s="43" t="s">
        <v>179</v>
      </c>
      <c r="K23" s="43" t="s">
        <v>179</v>
      </c>
      <c r="L23" s="43" t="s">
        <v>179</v>
      </c>
      <c r="M23" s="43" t="s">
        <v>179</v>
      </c>
      <c r="P23" s="15" t="s">
        <v>153</v>
      </c>
      <c r="Q23" s="15" t="s">
        <v>153</v>
      </c>
      <c r="R23" s="15" t="s">
        <v>153</v>
      </c>
      <c r="S23" s="15" t="s">
        <v>153</v>
      </c>
      <c r="AL23" s="9"/>
      <c r="AQ23" s="35" t="s">
        <v>173</v>
      </c>
      <c r="AR23" s="35" t="s">
        <v>173</v>
      </c>
      <c r="AS23" s="36">
        <v>1</v>
      </c>
      <c r="AT23" s="31" t="s">
        <v>169</v>
      </c>
      <c r="AU23" s="37" t="s">
        <v>48</v>
      </c>
      <c r="AV23" s="37" t="s">
        <v>48</v>
      </c>
      <c r="AW23" s="38" t="s">
        <v>169</v>
      </c>
      <c r="AX23" s="39">
        <v>8</v>
      </c>
      <c r="BB23" s="26" t="s">
        <v>161</v>
      </c>
      <c r="BC23" s="9"/>
    </row>
    <row r="24" spans="1:55" ht="18" x14ac:dyDescent="0.25">
      <c r="A24" s="12"/>
      <c r="B24" s="30" t="s">
        <v>167</v>
      </c>
      <c r="E24" s="42" t="s">
        <v>176</v>
      </c>
      <c r="F24" s="42" t="s">
        <v>176</v>
      </c>
      <c r="J24" s="43" t="s">
        <v>179</v>
      </c>
      <c r="K24" s="43" t="s">
        <v>179</v>
      </c>
      <c r="L24" s="43" t="s">
        <v>179</v>
      </c>
      <c r="M24" s="43" t="s">
        <v>179</v>
      </c>
      <c r="P24" s="15" t="s">
        <v>153</v>
      </c>
      <c r="Q24" s="15" t="s">
        <v>153</v>
      </c>
      <c r="R24" s="15" t="s">
        <v>153</v>
      </c>
      <c r="S24" s="15" t="s">
        <v>153</v>
      </c>
      <c r="AL24" s="9"/>
      <c r="AT24" s="44" t="s">
        <v>180</v>
      </c>
      <c r="AU24" s="38"/>
      <c r="AV24" s="38"/>
      <c r="BB24" s="26" t="s">
        <v>161</v>
      </c>
      <c r="BC24" s="9"/>
    </row>
    <row r="25" spans="1:55" ht="15.75" x14ac:dyDescent="0.25">
      <c r="A25" s="12"/>
      <c r="E25" s="42" t="s">
        <v>176</v>
      </c>
      <c r="F25" s="42" t="s">
        <v>176</v>
      </c>
      <c r="J25" s="7" t="s">
        <v>177</v>
      </c>
      <c r="AG25" s="45" t="s">
        <v>181</v>
      </c>
      <c r="AH25" s="45" t="s">
        <v>181</v>
      </c>
      <c r="AI25" s="45" t="s">
        <v>181</v>
      </c>
      <c r="AJ25" s="45" t="s">
        <v>181</v>
      </c>
      <c r="AL25" s="9"/>
      <c r="BB25" s="46" t="s">
        <v>182</v>
      </c>
      <c r="BC25" s="9"/>
    </row>
    <row r="26" spans="1:55" ht="15.75" x14ac:dyDescent="0.25">
      <c r="A26" s="12"/>
      <c r="AG26" s="45" t="s">
        <v>181</v>
      </c>
      <c r="AH26" s="45" t="s">
        <v>181</v>
      </c>
      <c r="AI26" s="45" t="s">
        <v>181</v>
      </c>
      <c r="AJ26" s="45" t="s">
        <v>181</v>
      </c>
      <c r="AL26" s="9"/>
      <c r="BB26" s="46" t="s">
        <v>182</v>
      </c>
      <c r="BC26" s="9"/>
    </row>
    <row r="27" spans="1:55" ht="15.75" x14ac:dyDescent="0.25">
      <c r="A27" s="12"/>
      <c r="AL27" s="9"/>
      <c r="BB27" s="46" t="s">
        <v>182</v>
      </c>
      <c r="BC27" s="9"/>
    </row>
    <row r="28" spans="1:55" ht="15.75" x14ac:dyDescent="0.25">
      <c r="A28" s="12"/>
      <c r="AL28" s="9"/>
      <c r="AR28" s="7" t="s">
        <v>183</v>
      </c>
      <c r="AS28" s="47" t="s">
        <v>184</v>
      </c>
      <c r="AT28" s="47" t="s">
        <v>184</v>
      </c>
      <c r="AU28" s="7" t="s">
        <v>185</v>
      </c>
      <c r="BB28" s="46" t="s">
        <v>182</v>
      </c>
      <c r="BC28" s="9"/>
    </row>
    <row r="29" spans="1:55" ht="16.5" thickBot="1" x14ac:dyDescent="0.3">
      <c r="A29" s="12"/>
      <c r="J29" s="47" t="s">
        <v>184</v>
      </c>
      <c r="K29" s="48" t="s">
        <v>184</v>
      </c>
      <c r="L29" s="48" t="s">
        <v>184</v>
      </c>
      <c r="M29" s="48" t="s">
        <v>184</v>
      </c>
      <c r="N29" s="48" t="s">
        <v>184</v>
      </c>
      <c r="O29" s="47" t="s">
        <v>184</v>
      </c>
      <c r="AL29" s="9"/>
      <c r="AR29" s="7" t="s">
        <v>183</v>
      </c>
      <c r="AS29" s="47" t="s">
        <v>184</v>
      </c>
      <c r="AT29" s="47" t="s">
        <v>184</v>
      </c>
      <c r="AU29" s="7" t="s">
        <v>185</v>
      </c>
      <c r="BB29" s="46" t="s">
        <v>182</v>
      </c>
      <c r="BC29" s="9"/>
    </row>
    <row r="30" spans="1:55" ht="15.75" x14ac:dyDescent="0.25">
      <c r="A30" s="12"/>
      <c r="B30" s="49"/>
      <c r="C30" s="50"/>
      <c r="D30" s="50"/>
      <c r="E30" s="50"/>
      <c r="F30" s="50"/>
      <c r="G30" s="50"/>
      <c r="H30" s="824" t="s">
        <v>186</v>
      </c>
      <c r="I30" s="825"/>
      <c r="J30" s="50"/>
      <c r="K30" s="51"/>
      <c r="L30" s="51"/>
      <c r="M30" s="51"/>
      <c r="N30" s="51"/>
      <c r="O30" s="50"/>
      <c r="P30" s="50"/>
      <c r="Q30" s="50"/>
      <c r="R30" s="9"/>
      <c r="AA30" s="828" t="s">
        <v>187</v>
      </c>
      <c r="AB30" s="828"/>
      <c r="AC30" s="828"/>
      <c r="AD30" s="828"/>
      <c r="AL30" s="9"/>
      <c r="BB30" s="46" t="s">
        <v>182</v>
      </c>
      <c r="BC30" s="9"/>
    </row>
    <row r="31" spans="1:55" ht="16.5" thickBot="1" x14ac:dyDescent="0.3">
      <c r="A31" s="12"/>
      <c r="B31" s="9"/>
      <c r="H31" s="826"/>
      <c r="I31" s="827"/>
      <c r="R31" s="9"/>
      <c r="AA31" s="52">
        <v>5</v>
      </c>
      <c r="AB31" s="52">
        <v>6</v>
      </c>
      <c r="AC31" s="52">
        <v>7</v>
      </c>
      <c r="AD31" s="52">
        <v>8</v>
      </c>
      <c r="AL31" s="9"/>
      <c r="BB31" s="46" t="s">
        <v>182</v>
      </c>
      <c r="BC31" s="9"/>
    </row>
    <row r="32" spans="1:55" ht="18.75" x14ac:dyDescent="0.25">
      <c r="A32" s="27"/>
      <c r="B32" s="53"/>
      <c r="C32" s="22"/>
      <c r="D32" s="22"/>
      <c r="E32" s="22"/>
      <c r="F32" s="22"/>
      <c r="G32" s="22"/>
      <c r="Q32" s="22"/>
      <c r="R32" s="9"/>
      <c r="Z32" s="44" t="s">
        <v>188</v>
      </c>
      <c r="AA32" s="54" t="s">
        <v>169</v>
      </c>
      <c r="AB32" s="54" t="s">
        <v>169</v>
      </c>
      <c r="AC32" s="54" t="s">
        <v>169</v>
      </c>
      <c r="AD32" s="54" t="s">
        <v>169</v>
      </c>
      <c r="AL32" s="9"/>
      <c r="AN32" s="828" t="s">
        <v>189</v>
      </c>
      <c r="AO32" s="828"/>
      <c r="AP32" s="828"/>
      <c r="AQ32" s="828"/>
      <c r="AR32" s="828"/>
      <c r="BB32" s="46" t="s">
        <v>182</v>
      </c>
      <c r="BC32" s="9"/>
    </row>
    <row r="33" spans="1:55" ht="21" x14ac:dyDescent="0.25">
      <c r="A33" s="27"/>
      <c r="B33" s="55"/>
      <c r="C33" s="22"/>
      <c r="D33" s="22"/>
      <c r="E33" s="56"/>
      <c r="F33" s="56"/>
      <c r="G33" s="22"/>
      <c r="Q33" s="57"/>
      <c r="R33" s="29" t="s">
        <v>165</v>
      </c>
      <c r="Z33" s="58"/>
      <c r="AA33" s="37" t="s">
        <v>48</v>
      </c>
      <c r="AB33" s="37" t="s">
        <v>48</v>
      </c>
      <c r="AC33" s="37" t="s">
        <v>48</v>
      </c>
      <c r="AD33" s="37" t="s">
        <v>48</v>
      </c>
      <c r="AE33" s="58"/>
      <c r="AL33" s="9"/>
      <c r="AQ33" s="59"/>
      <c r="AR33" s="59"/>
      <c r="AS33" s="60" t="s">
        <v>190</v>
      </c>
      <c r="AU33" s="18" t="s">
        <v>191</v>
      </c>
      <c r="BB33" s="46" t="s">
        <v>182</v>
      </c>
      <c r="BC33" s="9"/>
    </row>
    <row r="34" spans="1:55" ht="23.25" x14ac:dyDescent="0.25">
      <c r="A34" s="27"/>
      <c r="B34" s="55"/>
      <c r="C34" s="22"/>
      <c r="D34" s="22"/>
      <c r="E34" s="61"/>
      <c r="F34" s="61"/>
      <c r="G34" s="22"/>
      <c r="O34" s="22"/>
      <c r="P34" s="57"/>
      <c r="Q34" s="29" t="s">
        <v>165</v>
      </c>
      <c r="Z34" s="62"/>
      <c r="AA34" s="37" t="s">
        <v>48</v>
      </c>
      <c r="AB34" s="37" t="s">
        <v>48</v>
      </c>
      <c r="AC34" s="37" t="s">
        <v>48</v>
      </c>
      <c r="AD34" s="37" t="s">
        <v>48</v>
      </c>
      <c r="AE34" s="62"/>
      <c r="AL34" s="9"/>
      <c r="AO34" s="36">
        <v>4</v>
      </c>
      <c r="AP34" s="63" t="s">
        <v>169</v>
      </c>
      <c r="AQ34" s="37" t="s">
        <v>48</v>
      </c>
      <c r="AR34" s="37" t="s">
        <v>48</v>
      </c>
      <c r="AS34" s="63" t="s">
        <v>169</v>
      </c>
      <c r="AT34" s="39">
        <v>5</v>
      </c>
      <c r="AU34" s="47" t="s">
        <v>184</v>
      </c>
      <c r="AV34" s="47" t="s">
        <v>184</v>
      </c>
      <c r="BB34" s="46" t="s">
        <v>182</v>
      </c>
      <c r="BC34" s="9"/>
    </row>
    <row r="35" spans="1:55" ht="23.25" x14ac:dyDescent="0.25">
      <c r="A35" s="27"/>
      <c r="B35" s="1" t="s">
        <v>71</v>
      </c>
      <c r="C35" s="4" t="s">
        <v>84</v>
      </c>
      <c r="D35" s="2" t="s">
        <v>9</v>
      </c>
      <c r="E35" s="3" t="s">
        <v>11</v>
      </c>
      <c r="F35" s="5" t="s">
        <v>31</v>
      </c>
      <c r="G35" s="6" t="s">
        <v>4</v>
      </c>
      <c r="H35" s="6" t="s">
        <v>4</v>
      </c>
      <c r="I35" s="6" t="s">
        <v>4</v>
      </c>
      <c r="J35" s="64"/>
      <c r="O35" s="57"/>
      <c r="P35" s="29" t="s">
        <v>165</v>
      </c>
      <c r="Z35" s="44"/>
      <c r="AA35" s="65" t="s">
        <v>169</v>
      </c>
      <c r="AB35" s="65" t="s">
        <v>169</v>
      </c>
      <c r="AC35" s="65" t="s">
        <v>169</v>
      </c>
      <c r="AD35" s="65" t="s">
        <v>169</v>
      </c>
      <c r="AL35" s="9"/>
      <c r="AN35" s="36">
        <v>3</v>
      </c>
      <c r="AO35" s="63" t="s">
        <v>169</v>
      </c>
      <c r="AP35" s="37" t="s">
        <v>48</v>
      </c>
      <c r="AQ35" s="37" t="s">
        <v>48</v>
      </c>
      <c r="AR35" s="63" t="s">
        <v>169</v>
      </c>
      <c r="AS35" s="39">
        <v>6</v>
      </c>
      <c r="AV35" s="47" t="s">
        <v>184</v>
      </c>
      <c r="AW35" s="47" t="s">
        <v>184</v>
      </c>
      <c r="BB35" s="46" t="s">
        <v>182</v>
      </c>
      <c r="BC35" s="9"/>
    </row>
    <row r="36" spans="1:55" ht="23.25" x14ac:dyDescent="0.25">
      <c r="A36" s="27"/>
      <c r="B36" s="64" t="s">
        <v>192</v>
      </c>
      <c r="C36" s="64" t="s">
        <v>192</v>
      </c>
      <c r="D36" s="64" t="s">
        <v>192</v>
      </c>
      <c r="E36" s="64" t="s">
        <v>192</v>
      </c>
      <c r="F36" s="64" t="s">
        <v>192</v>
      </c>
      <c r="G36" s="64" t="s">
        <v>192</v>
      </c>
      <c r="H36" s="64" t="s">
        <v>192</v>
      </c>
      <c r="I36" s="64" t="s">
        <v>192</v>
      </c>
      <c r="J36" s="66"/>
      <c r="M36" s="22"/>
      <c r="N36" s="57"/>
      <c r="O36" s="29" t="s">
        <v>165</v>
      </c>
      <c r="AA36" s="52">
        <v>4</v>
      </c>
      <c r="AB36" s="52">
        <v>3</v>
      </c>
      <c r="AC36" s="52">
        <v>2</v>
      </c>
      <c r="AD36" s="52">
        <v>1</v>
      </c>
      <c r="AL36" s="9"/>
      <c r="AM36" s="36">
        <v>2</v>
      </c>
      <c r="AN36" s="63" t="s">
        <v>169</v>
      </c>
      <c r="AO36" s="37" t="s">
        <v>48</v>
      </c>
      <c r="AP36" s="37" t="s">
        <v>48</v>
      </c>
      <c r="AQ36" s="63" t="s">
        <v>169</v>
      </c>
      <c r="AR36" s="39">
        <v>7</v>
      </c>
      <c r="AT36" s="18" t="s">
        <v>193</v>
      </c>
      <c r="AW36" s="47" t="s">
        <v>184</v>
      </c>
      <c r="AX36" s="47" t="s">
        <v>184</v>
      </c>
      <c r="BB36" s="46" t="s">
        <v>182</v>
      </c>
      <c r="BC36" s="9"/>
    </row>
    <row r="37" spans="1:55" ht="23.25" x14ac:dyDescent="0.25">
      <c r="A37" s="27"/>
      <c r="B37" s="67">
        <v>1</v>
      </c>
      <c r="C37" s="67">
        <v>2</v>
      </c>
      <c r="D37" s="67">
        <v>3</v>
      </c>
      <c r="E37" s="67">
        <v>4</v>
      </c>
      <c r="F37" s="67">
        <v>5</v>
      </c>
      <c r="G37" s="67">
        <v>6</v>
      </c>
      <c r="H37" s="67">
        <v>7</v>
      </c>
      <c r="I37" s="67">
        <v>8</v>
      </c>
      <c r="J37" s="68" t="s">
        <v>188</v>
      </c>
      <c r="K37" s="22"/>
      <c r="M37" s="57"/>
      <c r="N37" s="29" t="s">
        <v>165</v>
      </c>
      <c r="U37" s="22"/>
      <c r="V37" s="22"/>
      <c r="W37" s="22"/>
      <c r="X37" s="22"/>
      <c r="Y37" s="22"/>
      <c r="AA37" s="828" t="s">
        <v>187</v>
      </c>
      <c r="AB37" s="828"/>
      <c r="AC37" s="828"/>
      <c r="AD37" s="828"/>
      <c r="AK37" s="69"/>
      <c r="AL37" s="36">
        <v>1</v>
      </c>
      <c r="AM37" s="63" t="s">
        <v>169</v>
      </c>
      <c r="AN37" s="37" t="s">
        <v>48</v>
      </c>
      <c r="AO37" s="37" t="s">
        <v>48</v>
      </c>
      <c r="AP37" s="63" t="s">
        <v>169</v>
      </c>
      <c r="AQ37" s="39">
        <v>8</v>
      </c>
      <c r="AS37" s="70" t="s">
        <v>194</v>
      </c>
      <c r="AT37" s="70" t="s">
        <v>194</v>
      </c>
      <c r="AX37" s="47" t="s">
        <v>184</v>
      </c>
      <c r="AY37" s="47" t="s">
        <v>184</v>
      </c>
      <c r="BB37" s="47" t="s">
        <v>184</v>
      </c>
      <c r="BC37" s="9"/>
    </row>
    <row r="38" spans="1:55" ht="15.75" x14ac:dyDescent="0.25">
      <c r="A38" s="27"/>
      <c r="B38" s="53"/>
      <c r="C38" s="22"/>
      <c r="D38" s="22"/>
      <c r="E38" s="21"/>
      <c r="F38" s="21"/>
      <c r="G38" s="22"/>
      <c r="K38" s="22"/>
      <c r="L38" s="57"/>
      <c r="M38" s="29" t="s">
        <v>165</v>
      </c>
      <c r="P38" s="22"/>
      <c r="Q38" s="42" t="s">
        <v>176</v>
      </c>
      <c r="R38" s="42" t="s">
        <v>176</v>
      </c>
      <c r="S38" s="42" t="s">
        <v>176</v>
      </c>
      <c r="U38" s="21"/>
      <c r="V38" s="26" t="s">
        <v>161</v>
      </c>
      <c r="W38" s="26" t="s">
        <v>161</v>
      </c>
      <c r="X38" s="26" t="s">
        <v>161</v>
      </c>
      <c r="Y38" s="26" t="s">
        <v>161</v>
      </c>
      <c r="AL38" s="9"/>
      <c r="AM38" s="44" t="s">
        <v>195</v>
      </c>
      <c r="AN38" s="59"/>
      <c r="AO38" s="59"/>
      <c r="AS38" s="70" t="s">
        <v>194</v>
      </c>
      <c r="AT38" s="70" t="s">
        <v>194</v>
      </c>
      <c r="BB38" s="47" t="s">
        <v>184</v>
      </c>
      <c r="BC38" s="9"/>
    </row>
    <row r="39" spans="1:55" ht="15.75" x14ac:dyDescent="0.25">
      <c r="A39" s="27"/>
      <c r="B39" s="71"/>
      <c r="C39" s="22"/>
      <c r="D39" s="22"/>
      <c r="E39" s="21"/>
      <c r="F39" s="21"/>
      <c r="G39" s="22"/>
      <c r="J39" s="72"/>
      <c r="K39" s="73"/>
      <c r="L39" s="29" t="s">
        <v>165</v>
      </c>
      <c r="P39" s="22"/>
      <c r="Q39" s="42" t="s">
        <v>176</v>
      </c>
      <c r="R39" s="42" t="s">
        <v>176</v>
      </c>
      <c r="S39" s="42" t="s">
        <v>176</v>
      </c>
      <c r="U39" s="22"/>
      <c r="V39" s="26" t="s">
        <v>161</v>
      </c>
      <c r="W39" s="26" t="s">
        <v>161</v>
      </c>
      <c r="X39" s="26" t="s">
        <v>161</v>
      </c>
      <c r="Y39" s="26" t="s">
        <v>161</v>
      </c>
      <c r="AG39" s="74" t="s">
        <v>196</v>
      </c>
      <c r="AH39" s="75" t="s">
        <v>197</v>
      </c>
      <c r="AI39" s="76" t="s">
        <v>124</v>
      </c>
      <c r="AJ39" s="76" t="s">
        <v>124</v>
      </c>
      <c r="AK39" s="76" t="s">
        <v>124</v>
      </c>
      <c r="AL39" s="9"/>
      <c r="BB39" s="47" t="s">
        <v>184</v>
      </c>
      <c r="BC39" s="9"/>
    </row>
    <row r="40" spans="1:55" ht="15.75" x14ac:dyDescent="0.25">
      <c r="A40" s="27"/>
      <c r="B40" s="53"/>
      <c r="C40" s="22"/>
      <c r="D40" s="22"/>
      <c r="E40" s="21"/>
      <c r="F40" s="21"/>
      <c r="G40" s="22"/>
      <c r="J40" s="77"/>
      <c r="K40" s="29" t="s">
        <v>165</v>
      </c>
      <c r="P40" s="22"/>
      <c r="Q40" s="61"/>
      <c r="R40" s="61"/>
      <c r="S40" s="22"/>
      <c r="U40" s="22"/>
      <c r="V40" s="22"/>
      <c r="W40" s="21"/>
      <c r="X40" s="21"/>
      <c r="Y40" s="22"/>
      <c r="AG40" s="74" t="s">
        <v>196</v>
      </c>
      <c r="AH40" s="75" t="s">
        <v>197</v>
      </c>
      <c r="AI40" s="78" t="s">
        <v>198</v>
      </c>
      <c r="AJ40" s="78" t="s">
        <v>198</v>
      </c>
      <c r="AK40" s="78" t="s">
        <v>198</v>
      </c>
      <c r="AL40" s="9"/>
      <c r="BB40" s="47" t="s">
        <v>184</v>
      </c>
      <c r="BC40" s="9"/>
    </row>
    <row r="41" spans="1:55" ht="15.75" x14ac:dyDescent="0.25">
      <c r="A41" s="27"/>
      <c r="B41" s="55"/>
      <c r="C41" s="22"/>
      <c r="D41" s="22"/>
      <c r="E41" s="21"/>
      <c r="F41" s="21"/>
      <c r="G41" s="22"/>
      <c r="J41" s="72"/>
      <c r="P41" s="61"/>
      <c r="Q41" s="61"/>
      <c r="R41" s="22"/>
      <c r="S41" s="22"/>
      <c r="U41" s="22"/>
      <c r="V41" s="22"/>
      <c r="W41" s="22"/>
      <c r="X41" s="21"/>
      <c r="Y41" s="21"/>
      <c r="AL41" s="9"/>
      <c r="AQ41" s="43" t="s">
        <v>179</v>
      </c>
      <c r="AR41" s="43" t="s">
        <v>179</v>
      </c>
      <c r="AU41" s="15" t="s">
        <v>153</v>
      </c>
      <c r="BC41" s="9"/>
    </row>
    <row r="42" spans="1:55" ht="15.75" x14ac:dyDescent="0.25">
      <c r="A42" s="27"/>
      <c r="B42" s="53"/>
      <c r="C42" s="22"/>
      <c r="D42" s="22"/>
      <c r="E42" s="22"/>
      <c r="F42" s="22"/>
      <c r="G42" s="22"/>
      <c r="J42" s="72"/>
      <c r="AL42" s="9"/>
      <c r="AP42" s="43" t="s">
        <v>179</v>
      </c>
      <c r="AQ42" s="43" t="s">
        <v>179</v>
      </c>
      <c r="AU42" s="15" t="s">
        <v>153</v>
      </c>
      <c r="AV42" s="15" t="s">
        <v>153</v>
      </c>
      <c r="BC42" s="9"/>
    </row>
    <row r="43" spans="1:55" ht="15.75" x14ac:dyDescent="0.25">
      <c r="A43" s="27"/>
      <c r="B43" s="55"/>
      <c r="C43" s="22"/>
      <c r="D43" s="22"/>
      <c r="E43" s="22"/>
      <c r="F43" s="22"/>
      <c r="G43" s="22"/>
      <c r="J43" s="77"/>
      <c r="AL43" s="9"/>
      <c r="AO43" s="43" t="s">
        <v>179</v>
      </c>
      <c r="AP43" s="43" t="s">
        <v>179</v>
      </c>
      <c r="AV43" s="15" t="s">
        <v>153</v>
      </c>
      <c r="AW43" s="15" t="s">
        <v>153</v>
      </c>
      <c r="BC43" s="9"/>
    </row>
    <row r="44" spans="1:55" ht="15.75" x14ac:dyDescent="0.25">
      <c r="A44" s="27"/>
      <c r="B44" s="53"/>
      <c r="C44" s="22"/>
      <c r="D44" s="22"/>
      <c r="E44" s="79"/>
      <c r="F44" s="79"/>
      <c r="G44" s="22"/>
      <c r="J44" s="72"/>
      <c r="AL44" s="9"/>
      <c r="AN44" s="43" t="s">
        <v>179</v>
      </c>
      <c r="AO44" s="43" t="s">
        <v>179</v>
      </c>
      <c r="AW44" s="15" t="s">
        <v>153</v>
      </c>
      <c r="AX44" s="15" t="s">
        <v>153</v>
      </c>
      <c r="BC44" s="9"/>
    </row>
    <row r="45" spans="1:55" ht="15.75" x14ac:dyDescent="0.25">
      <c r="A45" s="27"/>
      <c r="B45" s="55"/>
      <c r="C45" s="22"/>
      <c r="D45" s="22"/>
      <c r="E45" s="79"/>
      <c r="F45" s="79"/>
      <c r="G45" s="22"/>
      <c r="J45" s="72"/>
      <c r="Y45" s="80"/>
      <c r="AN45" s="18" t="s">
        <v>199</v>
      </c>
      <c r="AX45" s="15" t="s">
        <v>153</v>
      </c>
      <c r="BC45" s="9"/>
    </row>
    <row r="46" spans="1:55" ht="15.75" x14ac:dyDescent="0.25">
      <c r="A46" s="27"/>
      <c r="B46" s="53"/>
      <c r="C46" s="22"/>
      <c r="D46" s="22"/>
      <c r="E46" s="79"/>
      <c r="F46" s="79"/>
      <c r="G46" s="22"/>
      <c r="J46" s="77"/>
      <c r="X46" s="80"/>
      <c r="BC46" s="9"/>
    </row>
    <row r="47" spans="1:55" ht="16.5" thickBot="1" x14ac:dyDescent="0.3">
      <c r="A47" s="27"/>
      <c r="B47" s="53"/>
      <c r="C47" s="22"/>
      <c r="D47" s="22"/>
      <c r="E47" s="22"/>
      <c r="F47" s="22"/>
      <c r="G47" s="22"/>
      <c r="J47" s="72"/>
      <c r="L47" s="26" t="s">
        <v>161</v>
      </c>
      <c r="M47" s="26" t="s">
        <v>161</v>
      </c>
      <c r="N47" s="26" t="s">
        <v>161</v>
      </c>
      <c r="O47" s="26" t="s">
        <v>161</v>
      </c>
      <c r="P47" s="26" t="s">
        <v>161</v>
      </c>
      <c r="Q47" s="26" t="s">
        <v>161</v>
      </c>
      <c r="R47" s="26" t="s">
        <v>161</v>
      </c>
      <c r="S47" s="26" t="s">
        <v>161</v>
      </c>
      <c r="W47" s="80"/>
      <c r="BC47" s="9"/>
    </row>
    <row r="48" spans="1:55" x14ac:dyDescent="0.25">
      <c r="A48" s="27"/>
      <c r="B48" s="53"/>
      <c r="C48" s="81"/>
      <c r="D48" s="22"/>
      <c r="E48" s="22"/>
      <c r="F48" s="22"/>
      <c r="G48" s="22"/>
      <c r="J48" s="72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BC48" s="9"/>
    </row>
    <row r="49" spans="1:55" ht="18.75" x14ac:dyDescent="0.25">
      <c r="A49" s="12"/>
      <c r="C49" s="82"/>
      <c r="D49" s="83"/>
      <c r="J49" s="77"/>
      <c r="BC49" s="9"/>
    </row>
    <row r="50" spans="1:55" ht="15.75" thickBot="1" x14ac:dyDescent="0.3">
      <c r="A50" s="12"/>
      <c r="J50" s="72"/>
      <c r="BC50" s="9"/>
    </row>
    <row r="51" spans="1:55" x14ac:dyDescent="0.25">
      <c r="A51" s="12"/>
      <c r="B51" s="50"/>
      <c r="C51" s="50"/>
      <c r="D51" s="50"/>
      <c r="E51" s="50"/>
      <c r="F51" s="50"/>
      <c r="G51" s="50"/>
      <c r="H51" s="50"/>
      <c r="I51" s="50"/>
      <c r="Y51" s="80"/>
      <c r="Z51" s="829" t="s">
        <v>200</v>
      </c>
      <c r="AA51" s="830"/>
      <c r="AB51" s="830"/>
      <c r="AC51" s="830"/>
      <c r="AD51" s="830"/>
      <c r="AE51" s="830"/>
      <c r="AF51" s="831"/>
      <c r="BC51" s="9"/>
    </row>
    <row r="52" spans="1:55" x14ac:dyDescent="0.25">
      <c r="A52" s="12"/>
      <c r="X52" s="80"/>
      <c r="Z52" s="832"/>
      <c r="AA52" s="833"/>
      <c r="AB52" s="833"/>
      <c r="AC52" s="833"/>
      <c r="AD52" s="833"/>
      <c r="AE52" s="833"/>
      <c r="AF52" s="834"/>
      <c r="BC52" s="9"/>
    </row>
    <row r="53" spans="1:55" ht="16.5" thickBot="1" x14ac:dyDescent="0.3">
      <c r="A53" s="12"/>
      <c r="W53" s="80"/>
      <c r="Z53" s="835"/>
      <c r="AA53" s="836"/>
      <c r="AB53" s="836"/>
      <c r="AC53" s="836"/>
      <c r="AD53" s="836"/>
      <c r="AE53" s="836"/>
      <c r="AF53" s="837"/>
      <c r="AH53" s="45" t="s">
        <v>181</v>
      </c>
      <c r="AI53" s="45" t="s">
        <v>181</v>
      </c>
      <c r="AJ53" s="45" t="s">
        <v>181</v>
      </c>
      <c r="AK53" s="45" t="s">
        <v>181</v>
      </c>
      <c r="BC53" s="9"/>
    </row>
    <row r="54" spans="1:55" x14ac:dyDescent="0.25"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</row>
    <row r="64" spans="1:55" x14ac:dyDescent="0.25">
      <c r="M64" s="84"/>
    </row>
    <row r="65" spans="1:53" x14ac:dyDescent="0.25">
      <c r="M65" s="84"/>
    </row>
    <row r="66" spans="1:53" ht="15.75" thickBot="1" x14ac:dyDescent="0.3">
      <c r="M66" s="84"/>
    </row>
    <row r="67" spans="1:53" ht="29.25" thickBot="1" x14ac:dyDescent="0.3">
      <c r="A67" s="838" t="s">
        <v>201</v>
      </c>
      <c r="B67" s="839"/>
      <c r="C67" s="839"/>
      <c r="D67" s="839"/>
      <c r="E67" s="839"/>
      <c r="F67" s="839"/>
      <c r="G67" s="839"/>
      <c r="H67" s="839"/>
      <c r="I67" s="840"/>
      <c r="J67" s="841">
        <f>IFERROR(SUM(AE84:AE200)+G69,"")</f>
        <v>270</v>
      </c>
      <c r="K67" s="842"/>
      <c r="L67" s="842"/>
      <c r="M67" s="843"/>
      <c r="Q67" s="844" t="s">
        <v>202</v>
      </c>
      <c r="R67" s="844"/>
      <c r="S67" s="844"/>
      <c r="T67" s="844"/>
      <c r="W67" s="844" t="s">
        <v>203</v>
      </c>
      <c r="X67" s="844"/>
      <c r="Y67" s="844"/>
      <c r="Z67" s="844"/>
      <c r="AB67" s="85"/>
      <c r="AC67" s="85"/>
      <c r="AD67" s="85"/>
      <c r="AE67" s="85"/>
      <c r="AF67" s="85"/>
      <c r="AG67" s="85"/>
    </row>
    <row r="68" spans="1:53" ht="24" thickBot="1" x14ac:dyDescent="0.35">
      <c r="A68" s="86" t="s">
        <v>204</v>
      </c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8"/>
      <c r="Q68" s="814" t="s">
        <v>205</v>
      </c>
      <c r="R68" s="814"/>
      <c r="S68" s="814" t="s">
        <v>206</v>
      </c>
      <c r="T68" s="814"/>
      <c r="W68" s="814" t="s">
        <v>205</v>
      </c>
      <c r="X68" s="814"/>
      <c r="Y68" s="814" t="s">
        <v>206</v>
      </c>
      <c r="Z68" s="814"/>
      <c r="AB68" s="89"/>
      <c r="AC68" s="89"/>
      <c r="AD68" s="89"/>
      <c r="AE68" s="89"/>
      <c r="AF68" s="89"/>
      <c r="AG68" s="89"/>
    </row>
    <row r="69" spans="1:53" ht="24" thickBot="1" x14ac:dyDescent="0.35">
      <c r="A69" s="815" t="s">
        <v>207</v>
      </c>
      <c r="B69" s="816"/>
      <c r="C69" s="816"/>
      <c r="D69" s="816"/>
      <c r="E69" s="816"/>
      <c r="F69" s="817"/>
      <c r="G69" s="818">
        <f>I84+V84</f>
        <v>8</v>
      </c>
      <c r="H69" s="819"/>
      <c r="I69" s="820"/>
      <c r="Q69" s="821"/>
      <c r="R69" s="821"/>
      <c r="S69" s="822"/>
      <c r="T69" s="822"/>
      <c r="W69" s="823">
        <v>45099</v>
      </c>
      <c r="X69" s="823"/>
      <c r="Y69" s="822" t="s">
        <v>208</v>
      </c>
      <c r="Z69" s="822"/>
      <c r="AB69" s="89"/>
      <c r="AC69" s="89"/>
      <c r="AD69" s="89"/>
      <c r="AE69" s="89"/>
      <c r="AF69" s="89"/>
      <c r="AG69" s="89"/>
    </row>
    <row r="70" spans="1:53" ht="24" thickBot="1" x14ac:dyDescent="0.4">
      <c r="A70" s="90"/>
      <c r="B70" s="90"/>
      <c r="C70" s="90"/>
      <c r="D70" s="90"/>
      <c r="E70" s="90"/>
      <c r="F70" s="90"/>
      <c r="G70" s="90"/>
      <c r="H70" s="90"/>
      <c r="I70" s="90"/>
      <c r="Q70" s="91"/>
      <c r="R70" s="92" t="s">
        <v>209</v>
      </c>
      <c r="S70" s="93" t="s">
        <v>210</v>
      </c>
      <c r="T70" s="93" t="s">
        <v>211</v>
      </c>
      <c r="U70" s="807" t="s">
        <v>212</v>
      </c>
      <c r="V70" s="808"/>
      <c r="W70" s="94" t="s">
        <v>213</v>
      </c>
      <c r="X70" s="92" t="s">
        <v>209</v>
      </c>
      <c r="Y70" s="93" t="s">
        <v>210</v>
      </c>
      <c r="Z70" s="93" t="s">
        <v>211</v>
      </c>
      <c r="AF70" s="95"/>
      <c r="AG70" s="95"/>
    </row>
    <row r="71" spans="1:53" ht="22.5" thickTop="1" thickBot="1" x14ac:dyDescent="0.3">
      <c r="A71" s="809" t="s">
        <v>214</v>
      </c>
      <c r="B71" s="810"/>
      <c r="C71" s="810"/>
      <c r="D71" s="810"/>
      <c r="E71" s="96">
        <f>I80+V80</f>
        <v>8</v>
      </c>
      <c r="F71" s="90"/>
      <c r="G71" s="90"/>
      <c r="H71" s="90"/>
      <c r="I71" s="90"/>
      <c r="Q71" s="97" t="s">
        <v>215</v>
      </c>
      <c r="R71" s="98"/>
      <c r="S71" s="98"/>
      <c r="T71" s="98"/>
      <c r="W71" s="97" t="s">
        <v>215</v>
      </c>
      <c r="X71" s="98" t="str">
        <f>IF(ISBLANK(W70)," ",IFERROR(VLOOKUP("TOTAL",#REF!,13,0),""))</f>
        <v/>
      </c>
      <c r="Y71" s="98" t="str">
        <f>IF(ISBLANK(W70)," ",IFERROR(VLOOKUP("TOTAL F POWER",#REF!,13,0),""))</f>
        <v/>
      </c>
      <c r="Z71" s="98" t="str">
        <f>IF(ISBLANK(W70)," ",IFERROR(VLOOKUP("TOTAL SIN F POWER",#REF!,13,0),""))</f>
        <v/>
      </c>
      <c r="AF71" s="99"/>
      <c r="AG71" s="99"/>
    </row>
    <row r="72" spans="1:53" ht="23.25" thickTop="1" thickBot="1" x14ac:dyDescent="0.3">
      <c r="A72" s="809" t="s">
        <v>216</v>
      </c>
      <c r="B72" s="810"/>
      <c r="C72" s="810"/>
      <c r="D72" s="810"/>
      <c r="E72" s="96">
        <f>I81+V81</f>
        <v>0</v>
      </c>
      <c r="F72" s="90"/>
      <c r="G72" s="90"/>
      <c r="H72" s="90"/>
      <c r="I72" s="100"/>
      <c r="Q72" s="101" t="s">
        <v>217</v>
      </c>
      <c r="R72" s="102"/>
      <c r="S72" s="102"/>
      <c r="T72" s="102"/>
      <c r="W72" s="101" t="s">
        <v>217</v>
      </c>
      <c r="X72" s="103" t="str">
        <f>IF(ISBLANK(W70)," ",IFERROR(VLOOKUP("TOTAL",#REF!,4,0),""))</f>
        <v/>
      </c>
      <c r="Y72" s="103" t="str">
        <f>IF(ISBLANK(W70)," ",IFERROR(VLOOKUP("TOTAL F POWER",#REF!,4,0),""))</f>
        <v/>
      </c>
      <c r="Z72" s="103" t="str">
        <f>IF(ISBLANK(W70)," ",IFERROR(VLOOKUP("TOTAL SIN F POWER",#REF!,4,0),""))</f>
        <v/>
      </c>
      <c r="AF72" s="99"/>
      <c r="AG72" s="99"/>
    </row>
    <row r="73" spans="1:53" ht="47.25" thickBot="1" x14ac:dyDescent="0.3">
      <c r="F73" s="104"/>
      <c r="G73" s="90"/>
      <c r="H73" s="90"/>
      <c r="I73" s="90"/>
      <c r="Q73" s="105" t="s">
        <v>218</v>
      </c>
      <c r="R73" s="106"/>
      <c r="S73" s="106"/>
      <c r="T73" s="106"/>
      <c r="W73" s="105" t="s">
        <v>218</v>
      </c>
      <c r="X73" s="106" t="str">
        <f>IF(ISBLANK(W70)," ",IFERROR(VLOOKUP("TOTAL",#REF!,14,0),""))</f>
        <v/>
      </c>
      <c r="Y73" s="106" t="str">
        <f>IF(ISBLANK(W70)," ",IFERROR(VLOOKUP("TOTAL F POWER",#REF!,14,0),""))</f>
        <v/>
      </c>
      <c r="Z73" s="106" t="str">
        <f>IF(ISBLANK(W70)," ",IFERROR(VLOOKUP("TOTAL SIN F POWER",#REF!,14,0),""))</f>
        <v/>
      </c>
      <c r="AF73" s="107"/>
      <c r="AG73" s="107"/>
    </row>
    <row r="74" spans="1:53" ht="21.75" thickBot="1" x14ac:dyDescent="0.3">
      <c r="A74" s="811" t="s">
        <v>219</v>
      </c>
      <c r="B74" s="812"/>
      <c r="C74" s="812"/>
      <c r="D74" s="813"/>
      <c r="E74" s="108">
        <f>K184+X184</f>
        <v>8</v>
      </c>
      <c r="F74" s="90"/>
      <c r="G74" s="90"/>
      <c r="H74" s="90"/>
      <c r="I74" s="90"/>
      <c r="Q74" s="109" t="s">
        <v>220</v>
      </c>
      <c r="R74" s="110"/>
      <c r="S74" s="110"/>
      <c r="T74" s="110"/>
      <c r="W74" s="109" t="s">
        <v>220</v>
      </c>
      <c r="X74" s="111" t="str">
        <f>IF(ISBLANK(W70)," ",IFERROR(VLOOKUP("TOTAL",#REF!,11,0),""))</f>
        <v/>
      </c>
      <c r="Y74" s="111" t="str">
        <f>IF(ISBLANK(W70)," ",IFERROR(VLOOKUP("TOTAL F POWER",#REF!,11,0),""))</f>
        <v/>
      </c>
      <c r="Z74" s="111" t="str">
        <f>IF(ISBLANK(W70)," ",IFERROR(VLOOKUP("TOTAL SIN F POWER",#REF!,11,0),""))</f>
        <v/>
      </c>
    </row>
    <row r="75" spans="1:53" ht="21.75" thickBot="1" x14ac:dyDescent="0.3">
      <c r="A75" s="811" t="s">
        <v>221</v>
      </c>
      <c r="B75" s="812"/>
      <c r="C75" s="812"/>
      <c r="D75" s="813"/>
      <c r="E75" s="112">
        <f>L184+Y184</f>
        <v>0</v>
      </c>
      <c r="F75" s="90"/>
      <c r="G75" s="90"/>
      <c r="H75" s="90"/>
      <c r="I75" s="90"/>
      <c r="Q75" s="113" t="s">
        <v>222</v>
      </c>
      <c r="R75" s="114"/>
      <c r="S75" s="114"/>
      <c r="T75" s="114"/>
      <c r="W75" s="113" t="s">
        <v>222</v>
      </c>
      <c r="X75" s="115" t="str">
        <f>IF(ISBLANK(W70)," ",IFERROR(VLOOKUP("TOTAL",#REF!,15,0),""))</f>
        <v/>
      </c>
      <c r="Y75" s="115" t="str">
        <f>IF(ISBLANK(W70)," ",IFERROR(VLOOKUP("TOTAL F POWER",#REF!,15,0),""))</f>
        <v/>
      </c>
      <c r="Z75" s="115" t="str">
        <f>IF(ISBLANK(W70)," ",IFERROR(VLOOKUP("TOTAL SIN F POWER",#REF!,15,0),""))</f>
        <v/>
      </c>
    </row>
    <row r="76" spans="1:53" ht="30.75" thickBot="1" x14ac:dyDescent="0.3">
      <c r="A76" s="811" t="s">
        <v>223</v>
      </c>
      <c r="B76" s="812"/>
      <c r="C76" s="812"/>
      <c r="D76" s="813"/>
      <c r="E76" s="116">
        <f>J184+W184</f>
        <v>0</v>
      </c>
      <c r="Q76" s="117" t="s">
        <v>224</v>
      </c>
      <c r="R76" s="118"/>
      <c r="S76" s="118"/>
      <c r="T76" s="118"/>
      <c r="W76" s="117" t="s">
        <v>224</v>
      </c>
      <c r="X76" s="119" t="str">
        <f>IF(ISBLANK(W70)," ",IFERROR(VLOOKUP("TOTAL",#REF!,16,0),""))</f>
        <v/>
      </c>
      <c r="Y76" s="119" t="str">
        <f>IF(ISBLANK(W70)," ",IFERROR(VLOOKUP("TOTAL F POWER",#REF!,16,0),""))</f>
        <v/>
      </c>
      <c r="Z76" s="119" t="str">
        <f>IF(ISBLANK(W70)," ",IFERROR(VLOOKUP("TOTAL SIN F POWER",#REF!,16,0),""))</f>
        <v/>
      </c>
    </row>
    <row r="79" spans="1:53" ht="47.25" thickBot="1" x14ac:dyDescent="0.75">
      <c r="A79" s="797" t="s">
        <v>225</v>
      </c>
      <c r="B79" s="798"/>
      <c r="C79" s="798"/>
      <c r="D79" s="798"/>
      <c r="E79" s="798"/>
      <c r="F79" s="798"/>
      <c r="G79" s="798"/>
      <c r="H79" s="798"/>
      <c r="I79" s="798"/>
      <c r="J79" s="798"/>
      <c r="K79" s="798"/>
      <c r="L79" s="798"/>
      <c r="M79" s="798"/>
      <c r="N79" s="798"/>
      <c r="O79" s="798"/>
      <c r="P79" s="798"/>
      <c r="Q79" s="798"/>
      <c r="R79" s="798"/>
      <c r="S79" s="798"/>
      <c r="T79" s="798"/>
      <c r="U79" s="798"/>
      <c r="V79" s="798"/>
      <c r="W79" s="798"/>
      <c r="X79" s="798"/>
      <c r="Y79" s="798"/>
      <c r="Z79" s="798"/>
      <c r="AA79" s="88"/>
    </row>
    <row r="80" spans="1:53" ht="27.75" thickTop="1" thickBot="1" x14ac:dyDescent="0.45">
      <c r="D80" s="785" t="s">
        <v>226</v>
      </c>
      <c r="E80" s="786"/>
      <c r="F80" s="786"/>
      <c r="G80" s="787"/>
      <c r="H80" s="787"/>
      <c r="I80" s="799">
        <f>COUNTIF($B$3:$Q$29,"25C")+COUNTIF($K$40:$Q$47,"25C")+COUNTIF($R$4:$BB$53,"25C")</f>
        <v>0</v>
      </c>
      <c r="J80" s="800"/>
      <c r="M80" s="84"/>
      <c r="Q80" s="785" t="s">
        <v>227</v>
      </c>
      <c r="R80" s="786"/>
      <c r="S80" s="786"/>
      <c r="T80" s="787"/>
      <c r="U80" s="787"/>
      <c r="V80" s="799">
        <f>COUNTIF($K$30:$Q$38,"25C")+COUNTIF($B$30:$J$50,"25C")</f>
        <v>8</v>
      </c>
      <c r="W80" s="800"/>
      <c r="AA80" s="120"/>
      <c r="AB80" s="121"/>
      <c r="AC80" s="801" t="s">
        <v>228</v>
      </c>
      <c r="AD80" s="802"/>
      <c r="AE80" s="802"/>
      <c r="AF80" s="803"/>
      <c r="AG80" s="121"/>
      <c r="AI80" s="122"/>
      <c r="AJ80" s="123"/>
      <c r="AK80" s="123"/>
      <c r="AL80" s="123"/>
      <c r="AM80" s="123"/>
      <c r="AN80" s="123"/>
      <c r="AO80" s="123"/>
      <c r="AP80" s="123"/>
      <c r="AQ80" s="123"/>
      <c r="AR80" s="123"/>
      <c r="AS80" s="123"/>
      <c r="AT80" s="123"/>
      <c r="AU80" s="123"/>
      <c r="AV80" s="123"/>
      <c r="AW80" s="123"/>
      <c r="AX80" s="123"/>
      <c r="AY80" s="123"/>
      <c r="AZ80" s="123"/>
      <c r="BA80" s="124"/>
    </row>
    <row r="81" spans="1:58" ht="22.5" thickTop="1" thickBot="1" x14ac:dyDescent="0.4">
      <c r="D81" s="785" t="s">
        <v>229</v>
      </c>
      <c r="E81" s="786"/>
      <c r="F81" s="786"/>
      <c r="G81" s="787"/>
      <c r="H81" s="787"/>
      <c r="I81" s="799">
        <f>COUNTIF($B$3:$Q$29,"50C")+COUNTIF($K$40:$Q$47,"50C")+COUNTIF($R$4:$BB$53,"50C")</f>
        <v>0</v>
      </c>
      <c r="J81" s="800"/>
      <c r="M81" s="84"/>
      <c r="Q81" s="785" t="s">
        <v>230</v>
      </c>
      <c r="R81" s="786"/>
      <c r="S81" s="786"/>
      <c r="T81" s="787"/>
      <c r="U81" s="787"/>
      <c r="V81" s="799">
        <f>COUNTIF($K$30:$Q$38,"50C")+COUNTIF($B$30:$J$50,"50C")</f>
        <v>0</v>
      </c>
      <c r="W81" s="800"/>
      <c r="AA81" s="120"/>
      <c r="AC81" s="804"/>
      <c r="AD81" s="805"/>
      <c r="AE81" s="805"/>
      <c r="AF81" s="806"/>
      <c r="AH81" s="125"/>
      <c r="AI81" s="792" t="s">
        <v>231</v>
      </c>
      <c r="AJ81" s="793"/>
      <c r="AK81" s="793"/>
      <c r="AL81" s="793"/>
      <c r="AM81" s="793"/>
      <c r="AN81" s="794"/>
      <c r="AO81" s="126" t="s">
        <v>209</v>
      </c>
      <c r="AP81" s="127"/>
      <c r="AQ81" s="125"/>
      <c r="AR81" s="658" t="s">
        <v>232</v>
      </c>
      <c r="AS81" s="659"/>
      <c r="AT81" s="659"/>
      <c r="AU81" s="659"/>
      <c r="AV81" s="659"/>
      <c r="AW81" s="643"/>
      <c r="AX81" s="126" t="s">
        <v>209</v>
      </c>
      <c r="AY81" s="127"/>
      <c r="AZ81" s="125"/>
      <c r="BA81" s="128"/>
    </row>
    <row r="82" spans="1:58" ht="27" thickBot="1" x14ac:dyDescent="0.45">
      <c r="A82" s="87"/>
      <c r="B82" s="87"/>
      <c r="C82" s="87"/>
      <c r="D82" s="785" t="s">
        <v>233</v>
      </c>
      <c r="E82" s="786"/>
      <c r="F82" s="786"/>
      <c r="G82" s="787"/>
      <c r="H82" s="788"/>
      <c r="I82" s="789">
        <f>G108</f>
        <v>0</v>
      </c>
      <c r="J82" s="790"/>
      <c r="K82" s="87"/>
      <c r="L82" s="83"/>
      <c r="M82" s="120"/>
      <c r="N82" s="120"/>
      <c r="O82" s="129"/>
      <c r="P82" s="129"/>
      <c r="Q82" s="785" t="s">
        <v>234</v>
      </c>
      <c r="R82" s="786"/>
      <c r="S82" s="786"/>
      <c r="T82" s="786"/>
      <c r="U82" s="791"/>
      <c r="V82" s="789">
        <f>T108</f>
        <v>4</v>
      </c>
      <c r="W82" s="790"/>
      <c r="X82" s="129"/>
      <c r="Y82" s="129"/>
      <c r="Z82" s="130"/>
      <c r="AA82" s="120"/>
      <c r="AC82" s="795" t="s">
        <v>235</v>
      </c>
      <c r="AD82" s="796"/>
      <c r="AE82" s="131" t="s">
        <v>236</v>
      </c>
      <c r="AF82" s="132" t="s">
        <v>237</v>
      </c>
      <c r="AH82" s="125"/>
      <c r="AI82" s="644" t="s">
        <v>238</v>
      </c>
      <c r="AJ82" s="645"/>
      <c r="AK82" s="645"/>
      <c r="AL82" s="645"/>
      <c r="AM82" s="645"/>
      <c r="AN82" s="133" t="s">
        <v>239</v>
      </c>
      <c r="AO82" s="134">
        <f t="shared" ref="AO82:AO145" si="0">COUNTIF($A$1:$GO$59,AN82)</f>
        <v>0</v>
      </c>
      <c r="AP82" s="135"/>
      <c r="AQ82" s="125"/>
      <c r="AR82" s="655" t="s">
        <v>240</v>
      </c>
      <c r="AS82" s="656"/>
      <c r="AT82" s="656"/>
      <c r="AU82" s="656"/>
      <c r="AV82" s="656"/>
      <c r="AW82" s="32" t="s">
        <v>241</v>
      </c>
      <c r="AX82" s="134">
        <f t="shared" ref="AX82:AX122" si="1">COUNTIF($A$1:$GO$59,AW82)</f>
        <v>0</v>
      </c>
      <c r="AY82" s="138"/>
      <c r="AZ82" s="125"/>
      <c r="BA82" s="128"/>
      <c r="BC82" s="139"/>
      <c r="BD82" s="139"/>
      <c r="BE82" s="139"/>
      <c r="BF82" s="139"/>
    </row>
    <row r="83" spans="1:58" ht="21.75" thickBot="1" x14ac:dyDescent="0.4">
      <c r="C83" s="140" t="b">
        <v>0</v>
      </c>
      <c r="D83" s="785" t="s">
        <v>242</v>
      </c>
      <c r="E83" s="786"/>
      <c r="F83" s="786"/>
      <c r="G83" s="787"/>
      <c r="H83" s="788"/>
      <c r="I83" s="789">
        <f>G132</f>
        <v>0</v>
      </c>
      <c r="J83" s="790"/>
      <c r="M83" s="84"/>
      <c r="Q83" s="785" t="s">
        <v>243</v>
      </c>
      <c r="R83" s="786"/>
      <c r="S83" s="786"/>
      <c r="T83" s="786"/>
      <c r="U83" s="791"/>
      <c r="V83" s="789">
        <f>T132</f>
        <v>0</v>
      </c>
      <c r="W83" s="790"/>
      <c r="AA83" s="140"/>
      <c r="AC83" s="775" t="s">
        <v>244</v>
      </c>
      <c r="AD83" s="776"/>
      <c r="AE83" s="776"/>
      <c r="AF83" s="776"/>
      <c r="AH83" s="125"/>
      <c r="AI83" s="644" t="s">
        <v>245</v>
      </c>
      <c r="AJ83" s="645"/>
      <c r="AK83" s="645"/>
      <c r="AL83" s="645"/>
      <c r="AM83" s="645"/>
      <c r="AN83" s="141" t="s">
        <v>246</v>
      </c>
      <c r="AO83" s="134">
        <f t="shared" si="0"/>
        <v>0</v>
      </c>
      <c r="AP83" s="135"/>
      <c r="AQ83" s="125"/>
      <c r="AR83" s="655" t="s">
        <v>247</v>
      </c>
      <c r="AS83" s="656"/>
      <c r="AT83" s="656"/>
      <c r="AU83" s="656"/>
      <c r="AV83" s="656"/>
      <c r="AW83" s="142" t="s">
        <v>248</v>
      </c>
      <c r="AX83" s="134">
        <f t="shared" si="1"/>
        <v>0</v>
      </c>
      <c r="AY83" s="143"/>
      <c r="AZ83" s="125"/>
      <c r="BA83" s="128"/>
      <c r="BC83" s="144"/>
      <c r="BD83" s="144"/>
      <c r="BE83" s="145"/>
      <c r="BF83" s="145"/>
    </row>
    <row r="84" spans="1:58" ht="21.75" thickBot="1" x14ac:dyDescent="0.4">
      <c r="C84" s="140" t="b">
        <v>0</v>
      </c>
      <c r="D84" s="780" t="s">
        <v>249</v>
      </c>
      <c r="E84" s="781"/>
      <c r="F84" s="781"/>
      <c r="G84" s="781"/>
      <c r="H84" s="782"/>
      <c r="I84" s="783">
        <f>G184</f>
        <v>0</v>
      </c>
      <c r="J84" s="784"/>
      <c r="M84" s="84"/>
      <c r="Q84" s="780" t="s">
        <v>250</v>
      </c>
      <c r="R84" s="781"/>
      <c r="S84" s="781"/>
      <c r="T84" s="781"/>
      <c r="U84" s="782"/>
      <c r="V84" s="783">
        <f>T184</f>
        <v>8</v>
      </c>
      <c r="W84" s="784"/>
      <c r="AA84" s="84"/>
      <c r="AC84" s="146" t="s">
        <v>231</v>
      </c>
      <c r="AD84" s="147" t="s">
        <v>231</v>
      </c>
      <c r="AE84" s="148">
        <f>AO158</f>
        <v>10</v>
      </c>
      <c r="AF84" s="149" t="str">
        <f>IFERROR(AE84/$J$4,"")</f>
        <v/>
      </c>
      <c r="AH84" s="125"/>
      <c r="AI84" s="644" t="s">
        <v>251</v>
      </c>
      <c r="AJ84" s="645"/>
      <c r="AK84" s="645"/>
      <c r="AL84" s="645"/>
      <c r="AM84" s="645"/>
      <c r="AN84" s="150" t="s">
        <v>252</v>
      </c>
      <c r="AO84" s="134">
        <f t="shared" si="0"/>
        <v>0</v>
      </c>
      <c r="AP84" s="135"/>
      <c r="AQ84" s="125"/>
      <c r="AR84" s="655" t="s">
        <v>253</v>
      </c>
      <c r="AS84" s="656"/>
      <c r="AT84" s="656"/>
      <c r="AU84" s="656"/>
      <c r="AV84" s="656"/>
      <c r="AW84" s="151" t="s">
        <v>254</v>
      </c>
      <c r="AX84" s="134">
        <f t="shared" si="1"/>
        <v>0</v>
      </c>
      <c r="AY84" s="143"/>
      <c r="AZ84" s="125"/>
      <c r="BA84" s="128"/>
      <c r="BC84" s="144"/>
      <c r="BD84" s="144"/>
      <c r="BE84" s="145"/>
      <c r="BF84" s="145"/>
    </row>
    <row r="85" spans="1:58" ht="21" x14ac:dyDescent="0.35">
      <c r="A85" s="22"/>
      <c r="B85" s="22"/>
      <c r="C85" s="152"/>
      <c r="D85" s="153"/>
      <c r="E85" s="153"/>
      <c r="F85" s="153"/>
      <c r="G85" s="153"/>
      <c r="H85" s="153"/>
      <c r="I85" s="154"/>
      <c r="J85" s="154"/>
      <c r="K85" s="22"/>
      <c r="L85" s="22"/>
      <c r="M85" s="155"/>
      <c r="N85" s="22"/>
      <c r="O85" s="22"/>
      <c r="P85" s="22"/>
      <c r="Q85" s="153"/>
      <c r="R85" s="153"/>
      <c r="S85" s="153"/>
      <c r="T85" s="153"/>
      <c r="U85" s="153"/>
      <c r="V85" s="154"/>
      <c r="W85" s="154"/>
      <c r="X85" s="22"/>
      <c r="Y85" s="22"/>
      <c r="Z85" s="22"/>
      <c r="AA85" s="140"/>
      <c r="AC85" s="146" t="s">
        <v>255</v>
      </c>
      <c r="AD85" s="156" t="s">
        <v>256</v>
      </c>
      <c r="AE85" s="148">
        <f>AX257</f>
        <v>0</v>
      </c>
      <c r="AF85" s="149" t="str">
        <f t="shared" ref="AF85:AF106" si="2">IFERROR(AE85/$J$4,"")</f>
        <v/>
      </c>
      <c r="AH85" s="125"/>
      <c r="AI85" s="644" t="s">
        <v>257</v>
      </c>
      <c r="AJ85" s="645"/>
      <c r="AK85" s="645"/>
      <c r="AL85" s="645"/>
      <c r="AM85" s="645"/>
      <c r="AN85" s="74" t="s">
        <v>196</v>
      </c>
      <c r="AO85" s="134">
        <f t="shared" si="0"/>
        <v>2</v>
      </c>
      <c r="AP85" s="135"/>
      <c r="AQ85" s="125"/>
      <c r="AR85" s="655" t="s">
        <v>258</v>
      </c>
      <c r="AS85" s="656"/>
      <c r="AT85" s="656"/>
      <c r="AU85" s="656"/>
      <c r="AV85" s="656"/>
      <c r="AW85" s="157" t="s">
        <v>259</v>
      </c>
      <c r="AX85" s="134">
        <f t="shared" si="1"/>
        <v>0</v>
      </c>
      <c r="AY85" s="143"/>
      <c r="AZ85" s="125"/>
      <c r="BA85" s="128"/>
      <c r="BC85" s="158"/>
      <c r="BD85" s="158"/>
      <c r="BE85" s="159"/>
      <c r="BF85" s="159"/>
    </row>
    <row r="86" spans="1:58" ht="18.75" thickBot="1" x14ac:dyDescent="0.3">
      <c r="A86" s="777" t="s">
        <v>260</v>
      </c>
      <c r="B86" s="778"/>
      <c r="C86" s="778"/>
      <c r="D86" s="778"/>
      <c r="E86" s="778"/>
      <c r="F86" s="778"/>
      <c r="G86" s="778"/>
      <c r="H86" s="778"/>
      <c r="I86" s="779"/>
      <c r="J86" s="160" t="s">
        <v>261</v>
      </c>
      <c r="K86" s="160" t="s">
        <v>262</v>
      </c>
      <c r="L86" s="160" t="s">
        <v>263</v>
      </c>
      <c r="M86" s="140"/>
      <c r="N86" s="777" t="s">
        <v>260</v>
      </c>
      <c r="O86" s="778"/>
      <c r="P86" s="778"/>
      <c r="Q86" s="778"/>
      <c r="R86" s="778"/>
      <c r="S86" s="778"/>
      <c r="T86" s="778"/>
      <c r="U86" s="778"/>
      <c r="V86" s="779"/>
      <c r="W86" s="161" t="s">
        <v>261</v>
      </c>
      <c r="X86" s="161" t="s">
        <v>262</v>
      </c>
      <c r="Y86" s="161" t="s">
        <v>263</v>
      </c>
      <c r="Z86" s="161" t="s">
        <v>264</v>
      </c>
      <c r="AA86" s="140"/>
      <c r="AC86" s="146" t="s">
        <v>265</v>
      </c>
      <c r="AD86" s="162" t="s">
        <v>266</v>
      </c>
      <c r="AE86" s="148">
        <f>AO191</f>
        <v>12</v>
      </c>
      <c r="AF86" s="149" t="str">
        <f t="shared" si="2"/>
        <v/>
      </c>
      <c r="AH86" s="125"/>
      <c r="AI86" s="644" t="s">
        <v>267</v>
      </c>
      <c r="AJ86" s="645"/>
      <c r="AK86" s="645"/>
      <c r="AL86" s="645"/>
      <c r="AM86" s="645"/>
      <c r="AN86" s="163" t="s">
        <v>268</v>
      </c>
      <c r="AO86" s="134">
        <f t="shared" si="0"/>
        <v>0</v>
      </c>
      <c r="AP86" s="135"/>
      <c r="AQ86" s="125"/>
      <c r="AR86" s="655" t="s">
        <v>269</v>
      </c>
      <c r="AS86" s="656"/>
      <c r="AT86" s="656"/>
      <c r="AU86" s="656"/>
      <c r="AV86" s="656"/>
      <c r="AW86" s="157" t="s">
        <v>270</v>
      </c>
      <c r="AX86" s="134">
        <f t="shared" si="1"/>
        <v>0</v>
      </c>
      <c r="AY86" s="143"/>
      <c r="AZ86" s="125"/>
      <c r="BA86" s="128"/>
      <c r="BC86" s="144"/>
      <c r="BD86" s="144"/>
      <c r="BE86" s="164"/>
      <c r="BF86" s="164"/>
    </row>
    <row r="87" spans="1:58" ht="18.75" thickBot="1" x14ac:dyDescent="0.3">
      <c r="A87" s="726" t="s">
        <v>70</v>
      </c>
      <c r="B87" s="727"/>
      <c r="C87" s="728"/>
      <c r="D87" s="165" t="s">
        <v>25</v>
      </c>
      <c r="E87" s="166"/>
      <c r="F87" s="167" t="s">
        <v>69</v>
      </c>
      <c r="G87" s="674">
        <f t="shared" ref="G87:G107" si="3">COUNTIF($B$3:$Q$29,F87)+COUNTIF($K$40:$Q$47,F87)+COUNTIF($R$4:$BB$53,F87)</f>
        <v>0</v>
      </c>
      <c r="H87" s="675"/>
      <c r="I87" s="676"/>
      <c r="J87" s="168">
        <v>0</v>
      </c>
      <c r="K87" s="169">
        <v>0</v>
      </c>
      <c r="L87" s="170">
        <f>G87-K87-J87</f>
        <v>0</v>
      </c>
      <c r="M87" s="140"/>
      <c r="N87" s="726" t="s">
        <v>70</v>
      </c>
      <c r="O87" s="727"/>
      <c r="P87" s="728"/>
      <c r="Q87" s="165" t="s">
        <v>25</v>
      </c>
      <c r="R87" s="166"/>
      <c r="S87" s="167" t="s">
        <v>69</v>
      </c>
      <c r="T87" s="677">
        <f t="shared" ref="T87:T107" si="4">COUNTIF($K$30:$Q$38,S87)+COUNTIF($B$30:$J$50,S87)</f>
        <v>0</v>
      </c>
      <c r="U87" s="677"/>
      <c r="V87" s="677"/>
      <c r="W87" s="168">
        <v>0</v>
      </c>
      <c r="X87" s="169">
        <v>0</v>
      </c>
      <c r="Y87" s="170">
        <f t="shared" ref="Y87:Y107" si="5">T87-X87-W87</f>
        <v>0</v>
      </c>
      <c r="Z87" s="171">
        <f t="shared" ref="Z87:Z151" si="6">T87+G87</f>
        <v>0</v>
      </c>
      <c r="AA87" s="140"/>
      <c r="AC87" s="146" t="s">
        <v>271</v>
      </c>
      <c r="AD87" s="172" t="s">
        <v>272</v>
      </c>
      <c r="AE87" s="148">
        <f>AX234</f>
        <v>0</v>
      </c>
      <c r="AF87" s="149" t="str">
        <f t="shared" si="2"/>
        <v/>
      </c>
      <c r="AH87" s="125"/>
      <c r="AI87" s="644" t="s">
        <v>273</v>
      </c>
      <c r="AJ87" s="645"/>
      <c r="AK87" s="645"/>
      <c r="AL87" s="645"/>
      <c r="AM87" s="645"/>
      <c r="AN87" s="173" t="s">
        <v>274</v>
      </c>
      <c r="AO87" s="134">
        <f t="shared" si="0"/>
        <v>0</v>
      </c>
      <c r="AP87" s="135"/>
      <c r="AQ87" s="125"/>
      <c r="AR87" s="655" t="s">
        <v>275</v>
      </c>
      <c r="AS87" s="656"/>
      <c r="AT87" s="656"/>
      <c r="AU87" s="656"/>
      <c r="AV87" s="656"/>
      <c r="AW87" s="174" t="s">
        <v>276</v>
      </c>
      <c r="AX87" s="134">
        <f t="shared" si="1"/>
        <v>0</v>
      </c>
      <c r="AY87" s="143"/>
      <c r="AZ87" s="125"/>
      <c r="BA87" s="128"/>
      <c r="BC87" s="144"/>
      <c r="BD87" s="144"/>
      <c r="BE87" s="144"/>
      <c r="BF87" s="144"/>
    </row>
    <row r="88" spans="1:58" ht="18.75" thickBot="1" x14ac:dyDescent="0.3">
      <c r="A88" s="726" t="s">
        <v>28</v>
      </c>
      <c r="B88" s="727"/>
      <c r="C88" s="728"/>
      <c r="D88" s="165"/>
      <c r="E88" s="166" t="s">
        <v>277</v>
      </c>
      <c r="F88" s="175" t="s">
        <v>25</v>
      </c>
      <c r="G88" s="674">
        <f t="shared" si="3"/>
        <v>0</v>
      </c>
      <c r="H88" s="675"/>
      <c r="I88" s="676"/>
      <c r="J88" s="168">
        <v>0</v>
      </c>
      <c r="K88" s="169">
        <v>0</v>
      </c>
      <c r="L88" s="170">
        <f t="shared" ref="L88:L107" si="7">G88-K88-J88</f>
        <v>0</v>
      </c>
      <c r="M88" s="140"/>
      <c r="N88" s="726" t="s">
        <v>28</v>
      </c>
      <c r="O88" s="727"/>
      <c r="P88" s="728"/>
      <c r="Q88" s="165"/>
      <c r="R88" s="166" t="s">
        <v>277</v>
      </c>
      <c r="S88" s="175" t="s">
        <v>25</v>
      </c>
      <c r="T88" s="677">
        <f t="shared" si="4"/>
        <v>0</v>
      </c>
      <c r="U88" s="677"/>
      <c r="V88" s="677"/>
      <c r="W88" s="168">
        <v>0</v>
      </c>
      <c r="X88" s="169">
        <v>0</v>
      </c>
      <c r="Y88" s="170">
        <f t="shared" si="5"/>
        <v>0</v>
      </c>
      <c r="Z88" s="171">
        <f t="shared" si="6"/>
        <v>0</v>
      </c>
      <c r="AA88" s="140"/>
      <c r="AC88" s="146" t="s">
        <v>278</v>
      </c>
      <c r="AD88" s="176" t="s">
        <v>278</v>
      </c>
      <c r="AE88" s="148">
        <f>AX179</f>
        <v>8</v>
      </c>
      <c r="AF88" s="149" t="str">
        <f t="shared" si="2"/>
        <v/>
      </c>
      <c r="AH88" s="125"/>
      <c r="AI88" s="644" t="s">
        <v>279</v>
      </c>
      <c r="AJ88" s="645"/>
      <c r="AK88" s="645"/>
      <c r="AL88" s="645"/>
      <c r="AM88" s="645"/>
      <c r="AN88" s="177" t="s">
        <v>280</v>
      </c>
      <c r="AO88" s="134">
        <f t="shared" si="0"/>
        <v>0</v>
      </c>
      <c r="AP88" s="135"/>
      <c r="AQ88" s="125"/>
      <c r="AR88" s="655" t="s">
        <v>281</v>
      </c>
      <c r="AS88" s="656"/>
      <c r="AT88" s="656"/>
      <c r="AU88" s="656"/>
      <c r="AV88" s="656"/>
      <c r="AW88" s="178" t="s">
        <v>282</v>
      </c>
      <c r="AX88" s="134">
        <f t="shared" si="1"/>
        <v>0</v>
      </c>
      <c r="AY88" s="143"/>
      <c r="AZ88" s="125"/>
      <c r="BA88" s="128"/>
      <c r="BC88" s="144"/>
      <c r="BD88" s="144"/>
      <c r="BE88" s="145"/>
      <c r="BF88" s="145"/>
    </row>
    <row r="89" spans="1:58" ht="18.75" thickBot="1" x14ac:dyDescent="0.3">
      <c r="A89" s="726" t="s">
        <v>22</v>
      </c>
      <c r="B89" s="727"/>
      <c r="C89" s="728"/>
      <c r="D89" s="165"/>
      <c r="E89" s="166" t="s">
        <v>277</v>
      </c>
      <c r="F89" s="179" t="s">
        <v>71</v>
      </c>
      <c r="G89" s="674">
        <f t="shared" si="3"/>
        <v>0</v>
      </c>
      <c r="H89" s="675"/>
      <c r="I89" s="676"/>
      <c r="J89" s="168">
        <v>0</v>
      </c>
      <c r="K89" s="169">
        <v>1</v>
      </c>
      <c r="L89" s="170">
        <f t="shared" si="7"/>
        <v>-1</v>
      </c>
      <c r="M89" s="140"/>
      <c r="N89" s="726" t="s">
        <v>22</v>
      </c>
      <c r="O89" s="727"/>
      <c r="P89" s="728"/>
      <c r="Q89" s="165"/>
      <c r="R89" s="166" t="s">
        <v>277</v>
      </c>
      <c r="S89" s="179" t="s">
        <v>71</v>
      </c>
      <c r="T89" s="677">
        <f t="shared" si="4"/>
        <v>1</v>
      </c>
      <c r="U89" s="677"/>
      <c r="V89" s="677"/>
      <c r="W89" s="168">
        <v>0</v>
      </c>
      <c r="X89" s="169">
        <v>0</v>
      </c>
      <c r="Y89" s="170">
        <f t="shared" si="5"/>
        <v>1</v>
      </c>
      <c r="Z89" s="171">
        <f t="shared" si="6"/>
        <v>1</v>
      </c>
      <c r="AA89" s="140"/>
      <c r="AC89" s="146" t="s">
        <v>283</v>
      </c>
      <c r="AD89" s="180" t="s">
        <v>283</v>
      </c>
      <c r="AE89" s="148">
        <f>AO197</f>
        <v>0</v>
      </c>
      <c r="AF89" s="149" t="str">
        <f t="shared" si="2"/>
        <v/>
      </c>
      <c r="AH89" s="125"/>
      <c r="AI89" s="644" t="s">
        <v>284</v>
      </c>
      <c r="AJ89" s="645"/>
      <c r="AK89" s="645"/>
      <c r="AL89" s="645"/>
      <c r="AM89" s="645"/>
      <c r="AN89" s="177" t="s">
        <v>285</v>
      </c>
      <c r="AO89" s="134">
        <f t="shared" si="0"/>
        <v>0</v>
      </c>
      <c r="AP89" s="135"/>
      <c r="AQ89" s="125"/>
      <c r="AR89" s="655" t="s">
        <v>286</v>
      </c>
      <c r="AS89" s="656"/>
      <c r="AT89" s="656"/>
      <c r="AU89" s="656"/>
      <c r="AV89" s="656"/>
      <c r="AW89" s="181" t="s">
        <v>287</v>
      </c>
      <c r="AX89" s="134">
        <f t="shared" si="1"/>
        <v>0</v>
      </c>
      <c r="AY89" s="143"/>
      <c r="AZ89" s="125"/>
      <c r="BA89" s="128"/>
      <c r="BC89" s="158"/>
      <c r="BD89" s="158"/>
      <c r="BE89" s="182"/>
      <c r="BF89" s="182"/>
    </row>
    <row r="90" spans="1:58" ht="18.75" thickBot="1" x14ac:dyDescent="0.3">
      <c r="A90" s="726" t="s">
        <v>73</v>
      </c>
      <c r="B90" s="727"/>
      <c r="C90" s="728"/>
      <c r="D90" s="165" t="s">
        <v>288</v>
      </c>
      <c r="E90" s="166" t="s">
        <v>277</v>
      </c>
      <c r="F90" s="183" t="s">
        <v>72</v>
      </c>
      <c r="G90" s="674">
        <f t="shared" si="3"/>
        <v>0</v>
      </c>
      <c r="H90" s="675"/>
      <c r="I90" s="676"/>
      <c r="J90" s="168">
        <v>0</v>
      </c>
      <c r="K90" s="169">
        <v>0</v>
      </c>
      <c r="L90" s="170">
        <f t="shared" si="7"/>
        <v>0</v>
      </c>
      <c r="M90" s="140"/>
      <c r="N90" s="726" t="s">
        <v>73</v>
      </c>
      <c r="O90" s="727"/>
      <c r="P90" s="728"/>
      <c r="Q90" s="165" t="s">
        <v>288</v>
      </c>
      <c r="R90" s="166" t="s">
        <v>277</v>
      </c>
      <c r="S90" s="183" t="s">
        <v>72</v>
      </c>
      <c r="T90" s="677">
        <f t="shared" si="4"/>
        <v>0</v>
      </c>
      <c r="U90" s="677"/>
      <c r="V90" s="677"/>
      <c r="W90" s="168">
        <v>0</v>
      </c>
      <c r="X90" s="169">
        <v>0</v>
      </c>
      <c r="Y90" s="170">
        <f t="shared" si="5"/>
        <v>0</v>
      </c>
      <c r="Z90" s="171">
        <f t="shared" si="6"/>
        <v>0</v>
      </c>
      <c r="AA90" s="140"/>
      <c r="AC90" s="146" t="s">
        <v>289</v>
      </c>
      <c r="AD90" s="184" t="s">
        <v>290</v>
      </c>
      <c r="AE90" s="148">
        <f>AO208</f>
        <v>0</v>
      </c>
      <c r="AF90" s="149" t="str">
        <f t="shared" si="2"/>
        <v/>
      </c>
      <c r="AH90" s="125"/>
      <c r="AI90" s="644" t="s">
        <v>291</v>
      </c>
      <c r="AJ90" s="645"/>
      <c r="AK90" s="645"/>
      <c r="AL90" s="645"/>
      <c r="AM90" s="645"/>
      <c r="AN90" s="76" t="s">
        <v>292</v>
      </c>
      <c r="AO90" s="134">
        <f t="shared" si="0"/>
        <v>0</v>
      </c>
      <c r="AP90" s="135"/>
      <c r="AQ90" s="125"/>
      <c r="AR90" s="655" t="s">
        <v>293</v>
      </c>
      <c r="AS90" s="656"/>
      <c r="AT90" s="656"/>
      <c r="AU90" s="656"/>
      <c r="AV90" s="656"/>
      <c r="AW90" s="185" t="s">
        <v>294</v>
      </c>
      <c r="AX90" s="134">
        <f t="shared" si="1"/>
        <v>0</v>
      </c>
      <c r="AY90" s="143"/>
      <c r="AZ90" s="125"/>
      <c r="BA90" s="128"/>
    </row>
    <row r="91" spans="1:58" ht="18.75" thickBot="1" x14ac:dyDescent="0.3">
      <c r="A91" s="726" t="s">
        <v>45</v>
      </c>
      <c r="B91" s="727"/>
      <c r="C91" s="728"/>
      <c r="D91" s="165"/>
      <c r="E91" s="166" t="s">
        <v>277</v>
      </c>
      <c r="F91" s="186" t="s">
        <v>46</v>
      </c>
      <c r="G91" s="674">
        <f t="shared" si="3"/>
        <v>0</v>
      </c>
      <c r="H91" s="675"/>
      <c r="I91" s="676"/>
      <c r="J91" s="168">
        <v>0</v>
      </c>
      <c r="K91" s="169">
        <v>0</v>
      </c>
      <c r="L91" s="170">
        <f t="shared" si="7"/>
        <v>0</v>
      </c>
      <c r="M91" s="140"/>
      <c r="N91" s="726" t="s">
        <v>45</v>
      </c>
      <c r="O91" s="727"/>
      <c r="P91" s="728"/>
      <c r="Q91" s="165"/>
      <c r="R91" s="166" t="s">
        <v>277</v>
      </c>
      <c r="S91" s="186" t="s">
        <v>46</v>
      </c>
      <c r="T91" s="677">
        <f t="shared" si="4"/>
        <v>0</v>
      </c>
      <c r="U91" s="677"/>
      <c r="V91" s="677"/>
      <c r="W91" s="168">
        <v>0</v>
      </c>
      <c r="X91" s="169">
        <v>0</v>
      </c>
      <c r="Y91" s="170">
        <f t="shared" si="5"/>
        <v>0</v>
      </c>
      <c r="Z91" s="171">
        <f t="shared" si="6"/>
        <v>0</v>
      </c>
      <c r="AA91" s="140" t="b">
        <f>IFERROR(T93&gt;0.5,FALSE)</f>
        <v>1</v>
      </c>
      <c r="AC91" s="146" t="s">
        <v>295</v>
      </c>
      <c r="AD91" s="35" t="s">
        <v>296</v>
      </c>
      <c r="AE91" s="148">
        <f>AO264</f>
        <v>0</v>
      </c>
      <c r="AF91" s="149" t="str">
        <f t="shared" si="2"/>
        <v/>
      </c>
      <c r="AH91" s="125"/>
      <c r="AI91" s="644" t="s">
        <v>297</v>
      </c>
      <c r="AJ91" s="645"/>
      <c r="AK91" s="645"/>
      <c r="AL91" s="645"/>
      <c r="AM91" s="645"/>
      <c r="AN91" s="187" t="s">
        <v>298</v>
      </c>
      <c r="AO91" s="134">
        <f t="shared" si="0"/>
        <v>0</v>
      </c>
      <c r="AP91" s="135"/>
      <c r="AQ91" s="125"/>
      <c r="AR91" s="655" t="s">
        <v>299</v>
      </c>
      <c r="AS91" s="656"/>
      <c r="AT91" s="656"/>
      <c r="AU91" s="656"/>
      <c r="AV91" s="656"/>
      <c r="AW91" s="188" t="s">
        <v>300</v>
      </c>
      <c r="AX91" s="134">
        <f t="shared" si="1"/>
        <v>0</v>
      </c>
      <c r="AY91" s="143"/>
      <c r="AZ91" s="125"/>
      <c r="BA91" s="128"/>
    </row>
    <row r="92" spans="1:58" ht="18.75" thickBot="1" x14ac:dyDescent="0.3">
      <c r="A92" s="726" t="s">
        <v>75</v>
      </c>
      <c r="B92" s="727"/>
      <c r="C92" s="728"/>
      <c r="D92" s="165" t="s">
        <v>137</v>
      </c>
      <c r="E92" s="166" t="s">
        <v>277</v>
      </c>
      <c r="F92" s="189" t="s">
        <v>74</v>
      </c>
      <c r="G92" s="674">
        <f t="shared" si="3"/>
        <v>0</v>
      </c>
      <c r="H92" s="675"/>
      <c r="I92" s="676"/>
      <c r="J92" s="168">
        <v>0</v>
      </c>
      <c r="K92" s="169">
        <v>0</v>
      </c>
      <c r="L92" s="170">
        <f t="shared" si="7"/>
        <v>0</v>
      </c>
      <c r="M92" s="140"/>
      <c r="N92" s="726" t="s">
        <v>75</v>
      </c>
      <c r="O92" s="727"/>
      <c r="P92" s="728"/>
      <c r="Q92" s="165" t="s">
        <v>137</v>
      </c>
      <c r="R92" s="166" t="s">
        <v>277</v>
      </c>
      <c r="S92" s="189" t="s">
        <v>74</v>
      </c>
      <c r="T92" s="677">
        <f t="shared" si="4"/>
        <v>0</v>
      </c>
      <c r="U92" s="677"/>
      <c r="V92" s="677"/>
      <c r="W92" s="168">
        <v>0</v>
      </c>
      <c r="X92" s="169">
        <v>0</v>
      </c>
      <c r="Y92" s="170">
        <f t="shared" si="5"/>
        <v>0</v>
      </c>
      <c r="Z92" s="171">
        <f t="shared" si="6"/>
        <v>0</v>
      </c>
      <c r="AA92" s="140" t="b">
        <f>IFERROR(T94&gt;0.5,FALSE)</f>
        <v>0</v>
      </c>
      <c r="AC92" s="146" t="s">
        <v>301</v>
      </c>
      <c r="AD92" s="70" t="s">
        <v>302</v>
      </c>
      <c r="AE92" s="148">
        <f>AO228</f>
        <v>0</v>
      </c>
      <c r="AF92" s="149" t="str">
        <f t="shared" si="2"/>
        <v/>
      </c>
      <c r="AH92" s="125"/>
      <c r="AI92" s="644" t="s">
        <v>303</v>
      </c>
      <c r="AJ92" s="645"/>
      <c r="AK92" s="645"/>
      <c r="AL92" s="645"/>
      <c r="AM92" s="645"/>
      <c r="AN92" s="150" t="s">
        <v>304</v>
      </c>
      <c r="AO92" s="134">
        <f t="shared" si="0"/>
        <v>0</v>
      </c>
      <c r="AP92" s="135"/>
      <c r="AQ92" s="125"/>
      <c r="AR92" s="655" t="s">
        <v>305</v>
      </c>
      <c r="AS92" s="656"/>
      <c r="AT92" s="656"/>
      <c r="AU92" s="656"/>
      <c r="AV92" s="656"/>
      <c r="AW92" s="190" t="s">
        <v>306</v>
      </c>
      <c r="AX92" s="134">
        <f t="shared" si="1"/>
        <v>0</v>
      </c>
      <c r="AY92" s="143"/>
      <c r="AZ92" s="125"/>
      <c r="BA92" s="128"/>
    </row>
    <row r="93" spans="1:58" ht="18.75" thickBot="1" x14ac:dyDescent="0.3">
      <c r="A93" s="726" t="s">
        <v>8</v>
      </c>
      <c r="B93" s="727"/>
      <c r="C93" s="728"/>
      <c r="D93" s="165"/>
      <c r="E93" s="166" t="s">
        <v>277</v>
      </c>
      <c r="F93" s="191" t="s">
        <v>9</v>
      </c>
      <c r="G93" s="674">
        <f t="shared" si="3"/>
        <v>0</v>
      </c>
      <c r="H93" s="675"/>
      <c r="I93" s="676"/>
      <c r="J93" s="168">
        <v>0</v>
      </c>
      <c r="K93" s="169">
        <v>1</v>
      </c>
      <c r="L93" s="170">
        <f t="shared" si="7"/>
        <v>-1</v>
      </c>
      <c r="M93" s="140"/>
      <c r="N93" s="726" t="s">
        <v>8</v>
      </c>
      <c r="O93" s="727"/>
      <c r="P93" s="728"/>
      <c r="Q93" s="165"/>
      <c r="R93" s="166" t="s">
        <v>277</v>
      </c>
      <c r="S93" s="191" t="s">
        <v>9</v>
      </c>
      <c r="T93" s="677">
        <f t="shared" si="4"/>
        <v>1</v>
      </c>
      <c r="U93" s="677"/>
      <c r="V93" s="677"/>
      <c r="W93" s="168">
        <v>0</v>
      </c>
      <c r="X93" s="169">
        <v>0</v>
      </c>
      <c r="Y93" s="170">
        <f t="shared" si="5"/>
        <v>1</v>
      </c>
      <c r="Z93" s="171">
        <f t="shared" si="6"/>
        <v>1</v>
      </c>
      <c r="AA93" s="140"/>
      <c r="AC93" s="146" t="s">
        <v>307</v>
      </c>
      <c r="AD93" s="192" t="s">
        <v>57</v>
      </c>
      <c r="AE93" s="148">
        <f>AX220</f>
        <v>6</v>
      </c>
      <c r="AF93" s="149" t="str">
        <f t="shared" si="2"/>
        <v/>
      </c>
      <c r="AH93" s="125"/>
      <c r="AI93" s="644" t="s">
        <v>308</v>
      </c>
      <c r="AJ93" s="645"/>
      <c r="AK93" s="645"/>
      <c r="AL93" s="645"/>
      <c r="AM93" s="645"/>
      <c r="AN93" s="193" t="s">
        <v>309</v>
      </c>
      <c r="AO93" s="134">
        <f t="shared" si="0"/>
        <v>0</v>
      </c>
      <c r="AP93" s="135"/>
      <c r="AQ93" s="125"/>
      <c r="AR93" s="655" t="s">
        <v>310</v>
      </c>
      <c r="AS93" s="656"/>
      <c r="AT93" s="656"/>
      <c r="AU93" s="656"/>
      <c r="AV93" s="656"/>
      <c r="AW93" s="194" t="s">
        <v>311</v>
      </c>
      <c r="AX93" s="134">
        <f t="shared" si="1"/>
        <v>0</v>
      </c>
      <c r="AY93" s="143"/>
      <c r="AZ93" s="125"/>
      <c r="BA93" s="128"/>
    </row>
    <row r="94" spans="1:58" ht="18.75" thickBot="1" x14ac:dyDescent="0.3">
      <c r="A94" s="726" t="s">
        <v>15</v>
      </c>
      <c r="B94" s="727"/>
      <c r="C94" s="728"/>
      <c r="D94" s="165"/>
      <c r="E94" s="166"/>
      <c r="F94" s="195" t="s">
        <v>14</v>
      </c>
      <c r="G94" s="674">
        <f t="shared" si="3"/>
        <v>0</v>
      </c>
      <c r="H94" s="675"/>
      <c r="I94" s="676"/>
      <c r="J94" s="168">
        <v>0</v>
      </c>
      <c r="K94" s="169">
        <v>0</v>
      </c>
      <c r="L94" s="170">
        <f t="shared" si="7"/>
        <v>0</v>
      </c>
      <c r="M94" s="140"/>
      <c r="N94" s="726" t="s">
        <v>15</v>
      </c>
      <c r="O94" s="727"/>
      <c r="P94" s="728"/>
      <c r="Q94" s="165"/>
      <c r="R94" s="166"/>
      <c r="S94" s="195" t="s">
        <v>14</v>
      </c>
      <c r="T94" s="677">
        <f t="shared" si="4"/>
        <v>0</v>
      </c>
      <c r="U94" s="677"/>
      <c r="V94" s="677"/>
      <c r="W94" s="168">
        <v>0</v>
      </c>
      <c r="X94" s="169">
        <v>0</v>
      </c>
      <c r="Y94" s="170">
        <f t="shared" si="5"/>
        <v>0</v>
      </c>
      <c r="Z94" s="171">
        <f t="shared" si="6"/>
        <v>0</v>
      </c>
      <c r="AA94" s="140"/>
      <c r="AC94" s="146" t="s">
        <v>312</v>
      </c>
      <c r="AD94" s="196" t="s">
        <v>312</v>
      </c>
      <c r="AE94" s="148">
        <f>AX225</f>
        <v>0</v>
      </c>
      <c r="AF94" s="149" t="str">
        <f t="shared" si="2"/>
        <v/>
      </c>
      <c r="AH94" s="125"/>
      <c r="AI94" s="644" t="s">
        <v>313</v>
      </c>
      <c r="AJ94" s="645"/>
      <c r="AK94" s="645"/>
      <c r="AL94" s="645"/>
      <c r="AM94" s="645"/>
      <c r="AN94" s="193" t="s">
        <v>314</v>
      </c>
      <c r="AO94" s="134">
        <f t="shared" si="0"/>
        <v>0</v>
      </c>
      <c r="AP94" s="135"/>
      <c r="AQ94" s="125"/>
      <c r="AR94" s="655" t="s">
        <v>315</v>
      </c>
      <c r="AS94" s="656"/>
      <c r="AT94" s="656"/>
      <c r="AU94" s="656"/>
      <c r="AV94" s="656"/>
      <c r="AW94" s="197" t="s">
        <v>316</v>
      </c>
      <c r="AX94" s="134">
        <f t="shared" si="1"/>
        <v>0</v>
      </c>
      <c r="AY94" s="143"/>
      <c r="AZ94" s="125"/>
      <c r="BA94" s="128"/>
    </row>
    <row r="95" spans="1:58" ht="18.75" thickBot="1" x14ac:dyDescent="0.3">
      <c r="A95" s="726" t="s">
        <v>29</v>
      </c>
      <c r="B95" s="727"/>
      <c r="C95" s="728"/>
      <c r="D95" s="165"/>
      <c r="E95" s="166"/>
      <c r="F95" s="198" t="s">
        <v>26</v>
      </c>
      <c r="G95" s="674">
        <f t="shared" si="3"/>
        <v>0</v>
      </c>
      <c r="H95" s="675"/>
      <c r="I95" s="676"/>
      <c r="J95" s="168">
        <v>0</v>
      </c>
      <c r="K95" s="169">
        <v>0</v>
      </c>
      <c r="L95" s="170">
        <f t="shared" si="7"/>
        <v>0</v>
      </c>
      <c r="M95" s="140"/>
      <c r="N95" s="726" t="s">
        <v>29</v>
      </c>
      <c r="O95" s="727"/>
      <c r="P95" s="728"/>
      <c r="Q95" s="165"/>
      <c r="R95" s="166"/>
      <c r="S95" s="198" t="s">
        <v>26</v>
      </c>
      <c r="T95" s="677">
        <f t="shared" si="4"/>
        <v>0</v>
      </c>
      <c r="U95" s="677"/>
      <c r="V95" s="677"/>
      <c r="W95" s="168">
        <v>0</v>
      </c>
      <c r="X95" s="169">
        <v>0</v>
      </c>
      <c r="Y95" s="170">
        <f t="shared" si="5"/>
        <v>0</v>
      </c>
      <c r="Z95" s="171">
        <f t="shared" si="6"/>
        <v>0</v>
      </c>
      <c r="AA95" s="140"/>
      <c r="AC95" s="199" t="s">
        <v>317</v>
      </c>
      <c r="AD95" s="200" t="s">
        <v>318</v>
      </c>
      <c r="AE95" s="148">
        <f>AX238</f>
        <v>0</v>
      </c>
      <c r="AF95" s="149" t="str">
        <f t="shared" si="2"/>
        <v/>
      </c>
      <c r="AH95" s="125"/>
      <c r="AI95" s="644" t="s">
        <v>319</v>
      </c>
      <c r="AJ95" s="645"/>
      <c r="AK95" s="645"/>
      <c r="AL95" s="645"/>
      <c r="AM95" s="645"/>
      <c r="AN95" s="201" t="s">
        <v>320</v>
      </c>
      <c r="AO95" s="134">
        <f t="shared" si="0"/>
        <v>0</v>
      </c>
      <c r="AP95" s="135"/>
      <c r="AQ95" s="125"/>
      <c r="AR95" s="655" t="s">
        <v>321</v>
      </c>
      <c r="AS95" s="656"/>
      <c r="AT95" s="656"/>
      <c r="AU95" s="656"/>
      <c r="AV95" s="656"/>
      <c r="AW95" s="202" t="s">
        <v>322</v>
      </c>
      <c r="AX95" s="134">
        <f t="shared" si="1"/>
        <v>0</v>
      </c>
      <c r="AY95" s="143"/>
      <c r="AZ95" s="125"/>
      <c r="BA95" s="128"/>
    </row>
    <row r="96" spans="1:58" ht="18" x14ac:dyDescent="0.25">
      <c r="A96" s="726" t="s">
        <v>77</v>
      </c>
      <c r="B96" s="727"/>
      <c r="C96" s="728"/>
      <c r="D96" s="165"/>
      <c r="E96" s="166" t="s">
        <v>277</v>
      </c>
      <c r="F96" s="203" t="s">
        <v>76</v>
      </c>
      <c r="G96" s="674">
        <f t="shared" si="3"/>
        <v>0</v>
      </c>
      <c r="H96" s="675"/>
      <c r="I96" s="676"/>
      <c r="J96" s="168">
        <v>0</v>
      </c>
      <c r="K96" s="169">
        <v>0</v>
      </c>
      <c r="L96" s="170">
        <f t="shared" si="7"/>
        <v>0</v>
      </c>
      <c r="M96" s="140"/>
      <c r="N96" s="726" t="s">
        <v>77</v>
      </c>
      <c r="O96" s="727"/>
      <c r="P96" s="728"/>
      <c r="Q96" s="165"/>
      <c r="R96" s="166" t="s">
        <v>277</v>
      </c>
      <c r="S96" s="203" t="s">
        <v>76</v>
      </c>
      <c r="T96" s="677">
        <f t="shared" si="4"/>
        <v>0</v>
      </c>
      <c r="U96" s="677"/>
      <c r="V96" s="677"/>
      <c r="W96" s="168">
        <v>0</v>
      </c>
      <c r="X96" s="169">
        <v>0</v>
      </c>
      <c r="Y96" s="170">
        <f t="shared" si="5"/>
        <v>0</v>
      </c>
      <c r="Z96" s="171">
        <f t="shared" si="6"/>
        <v>0</v>
      </c>
      <c r="AA96" s="140"/>
      <c r="AC96" s="199" t="s">
        <v>323</v>
      </c>
      <c r="AD96" s="46" t="s">
        <v>324</v>
      </c>
      <c r="AE96" s="148" t="s">
        <v>325</v>
      </c>
      <c r="AF96" s="149" t="str">
        <f t="shared" si="2"/>
        <v/>
      </c>
      <c r="AH96" s="125"/>
      <c r="AI96" s="644" t="s">
        <v>326</v>
      </c>
      <c r="AJ96" s="645"/>
      <c r="AK96" s="645"/>
      <c r="AL96" s="645"/>
      <c r="AM96" s="645"/>
      <c r="AN96" s="204" t="s">
        <v>327</v>
      </c>
      <c r="AO96" s="134">
        <f t="shared" si="0"/>
        <v>0</v>
      </c>
      <c r="AP96" s="135"/>
      <c r="AQ96" s="125"/>
      <c r="AR96" s="655" t="s">
        <v>328</v>
      </c>
      <c r="AS96" s="656"/>
      <c r="AT96" s="656"/>
      <c r="AU96" s="656"/>
      <c r="AV96" s="656"/>
      <c r="AW96" s="33" t="s">
        <v>329</v>
      </c>
      <c r="AX96" s="134">
        <f t="shared" si="1"/>
        <v>0</v>
      </c>
      <c r="AY96" s="143"/>
      <c r="AZ96" s="125"/>
      <c r="BA96" s="128"/>
    </row>
    <row r="97" spans="1:58" ht="18.75" thickBot="1" x14ac:dyDescent="0.3">
      <c r="A97" s="726" t="s">
        <v>79</v>
      </c>
      <c r="B97" s="727"/>
      <c r="C97" s="728"/>
      <c r="D97" s="165"/>
      <c r="E97" s="166" t="s">
        <v>277</v>
      </c>
      <c r="F97" s="205" t="s">
        <v>78</v>
      </c>
      <c r="G97" s="674">
        <f t="shared" si="3"/>
        <v>0</v>
      </c>
      <c r="H97" s="675"/>
      <c r="I97" s="676"/>
      <c r="J97" s="168">
        <v>0</v>
      </c>
      <c r="K97" s="169">
        <v>0</v>
      </c>
      <c r="L97" s="170">
        <f t="shared" si="7"/>
        <v>0</v>
      </c>
      <c r="M97" s="140"/>
      <c r="N97" s="726" t="s">
        <v>79</v>
      </c>
      <c r="O97" s="727"/>
      <c r="P97" s="728"/>
      <c r="Q97" s="165"/>
      <c r="R97" s="166" t="s">
        <v>277</v>
      </c>
      <c r="S97" s="205" t="s">
        <v>78</v>
      </c>
      <c r="T97" s="677">
        <f t="shared" si="4"/>
        <v>0</v>
      </c>
      <c r="U97" s="677"/>
      <c r="V97" s="677"/>
      <c r="W97" s="168">
        <v>0</v>
      </c>
      <c r="X97" s="169">
        <v>0</v>
      </c>
      <c r="Y97" s="170">
        <f t="shared" si="5"/>
        <v>0</v>
      </c>
      <c r="Z97" s="171">
        <f t="shared" si="6"/>
        <v>0</v>
      </c>
      <c r="AA97" s="140"/>
      <c r="AC97" s="199" t="s">
        <v>330</v>
      </c>
      <c r="AD97" s="206" t="s">
        <v>331</v>
      </c>
      <c r="AE97" s="148">
        <f>AX242</f>
        <v>0</v>
      </c>
      <c r="AF97" s="149" t="str">
        <f t="shared" si="2"/>
        <v/>
      </c>
      <c r="AH97" s="125"/>
      <c r="AI97" s="644" t="s">
        <v>332</v>
      </c>
      <c r="AJ97" s="645"/>
      <c r="AK97" s="645"/>
      <c r="AL97" s="645"/>
      <c r="AM97" s="645"/>
      <c r="AN97" s="150" t="s">
        <v>333</v>
      </c>
      <c r="AO97" s="134">
        <f t="shared" si="0"/>
        <v>0</v>
      </c>
      <c r="AP97" s="135"/>
      <c r="AQ97" s="125"/>
      <c r="AR97" s="655" t="s">
        <v>334</v>
      </c>
      <c r="AS97" s="656"/>
      <c r="AT97" s="656"/>
      <c r="AU97" s="656"/>
      <c r="AV97" s="656"/>
      <c r="AW97" s="207" t="s">
        <v>335</v>
      </c>
      <c r="AX97" s="134">
        <f t="shared" si="1"/>
        <v>0</v>
      </c>
      <c r="AY97" s="143"/>
      <c r="AZ97" s="125"/>
      <c r="BA97" s="128"/>
    </row>
    <row r="98" spans="1:58" ht="18.75" thickBot="1" x14ac:dyDescent="0.3">
      <c r="A98" s="726" t="s">
        <v>80</v>
      </c>
      <c r="B98" s="727"/>
      <c r="C98" s="728"/>
      <c r="D98" s="165"/>
      <c r="E98" s="166"/>
      <c r="F98" s="208" t="s">
        <v>115</v>
      </c>
      <c r="G98" s="674">
        <f t="shared" si="3"/>
        <v>0</v>
      </c>
      <c r="H98" s="675"/>
      <c r="I98" s="676"/>
      <c r="J98" s="168">
        <v>0</v>
      </c>
      <c r="K98" s="169">
        <v>0</v>
      </c>
      <c r="L98" s="170">
        <f t="shared" si="7"/>
        <v>0</v>
      </c>
      <c r="M98" s="140"/>
      <c r="N98" s="726" t="s">
        <v>80</v>
      </c>
      <c r="O98" s="727"/>
      <c r="P98" s="728"/>
      <c r="Q98" s="165"/>
      <c r="R98" s="166"/>
      <c r="S98" s="208" t="s">
        <v>115</v>
      </c>
      <c r="T98" s="677">
        <f t="shared" si="4"/>
        <v>0</v>
      </c>
      <c r="U98" s="677"/>
      <c r="V98" s="677"/>
      <c r="W98" s="168">
        <v>0</v>
      </c>
      <c r="X98" s="169">
        <v>0</v>
      </c>
      <c r="Y98" s="170">
        <f t="shared" si="5"/>
        <v>0</v>
      </c>
      <c r="Z98" s="171">
        <f t="shared" si="6"/>
        <v>0</v>
      </c>
      <c r="AA98" s="140"/>
      <c r="AC98" s="199" t="s">
        <v>336</v>
      </c>
      <c r="AD98" s="209" t="s">
        <v>337</v>
      </c>
      <c r="AE98" s="148">
        <f>AO246</f>
        <v>0</v>
      </c>
      <c r="AF98" s="149" t="str">
        <f t="shared" si="2"/>
        <v/>
      </c>
      <c r="AH98" s="125"/>
      <c r="AI98" s="644" t="s">
        <v>338</v>
      </c>
      <c r="AJ98" s="645"/>
      <c r="AK98" s="645"/>
      <c r="AL98" s="645"/>
      <c r="AM98" s="645"/>
      <c r="AN98" s="210" t="s">
        <v>339</v>
      </c>
      <c r="AO98" s="134">
        <f t="shared" si="0"/>
        <v>0</v>
      </c>
      <c r="AP98" s="135"/>
      <c r="AQ98" s="125"/>
      <c r="AR98" s="655" t="s">
        <v>340</v>
      </c>
      <c r="AS98" s="656"/>
      <c r="AT98" s="656"/>
      <c r="AU98" s="656"/>
      <c r="AV98" s="656"/>
      <c r="AW98" s="211" t="s">
        <v>341</v>
      </c>
      <c r="AX98" s="134">
        <f t="shared" si="1"/>
        <v>0</v>
      </c>
      <c r="AY98" s="143"/>
      <c r="AZ98" s="125"/>
      <c r="BA98" s="128"/>
    </row>
    <row r="99" spans="1:58" ht="18.75" thickBot="1" x14ac:dyDescent="0.3">
      <c r="A99" s="726" t="s">
        <v>36</v>
      </c>
      <c r="B99" s="727"/>
      <c r="C99" s="728"/>
      <c r="D99" s="165"/>
      <c r="E99" s="166" t="s">
        <v>277</v>
      </c>
      <c r="F99" s="212" t="s">
        <v>37</v>
      </c>
      <c r="G99" s="674">
        <f t="shared" si="3"/>
        <v>0</v>
      </c>
      <c r="H99" s="675"/>
      <c r="I99" s="676"/>
      <c r="J99" s="168">
        <v>0</v>
      </c>
      <c r="K99" s="169">
        <v>0</v>
      </c>
      <c r="L99" s="170">
        <f t="shared" si="7"/>
        <v>0</v>
      </c>
      <c r="M99" s="140"/>
      <c r="N99" s="726" t="s">
        <v>36</v>
      </c>
      <c r="O99" s="727"/>
      <c r="P99" s="728"/>
      <c r="Q99" s="165"/>
      <c r="R99" s="166" t="s">
        <v>277</v>
      </c>
      <c r="S99" s="212" t="s">
        <v>37</v>
      </c>
      <c r="T99" s="677">
        <f t="shared" si="4"/>
        <v>0</v>
      </c>
      <c r="U99" s="677"/>
      <c r="V99" s="677"/>
      <c r="W99" s="168">
        <v>0</v>
      </c>
      <c r="X99" s="169">
        <v>0</v>
      </c>
      <c r="Y99" s="170">
        <f t="shared" si="5"/>
        <v>0</v>
      </c>
      <c r="Z99" s="171">
        <f t="shared" si="6"/>
        <v>0</v>
      </c>
      <c r="AA99" s="140"/>
      <c r="AC99" s="199" t="s">
        <v>232</v>
      </c>
      <c r="AD99" s="213" t="s">
        <v>342</v>
      </c>
      <c r="AE99" s="148">
        <f>AX123</f>
        <v>0</v>
      </c>
      <c r="AF99" s="149" t="str">
        <f t="shared" si="2"/>
        <v/>
      </c>
      <c r="AH99" s="125"/>
      <c r="AI99" s="644" t="s">
        <v>343</v>
      </c>
      <c r="AJ99" s="645"/>
      <c r="AK99" s="645"/>
      <c r="AL99" s="645"/>
      <c r="AM99" s="645"/>
      <c r="AN99" s="214" t="s">
        <v>344</v>
      </c>
      <c r="AO99" s="134">
        <f t="shared" si="0"/>
        <v>0</v>
      </c>
      <c r="AP99" s="135"/>
      <c r="AQ99" s="125"/>
      <c r="AR99" s="655" t="s">
        <v>345</v>
      </c>
      <c r="AS99" s="656"/>
      <c r="AT99" s="656"/>
      <c r="AU99" s="656"/>
      <c r="AV99" s="656"/>
      <c r="AW99" s="211" t="s">
        <v>346</v>
      </c>
      <c r="AX99" s="134">
        <f t="shared" si="1"/>
        <v>0</v>
      </c>
      <c r="AY99" s="143"/>
      <c r="AZ99" s="125"/>
      <c r="BA99" s="128"/>
    </row>
    <row r="100" spans="1:58" ht="18" x14ac:dyDescent="0.25">
      <c r="A100" s="726" t="s">
        <v>43</v>
      </c>
      <c r="B100" s="727"/>
      <c r="C100" s="728"/>
      <c r="D100" s="165"/>
      <c r="E100" s="166"/>
      <c r="F100" s="215" t="s">
        <v>44</v>
      </c>
      <c r="G100" s="674">
        <f t="shared" si="3"/>
        <v>0</v>
      </c>
      <c r="H100" s="675"/>
      <c r="I100" s="676"/>
      <c r="J100" s="168">
        <v>0</v>
      </c>
      <c r="K100" s="169">
        <v>0</v>
      </c>
      <c r="L100" s="170">
        <f t="shared" si="7"/>
        <v>0</v>
      </c>
      <c r="M100" s="140"/>
      <c r="N100" s="726" t="s">
        <v>43</v>
      </c>
      <c r="O100" s="727"/>
      <c r="P100" s="728"/>
      <c r="Q100" s="165"/>
      <c r="R100" s="166"/>
      <c r="S100" s="215" t="s">
        <v>44</v>
      </c>
      <c r="T100" s="677">
        <f t="shared" si="4"/>
        <v>0</v>
      </c>
      <c r="U100" s="677"/>
      <c r="V100" s="677"/>
      <c r="W100" s="168">
        <v>0</v>
      </c>
      <c r="X100" s="169">
        <v>0</v>
      </c>
      <c r="Y100" s="170">
        <f t="shared" si="5"/>
        <v>0</v>
      </c>
      <c r="Z100" s="171">
        <f t="shared" si="6"/>
        <v>0</v>
      </c>
      <c r="AA100" s="140"/>
      <c r="AC100" s="216" t="s">
        <v>161</v>
      </c>
      <c r="AD100" s="26" t="s">
        <v>347</v>
      </c>
      <c r="AE100" s="148">
        <f t="shared" ref="AE100" si="8">COUNTIF($P$1:$Q$1,AD100)</f>
        <v>0</v>
      </c>
      <c r="AF100" s="149" t="str">
        <f t="shared" si="2"/>
        <v/>
      </c>
      <c r="AH100" s="125"/>
      <c r="AI100" s="644" t="s">
        <v>348</v>
      </c>
      <c r="AJ100" s="645"/>
      <c r="AK100" s="645"/>
      <c r="AL100" s="645"/>
      <c r="AM100" s="645"/>
      <c r="AN100" s="217" t="s">
        <v>349</v>
      </c>
      <c r="AO100" s="134">
        <f t="shared" si="0"/>
        <v>0</v>
      </c>
      <c r="AP100" s="135"/>
      <c r="AQ100" s="125"/>
      <c r="AR100" s="655" t="s">
        <v>350</v>
      </c>
      <c r="AS100" s="656"/>
      <c r="AT100" s="656"/>
      <c r="AU100" s="656"/>
      <c r="AV100" s="656"/>
      <c r="AW100" s="41" t="s">
        <v>351</v>
      </c>
      <c r="AX100" s="134">
        <f t="shared" si="1"/>
        <v>0</v>
      </c>
      <c r="AY100" s="143"/>
      <c r="AZ100" s="125"/>
      <c r="BA100" s="128"/>
      <c r="BB100" s="125"/>
      <c r="BC100" s="125"/>
      <c r="BD100" s="125"/>
      <c r="BE100" s="125"/>
      <c r="BF100" s="125"/>
    </row>
    <row r="101" spans="1:58" ht="18.75" thickBot="1" x14ac:dyDescent="0.3">
      <c r="A101" s="726" t="s">
        <v>16</v>
      </c>
      <c r="B101" s="727"/>
      <c r="C101" s="728"/>
      <c r="D101" s="165"/>
      <c r="E101" s="166"/>
      <c r="F101" s="218" t="s">
        <v>7</v>
      </c>
      <c r="G101" s="674">
        <f t="shared" si="3"/>
        <v>0</v>
      </c>
      <c r="H101" s="675"/>
      <c r="I101" s="676"/>
      <c r="J101" s="168">
        <v>0</v>
      </c>
      <c r="K101" s="169">
        <v>0</v>
      </c>
      <c r="L101" s="170">
        <f t="shared" si="7"/>
        <v>0</v>
      </c>
      <c r="M101" s="140"/>
      <c r="N101" s="726" t="s">
        <v>16</v>
      </c>
      <c r="O101" s="727"/>
      <c r="P101" s="728"/>
      <c r="Q101" s="165"/>
      <c r="R101" s="166"/>
      <c r="S101" s="218" t="s">
        <v>7</v>
      </c>
      <c r="T101" s="677">
        <f t="shared" si="4"/>
        <v>0</v>
      </c>
      <c r="U101" s="677"/>
      <c r="V101" s="677"/>
      <c r="W101" s="168">
        <v>0</v>
      </c>
      <c r="X101" s="169">
        <v>0</v>
      </c>
      <c r="Y101" s="170">
        <f t="shared" si="5"/>
        <v>0</v>
      </c>
      <c r="Z101" s="171">
        <f t="shared" si="6"/>
        <v>0</v>
      </c>
      <c r="AA101" s="140"/>
      <c r="AC101" s="199" t="s">
        <v>352</v>
      </c>
      <c r="AD101" s="219" t="s">
        <v>353</v>
      </c>
      <c r="AE101" s="148">
        <f>COUNTIF($P$1:$Q$1,AD101)</f>
        <v>0</v>
      </c>
      <c r="AF101" s="149" t="str">
        <f t="shared" si="2"/>
        <v/>
      </c>
      <c r="AH101" s="125"/>
      <c r="AI101" s="644" t="s">
        <v>354</v>
      </c>
      <c r="AJ101" s="645"/>
      <c r="AK101" s="645"/>
      <c r="AL101" s="645"/>
      <c r="AM101" s="645"/>
      <c r="AN101" s="220" t="s">
        <v>355</v>
      </c>
      <c r="AO101" s="134">
        <f t="shared" si="0"/>
        <v>0</v>
      </c>
      <c r="AP101" s="135"/>
      <c r="AQ101" s="125"/>
      <c r="AR101" s="655" t="s">
        <v>356</v>
      </c>
      <c r="AS101" s="656"/>
      <c r="AT101" s="656"/>
      <c r="AU101" s="656"/>
      <c r="AV101" s="656"/>
      <c r="AW101" s="221" t="s">
        <v>357</v>
      </c>
      <c r="AX101" s="134">
        <f t="shared" si="1"/>
        <v>0</v>
      </c>
      <c r="AY101" s="143"/>
      <c r="AZ101" s="125"/>
      <c r="BA101" s="128"/>
      <c r="BB101" s="125"/>
      <c r="BC101" s="125"/>
      <c r="BD101" s="125"/>
      <c r="BE101" s="125"/>
      <c r="BF101" s="125"/>
    </row>
    <row r="102" spans="1:58" ht="18.75" thickBot="1" x14ac:dyDescent="0.3">
      <c r="A102" s="726" t="s">
        <v>21</v>
      </c>
      <c r="B102" s="727"/>
      <c r="C102" s="728"/>
      <c r="D102" s="165"/>
      <c r="E102" s="166"/>
      <c r="F102" s="222" t="s">
        <v>11</v>
      </c>
      <c r="G102" s="674">
        <f t="shared" si="3"/>
        <v>0</v>
      </c>
      <c r="H102" s="675"/>
      <c r="I102" s="676"/>
      <c r="J102" s="168">
        <v>0</v>
      </c>
      <c r="K102" s="169">
        <v>1</v>
      </c>
      <c r="L102" s="170">
        <f t="shared" si="7"/>
        <v>-1</v>
      </c>
      <c r="M102" s="140"/>
      <c r="N102" s="726" t="s">
        <v>21</v>
      </c>
      <c r="O102" s="727"/>
      <c r="P102" s="728"/>
      <c r="Q102" s="165"/>
      <c r="R102" s="166"/>
      <c r="S102" s="222" t="s">
        <v>11</v>
      </c>
      <c r="T102" s="677">
        <f t="shared" si="4"/>
        <v>1</v>
      </c>
      <c r="U102" s="677"/>
      <c r="V102" s="677"/>
      <c r="W102" s="168">
        <v>0</v>
      </c>
      <c r="X102" s="169">
        <v>0</v>
      </c>
      <c r="Y102" s="170">
        <f t="shared" si="5"/>
        <v>1</v>
      </c>
      <c r="Z102" s="171">
        <f t="shared" si="6"/>
        <v>1</v>
      </c>
      <c r="AA102" s="140"/>
      <c r="AC102" s="199" t="s">
        <v>358</v>
      </c>
      <c r="AD102" s="223" t="s">
        <v>359</v>
      </c>
      <c r="AE102" s="148">
        <f>AO259</f>
        <v>0</v>
      </c>
      <c r="AF102" s="149" t="str">
        <f t="shared" si="2"/>
        <v/>
      </c>
      <c r="AH102" s="125"/>
      <c r="AI102" s="644" t="s">
        <v>360</v>
      </c>
      <c r="AJ102" s="645"/>
      <c r="AK102" s="645"/>
      <c r="AL102" s="645"/>
      <c r="AM102" s="645"/>
      <c r="AN102" s="224" t="s">
        <v>361</v>
      </c>
      <c r="AO102" s="134">
        <f t="shared" si="0"/>
        <v>0</v>
      </c>
      <c r="AP102" s="135"/>
      <c r="AQ102" s="125"/>
      <c r="AR102" s="655" t="s">
        <v>362</v>
      </c>
      <c r="AS102" s="656"/>
      <c r="AT102" s="656"/>
      <c r="AU102" s="656"/>
      <c r="AV102" s="656"/>
      <c r="AW102" s="225" t="s">
        <v>363</v>
      </c>
      <c r="AX102" s="134">
        <f t="shared" si="1"/>
        <v>0</v>
      </c>
      <c r="AY102" s="143"/>
      <c r="AZ102" s="125"/>
      <c r="BA102" s="128"/>
    </row>
    <row r="103" spans="1:58" ht="18.75" thickBot="1" x14ac:dyDescent="0.3">
      <c r="A103" s="726" t="s">
        <v>81</v>
      </c>
      <c r="B103" s="727"/>
      <c r="C103" s="728"/>
      <c r="D103" s="165"/>
      <c r="E103" s="166" t="s">
        <v>277</v>
      </c>
      <c r="F103" s="226" t="s">
        <v>35</v>
      </c>
      <c r="G103" s="674">
        <f t="shared" si="3"/>
        <v>0</v>
      </c>
      <c r="H103" s="675"/>
      <c r="I103" s="676"/>
      <c r="J103" s="168">
        <v>0</v>
      </c>
      <c r="K103" s="169">
        <v>0</v>
      </c>
      <c r="L103" s="170">
        <f t="shared" si="7"/>
        <v>0</v>
      </c>
      <c r="M103" s="140"/>
      <c r="N103" s="726" t="s">
        <v>81</v>
      </c>
      <c r="O103" s="727"/>
      <c r="P103" s="728"/>
      <c r="Q103" s="165"/>
      <c r="R103" s="166" t="s">
        <v>277</v>
      </c>
      <c r="S103" s="226" t="s">
        <v>35</v>
      </c>
      <c r="T103" s="677">
        <f t="shared" si="4"/>
        <v>0</v>
      </c>
      <c r="U103" s="677"/>
      <c r="V103" s="677"/>
      <c r="W103" s="168">
        <v>0</v>
      </c>
      <c r="X103" s="169">
        <v>0</v>
      </c>
      <c r="Y103" s="170">
        <f t="shared" si="5"/>
        <v>0</v>
      </c>
      <c r="Z103" s="171">
        <f t="shared" si="6"/>
        <v>0</v>
      </c>
      <c r="AA103" s="140"/>
      <c r="AC103" s="199" t="s">
        <v>364</v>
      </c>
      <c r="AD103" s="227" t="s">
        <v>365</v>
      </c>
      <c r="AE103" s="148">
        <f>AX250</f>
        <v>0</v>
      </c>
      <c r="AF103" s="149" t="str">
        <f t="shared" si="2"/>
        <v/>
      </c>
      <c r="AH103" s="125"/>
      <c r="AI103" s="644" t="s">
        <v>366</v>
      </c>
      <c r="AJ103" s="645"/>
      <c r="AK103" s="645"/>
      <c r="AL103" s="645"/>
      <c r="AM103" s="645"/>
      <c r="AN103" s="228" t="s">
        <v>367</v>
      </c>
      <c r="AO103" s="134">
        <f t="shared" si="0"/>
        <v>0</v>
      </c>
      <c r="AP103" s="135"/>
      <c r="AQ103" s="125"/>
      <c r="AR103" s="655" t="s">
        <v>368</v>
      </c>
      <c r="AS103" s="656"/>
      <c r="AT103" s="656"/>
      <c r="AU103" s="656"/>
      <c r="AV103" s="656"/>
      <c r="AW103" s="190" t="s">
        <v>369</v>
      </c>
      <c r="AX103" s="134">
        <f t="shared" si="1"/>
        <v>0</v>
      </c>
      <c r="AY103" s="143"/>
      <c r="AZ103" s="125"/>
      <c r="BA103" s="128"/>
    </row>
    <row r="104" spans="1:58" ht="18.75" thickBot="1" x14ac:dyDescent="0.3">
      <c r="A104" s="726" t="s">
        <v>12</v>
      </c>
      <c r="B104" s="727"/>
      <c r="C104" s="728"/>
      <c r="D104" s="165"/>
      <c r="E104" s="166"/>
      <c r="F104" s="229" t="s">
        <v>13</v>
      </c>
      <c r="G104" s="674">
        <f t="shared" si="3"/>
        <v>0</v>
      </c>
      <c r="H104" s="675"/>
      <c r="I104" s="676"/>
      <c r="J104" s="168">
        <v>0</v>
      </c>
      <c r="K104" s="169">
        <v>0</v>
      </c>
      <c r="L104" s="170">
        <f t="shared" si="7"/>
        <v>0</v>
      </c>
      <c r="M104" s="140"/>
      <c r="N104" s="726" t="s">
        <v>12</v>
      </c>
      <c r="O104" s="727"/>
      <c r="P104" s="728"/>
      <c r="Q104" s="165"/>
      <c r="R104" s="166"/>
      <c r="S104" s="229" t="s">
        <v>13</v>
      </c>
      <c r="T104" s="677">
        <f t="shared" si="4"/>
        <v>0</v>
      </c>
      <c r="U104" s="677"/>
      <c r="V104" s="677"/>
      <c r="W104" s="168">
        <v>0</v>
      </c>
      <c r="X104" s="169">
        <v>0</v>
      </c>
      <c r="Y104" s="170">
        <f t="shared" si="5"/>
        <v>0</v>
      </c>
      <c r="Z104" s="171">
        <f t="shared" si="6"/>
        <v>0</v>
      </c>
      <c r="AA104" s="140"/>
      <c r="AC104" s="199" t="s">
        <v>370</v>
      </c>
      <c r="AD104" s="230" t="s">
        <v>371</v>
      </c>
      <c r="AE104" s="148">
        <f>AO241</f>
        <v>0</v>
      </c>
      <c r="AF104" s="149" t="str">
        <f t="shared" si="2"/>
        <v/>
      </c>
      <c r="AH104" s="125"/>
      <c r="AI104" s="644" t="s">
        <v>372</v>
      </c>
      <c r="AJ104" s="645"/>
      <c r="AK104" s="645"/>
      <c r="AL104" s="645"/>
      <c r="AM104" s="645"/>
      <c r="AN104" s="220" t="s">
        <v>373</v>
      </c>
      <c r="AO104" s="134">
        <f t="shared" si="0"/>
        <v>0</v>
      </c>
      <c r="AP104" s="135"/>
      <c r="AQ104" s="125"/>
      <c r="AR104" s="655" t="s">
        <v>374</v>
      </c>
      <c r="AS104" s="656"/>
      <c r="AT104" s="656"/>
      <c r="AU104" s="656"/>
      <c r="AV104" s="656"/>
      <c r="AW104" s="231" t="s">
        <v>375</v>
      </c>
      <c r="AX104" s="134">
        <f t="shared" si="1"/>
        <v>0</v>
      </c>
      <c r="AY104" s="143"/>
      <c r="AZ104" s="125"/>
      <c r="BA104" s="128"/>
    </row>
    <row r="105" spans="1:58" ht="18.75" thickBot="1" x14ac:dyDescent="0.3">
      <c r="A105" s="726" t="s">
        <v>83</v>
      </c>
      <c r="B105" s="727"/>
      <c r="C105" s="728"/>
      <c r="D105" s="165" t="s">
        <v>46</v>
      </c>
      <c r="E105" s="166"/>
      <c r="F105" s="232" t="s">
        <v>82</v>
      </c>
      <c r="G105" s="674">
        <f t="shared" si="3"/>
        <v>0</v>
      </c>
      <c r="H105" s="675"/>
      <c r="I105" s="676"/>
      <c r="J105" s="168">
        <v>0</v>
      </c>
      <c r="K105" s="169">
        <v>0</v>
      </c>
      <c r="L105" s="170">
        <f t="shared" si="7"/>
        <v>0</v>
      </c>
      <c r="M105" s="140"/>
      <c r="N105" s="726" t="s">
        <v>83</v>
      </c>
      <c r="O105" s="727"/>
      <c r="P105" s="728"/>
      <c r="Q105" s="165" t="s">
        <v>46</v>
      </c>
      <c r="R105" s="166"/>
      <c r="S105" s="232" t="s">
        <v>82</v>
      </c>
      <c r="T105" s="677">
        <f t="shared" si="4"/>
        <v>0</v>
      </c>
      <c r="U105" s="677"/>
      <c r="V105" s="677"/>
      <c r="W105" s="168">
        <v>0</v>
      </c>
      <c r="X105" s="169">
        <v>0</v>
      </c>
      <c r="Y105" s="170">
        <f t="shared" si="5"/>
        <v>0</v>
      </c>
      <c r="Z105" s="171">
        <f t="shared" si="6"/>
        <v>0</v>
      </c>
      <c r="AA105" s="140"/>
      <c r="AC105" s="216" t="s">
        <v>376</v>
      </c>
      <c r="AD105" s="233" t="s">
        <v>377</v>
      </c>
      <c r="AE105" s="148">
        <f>AX246</f>
        <v>0</v>
      </c>
      <c r="AF105" s="149" t="str">
        <f t="shared" si="2"/>
        <v/>
      </c>
      <c r="AH105" s="125"/>
      <c r="AI105" s="644" t="s">
        <v>378</v>
      </c>
      <c r="AJ105" s="645"/>
      <c r="AK105" s="645"/>
      <c r="AL105" s="645"/>
      <c r="AM105" s="645"/>
      <c r="AN105" s="234" t="s">
        <v>379</v>
      </c>
      <c r="AO105" s="134">
        <f t="shared" si="0"/>
        <v>0</v>
      </c>
      <c r="AP105" s="135"/>
      <c r="AQ105" s="125"/>
      <c r="AR105" s="655" t="s">
        <v>380</v>
      </c>
      <c r="AS105" s="656"/>
      <c r="AT105" s="656"/>
      <c r="AU105" s="656"/>
      <c r="AV105" s="656"/>
      <c r="AW105" s="235" t="s">
        <v>381</v>
      </c>
      <c r="AX105" s="134">
        <f t="shared" si="1"/>
        <v>0</v>
      </c>
      <c r="AY105" s="143"/>
      <c r="AZ105" s="125"/>
      <c r="BA105" s="128"/>
    </row>
    <row r="106" spans="1:58" ht="18.75" thickBot="1" x14ac:dyDescent="0.3">
      <c r="A106" s="726" t="s">
        <v>85</v>
      </c>
      <c r="B106" s="727"/>
      <c r="C106" s="728"/>
      <c r="D106" s="165"/>
      <c r="E106" s="166" t="s">
        <v>277</v>
      </c>
      <c r="F106" s="236" t="s">
        <v>84</v>
      </c>
      <c r="G106" s="674">
        <f t="shared" si="3"/>
        <v>0</v>
      </c>
      <c r="H106" s="675"/>
      <c r="I106" s="676"/>
      <c r="J106" s="168">
        <v>0</v>
      </c>
      <c r="K106" s="169">
        <v>1</v>
      </c>
      <c r="L106" s="170">
        <f t="shared" si="7"/>
        <v>-1</v>
      </c>
      <c r="M106" s="140"/>
      <c r="N106" s="726" t="s">
        <v>85</v>
      </c>
      <c r="O106" s="727"/>
      <c r="P106" s="728"/>
      <c r="Q106" s="165"/>
      <c r="R106" s="166" t="s">
        <v>277</v>
      </c>
      <c r="S106" s="236" t="s">
        <v>84</v>
      </c>
      <c r="T106" s="677">
        <f t="shared" si="4"/>
        <v>1</v>
      </c>
      <c r="U106" s="677"/>
      <c r="V106" s="677"/>
      <c r="W106" s="168">
        <v>0</v>
      </c>
      <c r="X106" s="169">
        <v>0</v>
      </c>
      <c r="Y106" s="170">
        <f t="shared" si="5"/>
        <v>1</v>
      </c>
      <c r="Z106" s="171">
        <f t="shared" si="6"/>
        <v>1</v>
      </c>
      <c r="AA106" s="140"/>
      <c r="AC106" s="199" t="s">
        <v>382</v>
      </c>
      <c r="AD106" s="230" t="s">
        <v>383</v>
      </c>
      <c r="AE106" s="148">
        <f>COUNTIF($A$1:$GO$59,AD106)</f>
        <v>0</v>
      </c>
      <c r="AF106" s="149" t="str">
        <f t="shared" si="2"/>
        <v/>
      </c>
      <c r="AH106" s="125"/>
      <c r="AI106" s="644" t="s">
        <v>384</v>
      </c>
      <c r="AJ106" s="645"/>
      <c r="AK106" s="645"/>
      <c r="AL106" s="645"/>
      <c r="AM106" s="645"/>
      <c r="AN106" s="237" t="s">
        <v>385</v>
      </c>
      <c r="AO106" s="134">
        <f t="shared" si="0"/>
        <v>0</v>
      </c>
      <c r="AP106" s="135"/>
      <c r="AQ106" s="125"/>
      <c r="AR106" s="655" t="s">
        <v>386</v>
      </c>
      <c r="AS106" s="656"/>
      <c r="AT106" s="656"/>
      <c r="AU106" s="656"/>
      <c r="AV106" s="656"/>
      <c r="AW106" s="238" t="s">
        <v>387</v>
      </c>
      <c r="AX106" s="134">
        <f t="shared" si="1"/>
        <v>0</v>
      </c>
      <c r="AY106" s="143"/>
      <c r="AZ106" s="125"/>
      <c r="BA106" s="128"/>
    </row>
    <row r="107" spans="1:58" ht="18.75" thickBot="1" x14ac:dyDescent="0.3">
      <c r="A107" s="726" t="s">
        <v>87</v>
      </c>
      <c r="B107" s="727"/>
      <c r="C107" s="728"/>
      <c r="D107" s="165" t="s">
        <v>9</v>
      </c>
      <c r="E107" s="166" t="s">
        <v>277</v>
      </c>
      <c r="F107" s="239" t="s">
        <v>86</v>
      </c>
      <c r="G107" s="674">
        <f t="shared" si="3"/>
        <v>0</v>
      </c>
      <c r="H107" s="675"/>
      <c r="I107" s="676"/>
      <c r="J107" s="168">
        <v>0</v>
      </c>
      <c r="K107" s="169">
        <v>0</v>
      </c>
      <c r="L107" s="170">
        <f t="shared" si="7"/>
        <v>0</v>
      </c>
      <c r="M107" s="140"/>
      <c r="N107" s="726" t="s">
        <v>87</v>
      </c>
      <c r="O107" s="727"/>
      <c r="P107" s="728"/>
      <c r="Q107" s="165" t="s">
        <v>9</v>
      </c>
      <c r="R107" s="166" t="s">
        <v>277</v>
      </c>
      <c r="S107" s="239" t="s">
        <v>86</v>
      </c>
      <c r="T107" s="674">
        <f t="shared" si="4"/>
        <v>0</v>
      </c>
      <c r="U107" s="675"/>
      <c r="V107" s="676"/>
      <c r="W107" s="168">
        <v>0</v>
      </c>
      <c r="X107" s="169">
        <v>0</v>
      </c>
      <c r="Y107" s="170">
        <f t="shared" si="5"/>
        <v>0</v>
      </c>
      <c r="Z107" s="171">
        <f t="shared" si="6"/>
        <v>0</v>
      </c>
      <c r="AA107" s="140"/>
      <c r="AC107" s="775" t="s">
        <v>388</v>
      </c>
      <c r="AD107" s="776"/>
      <c r="AE107" s="776"/>
      <c r="AF107" s="776"/>
      <c r="AH107" s="125"/>
      <c r="AI107" s="644" t="s">
        <v>389</v>
      </c>
      <c r="AJ107" s="645"/>
      <c r="AK107" s="645"/>
      <c r="AL107" s="645"/>
      <c r="AM107" s="645"/>
      <c r="AN107" s="240" t="s">
        <v>390</v>
      </c>
      <c r="AO107" s="134">
        <f t="shared" si="0"/>
        <v>0</v>
      </c>
      <c r="AP107" s="135"/>
      <c r="AQ107" s="125"/>
      <c r="AR107" s="655" t="s">
        <v>391</v>
      </c>
      <c r="AS107" s="656"/>
      <c r="AT107" s="656"/>
      <c r="AU107" s="656"/>
      <c r="AV107" s="656"/>
      <c r="AW107" s="241" t="s">
        <v>392</v>
      </c>
      <c r="AX107" s="134">
        <f t="shared" si="1"/>
        <v>0</v>
      </c>
      <c r="AY107" s="143"/>
      <c r="AZ107" s="125"/>
      <c r="BA107" s="242"/>
    </row>
    <row r="108" spans="1:58" ht="18" x14ac:dyDescent="0.25">
      <c r="A108" s="772" t="s">
        <v>209</v>
      </c>
      <c r="B108" s="773"/>
      <c r="C108" s="773"/>
      <c r="D108" s="773"/>
      <c r="E108" s="773"/>
      <c r="F108" s="243"/>
      <c r="G108" s="774">
        <f>SUM(G87:I107)</f>
        <v>0</v>
      </c>
      <c r="H108" s="774"/>
      <c r="I108" s="774"/>
      <c r="J108" s="244">
        <f>SUM(J87:J107)</f>
        <v>0</v>
      </c>
      <c r="K108" s="245">
        <f>SUM(K87:K107)</f>
        <v>4</v>
      </c>
      <c r="L108" s="170">
        <f>SUM(L87:L107)</f>
        <v>-4</v>
      </c>
      <c r="M108" s="140"/>
      <c r="N108" s="749" t="s">
        <v>209</v>
      </c>
      <c r="O108" s="750"/>
      <c r="P108" s="750"/>
      <c r="Q108" s="750"/>
      <c r="R108" s="750"/>
      <c r="S108" s="246"/>
      <c r="T108" s="748">
        <f>SUM(T87:V107)</f>
        <v>4</v>
      </c>
      <c r="U108" s="748"/>
      <c r="V108" s="748"/>
      <c r="W108" s="244">
        <f>SUM(W87:W107)</f>
        <v>0</v>
      </c>
      <c r="X108" s="245">
        <f>SUM(X87:X107)</f>
        <v>0</v>
      </c>
      <c r="Y108" s="170">
        <f>SUM(Y87:Y107)</f>
        <v>4</v>
      </c>
      <c r="Z108" s="171">
        <f t="shared" si="6"/>
        <v>4</v>
      </c>
      <c r="AA108" s="140"/>
      <c r="AC108" s="247" t="s">
        <v>393</v>
      </c>
      <c r="AD108" s="15" t="s">
        <v>153</v>
      </c>
      <c r="AE108" s="148">
        <f t="shared" ref="AE108:AE171" si="9">COUNTIF($A$1:$GO$59,AD108)</f>
        <v>46</v>
      </c>
      <c r="AF108" s="149" t="str">
        <f>IFERROR(AE108/$J$4,"")</f>
        <v/>
      </c>
      <c r="AH108" s="125"/>
      <c r="AI108" s="644" t="s">
        <v>394</v>
      </c>
      <c r="AJ108" s="645"/>
      <c r="AK108" s="645"/>
      <c r="AL108" s="645"/>
      <c r="AM108" s="645"/>
      <c r="AN108" s="78" t="s">
        <v>198</v>
      </c>
      <c r="AO108" s="134">
        <f t="shared" si="0"/>
        <v>3</v>
      </c>
      <c r="AP108" s="135"/>
      <c r="AQ108" s="125"/>
      <c r="AR108" s="655" t="s">
        <v>395</v>
      </c>
      <c r="AS108" s="656"/>
      <c r="AT108" s="656"/>
      <c r="AU108" s="656"/>
      <c r="AV108" s="656"/>
      <c r="AW108" s="248" t="s">
        <v>396</v>
      </c>
      <c r="AX108" s="134">
        <f t="shared" si="1"/>
        <v>0</v>
      </c>
      <c r="AY108" s="143"/>
      <c r="AZ108" s="125"/>
      <c r="BA108" s="242"/>
    </row>
    <row r="109" spans="1:58" ht="18" x14ac:dyDescent="0.25">
      <c r="A109" s="769" t="s">
        <v>397</v>
      </c>
      <c r="B109" s="770"/>
      <c r="C109" s="770"/>
      <c r="D109" s="770"/>
      <c r="E109" s="770"/>
      <c r="F109" s="770"/>
      <c r="G109" s="770"/>
      <c r="H109" s="770"/>
      <c r="I109" s="771"/>
      <c r="J109" s="160" t="s">
        <v>261</v>
      </c>
      <c r="K109" s="160" t="s">
        <v>262</v>
      </c>
      <c r="L109" s="160" t="s">
        <v>263</v>
      </c>
      <c r="M109" s="140"/>
      <c r="N109" s="769" t="s">
        <v>397</v>
      </c>
      <c r="O109" s="770"/>
      <c r="P109" s="770"/>
      <c r="Q109" s="770"/>
      <c r="R109" s="770"/>
      <c r="S109" s="770"/>
      <c r="T109" s="770"/>
      <c r="U109" s="770"/>
      <c r="V109" s="771"/>
      <c r="W109" s="161" t="s">
        <v>261</v>
      </c>
      <c r="X109" s="161" t="s">
        <v>262</v>
      </c>
      <c r="Y109" s="161" t="s">
        <v>263</v>
      </c>
      <c r="Z109" s="249"/>
      <c r="AA109" s="140"/>
      <c r="AC109" s="247" t="s">
        <v>398</v>
      </c>
      <c r="AD109" s="250" t="s">
        <v>399</v>
      </c>
      <c r="AE109" s="148">
        <f t="shared" si="9"/>
        <v>0</v>
      </c>
      <c r="AF109" s="149" t="str">
        <f t="shared" ref="AF109:AF172" si="10">IFERROR(AE109/$J$4,"")</f>
        <v/>
      </c>
      <c r="AH109" s="125"/>
      <c r="AI109" s="644" t="s">
        <v>400</v>
      </c>
      <c r="AJ109" s="645"/>
      <c r="AK109" s="645"/>
      <c r="AL109" s="645"/>
      <c r="AM109" s="645"/>
      <c r="AN109" s="177" t="s">
        <v>401</v>
      </c>
      <c r="AO109" s="134">
        <f t="shared" si="0"/>
        <v>0</v>
      </c>
      <c r="AP109" s="135"/>
      <c r="AQ109" s="125"/>
      <c r="AR109" s="655" t="s">
        <v>402</v>
      </c>
      <c r="AS109" s="656"/>
      <c r="AT109" s="656"/>
      <c r="AU109" s="656"/>
      <c r="AV109" s="656"/>
      <c r="AW109" s="251" t="s">
        <v>403</v>
      </c>
      <c r="AX109" s="134">
        <f t="shared" si="1"/>
        <v>0</v>
      </c>
      <c r="AY109" s="143"/>
      <c r="AZ109" s="125"/>
      <c r="BA109" s="128"/>
    </row>
    <row r="110" spans="1:58" ht="18" x14ac:dyDescent="0.25">
      <c r="A110" s="764" t="s">
        <v>17</v>
      </c>
      <c r="B110" s="765"/>
      <c r="C110" s="766"/>
      <c r="D110" s="252"/>
      <c r="E110" s="253" t="s">
        <v>277</v>
      </c>
      <c r="F110" s="254" t="s">
        <v>6</v>
      </c>
      <c r="G110" s="767">
        <f t="shared" ref="G110:G127" si="11">COUNTIF($B$3:$Q$29,F110)+COUNTIF($K$40:$Q$47,F110)+COUNTIF($R$4:$BB$53,F110)</f>
        <v>0</v>
      </c>
      <c r="H110" s="734"/>
      <c r="I110" s="735"/>
      <c r="J110" s="168">
        <v>0</v>
      </c>
      <c r="K110" s="169">
        <v>0</v>
      </c>
      <c r="L110" s="170">
        <f t="shared" ref="L110:L127" si="12">G110-K110-J110</f>
        <v>0</v>
      </c>
      <c r="M110" s="140"/>
      <c r="N110" s="764" t="s">
        <v>17</v>
      </c>
      <c r="O110" s="765"/>
      <c r="P110" s="766"/>
      <c r="Q110" s="252"/>
      <c r="R110" s="253" t="s">
        <v>277</v>
      </c>
      <c r="S110" s="254" t="s">
        <v>6</v>
      </c>
      <c r="T110" s="677">
        <f t="shared" ref="T110:T127" si="13">COUNTIF($K$30:$Q$38,S110)+COUNTIF($B$30:$J$50,S110)</f>
        <v>0</v>
      </c>
      <c r="U110" s="677"/>
      <c r="V110" s="677"/>
      <c r="W110" s="168">
        <v>0</v>
      </c>
      <c r="X110" s="169">
        <v>0</v>
      </c>
      <c r="Y110" s="170">
        <f t="shared" ref="Y110:Y127" si="14">T110-X110-W110</f>
        <v>0</v>
      </c>
      <c r="Z110" s="171">
        <f t="shared" ref="Z110:Z128" si="15">T110+G110</f>
        <v>0</v>
      </c>
      <c r="AA110" s="140"/>
      <c r="AC110" s="247" t="s">
        <v>404</v>
      </c>
      <c r="AD110" s="255" t="s">
        <v>405</v>
      </c>
      <c r="AE110" s="148">
        <f t="shared" si="9"/>
        <v>0</v>
      </c>
      <c r="AF110" s="149" t="str">
        <f t="shared" si="10"/>
        <v/>
      </c>
      <c r="AH110" s="125"/>
      <c r="AI110" s="644" t="s">
        <v>406</v>
      </c>
      <c r="AJ110" s="645"/>
      <c r="AK110" s="645"/>
      <c r="AL110" s="645"/>
      <c r="AM110" s="645"/>
      <c r="AN110" s="177" t="s">
        <v>407</v>
      </c>
      <c r="AO110" s="134">
        <f t="shared" si="0"/>
        <v>0</v>
      </c>
      <c r="AP110" s="135"/>
      <c r="AQ110" s="125"/>
      <c r="AR110" s="655" t="s">
        <v>408</v>
      </c>
      <c r="AS110" s="656"/>
      <c r="AT110" s="656"/>
      <c r="AU110" s="656"/>
      <c r="AV110" s="656"/>
      <c r="AW110" s="256" t="s">
        <v>409</v>
      </c>
      <c r="AX110" s="134">
        <f t="shared" si="1"/>
        <v>0</v>
      </c>
      <c r="AY110" s="143"/>
      <c r="AZ110" s="125"/>
      <c r="BA110" s="128"/>
    </row>
    <row r="111" spans="1:58" ht="18.75" thickBot="1" x14ac:dyDescent="0.3">
      <c r="A111" s="758" t="s">
        <v>89</v>
      </c>
      <c r="B111" s="759"/>
      <c r="C111" s="760"/>
      <c r="D111" s="165" t="s">
        <v>31</v>
      </c>
      <c r="E111" s="257"/>
      <c r="F111" s="258" t="s">
        <v>88</v>
      </c>
      <c r="G111" s="674">
        <f t="shared" si="11"/>
        <v>0</v>
      </c>
      <c r="H111" s="675"/>
      <c r="I111" s="676"/>
      <c r="J111" s="168">
        <v>0</v>
      </c>
      <c r="K111" s="169">
        <v>0</v>
      </c>
      <c r="L111" s="170">
        <f t="shared" si="12"/>
        <v>0</v>
      </c>
      <c r="M111" s="140"/>
      <c r="N111" s="758" t="s">
        <v>89</v>
      </c>
      <c r="O111" s="759"/>
      <c r="P111" s="760"/>
      <c r="Q111" s="165" t="s">
        <v>31</v>
      </c>
      <c r="R111" s="166"/>
      <c r="S111" s="259" t="s">
        <v>88</v>
      </c>
      <c r="T111" s="677">
        <f t="shared" si="13"/>
        <v>0</v>
      </c>
      <c r="U111" s="677"/>
      <c r="V111" s="677"/>
      <c r="W111" s="168">
        <v>0</v>
      </c>
      <c r="X111" s="169">
        <v>0</v>
      </c>
      <c r="Y111" s="170">
        <f t="shared" si="14"/>
        <v>0</v>
      </c>
      <c r="Z111" s="171">
        <f t="shared" si="15"/>
        <v>0</v>
      </c>
      <c r="AA111" s="140"/>
      <c r="AC111" s="247" t="s">
        <v>410</v>
      </c>
      <c r="AD111" s="260" t="s">
        <v>411</v>
      </c>
      <c r="AE111" s="148">
        <f t="shared" si="9"/>
        <v>0</v>
      </c>
      <c r="AF111" s="149" t="str">
        <f t="shared" si="10"/>
        <v/>
      </c>
      <c r="AH111" s="125"/>
      <c r="AI111" s="644" t="s">
        <v>412</v>
      </c>
      <c r="AJ111" s="645"/>
      <c r="AK111" s="645"/>
      <c r="AL111" s="645"/>
      <c r="AM111" s="645"/>
      <c r="AN111" s="261" t="s">
        <v>413</v>
      </c>
      <c r="AO111" s="134">
        <f t="shared" si="0"/>
        <v>0</v>
      </c>
      <c r="AP111" s="135"/>
      <c r="AQ111" s="125"/>
      <c r="AR111" s="655" t="s">
        <v>414</v>
      </c>
      <c r="AS111" s="656"/>
      <c r="AT111" s="656"/>
      <c r="AU111" s="656"/>
      <c r="AV111" s="656"/>
      <c r="AW111" s="256" t="s">
        <v>415</v>
      </c>
      <c r="AX111" s="134">
        <f t="shared" si="1"/>
        <v>0</v>
      </c>
      <c r="AY111" s="143"/>
      <c r="AZ111" s="125"/>
      <c r="BA111" s="128"/>
    </row>
    <row r="112" spans="1:58" ht="18" x14ac:dyDescent="0.25">
      <c r="A112" s="758" t="s">
        <v>138</v>
      </c>
      <c r="B112" s="759"/>
      <c r="C112" s="760"/>
      <c r="D112" s="165"/>
      <c r="E112" s="166"/>
      <c r="F112" s="262" t="s">
        <v>133</v>
      </c>
      <c r="G112" s="674">
        <f t="shared" si="11"/>
        <v>0</v>
      </c>
      <c r="H112" s="675"/>
      <c r="I112" s="676"/>
      <c r="J112" s="168">
        <v>0</v>
      </c>
      <c r="K112" s="169">
        <v>0</v>
      </c>
      <c r="L112" s="170">
        <f t="shared" si="12"/>
        <v>0</v>
      </c>
      <c r="M112" s="140"/>
      <c r="N112" s="758" t="s">
        <v>138</v>
      </c>
      <c r="O112" s="759"/>
      <c r="P112" s="760"/>
      <c r="Q112" s="165"/>
      <c r="R112" s="166"/>
      <c r="S112" s="262" t="s">
        <v>133</v>
      </c>
      <c r="T112" s="677">
        <f t="shared" si="13"/>
        <v>0</v>
      </c>
      <c r="U112" s="677"/>
      <c r="V112" s="677"/>
      <c r="W112" s="168">
        <v>0</v>
      </c>
      <c r="X112" s="169">
        <v>0</v>
      </c>
      <c r="Y112" s="170">
        <f t="shared" si="14"/>
        <v>0</v>
      </c>
      <c r="Z112" s="171">
        <f t="shared" si="15"/>
        <v>0</v>
      </c>
      <c r="AA112" s="140"/>
      <c r="AC112" s="247" t="s">
        <v>161</v>
      </c>
      <c r="AD112" s="26" t="s">
        <v>161</v>
      </c>
      <c r="AE112" s="148">
        <f t="shared" si="9"/>
        <v>28</v>
      </c>
      <c r="AF112" s="149" t="str">
        <f t="shared" si="10"/>
        <v/>
      </c>
      <c r="AH112" s="125"/>
      <c r="AI112" s="644" t="s">
        <v>416</v>
      </c>
      <c r="AJ112" s="645"/>
      <c r="AK112" s="645"/>
      <c r="AL112" s="645"/>
      <c r="AM112" s="645"/>
      <c r="AN112" s="224" t="s">
        <v>417</v>
      </c>
      <c r="AO112" s="134">
        <f t="shared" si="0"/>
        <v>0</v>
      </c>
      <c r="AP112" s="135"/>
      <c r="AQ112" s="125"/>
      <c r="AR112" s="655" t="s">
        <v>418</v>
      </c>
      <c r="AS112" s="656"/>
      <c r="AT112" s="656"/>
      <c r="AU112" s="656"/>
      <c r="AV112" s="656"/>
      <c r="AW112" s="34" t="s">
        <v>419</v>
      </c>
      <c r="AX112" s="134">
        <f t="shared" si="1"/>
        <v>0</v>
      </c>
      <c r="AY112" s="143"/>
      <c r="AZ112" s="125"/>
      <c r="BA112" s="128"/>
    </row>
    <row r="113" spans="1:58" ht="18.75" thickBot="1" x14ac:dyDescent="0.3">
      <c r="A113" s="758" t="s">
        <v>139</v>
      </c>
      <c r="B113" s="759"/>
      <c r="C113" s="760"/>
      <c r="D113" s="165"/>
      <c r="E113" s="166"/>
      <c r="F113" s="263" t="s">
        <v>135</v>
      </c>
      <c r="G113" s="674">
        <f t="shared" si="11"/>
        <v>0</v>
      </c>
      <c r="H113" s="675"/>
      <c r="I113" s="676"/>
      <c r="J113" s="168">
        <v>0</v>
      </c>
      <c r="K113" s="169">
        <v>0</v>
      </c>
      <c r="L113" s="170">
        <f t="shared" si="12"/>
        <v>0</v>
      </c>
      <c r="M113" s="140"/>
      <c r="N113" s="758" t="s">
        <v>139</v>
      </c>
      <c r="O113" s="759"/>
      <c r="P113" s="760"/>
      <c r="Q113" s="165"/>
      <c r="R113" s="166"/>
      <c r="S113" s="263" t="s">
        <v>135</v>
      </c>
      <c r="T113" s="677">
        <f t="shared" si="13"/>
        <v>0</v>
      </c>
      <c r="U113" s="677"/>
      <c r="V113" s="677"/>
      <c r="W113" s="168">
        <v>0</v>
      </c>
      <c r="X113" s="169">
        <v>0</v>
      </c>
      <c r="Y113" s="170">
        <f t="shared" si="14"/>
        <v>0</v>
      </c>
      <c r="Z113" s="171">
        <f t="shared" si="15"/>
        <v>0</v>
      </c>
      <c r="AA113" s="140"/>
      <c r="AC113" s="247" t="s">
        <v>420</v>
      </c>
      <c r="AD113" s="264" t="s">
        <v>421</v>
      </c>
      <c r="AE113" s="148">
        <f t="shared" si="9"/>
        <v>0</v>
      </c>
      <c r="AF113" s="149" t="str">
        <f t="shared" si="10"/>
        <v/>
      </c>
      <c r="AH113" s="125"/>
      <c r="AI113" s="644" t="s">
        <v>422</v>
      </c>
      <c r="AJ113" s="645"/>
      <c r="AK113" s="645"/>
      <c r="AL113" s="645"/>
      <c r="AM113" s="645"/>
      <c r="AN113" s="265" t="s">
        <v>423</v>
      </c>
      <c r="AO113" s="134">
        <f t="shared" si="0"/>
        <v>0</v>
      </c>
      <c r="AP113" s="135"/>
      <c r="AQ113" s="125"/>
      <c r="AR113" s="655" t="s">
        <v>424</v>
      </c>
      <c r="AS113" s="656"/>
      <c r="AT113" s="656"/>
      <c r="AU113" s="656"/>
      <c r="AV113" s="656"/>
      <c r="AW113" s="266" t="s">
        <v>425</v>
      </c>
      <c r="AX113" s="134">
        <f t="shared" si="1"/>
        <v>0</v>
      </c>
      <c r="AY113" s="143"/>
      <c r="AZ113" s="125"/>
      <c r="BA113" s="128"/>
    </row>
    <row r="114" spans="1:58" ht="18.75" thickBot="1" x14ac:dyDescent="0.3">
      <c r="A114" s="758" t="s">
        <v>30</v>
      </c>
      <c r="B114" s="759"/>
      <c r="C114" s="760"/>
      <c r="D114" s="165"/>
      <c r="E114" s="166" t="s">
        <v>277</v>
      </c>
      <c r="F114" s="267" t="s">
        <v>31</v>
      </c>
      <c r="G114" s="674">
        <f t="shared" si="11"/>
        <v>0</v>
      </c>
      <c r="H114" s="675"/>
      <c r="I114" s="676"/>
      <c r="J114" s="168">
        <v>0</v>
      </c>
      <c r="K114" s="169">
        <v>1</v>
      </c>
      <c r="L114" s="170">
        <f t="shared" si="12"/>
        <v>-1</v>
      </c>
      <c r="M114" s="140"/>
      <c r="N114" s="758" t="s">
        <v>30</v>
      </c>
      <c r="O114" s="759"/>
      <c r="P114" s="760"/>
      <c r="Q114" s="165"/>
      <c r="R114" s="166" t="s">
        <v>277</v>
      </c>
      <c r="S114" s="267" t="s">
        <v>31</v>
      </c>
      <c r="T114" s="677">
        <f t="shared" si="13"/>
        <v>1</v>
      </c>
      <c r="U114" s="677"/>
      <c r="V114" s="677"/>
      <c r="W114" s="168">
        <v>0</v>
      </c>
      <c r="X114" s="169">
        <v>0</v>
      </c>
      <c r="Y114" s="170">
        <f t="shared" si="14"/>
        <v>1</v>
      </c>
      <c r="Z114" s="171">
        <f t="shared" si="15"/>
        <v>1</v>
      </c>
      <c r="AA114" s="140"/>
      <c r="AC114" s="247" t="s">
        <v>426</v>
      </c>
      <c r="AD114" s="268" t="s">
        <v>427</v>
      </c>
      <c r="AE114" s="148">
        <f t="shared" si="9"/>
        <v>0</v>
      </c>
      <c r="AF114" s="149" t="str">
        <f t="shared" si="10"/>
        <v/>
      </c>
      <c r="AH114" s="125"/>
      <c r="AI114" s="644" t="s">
        <v>428</v>
      </c>
      <c r="AJ114" s="645"/>
      <c r="AK114" s="645"/>
      <c r="AL114" s="645"/>
      <c r="AM114" s="645"/>
      <c r="AN114" s="269" t="s">
        <v>429</v>
      </c>
      <c r="AO114" s="134">
        <f t="shared" si="0"/>
        <v>0</v>
      </c>
      <c r="AP114" s="135"/>
      <c r="AQ114" s="125"/>
      <c r="AR114" s="655" t="s">
        <v>430</v>
      </c>
      <c r="AS114" s="656"/>
      <c r="AT114" s="656"/>
      <c r="AU114" s="656"/>
      <c r="AV114" s="656"/>
      <c r="AW114" s="270" t="s">
        <v>431</v>
      </c>
      <c r="AX114" s="134">
        <f t="shared" si="1"/>
        <v>0</v>
      </c>
      <c r="AY114" s="143"/>
      <c r="AZ114" s="125"/>
      <c r="BA114" s="128"/>
    </row>
    <row r="115" spans="1:58" ht="18.75" thickBot="1" x14ac:dyDescent="0.3">
      <c r="A115" s="758" t="s">
        <v>27</v>
      </c>
      <c r="B115" s="759"/>
      <c r="C115" s="760"/>
      <c r="D115" s="165"/>
      <c r="E115" s="166"/>
      <c r="F115" s="271" t="s">
        <v>24</v>
      </c>
      <c r="G115" s="674">
        <f t="shared" si="11"/>
        <v>0</v>
      </c>
      <c r="H115" s="675"/>
      <c r="I115" s="676"/>
      <c r="J115" s="168">
        <v>0</v>
      </c>
      <c r="K115" s="169">
        <v>0</v>
      </c>
      <c r="L115" s="170">
        <f t="shared" si="12"/>
        <v>0</v>
      </c>
      <c r="M115" s="140"/>
      <c r="N115" s="758" t="s">
        <v>27</v>
      </c>
      <c r="O115" s="759"/>
      <c r="P115" s="760"/>
      <c r="Q115" s="165"/>
      <c r="R115" s="166"/>
      <c r="S115" s="271" t="s">
        <v>24</v>
      </c>
      <c r="T115" s="677">
        <f t="shared" si="13"/>
        <v>0</v>
      </c>
      <c r="U115" s="677"/>
      <c r="V115" s="677"/>
      <c r="W115" s="168">
        <v>0</v>
      </c>
      <c r="X115" s="169">
        <v>0</v>
      </c>
      <c r="Y115" s="170">
        <f t="shared" si="14"/>
        <v>0</v>
      </c>
      <c r="Z115" s="171">
        <f t="shared" si="15"/>
        <v>0</v>
      </c>
      <c r="AA115" s="140"/>
      <c r="AC115" s="247" t="s">
        <v>432</v>
      </c>
      <c r="AD115" s="272" t="s">
        <v>432</v>
      </c>
      <c r="AE115" s="148">
        <f t="shared" si="9"/>
        <v>0</v>
      </c>
      <c r="AF115" s="149" t="str">
        <f t="shared" si="10"/>
        <v/>
      </c>
      <c r="AH115" s="125"/>
      <c r="AI115" s="644" t="s">
        <v>433</v>
      </c>
      <c r="AJ115" s="645"/>
      <c r="AK115" s="645"/>
      <c r="AL115" s="645"/>
      <c r="AM115" s="645"/>
      <c r="AN115" s="187" t="s">
        <v>434</v>
      </c>
      <c r="AO115" s="134">
        <f t="shared" si="0"/>
        <v>0</v>
      </c>
      <c r="AP115" s="135"/>
      <c r="AQ115" s="125"/>
      <c r="AR115" s="655" t="s">
        <v>435</v>
      </c>
      <c r="AS115" s="656"/>
      <c r="AT115" s="656"/>
      <c r="AU115" s="656"/>
      <c r="AV115" s="656"/>
      <c r="AW115" s="273" t="s">
        <v>436</v>
      </c>
      <c r="AX115" s="134">
        <f t="shared" si="1"/>
        <v>0</v>
      </c>
      <c r="AY115" s="274"/>
      <c r="AZ115" s="125"/>
      <c r="BA115" s="128"/>
    </row>
    <row r="116" spans="1:58" ht="18" x14ac:dyDescent="0.25">
      <c r="A116" s="758" t="s">
        <v>114</v>
      </c>
      <c r="B116" s="759"/>
      <c r="C116" s="760"/>
      <c r="D116" s="165"/>
      <c r="E116" s="166"/>
      <c r="F116" s="275" t="s">
        <v>113</v>
      </c>
      <c r="G116" s="674">
        <f t="shared" si="11"/>
        <v>0</v>
      </c>
      <c r="H116" s="675"/>
      <c r="I116" s="676"/>
      <c r="J116" s="168">
        <v>0</v>
      </c>
      <c r="K116" s="169">
        <v>0</v>
      </c>
      <c r="L116" s="170">
        <f t="shared" si="12"/>
        <v>0</v>
      </c>
      <c r="M116" s="140"/>
      <c r="N116" s="758" t="s">
        <v>114</v>
      </c>
      <c r="O116" s="759"/>
      <c r="P116" s="760"/>
      <c r="Q116" s="165"/>
      <c r="R116" s="166"/>
      <c r="S116" s="275" t="s">
        <v>113</v>
      </c>
      <c r="T116" s="677">
        <f t="shared" si="13"/>
        <v>0</v>
      </c>
      <c r="U116" s="677"/>
      <c r="V116" s="677"/>
      <c r="W116" s="168">
        <v>0</v>
      </c>
      <c r="X116" s="169">
        <v>0</v>
      </c>
      <c r="Y116" s="170">
        <f t="shared" si="14"/>
        <v>0</v>
      </c>
      <c r="Z116" s="171">
        <f t="shared" si="15"/>
        <v>0</v>
      </c>
      <c r="AA116" s="140"/>
      <c r="AC116" s="247" t="s">
        <v>437</v>
      </c>
      <c r="AD116" s="47" t="s">
        <v>184</v>
      </c>
      <c r="AE116" s="148">
        <f t="shared" si="9"/>
        <v>22</v>
      </c>
      <c r="AF116" s="149" t="str">
        <f t="shared" si="10"/>
        <v/>
      </c>
      <c r="AH116" s="125"/>
      <c r="AI116" s="644" t="s">
        <v>438</v>
      </c>
      <c r="AJ116" s="645"/>
      <c r="AK116" s="645"/>
      <c r="AL116" s="645"/>
      <c r="AM116" s="645"/>
      <c r="AN116" s="150" t="s">
        <v>439</v>
      </c>
      <c r="AO116" s="134">
        <f t="shared" si="0"/>
        <v>0</v>
      </c>
      <c r="AP116" s="135"/>
      <c r="AQ116" s="125"/>
      <c r="AR116" s="655" t="s">
        <v>440</v>
      </c>
      <c r="AS116" s="656"/>
      <c r="AT116" s="656"/>
      <c r="AU116" s="656"/>
      <c r="AV116" s="656"/>
      <c r="AW116" s="40" t="s">
        <v>441</v>
      </c>
      <c r="AX116" s="134">
        <f t="shared" si="1"/>
        <v>0</v>
      </c>
      <c r="AY116" s="274"/>
      <c r="AZ116" s="125"/>
      <c r="BA116" s="128"/>
    </row>
    <row r="117" spans="1:58" ht="18.75" thickBot="1" x14ac:dyDescent="0.3">
      <c r="A117" s="758" t="s">
        <v>112</v>
      </c>
      <c r="B117" s="759"/>
      <c r="C117" s="760"/>
      <c r="D117" s="165"/>
      <c r="E117" s="166"/>
      <c r="F117" s="276" t="s">
        <v>111</v>
      </c>
      <c r="G117" s="674">
        <f t="shared" si="11"/>
        <v>0</v>
      </c>
      <c r="H117" s="675"/>
      <c r="I117" s="676"/>
      <c r="J117" s="168">
        <v>0</v>
      </c>
      <c r="K117" s="169">
        <v>0</v>
      </c>
      <c r="L117" s="170">
        <f t="shared" si="12"/>
        <v>0</v>
      </c>
      <c r="M117" s="140"/>
      <c r="N117" s="758" t="s">
        <v>112</v>
      </c>
      <c r="O117" s="759"/>
      <c r="P117" s="760"/>
      <c r="Q117" s="165"/>
      <c r="R117" s="166"/>
      <c r="S117" s="277" t="s">
        <v>111</v>
      </c>
      <c r="T117" s="677">
        <f t="shared" si="13"/>
        <v>0</v>
      </c>
      <c r="U117" s="677"/>
      <c r="V117" s="677"/>
      <c r="W117" s="168">
        <v>0</v>
      </c>
      <c r="X117" s="169">
        <v>0</v>
      </c>
      <c r="Y117" s="170">
        <f t="shared" si="14"/>
        <v>0</v>
      </c>
      <c r="Z117" s="171">
        <f t="shared" si="15"/>
        <v>0</v>
      </c>
      <c r="AA117" s="140"/>
      <c r="AC117" s="247" t="s">
        <v>442</v>
      </c>
      <c r="AD117" s="278" t="s">
        <v>443</v>
      </c>
      <c r="AE117" s="148">
        <f t="shared" si="9"/>
        <v>0</v>
      </c>
      <c r="AF117" s="149" t="str">
        <f t="shared" si="10"/>
        <v/>
      </c>
      <c r="AH117" s="125"/>
      <c r="AI117" s="644" t="s">
        <v>444</v>
      </c>
      <c r="AJ117" s="645"/>
      <c r="AK117" s="645"/>
      <c r="AL117" s="645"/>
      <c r="AM117" s="645"/>
      <c r="AN117" s="174" t="s">
        <v>445</v>
      </c>
      <c r="AO117" s="134">
        <f t="shared" si="0"/>
        <v>0</v>
      </c>
      <c r="AP117" s="135"/>
      <c r="AQ117" s="125"/>
      <c r="AR117" s="655" t="s">
        <v>446</v>
      </c>
      <c r="AS117" s="656"/>
      <c r="AT117" s="656"/>
      <c r="AU117" s="656"/>
      <c r="AV117" s="656"/>
      <c r="AW117" s="279" t="s">
        <v>447</v>
      </c>
      <c r="AX117" s="134">
        <f t="shared" si="1"/>
        <v>0</v>
      </c>
      <c r="AY117" s="143"/>
      <c r="AZ117" s="125"/>
      <c r="BA117" s="128"/>
    </row>
    <row r="118" spans="1:58" ht="18" x14ac:dyDescent="0.25">
      <c r="A118" s="758" t="s">
        <v>140</v>
      </c>
      <c r="B118" s="759"/>
      <c r="C118" s="760"/>
      <c r="D118" s="165"/>
      <c r="E118" s="166"/>
      <c r="F118" s="280" t="s">
        <v>134</v>
      </c>
      <c r="G118" s="674">
        <f t="shared" si="11"/>
        <v>0</v>
      </c>
      <c r="H118" s="675"/>
      <c r="I118" s="676"/>
      <c r="J118" s="281"/>
      <c r="K118" s="282"/>
      <c r="L118" s="170"/>
      <c r="M118" s="140"/>
      <c r="N118" s="758" t="s">
        <v>140</v>
      </c>
      <c r="O118" s="759"/>
      <c r="P118" s="760"/>
      <c r="Q118" s="165"/>
      <c r="R118" s="166"/>
      <c r="S118" s="280" t="s">
        <v>134</v>
      </c>
      <c r="T118" s="677">
        <f t="shared" si="13"/>
        <v>0</v>
      </c>
      <c r="U118" s="677"/>
      <c r="V118" s="677"/>
      <c r="W118" s="168">
        <v>0</v>
      </c>
      <c r="X118" s="169">
        <v>0</v>
      </c>
      <c r="Y118" s="170">
        <f t="shared" si="14"/>
        <v>0</v>
      </c>
      <c r="Z118" s="171">
        <f t="shared" si="15"/>
        <v>0</v>
      </c>
      <c r="AA118" s="140"/>
      <c r="AC118" s="247" t="s">
        <v>448</v>
      </c>
      <c r="AD118" s="283" t="s">
        <v>448</v>
      </c>
      <c r="AE118" s="148">
        <f t="shared" si="9"/>
        <v>0</v>
      </c>
      <c r="AF118" s="149" t="str">
        <f t="shared" si="10"/>
        <v/>
      </c>
      <c r="AH118" s="125"/>
      <c r="AI118" s="644" t="s">
        <v>449</v>
      </c>
      <c r="AJ118" s="645"/>
      <c r="AK118" s="645"/>
      <c r="AL118" s="645"/>
      <c r="AM118" s="645"/>
      <c r="AN118" s="269" t="s">
        <v>450</v>
      </c>
      <c r="AO118" s="134">
        <f t="shared" si="0"/>
        <v>0</v>
      </c>
      <c r="AP118" s="135"/>
      <c r="AQ118" s="125"/>
      <c r="AR118" s="655" t="s">
        <v>451</v>
      </c>
      <c r="AS118" s="656"/>
      <c r="AT118" s="656"/>
      <c r="AU118" s="656"/>
      <c r="AV118" s="656"/>
      <c r="AW118" s="284" t="s">
        <v>452</v>
      </c>
      <c r="AX118" s="134">
        <f t="shared" si="1"/>
        <v>0</v>
      </c>
      <c r="AY118" s="143"/>
      <c r="AZ118" s="125"/>
      <c r="BA118" s="128"/>
      <c r="BC118" s="125"/>
      <c r="BD118" s="125"/>
      <c r="BE118" s="125"/>
      <c r="BF118" s="125"/>
    </row>
    <row r="119" spans="1:58" ht="18.75" thickBot="1" x14ac:dyDescent="0.3">
      <c r="A119" s="758" t="s">
        <v>42</v>
      </c>
      <c r="B119" s="759"/>
      <c r="C119" s="760"/>
      <c r="D119" s="165"/>
      <c r="E119" s="166"/>
      <c r="F119" s="285" t="s">
        <v>42</v>
      </c>
      <c r="G119" s="674">
        <f t="shared" si="11"/>
        <v>0</v>
      </c>
      <c r="H119" s="675"/>
      <c r="I119" s="676"/>
      <c r="J119" s="168">
        <v>0</v>
      </c>
      <c r="K119" s="169">
        <v>0</v>
      </c>
      <c r="L119" s="170">
        <f t="shared" si="12"/>
        <v>0</v>
      </c>
      <c r="M119" s="140"/>
      <c r="N119" s="758" t="s">
        <v>42</v>
      </c>
      <c r="O119" s="759"/>
      <c r="P119" s="760"/>
      <c r="Q119" s="165"/>
      <c r="R119" s="166"/>
      <c r="S119" s="286" t="s">
        <v>42</v>
      </c>
      <c r="T119" s="677">
        <f t="shared" si="13"/>
        <v>0</v>
      </c>
      <c r="U119" s="677"/>
      <c r="V119" s="677"/>
      <c r="W119" s="168">
        <v>0</v>
      </c>
      <c r="X119" s="169">
        <v>0</v>
      </c>
      <c r="Y119" s="170">
        <f t="shared" si="14"/>
        <v>0</v>
      </c>
      <c r="Z119" s="171">
        <f t="shared" si="15"/>
        <v>0</v>
      </c>
      <c r="AA119" s="140"/>
      <c r="AC119" s="247" t="s">
        <v>453</v>
      </c>
      <c r="AD119" s="133" t="s">
        <v>454</v>
      </c>
      <c r="AE119" s="148">
        <f t="shared" si="9"/>
        <v>0</v>
      </c>
      <c r="AF119" s="149" t="str">
        <f t="shared" si="10"/>
        <v/>
      </c>
      <c r="AH119" s="125"/>
      <c r="AI119" s="644" t="s">
        <v>455</v>
      </c>
      <c r="AJ119" s="645"/>
      <c r="AK119" s="645"/>
      <c r="AL119" s="645"/>
      <c r="AM119" s="645"/>
      <c r="AN119" s="228" t="s">
        <v>456</v>
      </c>
      <c r="AO119" s="134">
        <f t="shared" si="0"/>
        <v>0</v>
      </c>
      <c r="AP119" s="135"/>
      <c r="AQ119" s="125"/>
      <c r="AR119" s="136" t="s">
        <v>457</v>
      </c>
      <c r="AS119" s="137"/>
      <c r="AT119" s="137"/>
      <c r="AU119" s="137"/>
      <c r="AV119" s="137"/>
      <c r="AW119" s="287" t="s">
        <v>458</v>
      </c>
      <c r="AX119" s="134">
        <f t="shared" si="1"/>
        <v>0</v>
      </c>
      <c r="AY119" s="274"/>
      <c r="AZ119" s="125"/>
      <c r="BA119" s="128"/>
      <c r="BB119" s="125"/>
      <c r="BC119" s="125"/>
      <c r="BD119" s="125"/>
      <c r="BE119" s="125"/>
      <c r="BF119" s="125"/>
    </row>
    <row r="120" spans="1:58" ht="18" x14ac:dyDescent="0.25">
      <c r="A120" s="758" t="s">
        <v>141</v>
      </c>
      <c r="B120" s="759"/>
      <c r="C120" s="760"/>
      <c r="D120" s="165"/>
      <c r="E120" s="166"/>
      <c r="F120" s="288" t="s">
        <v>119</v>
      </c>
      <c r="G120" s="674">
        <f t="shared" si="11"/>
        <v>0</v>
      </c>
      <c r="H120" s="675"/>
      <c r="I120" s="676"/>
      <c r="J120" s="168">
        <v>0</v>
      </c>
      <c r="K120" s="169">
        <v>0</v>
      </c>
      <c r="L120" s="170">
        <f t="shared" si="12"/>
        <v>0</v>
      </c>
      <c r="M120" s="140"/>
      <c r="N120" s="758" t="s">
        <v>141</v>
      </c>
      <c r="O120" s="759"/>
      <c r="P120" s="760"/>
      <c r="Q120" s="165"/>
      <c r="R120" s="166"/>
      <c r="S120" s="288" t="s">
        <v>119</v>
      </c>
      <c r="T120" s="677">
        <f t="shared" si="13"/>
        <v>0</v>
      </c>
      <c r="U120" s="677"/>
      <c r="V120" s="677"/>
      <c r="W120" s="168">
        <v>0</v>
      </c>
      <c r="X120" s="169">
        <v>0</v>
      </c>
      <c r="Y120" s="170">
        <f t="shared" si="14"/>
        <v>0</v>
      </c>
      <c r="Z120" s="171">
        <f t="shared" si="15"/>
        <v>0</v>
      </c>
      <c r="AA120" s="140"/>
      <c r="AC120" s="247" t="s">
        <v>459</v>
      </c>
      <c r="AD120" s="289" t="s">
        <v>460</v>
      </c>
      <c r="AE120" s="148">
        <f t="shared" si="9"/>
        <v>0</v>
      </c>
      <c r="AF120" s="149" t="str">
        <f t="shared" si="10"/>
        <v/>
      </c>
      <c r="AH120" s="125"/>
      <c r="AI120" s="644" t="s">
        <v>461</v>
      </c>
      <c r="AJ120" s="645"/>
      <c r="AK120" s="645"/>
      <c r="AL120" s="645"/>
      <c r="AM120" s="645"/>
      <c r="AN120" s="269" t="s">
        <v>462</v>
      </c>
      <c r="AO120" s="134">
        <f t="shared" si="0"/>
        <v>0</v>
      </c>
      <c r="AP120" s="135"/>
      <c r="AQ120" s="125"/>
      <c r="AR120" s="136" t="s">
        <v>463</v>
      </c>
      <c r="AS120" s="137"/>
      <c r="AT120" s="137"/>
      <c r="AU120" s="137"/>
      <c r="AV120" s="137"/>
      <c r="AW120" s="211" t="s">
        <v>464</v>
      </c>
      <c r="AX120" s="134">
        <f t="shared" si="1"/>
        <v>0</v>
      </c>
      <c r="AY120" s="274"/>
      <c r="AZ120" s="125"/>
      <c r="BA120" s="128"/>
      <c r="BB120" s="125"/>
      <c r="BC120" s="125"/>
      <c r="BD120" s="125"/>
      <c r="BE120" s="125"/>
      <c r="BF120" s="125"/>
    </row>
    <row r="121" spans="1:58" ht="18.75" thickBot="1" x14ac:dyDescent="0.3">
      <c r="A121" s="726" t="s">
        <v>91</v>
      </c>
      <c r="B121" s="727"/>
      <c r="C121" s="728"/>
      <c r="D121" s="165"/>
      <c r="E121" s="166" t="s">
        <v>277</v>
      </c>
      <c r="F121" s="290" t="s">
        <v>90</v>
      </c>
      <c r="G121" s="674">
        <f t="shared" si="11"/>
        <v>0</v>
      </c>
      <c r="H121" s="675"/>
      <c r="I121" s="676"/>
      <c r="J121" s="168">
        <v>0</v>
      </c>
      <c r="K121" s="169">
        <v>0</v>
      </c>
      <c r="L121" s="170">
        <f t="shared" si="12"/>
        <v>0</v>
      </c>
      <c r="M121" s="140"/>
      <c r="N121" s="726" t="s">
        <v>91</v>
      </c>
      <c r="O121" s="727"/>
      <c r="P121" s="728"/>
      <c r="Q121" s="165"/>
      <c r="R121" s="166" t="s">
        <v>277</v>
      </c>
      <c r="S121" s="290" t="s">
        <v>90</v>
      </c>
      <c r="T121" s="677">
        <f t="shared" si="13"/>
        <v>0</v>
      </c>
      <c r="U121" s="677"/>
      <c r="V121" s="677"/>
      <c r="W121" s="168">
        <v>0</v>
      </c>
      <c r="X121" s="169">
        <v>0</v>
      </c>
      <c r="Y121" s="170">
        <f t="shared" si="14"/>
        <v>0</v>
      </c>
      <c r="Z121" s="171">
        <f t="shared" si="15"/>
        <v>0</v>
      </c>
      <c r="AA121" s="140"/>
      <c r="AC121" s="247" t="s">
        <v>465</v>
      </c>
      <c r="AD121" s="250" t="s">
        <v>466</v>
      </c>
      <c r="AE121" s="148">
        <f t="shared" si="9"/>
        <v>0</v>
      </c>
      <c r="AF121" s="149" t="str">
        <f t="shared" si="10"/>
        <v/>
      </c>
      <c r="AH121" s="125"/>
      <c r="AI121" s="644" t="s">
        <v>467</v>
      </c>
      <c r="AJ121" s="645"/>
      <c r="AK121" s="645"/>
      <c r="AL121" s="645"/>
      <c r="AM121" s="645"/>
      <c r="AN121" s="291" t="s">
        <v>468</v>
      </c>
      <c r="AO121" s="134">
        <f t="shared" si="0"/>
        <v>0</v>
      </c>
      <c r="AP121" s="135"/>
      <c r="AQ121" s="125"/>
      <c r="AR121" s="695" t="s">
        <v>469</v>
      </c>
      <c r="AS121" s="696"/>
      <c r="AT121" s="696"/>
      <c r="AU121" s="696"/>
      <c r="AV121" s="768"/>
      <c r="AW121" s="292" t="s">
        <v>470</v>
      </c>
      <c r="AX121" s="134">
        <f t="shared" si="1"/>
        <v>0</v>
      </c>
      <c r="AY121" s="143"/>
      <c r="AZ121" s="125"/>
      <c r="BA121" s="128"/>
      <c r="BB121" s="125"/>
      <c r="BC121" s="125"/>
      <c r="BD121" s="125"/>
      <c r="BE121" s="125"/>
      <c r="BF121" s="125"/>
    </row>
    <row r="122" spans="1:58" ht="18.75" thickBot="1" x14ac:dyDescent="0.3">
      <c r="A122" s="758" t="s">
        <v>93</v>
      </c>
      <c r="B122" s="759"/>
      <c r="C122" s="760"/>
      <c r="D122" s="165"/>
      <c r="E122" s="166" t="s">
        <v>277</v>
      </c>
      <c r="F122" s="293" t="s">
        <v>92</v>
      </c>
      <c r="G122" s="674">
        <f t="shared" si="11"/>
        <v>0</v>
      </c>
      <c r="H122" s="675"/>
      <c r="I122" s="676"/>
      <c r="J122" s="168">
        <v>0</v>
      </c>
      <c r="K122" s="169">
        <v>0</v>
      </c>
      <c r="L122" s="170">
        <f t="shared" si="12"/>
        <v>0</v>
      </c>
      <c r="M122" s="140"/>
      <c r="N122" s="758" t="s">
        <v>93</v>
      </c>
      <c r="O122" s="759"/>
      <c r="P122" s="760"/>
      <c r="Q122" s="165"/>
      <c r="R122" s="166" t="s">
        <v>277</v>
      </c>
      <c r="S122" s="293" t="s">
        <v>92</v>
      </c>
      <c r="T122" s="677">
        <f t="shared" si="13"/>
        <v>0</v>
      </c>
      <c r="U122" s="677"/>
      <c r="V122" s="677"/>
      <c r="W122" s="168">
        <v>0</v>
      </c>
      <c r="X122" s="169">
        <v>0</v>
      </c>
      <c r="Y122" s="170">
        <f t="shared" si="14"/>
        <v>0</v>
      </c>
      <c r="Z122" s="171">
        <f t="shared" si="15"/>
        <v>0</v>
      </c>
      <c r="AA122" s="140"/>
      <c r="AC122" s="247" t="s">
        <v>471</v>
      </c>
      <c r="AD122" s="294" t="s">
        <v>472</v>
      </c>
      <c r="AE122" s="148">
        <f t="shared" si="9"/>
        <v>0</v>
      </c>
      <c r="AF122" s="149" t="str">
        <f t="shared" si="10"/>
        <v/>
      </c>
      <c r="AH122" s="125"/>
      <c r="AI122" s="644" t="s">
        <v>473</v>
      </c>
      <c r="AJ122" s="645"/>
      <c r="AK122" s="645"/>
      <c r="AL122" s="645"/>
      <c r="AM122" s="645"/>
      <c r="AN122" s="269" t="s">
        <v>474</v>
      </c>
      <c r="AO122" s="134">
        <f t="shared" si="0"/>
        <v>0</v>
      </c>
      <c r="AP122" s="135"/>
      <c r="AQ122" s="125"/>
      <c r="AR122" s="663" t="s">
        <v>475</v>
      </c>
      <c r="AS122" s="664"/>
      <c r="AT122" s="664"/>
      <c r="AU122" s="664"/>
      <c r="AV122" s="664"/>
      <c r="AW122" s="295" t="s">
        <v>476</v>
      </c>
      <c r="AX122" s="134">
        <f t="shared" si="1"/>
        <v>0</v>
      </c>
      <c r="AY122" s="296"/>
      <c r="AZ122" s="125"/>
      <c r="BA122" s="128"/>
      <c r="BB122" s="125"/>
      <c r="BC122" s="125"/>
      <c r="BD122" s="125"/>
      <c r="BE122" s="125"/>
      <c r="BF122" s="125"/>
    </row>
    <row r="123" spans="1:58" ht="18.75" thickBot="1" x14ac:dyDescent="0.3">
      <c r="A123" s="758" t="s">
        <v>116</v>
      </c>
      <c r="B123" s="759"/>
      <c r="C123" s="760"/>
      <c r="D123" s="165" t="s">
        <v>6</v>
      </c>
      <c r="E123" s="166" t="s">
        <v>277</v>
      </c>
      <c r="F123" s="297" t="s">
        <v>117</v>
      </c>
      <c r="G123" s="674">
        <f t="shared" si="11"/>
        <v>0</v>
      </c>
      <c r="H123" s="675"/>
      <c r="I123" s="676"/>
      <c r="J123" s="168">
        <v>0</v>
      </c>
      <c r="K123" s="169">
        <v>0</v>
      </c>
      <c r="L123" s="170">
        <f t="shared" si="12"/>
        <v>0</v>
      </c>
      <c r="M123" s="140"/>
      <c r="N123" s="758" t="s">
        <v>116</v>
      </c>
      <c r="O123" s="759"/>
      <c r="P123" s="760"/>
      <c r="Q123" s="165" t="s">
        <v>6</v>
      </c>
      <c r="R123" s="166" t="s">
        <v>277</v>
      </c>
      <c r="S123" s="297" t="s">
        <v>117</v>
      </c>
      <c r="T123" s="677">
        <f t="shared" si="13"/>
        <v>0</v>
      </c>
      <c r="U123" s="677"/>
      <c r="V123" s="677"/>
      <c r="W123" s="168">
        <v>0</v>
      </c>
      <c r="X123" s="169">
        <v>0</v>
      </c>
      <c r="Y123" s="170">
        <f t="shared" si="14"/>
        <v>0</v>
      </c>
      <c r="Z123" s="171">
        <f t="shared" si="15"/>
        <v>0</v>
      </c>
      <c r="AA123" s="140"/>
      <c r="AC123" s="247" t="s">
        <v>477</v>
      </c>
      <c r="AD123" s="46" t="s">
        <v>182</v>
      </c>
      <c r="AE123" s="148">
        <f t="shared" si="9"/>
        <v>12</v>
      </c>
      <c r="AF123" s="149" t="str">
        <f t="shared" si="10"/>
        <v/>
      </c>
      <c r="AH123" s="125"/>
      <c r="AI123" s="644" t="s">
        <v>478</v>
      </c>
      <c r="AJ123" s="645"/>
      <c r="AK123" s="645"/>
      <c r="AL123" s="645"/>
      <c r="AM123" s="645"/>
      <c r="AN123" s="298" t="s">
        <v>479</v>
      </c>
      <c r="AO123" s="134">
        <f t="shared" si="0"/>
        <v>0</v>
      </c>
      <c r="AP123" s="135"/>
      <c r="AQ123" s="125"/>
      <c r="AR123" s="699" t="s">
        <v>480</v>
      </c>
      <c r="AS123" s="700"/>
      <c r="AT123" s="700"/>
      <c r="AU123" s="700"/>
      <c r="AV123" s="701"/>
      <c r="AW123" s="299"/>
      <c r="AX123" s="300">
        <f>SUM(AX82:AX122)</f>
        <v>0</v>
      </c>
      <c r="AY123" s="125"/>
      <c r="AZ123" s="125"/>
      <c r="BA123" s="128"/>
      <c r="BB123" s="125"/>
      <c r="BC123" s="125"/>
      <c r="BD123" s="125"/>
      <c r="BE123" s="125"/>
      <c r="BF123" s="125"/>
    </row>
    <row r="124" spans="1:58" ht="18.75" thickBot="1" x14ac:dyDescent="0.3">
      <c r="A124" s="758" t="s">
        <v>33</v>
      </c>
      <c r="B124" s="759"/>
      <c r="C124" s="760"/>
      <c r="D124" s="165"/>
      <c r="E124" s="166" t="s">
        <v>277</v>
      </c>
      <c r="F124" s="301" t="s">
        <v>34</v>
      </c>
      <c r="G124" s="674">
        <f t="shared" si="11"/>
        <v>0</v>
      </c>
      <c r="H124" s="675"/>
      <c r="I124" s="676"/>
      <c r="J124" s="168">
        <v>0</v>
      </c>
      <c r="K124" s="169">
        <v>0</v>
      </c>
      <c r="L124" s="170">
        <f t="shared" si="12"/>
        <v>0</v>
      </c>
      <c r="M124" s="140"/>
      <c r="N124" s="758" t="s">
        <v>33</v>
      </c>
      <c r="O124" s="759"/>
      <c r="P124" s="760"/>
      <c r="Q124" s="165"/>
      <c r="R124" s="166" t="s">
        <v>277</v>
      </c>
      <c r="S124" s="301" t="s">
        <v>34</v>
      </c>
      <c r="T124" s="677">
        <f t="shared" si="13"/>
        <v>0</v>
      </c>
      <c r="U124" s="677"/>
      <c r="V124" s="677"/>
      <c r="W124" s="168">
        <v>0</v>
      </c>
      <c r="X124" s="169">
        <v>0</v>
      </c>
      <c r="Y124" s="170">
        <f t="shared" si="14"/>
        <v>0</v>
      </c>
      <c r="Z124" s="171">
        <f t="shared" si="15"/>
        <v>0</v>
      </c>
      <c r="AA124" s="140"/>
      <c r="AC124" s="247" t="s">
        <v>317</v>
      </c>
      <c r="AD124" s="302" t="s">
        <v>481</v>
      </c>
      <c r="AE124" s="148">
        <f t="shared" si="9"/>
        <v>0</v>
      </c>
      <c r="AF124" s="149" t="str">
        <f t="shared" si="10"/>
        <v/>
      </c>
      <c r="AH124" s="125"/>
      <c r="AI124" s="644" t="s">
        <v>482</v>
      </c>
      <c r="AJ124" s="645"/>
      <c r="AK124" s="645"/>
      <c r="AL124" s="645"/>
      <c r="AM124" s="645"/>
      <c r="AN124" s="303" t="s">
        <v>483</v>
      </c>
      <c r="AO124" s="134">
        <f t="shared" si="0"/>
        <v>0</v>
      </c>
      <c r="AP124" s="135"/>
      <c r="AQ124" s="125"/>
      <c r="AR124" s="125"/>
      <c r="AS124" s="125"/>
      <c r="AT124" s="125"/>
      <c r="AU124" s="125"/>
      <c r="AV124" s="125"/>
      <c r="AW124" s="125"/>
      <c r="AX124" s="125"/>
      <c r="AY124" s="125"/>
      <c r="AZ124" s="125"/>
      <c r="BA124" s="128"/>
      <c r="BB124" s="125"/>
      <c r="BC124" s="125"/>
      <c r="BD124" s="125"/>
      <c r="BE124" s="125"/>
      <c r="BF124" s="125"/>
    </row>
    <row r="125" spans="1:58" ht="18.75" thickBot="1" x14ac:dyDescent="0.3">
      <c r="A125" s="758" t="s">
        <v>95</v>
      </c>
      <c r="B125" s="759"/>
      <c r="C125" s="760"/>
      <c r="D125" s="165"/>
      <c r="E125" s="166" t="s">
        <v>277</v>
      </c>
      <c r="F125" s="304" t="s">
        <v>94</v>
      </c>
      <c r="G125" s="674">
        <f t="shared" si="11"/>
        <v>0</v>
      </c>
      <c r="H125" s="675"/>
      <c r="I125" s="676"/>
      <c r="J125" s="168">
        <v>0</v>
      </c>
      <c r="K125" s="169">
        <v>0</v>
      </c>
      <c r="L125" s="170">
        <f t="shared" si="12"/>
        <v>0</v>
      </c>
      <c r="M125" s="140"/>
      <c r="N125" s="758" t="s">
        <v>95</v>
      </c>
      <c r="O125" s="759"/>
      <c r="P125" s="760"/>
      <c r="Q125" s="165"/>
      <c r="R125" s="166" t="s">
        <v>277</v>
      </c>
      <c r="S125" s="304" t="s">
        <v>94</v>
      </c>
      <c r="T125" s="677">
        <f t="shared" si="13"/>
        <v>0</v>
      </c>
      <c r="U125" s="677"/>
      <c r="V125" s="677"/>
      <c r="W125" s="168">
        <v>0</v>
      </c>
      <c r="X125" s="169">
        <v>0</v>
      </c>
      <c r="Y125" s="170">
        <f t="shared" si="14"/>
        <v>0</v>
      </c>
      <c r="Z125" s="171">
        <f t="shared" si="15"/>
        <v>0</v>
      </c>
      <c r="AA125" s="140"/>
      <c r="AC125" s="247" t="s">
        <v>484</v>
      </c>
      <c r="AD125" s="305" t="s">
        <v>485</v>
      </c>
      <c r="AE125" s="148">
        <f t="shared" si="9"/>
        <v>0</v>
      </c>
      <c r="AF125" s="149" t="str">
        <f t="shared" si="10"/>
        <v/>
      </c>
      <c r="AH125" s="125"/>
      <c r="AI125" s="644" t="s">
        <v>486</v>
      </c>
      <c r="AJ125" s="645"/>
      <c r="AK125" s="645"/>
      <c r="AL125" s="645"/>
      <c r="AM125" s="645"/>
      <c r="AN125" s="303" t="s">
        <v>487</v>
      </c>
      <c r="AO125" s="134">
        <f t="shared" si="0"/>
        <v>0</v>
      </c>
      <c r="AP125" s="135"/>
      <c r="AQ125" s="125"/>
      <c r="AR125" s="658" t="s">
        <v>278</v>
      </c>
      <c r="AS125" s="659"/>
      <c r="AT125" s="659"/>
      <c r="AU125" s="659"/>
      <c r="AV125" s="659"/>
      <c r="AW125" s="643"/>
      <c r="AX125" s="126" t="s">
        <v>209</v>
      </c>
      <c r="AY125" s="127"/>
      <c r="AZ125" s="125"/>
      <c r="BA125" s="128"/>
      <c r="BB125" s="125"/>
      <c r="BC125" s="125"/>
      <c r="BD125" s="125"/>
      <c r="BE125" s="125"/>
      <c r="BF125" s="125"/>
    </row>
    <row r="126" spans="1:58" ht="19.5" thickBot="1" x14ac:dyDescent="0.3">
      <c r="A126" s="758" t="s">
        <v>97</v>
      </c>
      <c r="B126" s="759"/>
      <c r="C126" s="760"/>
      <c r="D126" s="165"/>
      <c r="E126" s="166" t="s">
        <v>277</v>
      </c>
      <c r="F126" s="306" t="s">
        <v>96</v>
      </c>
      <c r="G126" s="674">
        <f t="shared" si="11"/>
        <v>0</v>
      </c>
      <c r="H126" s="675"/>
      <c r="I126" s="676"/>
      <c r="J126" s="168">
        <v>0</v>
      </c>
      <c r="K126" s="169">
        <v>0</v>
      </c>
      <c r="L126" s="170">
        <f t="shared" si="12"/>
        <v>0</v>
      </c>
      <c r="M126" s="140"/>
      <c r="N126" s="758" t="s">
        <v>97</v>
      </c>
      <c r="O126" s="759"/>
      <c r="P126" s="760"/>
      <c r="Q126" s="165"/>
      <c r="R126" s="166" t="s">
        <v>277</v>
      </c>
      <c r="S126" s="306" t="s">
        <v>96</v>
      </c>
      <c r="T126" s="677">
        <f t="shared" si="13"/>
        <v>0</v>
      </c>
      <c r="U126" s="677"/>
      <c r="V126" s="677"/>
      <c r="W126" s="168">
        <v>0</v>
      </c>
      <c r="X126" s="169">
        <v>0</v>
      </c>
      <c r="Y126" s="170">
        <f t="shared" si="14"/>
        <v>0</v>
      </c>
      <c r="Z126" s="171">
        <f t="shared" si="15"/>
        <v>0</v>
      </c>
      <c r="AA126" s="140"/>
      <c r="AC126" s="307" t="s">
        <v>48</v>
      </c>
      <c r="AD126" s="37" t="s">
        <v>48</v>
      </c>
      <c r="AE126" s="148">
        <f t="shared" si="9"/>
        <v>24</v>
      </c>
      <c r="AF126" s="149" t="str">
        <f t="shared" si="10"/>
        <v/>
      </c>
      <c r="AH126" s="125"/>
      <c r="AI126" s="644" t="s">
        <v>488</v>
      </c>
      <c r="AJ126" s="645"/>
      <c r="AK126" s="645"/>
      <c r="AL126" s="645"/>
      <c r="AM126" s="645"/>
      <c r="AN126" s="75" t="s">
        <v>197</v>
      </c>
      <c r="AO126" s="134">
        <f t="shared" si="0"/>
        <v>2</v>
      </c>
      <c r="AP126" s="135"/>
      <c r="AQ126" s="125"/>
      <c r="AR126" s="702" t="s">
        <v>489</v>
      </c>
      <c r="AS126" s="703"/>
      <c r="AT126" s="703"/>
      <c r="AU126" s="703"/>
      <c r="AV126" s="703"/>
      <c r="AW126" s="308" t="s">
        <v>490</v>
      </c>
      <c r="AX126" s="134">
        <f t="shared" ref="AX126:AX178" si="16">COUNTIF($A$1:$GO$59,AW126)</f>
        <v>0</v>
      </c>
      <c r="AY126" s="309"/>
      <c r="AZ126" s="125"/>
      <c r="BA126" s="128"/>
      <c r="BB126" s="125"/>
    </row>
    <row r="127" spans="1:58" ht="18.75" x14ac:dyDescent="0.25">
      <c r="A127" s="758" t="s">
        <v>142</v>
      </c>
      <c r="B127" s="759"/>
      <c r="C127" s="760"/>
      <c r="D127" s="310"/>
      <c r="E127" s="257"/>
      <c r="F127" s="311" t="s">
        <v>136</v>
      </c>
      <c r="G127" s="674">
        <f t="shared" si="11"/>
        <v>0</v>
      </c>
      <c r="H127" s="675"/>
      <c r="I127" s="676"/>
      <c r="J127" s="168">
        <v>0</v>
      </c>
      <c r="K127" s="169">
        <v>0</v>
      </c>
      <c r="L127" s="170">
        <f t="shared" si="12"/>
        <v>0</v>
      </c>
      <c r="M127" s="140"/>
      <c r="N127" s="758" t="s">
        <v>142</v>
      </c>
      <c r="O127" s="759"/>
      <c r="P127" s="760"/>
      <c r="Q127" s="312"/>
      <c r="R127" s="313"/>
      <c r="S127" s="311" t="s">
        <v>136</v>
      </c>
      <c r="T127" s="677">
        <f t="shared" si="13"/>
        <v>0</v>
      </c>
      <c r="U127" s="677"/>
      <c r="V127" s="677"/>
      <c r="W127" s="168">
        <v>0</v>
      </c>
      <c r="X127" s="169">
        <v>0</v>
      </c>
      <c r="Y127" s="170">
        <f t="shared" si="14"/>
        <v>0</v>
      </c>
      <c r="Z127" s="171">
        <f t="shared" si="15"/>
        <v>0</v>
      </c>
      <c r="AA127" s="140"/>
      <c r="AC127" s="247" t="s">
        <v>491</v>
      </c>
      <c r="AD127" s="32" t="s">
        <v>492</v>
      </c>
      <c r="AE127" s="148">
        <f t="shared" si="9"/>
        <v>0</v>
      </c>
      <c r="AF127" s="149" t="str">
        <f t="shared" si="10"/>
        <v/>
      </c>
      <c r="AH127" s="125"/>
      <c r="AI127" s="644" t="s">
        <v>493</v>
      </c>
      <c r="AJ127" s="645"/>
      <c r="AK127" s="645"/>
      <c r="AL127" s="645"/>
      <c r="AM127" s="645"/>
      <c r="AN127" s="217" t="s">
        <v>494</v>
      </c>
      <c r="AO127" s="134">
        <f t="shared" si="0"/>
        <v>0</v>
      </c>
      <c r="AP127" s="135"/>
      <c r="AQ127" s="125"/>
      <c r="AR127" s="702" t="s">
        <v>495</v>
      </c>
      <c r="AS127" s="703"/>
      <c r="AT127" s="703"/>
      <c r="AU127" s="703"/>
      <c r="AV127" s="703"/>
      <c r="AW127" s="314" t="s">
        <v>496</v>
      </c>
      <c r="AX127" s="134">
        <f t="shared" si="16"/>
        <v>0</v>
      </c>
      <c r="AY127" s="309"/>
      <c r="AZ127" s="125"/>
      <c r="BA127" s="128"/>
      <c r="BB127" s="125"/>
    </row>
    <row r="128" spans="1:58" ht="18" x14ac:dyDescent="0.25">
      <c r="A128" s="720" t="s">
        <v>209</v>
      </c>
      <c r="B128" s="721"/>
      <c r="C128" s="721"/>
      <c r="D128" s="721"/>
      <c r="E128" s="721"/>
      <c r="F128" s="315"/>
      <c r="G128" s="748">
        <f>SUM(G110:I127)</f>
        <v>0</v>
      </c>
      <c r="H128" s="748"/>
      <c r="I128" s="748"/>
      <c r="J128" s="244">
        <f>SUM(J110:J127)</f>
        <v>0</v>
      </c>
      <c r="K128" s="245">
        <f>SUM(K110:K127)</f>
        <v>1</v>
      </c>
      <c r="L128" s="170">
        <f>SUM(L110:L127)</f>
        <v>-1</v>
      </c>
      <c r="M128" s="140"/>
      <c r="N128" s="749" t="s">
        <v>209</v>
      </c>
      <c r="O128" s="750"/>
      <c r="P128" s="750"/>
      <c r="Q128" s="750"/>
      <c r="R128" s="750"/>
      <c r="S128" s="316"/>
      <c r="T128" s="751">
        <f>SUM(T110:V127)</f>
        <v>1</v>
      </c>
      <c r="U128" s="751"/>
      <c r="V128" s="751"/>
      <c r="W128" s="244">
        <f>SUM(W110:W127)</f>
        <v>0</v>
      </c>
      <c r="X128" s="245">
        <f>SUM(X110:X127)</f>
        <v>0</v>
      </c>
      <c r="Y128" s="170">
        <f>SUM(Y110:Y127)</f>
        <v>1</v>
      </c>
      <c r="Z128" s="171">
        <f t="shared" si="15"/>
        <v>1</v>
      </c>
      <c r="AA128" s="140"/>
      <c r="AC128" s="247" t="s">
        <v>497</v>
      </c>
      <c r="AD128" s="317" t="s">
        <v>498</v>
      </c>
      <c r="AE128" s="148">
        <f t="shared" si="9"/>
        <v>0</v>
      </c>
      <c r="AF128" s="149" t="str">
        <f t="shared" si="10"/>
        <v/>
      </c>
      <c r="AH128" s="125"/>
      <c r="AI128" s="644" t="s">
        <v>499</v>
      </c>
      <c r="AJ128" s="645"/>
      <c r="AK128" s="645"/>
      <c r="AL128" s="645"/>
      <c r="AM128" s="645"/>
      <c r="AN128" s="318" t="s">
        <v>500</v>
      </c>
      <c r="AO128" s="134">
        <f t="shared" si="0"/>
        <v>0</v>
      </c>
      <c r="AP128" s="135"/>
      <c r="AQ128" s="125"/>
      <c r="AR128" s="702" t="s">
        <v>501</v>
      </c>
      <c r="AS128" s="703"/>
      <c r="AT128" s="703"/>
      <c r="AU128" s="703"/>
      <c r="AV128" s="703"/>
      <c r="AW128" s="314" t="s">
        <v>502</v>
      </c>
      <c r="AX128" s="134">
        <f t="shared" si="16"/>
        <v>0</v>
      </c>
      <c r="AY128" s="309"/>
      <c r="AZ128" s="125"/>
      <c r="BA128" s="128"/>
      <c r="BB128" s="125"/>
    </row>
    <row r="129" spans="1:53" ht="18.75" x14ac:dyDescent="0.25">
      <c r="A129" s="761" t="s">
        <v>503</v>
      </c>
      <c r="B129" s="762"/>
      <c r="C129" s="762"/>
      <c r="D129" s="762"/>
      <c r="E129" s="762"/>
      <c r="F129" s="762"/>
      <c r="G129" s="762"/>
      <c r="H129" s="762"/>
      <c r="I129" s="763"/>
      <c r="J129" s="160" t="s">
        <v>261</v>
      </c>
      <c r="K129" s="160" t="s">
        <v>262</v>
      </c>
      <c r="L129" s="160" t="s">
        <v>263</v>
      </c>
      <c r="M129" s="140"/>
      <c r="N129" s="761" t="s">
        <v>503</v>
      </c>
      <c r="O129" s="762"/>
      <c r="P129" s="762"/>
      <c r="Q129" s="762"/>
      <c r="R129" s="762"/>
      <c r="S129" s="762"/>
      <c r="T129" s="762"/>
      <c r="U129" s="762"/>
      <c r="V129" s="763"/>
      <c r="W129" s="161" t="s">
        <v>261</v>
      </c>
      <c r="X129" s="161" t="s">
        <v>262</v>
      </c>
      <c r="Y129" s="161" t="s">
        <v>263</v>
      </c>
      <c r="Z129" s="249"/>
      <c r="AA129" s="140"/>
      <c r="AC129" s="247" t="s">
        <v>504</v>
      </c>
      <c r="AD129" s="319" t="s">
        <v>505</v>
      </c>
      <c r="AE129" s="148">
        <f t="shared" si="9"/>
        <v>0</v>
      </c>
      <c r="AF129" s="149" t="str">
        <f t="shared" si="10"/>
        <v/>
      </c>
      <c r="AH129" s="125"/>
      <c r="AI129" s="644" t="s">
        <v>506</v>
      </c>
      <c r="AJ129" s="645"/>
      <c r="AK129" s="645"/>
      <c r="AL129" s="645"/>
      <c r="AM129" s="645"/>
      <c r="AN129" s="269" t="s">
        <v>507</v>
      </c>
      <c r="AO129" s="134">
        <f t="shared" si="0"/>
        <v>0</v>
      </c>
      <c r="AP129" s="135"/>
      <c r="AQ129" s="125"/>
      <c r="AR129" s="702" t="s">
        <v>508</v>
      </c>
      <c r="AS129" s="703"/>
      <c r="AT129" s="703"/>
      <c r="AU129" s="703"/>
      <c r="AV129" s="703"/>
      <c r="AW129" s="320" t="s">
        <v>509</v>
      </c>
      <c r="AX129" s="134">
        <f t="shared" si="16"/>
        <v>0</v>
      </c>
      <c r="AY129" s="309"/>
      <c r="AZ129" s="125"/>
      <c r="BA129" s="128"/>
    </row>
    <row r="130" spans="1:53" ht="19.5" thickBot="1" x14ac:dyDescent="0.3">
      <c r="A130" s="764" t="s">
        <v>143</v>
      </c>
      <c r="B130" s="765"/>
      <c r="C130" s="766"/>
      <c r="D130" s="252"/>
      <c r="E130" s="253"/>
      <c r="F130" s="179" t="s">
        <v>122</v>
      </c>
      <c r="G130" s="767">
        <f>COUNTIF($B$3:$Q$29,F130)+COUNTIF($K$40:$Q$47,F130)+COUNTIF($R$4:$BB$53,F130)</f>
        <v>0</v>
      </c>
      <c r="H130" s="734"/>
      <c r="I130" s="735"/>
      <c r="J130" s="168">
        <v>0</v>
      </c>
      <c r="K130" s="169">
        <v>0</v>
      </c>
      <c r="L130" s="170">
        <f t="shared" ref="L130:L131" si="17">G130-K130-J130</f>
        <v>0</v>
      </c>
      <c r="M130" s="140"/>
      <c r="N130" s="764" t="s">
        <v>143</v>
      </c>
      <c r="O130" s="765"/>
      <c r="P130" s="766"/>
      <c r="Q130" s="252"/>
      <c r="R130" s="253"/>
      <c r="S130" s="179" t="s">
        <v>122</v>
      </c>
      <c r="T130" s="677">
        <f>COUNTIF($K$30:$Q$38,S130)+COUNTIF($B$30:$J$50,S130)</f>
        <v>0</v>
      </c>
      <c r="U130" s="677"/>
      <c r="V130" s="677"/>
      <c r="W130" s="168">
        <v>0</v>
      </c>
      <c r="X130" s="169">
        <v>0</v>
      </c>
      <c r="Y130" s="170">
        <f t="shared" ref="Y130:Y131" si="18">T130-X130-W130</f>
        <v>0</v>
      </c>
      <c r="Z130" s="171">
        <f t="shared" ref="Z130:Z132" si="19">T130+G130</f>
        <v>0</v>
      </c>
      <c r="AA130" s="140"/>
      <c r="AC130" s="247" t="s">
        <v>510</v>
      </c>
      <c r="AD130" s="321" t="s">
        <v>511</v>
      </c>
      <c r="AE130" s="148">
        <f t="shared" si="9"/>
        <v>0</v>
      </c>
      <c r="AF130" s="149" t="str">
        <f t="shared" si="10"/>
        <v/>
      </c>
      <c r="AH130" s="125"/>
      <c r="AI130" s="644" t="s">
        <v>512</v>
      </c>
      <c r="AJ130" s="645"/>
      <c r="AK130" s="645"/>
      <c r="AL130" s="645"/>
      <c r="AM130" s="645"/>
      <c r="AN130" s="322" t="s">
        <v>513</v>
      </c>
      <c r="AO130" s="134">
        <f t="shared" si="0"/>
        <v>0</v>
      </c>
      <c r="AP130" s="135"/>
      <c r="AQ130" s="125"/>
      <c r="AR130" s="702" t="s">
        <v>514</v>
      </c>
      <c r="AS130" s="703"/>
      <c r="AT130" s="703"/>
      <c r="AU130" s="703"/>
      <c r="AV130" s="703"/>
      <c r="AW130" s="41" t="s">
        <v>175</v>
      </c>
      <c r="AX130" s="134">
        <f t="shared" si="16"/>
        <v>1</v>
      </c>
      <c r="AY130" s="309"/>
      <c r="AZ130" s="125"/>
      <c r="BA130" s="128"/>
    </row>
    <row r="131" spans="1:53" ht="19.5" thickBot="1" x14ac:dyDescent="0.3">
      <c r="A131" s="758" t="s">
        <v>144</v>
      </c>
      <c r="B131" s="759"/>
      <c r="C131" s="760"/>
      <c r="D131" s="165"/>
      <c r="E131" s="166"/>
      <c r="F131" s="267" t="s">
        <v>123</v>
      </c>
      <c r="G131" s="674">
        <f>COUNTIF($B$3:$Q$29,F131)+COUNTIF($K$40:$Q$47,F131)+COUNTIF($R$4:$BB$53,F131)</f>
        <v>0</v>
      </c>
      <c r="H131" s="675"/>
      <c r="I131" s="676"/>
      <c r="J131" s="168">
        <v>0</v>
      </c>
      <c r="K131" s="169">
        <v>0</v>
      </c>
      <c r="L131" s="170">
        <f t="shared" si="17"/>
        <v>0</v>
      </c>
      <c r="M131" s="140"/>
      <c r="N131" s="758" t="s">
        <v>144</v>
      </c>
      <c r="O131" s="759"/>
      <c r="P131" s="760"/>
      <c r="Q131" s="165"/>
      <c r="R131" s="166"/>
      <c r="S131" s="267" t="s">
        <v>123</v>
      </c>
      <c r="T131" s="677">
        <f>COUNTIF($K$30:$Q$38,S131)+COUNTIF($B$30:$J$50,S131)</f>
        <v>0</v>
      </c>
      <c r="U131" s="677"/>
      <c r="V131" s="677"/>
      <c r="W131" s="168">
        <v>0</v>
      </c>
      <c r="X131" s="169">
        <v>0</v>
      </c>
      <c r="Y131" s="170">
        <f t="shared" si="18"/>
        <v>0</v>
      </c>
      <c r="Z131" s="171">
        <f t="shared" si="19"/>
        <v>0</v>
      </c>
      <c r="AA131" s="140"/>
      <c r="AC131" s="247" t="s">
        <v>515</v>
      </c>
      <c r="AD131" s="323" t="s">
        <v>515</v>
      </c>
      <c r="AE131" s="148">
        <f t="shared" si="9"/>
        <v>0</v>
      </c>
      <c r="AF131" s="149" t="str">
        <f t="shared" si="10"/>
        <v/>
      </c>
      <c r="AH131" s="125"/>
      <c r="AI131" s="644" t="s">
        <v>516</v>
      </c>
      <c r="AJ131" s="645"/>
      <c r="AK131" s="645"/>
      <c r="AL131" s="645"/>
      <c r="AM131" s="645"/>
      <c r="AN131" s="324" t="s">
        <v>517</v>
      </c>
      <c r="AO131" s="134">
        <f t="shared" si="0"/>
        <v>0</v>
      </c>
      <c r="AP131" s="135"/>
      <c r="AQ131" s="125"/>
      <c r="AR131" s="702" t="s">
        <v>518</v>
      </c>
      <c r="AS131" s="703"/>
      <c r="AT131" s="703"/>
      <c r="AU131" s="703"/>
      <c r="AV131" s="703"/>
      <c r="AW131" s="41" t="s">
        <v>519</v>
      </c>
      <c r="AX131" s="134">
        <f t="shared" si="16"/>
        <v>0</v>
      </c>
      <c r="AY131" s="309"/>
      <c r="AZ131" s="125"/>
      <c r="BA131" s="128"/>
    </row>
    <row r="132" spans="1:53" ht="18.75" x14ac:dyDescent="0.25">
      <c r="A132" s="720" t="s">
        <v>209</v>
      </c>
      <c r="B132" s="721"/>
      <c r="C132" s="721"/>
      <c r="D132" s="721"/>
      <c r="E132" s="721"/>
      <c r="F132" s="315"/>
      <c r="G132" s="748">
        <f>SUM(G130:I131)</f>
        <v>0</v>
      </c>
      <c r="H132" s="748"/>
      <c r="I132" s="748"/>
      <c r="J132" s="244">
        <f>SUM(J130:J131)</f>
        <v>0</v>
      </c>
      <c r="K132" s="245">
        <f>SUM(K130:K131)</f>
        <v>0</v>
      </c>
      <c r="L132" s="170">
        <f>SUM(L130:L131)</f>
        <v>0</v>
      </c>
      <c r="M132" s="140"/>
      <c r="N132" s="749" t="s">
        <v>209</v>
      </c>
      <c r="O132" s="750"/>
      <c r="P132" s="750"/>
      <c r="Q132" s="750"/>
      <c r="R132" s="750"/>
      <c r="S132" s="316"/>
      <c r="T132" s="751">
        <f>SUM(T130:V131)</f>
        <v>0</v>
      </c>
      <c r="U132" s="751"/>
      <c r="V132" s="751"/>
      <c r="W132" s="244">
        <f>SUM(W130:W131)</f>
        <v>0</v>
      </c>
      <c r="X132" s="245">
        <f>SUM(X130:X131)</f>
        <v>0</v>
      </c>
      <c r="Y132" s="170">
        <f>SUM(Y130:Y131)</f>
        <v>0</v>
      </c>
      <c r="Z132" s="171">
        <f t="shared" si="19"/>
        <v>0</v>
      </c>
      <c r="AA132" s="140"/>
      <c r="AC132" s="247" t="s">
        <v>520</v>
      </c>
      <c r="AD132" s="325" t="s">
        <v>521</v>
      </c>
      <c r="AE132" s="148">
        <f t="shared" si="9"/>
        <v>0</v>
      </c>
      <c r="AF132" s="149" t="str">
        <f t="shared" si="10"/>
        <v/>
      </c>
      <c r="AH132" s="125"/>
      <c r="AI132" s="644" t="s">
        <v>522</v>
      </c>
      <c r="AJ132" s="645"/>
      <c r="AK132" s="645"/>
      <c r="AL132" s="645"/>
      <c r="AM132" s="645"/>
      <c r="AN132" s="326" t="s">
        <v>523</v>
      </c>
      <c r="AO132" s="134">
        <f t="shared" si="0"/>
        <v>0</v>
      </c>
      <c r="AP132" s="135"/>
      <c r="AQ132" s="125"/>
      <c r="AR132" s="702" t="s">
        <v>524</v>
      </c>
      <c r="AS132" s="703"/>
      <c r="AT132" s="703"/>
      <c r="AU132" s="703"/>
      <c r="AV132" s="703"/>
      <c r="AW132" s="41" t="s">
        <v>525</v>
      </c>
      <c r="AX132" s="134">
        <f t="shared" si="16"/>
        <v>0</v>
      </c>
      <c r="AY132" s="327"/>
      <c r="AZ132" s="125"/>
      <c r="BA132" s="128"/>
    </row>
    <row r="133" spans="1:53" ht="18.75" x14ac:dyDescent="0.25">
      <c r="A133" s="752" t="s">
        <v>526</v>
      </c>
      <c r="B133" s="753"/>
      <c r="C133" s="753"/>
      <c r="D133" s="753"/>
      <c r="E133" s="753"/>
      <c r="F133" s="753"/>
      <c r="G133" s="753"/>
      <c r="H133" s="753"/>
      <c r="I133" s="754"/>
      <c r="J133" s="160" t="s">
        <v>261</v>
      </c>
      <c r="K133" s="160" t="s">
        <v>262</v>
      </c>
      <c r="L133" s="160" t="s">
        <v>263</v>
      </c>
      <c r="M133" s="140"/>
      <c r="N133" s="752" t="s">
        <v>526</v>
      </c>
      <c r="O133" s="753"/>
      <c r="P133" s="753"/>
      <c r="Q133" s="753"/>
      <c r="R133" s="753"/>
      <c r="S133" s="753"/>
      <c r="T133" s="753"/>
      <c r="U133" s="753"/>
      <c r="V133" s="754"/>
      <c r="W133" s="161" t="s">
        <v>261</v>
      </c>
      <c r="X133" s="161" t="s">
        <v>262</v>
      </c>
      <c r="Y133" s="161" t="s">
        <v>263</v>
      </c>
      <c r="Z133" s="249"/>
      <c r="AA133" s="140"/>
      <c r="AC133" s="247" t="s">
        <v>527</v>
      </c>
      <c r="AD133" s="328" t="s">
        <v>528</v>
      </c>
      <c r="AE133" s="148">
        <f t="shared" si="9"/>
        <v>0</v>
      </c>
      <c r="AF133" s="149" t="str">
        <f t="shared" si="10"/>
        <v/>
      </c>
      <c r="AH133" s="125"/>
      <c r="AI133" s="644" t="s">
        <v>529</v>
      </c>
      <c r="AJ133" s="645"/>
      <c r="AK133" s="645"/>
      <c r="AL133" s="645"/>
      <c r="AM133" s="645"/>
      <c r="AN133" s="202" t="s">
        <v>529</v>
      </c>
      <c r="AO133" s="134">
        <f t="shared" si="0"/>
        <v>0</v>
      </c>
      <c r="AP133" s="135"/>
      <c r="AQ133" s="125"/>
      <c r="AR133" s="702" t="s">
        <v>530</v>
      </c>
      <c r="AS133" s="703"/>
      <c r="AT133" s="703"/>
      <c r="AU133" s="703"/>
      <c r="AV133" s="703"/>
      <c r="AW133" s="329" t="s">
        <v>531</v>
      </c>
      <c r="AX133" s="134">
        <f t="shared" si="16"/>
        <v>0</v>
      </c>
      <c r="AY133" s="327"/>
      <c r="AZ133" s="125"/>
      <c r="BA133" s="128"/>
    </row>
    <row r="134" spans="1:53" ht="19.5" thickBot="1" x14ac:dyDescent="0.3">
      <c r="A134" s="726" t="s">
        <v>99</v>
      </c>
      <c r="B134" s="727"/>
      <c r="C134" s="728"/>
      <c r="D134" s="165" t="s">
        <v>532</v>
      </c>
      <c r="E134" s="166" t="s">
        <v>277</v>
      </c>
      <c r="F134" s="330" t="s">
        <v>98</v>
      </c>
      <c r="G134" s="755">
        <f t="shared" ref="G134:G150" si="20">COUNTIF($B$3:$Q$29,F134)+COUNTIF($K$40:$Q$47,F134)+COUNTIF($R$4:$BB$53,F134)</f>
        <v>0</v>
      </c>
      <c r="H134" s="756"/>
      <c r="I134" s="757"/>
      <c r="J134" s="168">
        <v>0</v>
      </c>
      <c r="K134" s="169">
        <v>0</v>
      </c>
      <c r="L134" s="170">
        <f t="shared" ref="L134:L150" si="21">G134-K134-J134</f>
        <v>0</v>
      </c>
      <c r="M134" s="140"/>
      <c r="N134" s="726" t="s">
        <v>99</v>
      </c>
      <c r="O134" s="727"/>
      <c r="P134" s="728"/>
      <c r="Q134" s="165" t="s">
        <v>532</v>
      </c>
      <c r="R134" s="166" t="s">
        <v>277</v>
      </c>
      <c r="S134" s="330" t="s">
        <v>98</v>
      </c>
      <c r="T134" s="677">
        <f t="shared" ref="T134:T150" si="22">COUNTIF($K$30:$Q$38,S134)+COUNTIF($B$30:$J$50,S134)</f>
        <v>0</v>
      </c>
      <c r="U134" s="677"/>
      <c r="V134" s="677"/>
      <c r="W134" s="168">
        <v>0</v>
      </c>
      <c r="X134" s="169">
        <v>0</v>
      </c>
      <c r="Y134" s="170">
        <f t="shared" ref="Y134:Y150" si="23">T134-X134-W134</f>
        <v>0</v>
      </c>
      <c r="Z134" s="171">
        <f t="shared" si="6"/>
        <v>0</v>
      </c>
      <c r="AA134" s="140" t="b">
        <f>IFERROR(#REF!&gt;0.5,FALSE)</f>
        <v>0</v>
      </c>
      <c r="AC134" s="247" t="s">
        <v>533</v>
      </c>
      <c r="AD134" s="331" t="s">
        <v>534</v>
      </c>
      <c r="AE134" s="148">
        <f t="shared" si="9"/>
        <v>0</v>
      </c>
      <c r="AF134" s="149" t="str">
        <f t="shared" si="10"/>
        <v/>
      </c>
      <c r="AH134" s="125"/>
      <c r="AI134" s="644" t="s">
        <v>535</v>
      </c>
      <c r="AJ134" s="645"/>
      <c r="AK134" s="645"/>
      <c r="AL134" s="645"/>
      <c r="AM134" s="645"/>
      <c r="AN134" s="332" t="s">
        <v>536</v>
      </c>
      <c r="AO134" s="134">
        <f t="shared" si="0"/>
        <v>0</v>
      </c>
      <c r="AP134" s="135"/>
      <c r="AQ134" s="125"/>
      <c r="AR134" s="702" t="s">
        <v>537</v>
      </c>
      <c r="AS134" s="703"/>
      <c r="AT134" s="703"/>
      <c r="AU134" s="703"/>
      <c r="AV134" s="703"/>
      <c r="AW134" s="329" t="s">
        <v>538</v>
      </c>
      <c r="AX134" s="134">
        <f t="shared" si="16"/>
        <v>0</v>
      </c>
      <c r="AY134" s="327"/>
      <c r="AZ134" s="125"/>
      <c r="BA134" s="128"/>
    </row>
    <row r="135" spans="1:53" ht="18" x14ac:dyDescent="0.25">
      <c r="A135" s="726" t="s">
        <v>145</v>
      </c>
      <c r="B135" s="727"/>
      <c r="C135" s="728"/>
      <c r="D135" s="165"/>
      <c r="E135" s="166"/>
      <c r="F135" s="333" t="s">
        <v>146</v>
      </c>
      <c r="G135" s="675">
        <f t="shared" si="20"/>
        <v>0</v>
      </c>
      <c r="H135" s="675"/>
      <c r="I135" s="676"/>
      <c r="J135" s="168">
        <v>0</v>
      </c>
      <c r="K135" s="169">
        <v>0</v>
      </c>
      <c r="L135" s="170">
        <f t="shared" si="21"/>
        <v>0</v>
      </c>
      <c r="M135" s="140"/>
      <c r="N135" s="726" t="s">
        <v>145</v>
      </c>
      <c r="O135" s="727"/>
      <c r="P135" s="728"/>
      <c r="Q135" s="165"/>
      <c r="R135" s="166"/>
      <c r="S135" s="333" t="s">
        <v>146</v>
      </c>
      <c r="T135" s="676">
        <f t="shared" si="22"/>
        <v>0</v>
      </c>
      <c r="U135" s="677"/>
      <c r="V135" s="677"/>
      <c r="W135" s="168">
        <v>0</v>
      </c>
      <c r="X135" s="169">
        <v>0</v>
      </c>
      <c r="Y135" s="170">
        <f t="shared" si="23"/>
        <v>0</v>
      </c>
      <c r="Z135" s="171">
        <f t="shared" si="6"/>
        <v>0</v>
      </c>
      <c r="AA135" s="140"/>
      <c r="AC135" s="216" t="s">
        <v>539</v>
      </c>
      <c r="AD135" s="334" t="s">
        <v>540</v>
      </c>
      <c r="AE135" s="148">
        <f t="shared" si="9"/>
        <v>0</v>
      </c>
      <c r="AF135" s="149" t="str">
        <f t="shared" si="10"/>
        <v/>
      </c>
      <c r="AH135" s="125"/>
      <c r="AI135" s="644" t="s">
        <v>541</v>
      </c>
      <c r="AJ135" s="645"/>
      <c r="AK135" s="645"/>
      <c r="AL135" s="645"/>
      <c r="AM135" s="645"/>
      <c r="AN135" s="335" t="s">
        <v>542</v>
      </c>
      <c r="AO135" s="134">
        <f t="shared" si="0"/>
        <v>0</v>
      </c>
      <c r="AP135" s="135"/>
      <c r="AQ135" s="125"/>
      <c r="AR135" s="702" t="s">
        <v>543</v>
      </c>
      <c r="AS135" s="703"/>
      <c r="AT135" s="703"/>
      <c r="AU135" s="703"/>
      <c r="AV135" s="703"/>
      <c r="AW135" s="336" t="s">
        <v>544</v>
      </c>
      <c r="AX135" s="134">
        <f t="shared" si="16"/>
        <v>0</v>
      </c>
      <c r="AY135" s="327"/>
      <c r="AZ135" s="125"/>
      <c r="BA135" s="128"/>
    </row>
    <row r="136" spans="1:53" ht="19.5" thickBot="1" x14ac:dyDescent="0.3">
      <c r="A136" s="726" t="s">
        <v>100</v>
      </c>
      <c r="B136" s="727"/>
      <c r="C136" s="728"/>
      <c r="D136" s="165"/>
      <c r="E136" s="166"/>
      <c r="F136" s="337" t="s">
        <v>0</v>
      </c>
      <c r="G136" s="675">
        <f t="shared" si="20"/>
        <v>0</v>
      </c>
      <c r="H136" s="675"/>
      <c r="I136" s="676"/>
      <c r="J136" s="168">
        <v>0</v>
      </c>
      <c r="K136" s="169">
        <v>0</v>
      </c>
      <c r="L136" s="170">
        <f t="shared" si="21"/>
        <v>0</v>
      </c>
      <c r="M136" s="140"/>
      <c r="N136" s="726" t="s">
        <v>100</v>
      </c>
      <c r="O136" s="727"/>
      <c r="P136" s="728"/>
      <c r="Q136" s="165"/>
      <c r="R136" s="166"/>
      <c r="S136" s="337" t="s">
        <v>0</v>
      </c>
      <c r="T136" s="676">
        <f t="shared" si="22"/>
        <v>0</v>
      </c>
      <c r="U136" s="677"/>
      <c r="V136" s="677"/>
      <c r="W136" s="168">
        <v>0</v>
      </c>
      <c r="X136" s="169">
        <v>0</v>
      </c>
      <c r="Y136" s="170">
        <f t="shared" si="23"/>
        <v>0</v>
      </c>
      <c r="Z136" s="171">
        <f t="shared" si="6"/>
        <v>0</v>
      </c>
      <c r="AA136" s="140"/>
      <c r="AC136" s="247" t="s">
        <v>545</v>
      </c>
      <c r="AD136" s="338" t="s">
        <v>546</v>
      </c>
      <c r="AE136" s="148">
        <f t="shared" si="9"/>
        <v>0</v>
      </c>
      <c r="AF136" s="149" t="str">
        <f t="shared" si="10"/>
        <v/>
      </c>
      <c r="AH136" s="125"/>
      <c r="AI136" s="644" t="s">
        <v>547</v>
      </c>
      <c r="AJ136" s="645"/>
      <c r="AK136" s="645"/>
      <c r="AL136" s="645"/>
      <c r="AM136" s="645"/>
      <c r="AN136" s="339" t="s">
        <v>548</v>
      </c>
      <c r="AO136" s="134">
        <f t="shared" si="0"/>
        <v>0</v>
      </c>
      <c r="AP136" s="340"/>
      <c r="AQ136" s="125"/>
      <c r="AR136" s="702" t="s">
        <v>549</v>
      </c>
      <c r="AS136" s="703"/>
      <c r="AT136" s="703"/>
      <c r="AU136" s="703"/>
      <c r="AV136" s="703"/>
      <c r="AW136" s="329" t="s">
        <v>550</v>
      </c>
      <c r="AX136" s="134">
        <f t="shared" si="16"/>
        <v>0</v>
      </c>
      <c r="AY136" s="309"/>
      <c r="AZ136" s="125"/>
      <c r="BA136" s="128"/>
    </row>
    <row r="137" spans="1:53" ht="19.5" thickBot="1" x14ac:dyDescent="0.3">
      <c r="A137" s="726" t="s">
        <v>102</v>
      </c>
      <c r="B137" s="727"/>
      <c r="C137" s="728"/>
      <c r="D137" s="165" t="s">
        <v>0</v>
      </c>
      <c r="E137" s="166"/>
      <c r="F137" s="341" t="s">
        <v>101</v>
      </c>
      <c r="G137" s="675">
        <f t="shared" si="20"/>
        <v>0</v>
      </c>
      <c r="H137" s="675"/>
      <c r="I137" s="676"/>
      <c r="J137" s="168">
        <v>0</v>
      </c>
      <c r="K137" s="169">
        <v>0</v>
      </c>
      <c r="L137" s="170">
        <f t="shared" si="21"/>
        <v>0</v>
      </c>
      <c r="M137" s="140"/>
      <c r="N137" s="726" t="s">
        <v>102</v>
      </c>
      <c r="O137" s="727"/>
      <c r="P137" s="728"/>
      <c r="Q137" s="165" t="s">
        <v>0</v>
      </c>
      <c r="R137" s="166"/>
      <c r="S137" s="341" t="s">
        <v>101</v>
      </c>
      <c r="T137" s="676">
        <f t="shared" si="22"/>
        <v>0</v>
      </c>
      <c r="U137" s="677"/>
      <c r="V137" s="677"/>
      <c r="W137" s="168">
        <v>0</v>
      </c>
      <c r="X137" s="169">
        <v>0</v>
      </c>
      <c r="Y137" s="170">
        <f t="shared" si="23"/>
        <v>0</v>
      </c>
      <c r="Z137" s="171">
        <f t="shared" si="6"/>
        <v>0</v>
      </c>
      <c r="AA137" s="140"/>
      <c r="AC137" s="247" t="s">
        <v>551</v>
      </c>
      <c r="AD137" s="342" t="s">
        <v>552</v>
      </c>
      <c r="AE137" s="148">
        <f t="shared" si="9"/>
        <v>0</v>
      </c>
      <c r="AF137" s="149" t="str">
        <f t="shared" si="10"/>
        <v/>
      </c>
      <c r="AH137" s="125"/>
      <c r="AI137" s="644" t="s">
        <v>553</v>
      </c>
      <c r="AJ137" s="645"/>
      <c r="AK137" s="645"/>
      <c r="AL137" s="645"/>
      <c r="AM137" s="645"/>
      <c r="AN137" s="250" t="s">
        <v>554</v>
      </c>
      <c r="AO137" s="134">
        <f t="shared" si="0"/>
        <v>0</v>
      </c>
      <c r="AP137" s="135"/>
      <c r="AQ137" s="125"/>
      <c r="AR137" s="702" t="s">
        <v>555</v>
      </c>
      <c r="AS137" s="703"/>
      <c r="AT137" s="703"/>
      <c r="AU137" s="703"/>
      <c r="AV137" s="703"/>
      <c r="AW137" s="204" t="s">
        <v>556</v>
      </c>
      <c r="AX137" s="134">
        <f t="shared" si="16"/>
        <v>0</v>
      </c>
      <c r="AY137" s="309"/>
      <c r="AZ137" s="125"/>
      <c r="BA137" s="242"/>
    </row>
    <row r="138" spans="1:53" ht="19.5" thickBot="1" x14ac:dyDescent="0.3">
      <c r="A138" s="726" t="s">
        <v>18</v>
      </c>
      <c r="B138" s="727"/>
      <c r="C138" s="728"/>
      <c r="D138" s="165"/>
      <c r="E138" s="166"/>
      <c r="F138" s="343" t="s">
        <v>1</v>
      </c>
      <c r="G138" s="675">
        <f t="shared" si="20"/>
        <v>0</v>
      </c>
      <c r="H138" s="675"/>
      <c r="I138" s="676"/>
      <c r="J138" s="168">
        <v>0</v>
      </c>
      <c r="K138" s="169">
        <v>0</v>
      </c>
      <c r="L138" s="170">
        <f t="shared" si="21"/>
        <v>0</v>
      </c>
      <c r="M138" s="140"/>
      <c r="N138" s="726" t="s">
        <v>18</v>
      </c>
      <c r="O138" s="727"/>
      <c r="P138" s="728"/>
      <c r="Q138" s="165"/>
      <c r="R138" s="166"/>
      <c r="S138" s="343" t="s">
        <v>1</v>
      </c>
      <c r="T138" s="676">
        <f t="shared" si="22"/>
        <v>0</v>
      </c>
      <c r="U138" s="677"/>
      <c r="V138" s="677"/>
      <c r="W138" s="168">
        <v>0</v>
      </c>
      <c r="X138" s="169">
        <v>0</v>
      </c>
      <c r="Y138" s="170">
        <f t="shared" si="23"/>
        <v>0</v>
      </c>
      <c r="Z138" s="171">
        <f t="shared" si="6"/>
        <v>0</v>
      </c>
      <c r="AC138" s="247" t="s">
        <v>165</v>
      </c>
      <c r="AD138" s="29" t="s">
        <v>165</v>
      </c>
      <c r="AE138" s="148">
        <f t="shared" si="9"/>
        <v>16</v>
      </c>
      <c r="AF138" s="149" t="str">
        <f t="shared" si="10"/>
        <v/>
      </c>
      <c r="AH138" s="125"/>
      <c r="AI138" s="644" t="s">
        <v>557</v>
      </c>
      <c r="AJ138" s="645"/>
      <c r="AK138" s="645"/>
      <c r="AL138" s="645"/>
      <c r="AM138" s="645"/>
      <c r="AN138" s="332" t="s">
        <v>558</v>
      </c>
      <c r="AO138" s="134">
        <f t="shared" si="0"/>
        <v>0</v>
      </c>
      <c r="AP138" s="135"/>
      <c r="AQ138" s="125"/>
      <c r="AR138" s="702" t="s">
        <v>559</v>
      </c>
      <c r="AS138" s="703"/>
      <c r="AT138" s="703"/>
      <c r="AU138" s="703"/>
      <c r="AV138" s="703"/>
      <c r="AW138" s="344" t="s">
        <v>560</v>
      </c>
      <c r="AX138" s="134">
        <f t="shared" si="16"/>
        <v>0</v>
      </c>
      <c r="AY138" s="309"/>
      <c r="AZ138" s="125"/>
      <c r="BA138" s="242"/>
    </row>
    <row r="139" spans="1:53" ht="18.75" x14ac:dyDescent="0.25">
      <c r="A139" s="726" t="s">
        <v>147</v>
      </c>
      <c r="B139" s="727"/>
      <c r="C139" s="728"/>
      <c r="D139" s="165"/>
      <c r="E139" s="166"/>
      <c r="F139" s="345" t="s">
        <v>148</v>
      </c>
      <c r="G139" s="674">
        <f t="shared" si="20"/>
        <v>0</v>
      </c>
      <c r="H139" s="675"/>
      <c r="I139" s="676"/>
      <c r="J139" s="168">
        <v>0</v>
      </c>
      <c r="K139" s="169">
        <v>0</v>
      </c>
      <c r="L139" s="170">
        <f t="shared" si="21"/>
        <v>0</v>
      </c>
      <c r="M139" s="140"/>
      <c r="N139" s="726" t="s">
        <v>147</v>
      </c>
      <c r="O139" s="727"/>
      <c r="P139" s="728"/>
      <c r="Q139" s="165"/>
      <c r="R139" s="166"/>
      <c r="S139" s="345" t="s">
        <v>148</v>
      </c>
      <c r="T139" s="677">
        <f t="shared" si="22"/>
        <v>0</v>
      </c>
      <c r="U139" s="677"/>
      <c r="V139" s="677"/>
      <c r="W139" s="168">
        <v>0</v>
      </c>
      <c r="X139" s="169">
        <v>0</v>
      </c>
      <c r="Y139" s="170">
        <f t="shared" si="23"/>
        <v>0</v>
      </c>
      <c r="Z139" s="171">
        <f t="shared" si="6"/>
        <v>0</v>
      </c>
      <c r="AC139" s="247" t="s">
        <v>561</v>
      </c>
      <c r="AD139" s="346" t="s">
        <v>562</v>
      </c>
      <c r="AE139" s="148">
        <f t="shared" si="9"/>
        <v>0</v>
      </c>
      <c r="AF139" s="149" t="str">
        <f t="shared" si="10"/>
        <v/>
      </c>
      <c r="AH139" s="125"/>
      <c r="AI139" s="644" t="s">
        <v>563</v>
      </c>
      <c r="AJ139" s="645"/>
      <c r="AK139" s="645"/>
      <c r="AL139" s="645"/>
      <c r="AM139" s="645"/>
      <c r="AN139" s="347" t="s">
        <v>564</v>
      </c>
      <c r="AO139" s="134">
        <f t="shared" si="0"/>
        <v>0</v>
      </c>
      <c r="AP139" s="135"/>
      <c r="AQ139" s="125"/>
      <c r="AR139" s="702" t="s">
        <v>565</v>
      </c>
      <c r="AS139" s="703"/>
      <c r="AT139" s="703"/>
      <c r="AU139" s="703"/>
      <c r="AV139" s="703"/>
      <c r="AW139" s="348" t="s">
        <v>566</v>
      </c>
      <c r="AX139" s="134">
        <f t="shared" si="16"/>
        <v>0</v>
      </c>
      <c r="AY139" s="309"/>
      <c r="AZ139" s="125"/>
      <c r="BA139" s="242"/>
    </row>
    <row r="140" spans="1:53" ht="18.75" x14ac:dyDescent="0.25">
      <c r="A140" s="726" t="s">
        <v>32</v>
      </c>
      <c r="B140" s="727"/>
      <c r="C140" s="728"/>
      <c r="D140" s="165"/>
      <c r="E140" s="166" t="s">
        <v>277</v>
      </c>
      <c r="F140" s="191" t="s">
        <v>68</v>
      </c>
      <c r="G140" s="674">
        <f t="shared" si="20"/>
        <v>0</v>
      </c>
      <c r="H140" s="675"/>
      <c r="I140" s="676"/>
      <c r="J140" s="168">
        <v>0</v>
      </c>
      <c r="K140" s="169">
        <v>0</v>
      </c>
      <c r="L140" s="170">
        <f t="shared" si="21"/>
        <v>0</v>
      </c>
      <c r="M140" s="140"/>
      <c r="N140" s="726" t="s">
        <v>32</v>
      </c>
      <c r="O140" s="727"/>
      <c r="P140" s="728"/>
      <c r="Q140" s="165"/>
      <c r="R140" s="166" t="s">
        <v>277</v>
      </c>
      <c r="S140" s="191" t="s">
        <v>68</v>
      </c>
      <c r="T140" s="677">
        <f t="shared" si="22"/>
        <v>0</v>
      </c>
      <c r="U140" s="677"/>
      <c r="V140" s="677"/>
      <c r="W140" s="168">
        <v>0</v>
      </c>
      <c r="X140" s="169">
        <v>0</v>
      </c>
      <c r="Y140" s="170">
        <f t="shared" si="23"/>
        <v>0</v>
      </c>
      <c r="Z140" s="171">
        <f t="shared" si="6"/>
        <v>0</v>
      </c>
      <c r="AC140" s="247" t="s">
        <v>567</v>
      </c>
      <c r="AD140" s="349" t="s">
        <v>568</v>
      </c>
      <c r="AE140" s="148">
        <f t="shared" si="9"/>
        <v>0</v>
      </c>
      <c r="AF140" s="149" t="str">
        <f t="shared" si="10"/>
        <v/>
      </c>
      <c r="AH140" s="125"/>
      <c r="AI140" s="644" t="s">
        <v>569</v>
      </c>
      <c r="AJ140" s="645"/>
      <c r="AK140" s="645"/>
      <c r="AL140" s="645"/>
      <c r="AM140" s="645"/>
      <c r="AN140" s="269" t="s">
        <v>570</v>
      </c>
      <c r="AO140" s="134">
        <f t="shared" si="0"/>
        <v>0</v>
      </c>
      <c r="AP140" s="135"/>
      <c r="AQ140" s="125"/>
      <c r="AR140" s="702" t="s">
        <v>571</v>
      </c>
      <c r="AS140" s="703"/>
      <c r="AT140" s="703"/>
      <c r="AU140" s="703"/>
      <c r="AV140" s="703"/>
      <c r="AW140" s="350" t="s">
        <v>572</v>
      </c>
      <c r="AX140" s="134">
        <f t="shared" si="16"/>
        <v>0</v>
      </c>
      <c r="AY140" s="309"/>
      <c r="AZ140" s="125"/>
      <c r="BA140" s="242"/>
    </row>
    <row r="141" spans="1:53" ht="18.75" x14ac:dyDescent="0.25">
      <c r="A141" s="726" t="s">
        <v>110</v>
      </c>
      <c r="B141" s="727"/>
      <c r="C141" s="728"/>
      <c r="D141" s="165"/>
      <c r="E141" s="166"/>
      <c r="F141" s="351" t="s">
        <v>109</v>
      </c>
      <c r="G141" s="674">
        <f t="shared" si="20"/>
        <v>0</v>
      </c>
      <c r="H141" s="675"/>
      <c r="I141" s="676"/>
      <c r="J141" s="168">
        <v>0</v>
      </c>
      <c r="K141" s="169">
        <v>0</v>
      </c>
      <c r="L141" s="170">
        <f t="shared" si="21"/>
        <v>0</v>
      </c>
      <c r="M141" s="140"/>
      <c r="N141" s="726" t="s">
        <v>110</v>
      </c>
      <c r="O141" s="727"/>
      <c r="P141" s="728"/>
      <c r="Q141" s="165"/>
      <c r="R141" s="166"/>
      <c r="S141" s="351" t="s">
        <v>109</v>
      </c>
      <c r="T141" s="677">
        <f t="shared" si="22"/>
        <v>0</v>
      </c>
      <c r="U141" s="677"/>
      <c r="V141" s="677"/>
      <c r="W141" s="168">
        <v>0</v>
      </c>
      <c r="X141" s="169">
        <v>0</v>
      </c>
      <c r="Y141" s="170">
        <f t="shared" si="23"/>
        <v>0</v>
      </c>
      <c r="Z141" s="171">
        <f t="shared" si="6"/>
        <v>0</v>
      </c>
      <c r="AC141" s="247" t="s">
        <v>573</v>
      </c>
      <c r="AD141" s="352" t="s">
        <v>574</v>
      </c>
      <c r="AE141" s="148">
        <f t="shared" si="9"/>
        <v>0</v>
      </c>
      <c r="AF141" s="149" t="str">
        <f t="shared" si="10"/>
        <v/>
      </c>
      <c r="AH141" s="125"/>
      <c r="AI141" s="644" t="s">
        <v>575</v>
      </c>
      <c r="AJ141" s="645"/>
      <c r="AK141" s="645"/>
      <c r="AL141" s="645"/>
      <c r="AM141" s="645"/>
      <c r="AN141" s="353" t="s">
        <v>576</v>
      </c>
      <c r="AO141" s="134">
        <f t="shared" si="0"/>
        <v>0</v>
      </c>
      <c r="AP141" s="135"/>
      <c r="AQ141" s="125"/>
      <c r="AR141" s="702" t="s">
        <v>577</v>
      </c>
      <c r="AS141" s="703"/>
      <c r="AT141" s="703"/>
      <c r="AU141" s="703"/>
      <c r="AV141" s="703"/>
      <c r="AW141" s="354" t="s">
        <v>578</v>
      </c>
      <c r="AX141" s="134">
        <f t="shared" si="16"/>
        <v>0</v>
      </c>
      <c r="AY141" s="327"/>
      <c r="AZ141" s="125"/>
      <c r="BA141" s="128"/>
    </row>
    <row r="142" spans="1:53" ht="18.75" x14ac:dyDescent="0.25">
      <c r="A142" s="726" t="s">
        <v>106</v>
      </c>
      <c r="B142" s="727"/>
      <c r="C142" s="728"/>
      <c r="D142" s="165"/>
      <c r="E142" s="166"/>
      <c r="F142" s="355" t="s">
        <v>105</v>
      </c>
      <c r="G142" s="674">
        <f t="shared" si="20"/>
        <v>0</v>
      </c>
      <c r="H142" s="675"/>
      <c r="I142" s="676"/>
      <c r="J142" s="168">
        <v>0</v>
      </c>
      <c r="K142" s="169">
        <v>0</v>
      </c>
      <c r="L142" s="170">
        <f t="shared" si="21"/>
        <v>0</v>
      </c>
      <c r="M142" s="140"/>
      <c r="N142" s="726" t="s">
        <v>106</v>
      </c>
      <c r="O142" s="727"/>
      <c r="P142" s="728"/>
      <c r="Q142" s="165"/>
      <c r="R142" s="166"/>
      <c r="S142" s="355" t="s">
        <v>105</v>
      </c>
      <c r="T142" s="677">
        <f t="shared" si="22"/>
        <v>0</v>
      </c>
      <c r="U142" s="677"/>
      <c r="V142" s="677"/>
      <c r="W142" s="168">
        <v>0</v>
      </c>
      <c r="X142" s="169">
        <v>0</v>
      </c>
      <c r="Y142" s="170">
        <f t="shared" si="23"/>
        <v>0</v>
      </c>
      <c r="Z142" s="171">
        <f t="shared" si="6"/>
        <v>0</v>
      </c>
      <c r="AC142" s="247" t="s">
        <v>579</v>
      </c>
      <c r="AD142" s="352" t="s">
        <v>580</v>
      </c>
      <c r="AE142" s="148">
        <f t="shared" si="9"/>
        <v>0</v>
      </c>
      <c r="AF142" s="149" t="str">
        <f t="shared" si="10"/>
        <v/>
      </c>
      <c r="AH142" s="125"/>
      <c r="AI142" s="644" t="s">
        <v>581</v>
      </c>
      <c r="AJ142" s="645"/>
      <c r="AK142" s="645"/>
      <c r="AL142" s="645"/>
      <c r="AM142" s="645"/>
      <c r="AN142" s="356" t="s">
        <v>582</v>
      </c>
      <c r="AO142" s="134">
        <f t="shared" si="0"/>
        <v>0</v>
      </c>
      <c r="AP142" s="135"/>
      <c r="AQ142" s="125"/>
      <c r="AR142" s="702" t="s">
        <v>583</v>
      </c>
      <c r="AS142" s="703"/>
      <c r="AT142" s="703"/>
      <c r="AU142" s="703"/>
      <c r="AV142" s="703"/>
      <c r="AW142" s="357" t="s">
        <v>584</v>
      </c>
      <c r="AX142" s="134">
        <f t="shared" si="16"/>
        <v>0</v>
      </c>
      <c r="AY142" s="309"/>
      <c r="AZ142" s="125"/>
      <c r="BA142" s="128"/>
    </row>
    <row r="143" spans="1:53" ht="19.5" thickBot="1" x14ac:dyDescent="0.3">
      <c r="A143" s="726" t="s">
        <v>10</v>
      </c>
      <c r="B143" s="727"/>
      <c r="C143" s="728"/>
      <c r="D143" s="165"/>
      <c r="E143" s="166"/>
      <c r="F143" s="341" t="s">
        <v>47</v>
      </c>
      <c r="G143" s="674">
        <f t="shared" si="20"/>
        <v>0</v>
      </c>
      <c r="H143" s="675"/>
      <c r="I143" s="676"/>
      <c r="J143" s="168">
        <v>0</v>
      </c>
      <c r="K143" s="169">
        <v>0</v>
      </c>
      <c r="L143" s="170">
        <f t="shared" si="21"/>
        <v>0</v>
      </c>
      <c r="M143" s="140"/>
      <c r="N143" s="726" t="s">
        <v>10</v>
      </c>
      <c r="O143" s="727"/>
      <c r="P143" s="728"/>
      <c r="Q143" s="165"/>
      <c r="R143" s="166"/>
      <c r="S143" s="341" t="s">
        <v>47</v>
      </c>
      <c r="T143" s="677">
        <f t="shared" si="22"/>
        <v>0</v>
      </c>
      <c r="U143" s="677"/>
      <c r="V143" s="677"/>
      <c r="W143" s="168">
        <v>0</v>
      </c>
      <c r="X143" s="169">
        <v>0</v>
      </c>
      <c r="Y143" s="170">
        <f t="shared" si="23"/>
        <v>0</v>
      </c>
      <c r="Z143" s="171">
        <f t="shared" si="6"/>
        <v>0</v>
      </c>
      <c r="AC143" s="247" t="s">
        <v>585</v>
      </c>
      <c r="AD143" s="30" t="s">
        <v>586</v>
      </c>
      <c r="AE143" s="148">
        <f t="shared" si="9"/>
        <v>0</v>
      </c>
      <c r="AF143" s="149" t="str">
        <f t="shared" si="10"/>
        <v/>
      </c>
      <c r="AH143" s="125"/>
      <c r="AI143" s="644" t="s">
        <v>587</v>
      </c>
      <c r="AJ143" s="645"/>
      <c r="AK143" s="645"/>
      <c r="AL143" s="645"/>
      <c r="AM143" s="645"/>
      <c r="AN143" s="358" t="s">
        <v>588</v>
      </c>
      <c r="AO143" s="134">
        <f t="shared" si="0"/>
        <v>0</v>
      </c>
      <c r="AP143" s="135"/>
      <c r="AQ143" s="125"/>
      <c r="AR143" s="702" t="s">
        <v>589</v>
      </c>
      <c r="AS143" s="703"/>
      <c r="AT143" s="703"/>
      <c r="AU143" s="703"/>
      <c r="AV143" s="703"/>
      <c r="AW143" s="359" t="s">
        <v>590</v>
      </c>
      <c r="AX143" s="134">
        <f t="shared" si="16"/>
        <v>0</v>
      </c>
      <c r="AY143" s="309"/>
      <c r="AZ143" s="125"/>
      <c r="BA143" s="242"/>
    </row>
    <row r="144" spans="1:53" ht="19.5" thickBot="1" x14ac:dyDescent="0.3">
      <c r="A144" s="726" t="s">
        <v>38</v>
      </c>
      <c r="B144" s="727"/>
      <c r="C144" s="728"/>
      <c r="D144" s="165"/>
      <c r="E144" s="166"/>
      <c r="F144" s="360" t="s">
        <v>39</v>
      </c>
      <c r="G144" s="674">
        <f t="shared" si="20"/>
        <v>0</v>
      </c>
      <c r="H144" s="675"/>
      <c r="I144" s="676"/>
      <c r="J144" s="168">
        <v>0</v>
      </c>
      <c r="K144" s="169">
        <v>0</v>
      </c>
      <c r="L144" s="170">
        <f t="shared" si="21"/>
        <v>0</v>
      </c>
      <c r="M144" s="140"/>
      <c r="N144" s="726" t="s">
        <v>38</v>
      </c>
      <c r="O144" s="727"/>
      <c r="P144" s="728"/>
      <c r="Q144" s="165"/>
      <c r="R144" s="166"/>
      <c r="S144" s="360" t="s">
        <v>39</v>
      </c>
      <c r="T144" s="677">
        <f t="shared" si="22"/>
        <v>0</v>
      </c>
      <c r="U144" s="677"/>
      <c r="V144" s="677"/>
      <c r="W144" s="168">
        <v>0</v>
      </c>
      <c r="X144" s="169">
        <v>0</v>
      </c>
      <c r="Y144" s="170">
        <f t="shared" si="23"/>
        <v>0</v>
      </c>
      <c r="Z144" s="171">
        <f t="shared" si="6"/>
        <v>0</v>
      </c>
      <c r="AC144" s="247" t="s">
        <v>591</v>
      </c>
      <c r="AD144" s="361" t="s">
        <v>592</v>
      </c>
      <c r="AE144" s="148">
        <f t="shared" si="9"/>
        <v>0</v>
      </c>
      <c r="AF144" s="149" t="str">
        <f t="shared" si="10"/>
        <v/>
      </c>
      <c r="AH144" s="125"/>
      <c r="AI144" s="644" t="s">
        <v>593</v>
      </c>
      <c r="AJ144" s="645"/>
      <c r="AK144" s="645"/>
      <c r="AL144" s="645"/>
      <c r="AM144" s="645"/>
      <c r="AN144" s="362" t="s">
        <v>594</v>
      </c>
      <c r="AO144" s="134">
        <f t="shared" si="0"/>
        <v>0</v>
      </c>
      <c r="AP144" s="135"/>
      <c r="AQ144" s="125"/>
      <c r="AR144" s="702" t="s">
        <v>595</v>
      </c>
      <c r="AS144" s="703"/>
      <c r="AT144" s="703"/>
      <c r="AU144" s="703"/>
      <c r="AV144" s="703"/>
      <c r="AW144" s="359" t="s">
        <v>596</v>
      </c>
      <c r="AX144" s="134">
        <f t="shared" si="16"/>
        <v>0</v>
      </c>
      <c r="AY144" s="309"/>
      <c r="AZ144" s="125"/>
      <c r="BA144" s="242"/>
    </row>
    <row r="145" spans="1:53" ht="19.5" thickBot="1" x14ac:dyDescent="0.3">
      <c r="A145" s="726" t="s">
        <v>104</v>
      </c>
      <c r="B145" s="727"/>
      <c r="C145" s="728"/>
      <c r="D145" s="165" t="s">
        <v>2</v>
      </c>
      <c r="E145" s="166"/>
      <c r="F145" s="341" t="s">
        <v>103</v>
      </c>
      <c r="G145" s="674">
        <f t="shared" si="20"/>
        <v>0</v>
      </c>
      <c r="H145" s="675"/>
      <c r="I145" s="676"/>
      <c r="J145" s="168">
        <v>0</v>
      </c>
      <c r="K145" s="169">
        <v>0</v>
      </c>
      <c r="L145" s="170">
        <f t="shared" si="21"/>
        <v>0</v>
      </c>
      <c r="M145" s="140"/>
      <c r="N145" s="726" t="s">
        <v>104</v>
      </c>
      <c r="O145" s="727"/>
      <c r="P145" s="728"/>
      <c r="Q145" s="165" t="s">
        <v>2</v>
      </c>
      <c r="R145" s="166"/>
      <c r="S145" s="341" t="s">
        <v>103</v>
      </c>
      <c r="T145" s="677">
        <f t="shared" si="22"/>
        <v>0</v>
      </c>
      <c r="U145" s="677"/>
      <c r="V145" s="677"/>
      <c r="W145" s="168">
        <v>0</v>
      </c>
      <c r="X145" s="169">
        <v>0</v>
      </c>
      <c r="Y145" s="170">
        <f t="shared" si="23"/>
        <v>0</v>
      </c>
      <c r="Z145" s="171">
        <f t="shared" si="6"/>
        <v>0</v>
      </c>
      <c r="AC145" s="247" t="s">
        <v>597</v>
      </c>
      <c r="AD145" s="361" t="s">
        <v>598</v>
      </c>
      <c r="AE145" s="148">
        <f t="shared" si="9"/>
        <v>0</v>
      </c>
      <c r="AF145" s="149" t="str">
        <f t="shared" si="10"/>
        <v/>
      </c>
      <c r="AH145" s="125"/>
      <c r="AI145" s="644" t="s">
        <v>599</v>
      </c>
      <c r="AJ145" s="645"/>
      <c r="AK145" s="645"/>
      <c r="AL145" s="645"/>
      <c r="AM145" s="645"/>
      <c r="AN145" s="363" t="s">
        <v>600</v>
      </c>
      <c r="AO145" s="134">
        <f t="shared" si="0"/>
        <v>0</v>
      </c>
      <c r="AP145" s="135"/>
      <c r="AQ145" s="125"/>
      <c r="AR145" s="702" t="s">
        <v>601</v>
      </c>
      <c r="AS145" s="703"/>
      <c r="AT145" s="703"/>
      <c r="AU145" s="703"/>
      <c r="AV145" s="703"/>
      <c r="AW145" s="364" t="s">
        <v>602</v>
      </c>
      <c r="AX145" s="134">
        <f t="shared" si="16"/>
        <v>0</v>
      </c>
      <c r="AY145" s="309"/>
      <c r="AZ145" s="125"/>
      <c r="BA145" s="242"/>
    </row>
    <row r="146" spans="1:53" ht="19.5" thickBot="1" x14ac:dyDescent="0.3">
      <c r="A146" s="726" t="s">
        <v>23</v>
      </c>
      <c r="B146" s="727"/>
      <c r="C146" s="728"/>
      <c r="D146" s="165"/>
      <c r="E146" s="166" t="s">
        <v>277</v>
      </c>
      <c r="F146" s="365" t="s">
        <v>4</v>
      </c>
      <c r="G146" s="674">
        <f t="shared" si="20"/>
        <v>0</v>
      </c>
      <c r="H146" s="675"/>
      <c r="I146" s="676"/>
      <c r="J146" s="168">
        <v>0</v>
      </c>
      <c r="K146" s="169">
        <v>3</v>
      </c>
      <c r="L146" s="170">
        <f t="shared" si="21"/>
        <v>-3</v>
      </c>
      <c r="M146" s="140"/>
      <c r="N146" s="726" t="s">
        <v>23</v>
      </c>
      <c r="O146" s="727"/>
      <c r="P146" s="728"/>
      <c r="Q146" s="165"/>
      <c r="R146" s="166" t="s">
        <v>277</v>
      </c>
      <c r="S146" s="365" t="s">
        <v>4</v>
      </c>
      <c r="T146" s="677">
        <f t="shared" si="22"/>
        <v>3</v>
      </c>
      <c r="U146" s="677"/>
      <c r="V146" s="677"/>
      <c r="W146" s="168">
        <v>0</v>
      </c>
      <c r="X146" s="169">
        <v>0</v>
      </c>
      <c r="Y146" s="170">
        <f t="shared" si="23"/>
        <v>3</v>
      </c>
      <c r="Z146" s="171">
        <f t="shared" si="6"/>
        <v>3</v>
      </c>
      <c r="AC146" s="247" t="s">
        <v>603</v>
      </c>
      <c r="AD146" s="366" t="s">
        <v>604</v>
      </c>
      <c r="AE146" s="148">
        <f t="shared" si="9"/>
        <v>0</v>
      </c>
      <c r="AF146" s="149" t="str">
        <f t="shared" si="10"/>
        <v/>
      </c>
      <c r="AH146" s="125"/>
      <c r="AI146" s="644" t="s">
        <v>605</v>
      </c>
      <c r="AJ146" s="645"/>
      <c r="AK146" s="645"/>
      <c r="AL146" s="645"/>
      <c r="AM146" s="650"/>
      <c r="AN146" s="303" t="s">
        <v>606</v>
      </c>
      <c r="AO146" s="134">
        <f t="shared" ref="AO146:AO157" si="24">COUNTIF($A$1:$GO$59,AN146)</f>
        <v>0</v>
      </c>
      <c r="AP146" s="135"/>
      <c r="AQ146" s="125"/>
      <c r="AR146" s="702" t="s">
        <v>607</v>
      </c>
      <c r="AS146" s="703"/>
      <c r="AT146" s="703"/>
      <c r="AU146" s="703"/>
      <c r="AV146" s="703"/>
      <c r="AW146" s="320" t="s">
        <v>608</v>
      </c>
      <c r="AX146" s="134">
        <f t="shared" si="16"/>
        <v>0</v>
      </c>
      <c r="AY146" s="309"/>
      <c r="AZ146" s="125"/>
      <c r="BA146" s="242"/>
    </row>
    <row r="147" spans="1:53" ht="18.75" x14ac:dyDescent="0.25">
      <c r="A147" s="726" t="s">
        <v>19</v>
      </c>
      <c r="B147" s="727"/>
      <c r="C147" s="728"/>
      <c r="D147" s="165"/>
      <c r="E147" s="166"/>
      <c r="F147" s="367" t="s">
        <v>2</v>
      </c>
      <c r="G147" s="674">
        <f t="shared" si="20"/>
        <v>0</v>
      </c>
      <c r="H147" s="675"/>
      <c r="I147" s="676"/>
      <c r="J147" s="168">
        <v>0</v>
      </c>
      <c r="K147" s="169">
        <v>0</v>
      </c>
      <c r="L147" s="170">
        <f t="shared" si="21"/>
        <v>0</v>
      </c>
      <c r="M147" s="140"/>
      <c r="N147" s="726" t="s">
        <v>19</v>
      </c>
      <c r="O147" s="727"/>
      <c r="P147" s="728"/>
      <c r="Q147" s="165"/>
      <c r="R147" s="166"/>
      <c r="S147" s="367" t="s">
        <v>2</v>
      </c>
      <c r="T147" s="677">
        <f t="shared" si="22"/>
        <v>0</v>
      </c>
      <c r="U147" s="677"/>
      <c r="V147" s="677"/>
      <c r="W147" s="168">
        <v>0</v>
      </c>
      <c r="X147" s="169">
        <v>0</v>
      </c>
      <c r="Y147" s="170">
        <f t="shared" si="23"/>
        <v>0</v>
      </c>
      <c r="Z147" s="171">
        <f t="shared" si="6"/>
        <v>0</v>
      </c>
      <c r="AC147" s="247" t="s">
        <v>609</v>
      </c>
      <c r="AD147" s="368" t="s">
        <v>610</v>
      </c>
      <c r="AE147" s="148">
        <f t="shared" si="9"/>
        <v>0</v>
      </c>
      <c r="AF147" s="149" t="str">
        <f t="shared" si="10"/>
        <v/>
      </c>
      <c r="AH147" s="125"/>
      <c r="AI147" s="644" t="s">
        <v>611</v>
      </c>
      <c r="AJ147" s="645"/>
      <c r="AK147" s="645"/>
      <c r="AL147" s="645"/>
      <c r="AM147" s="645"/>
      <c r="AN147" s="76" t="s">
        <v>124</v>
      </c>
      <c r="AO147" s="134">
        <f t="shared" si="24"/>
        <v>3</v>
      </c>
      <c r="AP147" s="135"/>
      <c r="AQ147" s="125"/>
      <c r="AR147" s="702" t="s">
        <v>612</v>
      </c>
      <c r="AS147" s="703"/>
      <c r="AT147" s="703"/>
      <c r="AU147" s="703"/>
      <c r="AV147" s="703"/>
      <c r="AW147" s="320" t="s">
        <v>613</v>
      </c>
      <c r="AX147" s="134">
        <f t="shared" si="16"/>
        <v>0</v>
      </c>
      <c r="AY147" s="309"/>
      <c r="AZ147" s="125"/>
      <c r="BA147" s="242"/>
    </row>
    <row r="148" spans="1:53" ht="18" x14ac:dyDescent="0.25">
      <c r="A148" s="726" t="s">
        <v>40</v>
      </c>
      <c r="B148" s="727"/>
      <c r="C148" s="728"/>
      <c r="D148" s="165"/>
      <c r="E148" s="166"/>
      <c r="F148" s="369" t="s">
        <v>41</v>
      </c>
      <c r="G148" s="674">
        <f t="shared" si="20"/>
        <v>0</v>
      </c>
      <c r="H148" s="675"/>
      <c r="I148" s="676"/>
      <c r="J148" s="168">
        <v>0</v>
      </c>
      <c r="K148" s="169">
        <v>0</v>
      </c>
      <c r="L148" s="170">
        <f t="shared" si="21"/>
        <v>0</v>
      </c>
      <c r="M148" s="140"/>
      <c r="N148" s="726" t="s">
        <v>40</v>
      </c>
      <c r="O148" s="727"/>
      <c r="P148" s="728"/>
      <c r="Q148" s="165"/>
      <c r="R148" s="166"/>
      <c r="S148" s="369" t="s">
        <v>41</v>
      </c>
      <c r="T148" s="677">
        <f t="shared" si="22"/>
        <v>0</v>
      </c>
      <c r="U148" s="677"/>
      <c r="V148" s="677"/>
      <c r="W148" s="168">
        <v>0</v>
      </c>
      <c r="X148" s="169">
        <v>0</v>
      </c>
      <c r="Y148" s="170">
        <f t="shared" si="23"/>
        <v>0</v>
      </c>
      <c r="Z148" s="171">
        <f t="shared" si="6"/>
        <v>0</v>
      </c>
      <c r="AC148" s="247" t="s">
        <v>614</v>
      </c>
      <c r="AD148" s="370" t="s">
        <v>615</v>
      </c>
      <c r="AE148" s="148">
        <f t="shared" si="9"/>
        <v>0</v>
      </c>
      <c r="AF148" s="149" t="str">
        <f t="shared" si="10"/>
        <v/>
      </c>
      <c r="AH148" s="125"/>
      <c r="AI148" s="644" t="s">
        <v>616</v>
      </c>
      <c r="AJ148" s="645"/>
      <c r="AK148" s="645"/>
      <c r="AL148" s="645"/>
      <c r="AM148" s="645"/>
      <c r="AN148" s="187" t="s">
        <v>617</v>
      </c>
      <c r="AO148" s="134">
        <f t="shared" si="24"/>
        <v>0</v>
      </c>
      <c r="AP148" s="135"/>
      <c r="AQ148" s="125"/>
      <c r="AR148" s="702" t="s">
        <v>618</v>
      </c>
      <c r="AS148" s="703"/>
      <c r="AT148" s="703"/>
      <c r="AU148" s="703"/>
      <c r="AV148" s="703"/>
      <c r="AW148" s="371" t="s">
        <v>619</v>
      </c>
      <c r="AX148" s="134">
        <f t="shared" si="16"/>
        <v>0</v>
      </c>
      <c r="AY148" s="309"/>
      <c r="AZ148" s="125"/>
      <c r="BA148" s="242"/>
    </row>
    <row r="149" spans="1:53" ht="18" x14ac:dyDescent="0.25">
      <c r="A149" s="726" t="s">
        <v>20</v>
      </c>
      <c r="B149" s="727"/>
      <c r="C149" s="728"/>
      <c r="D149" s="165"/>
      <c r="E149" s="166"/>
      <c r="F149" s="372" t="s">
        <v>3</v>
      </c>
      <c r="G149" s="674">
        <f t="shared" si="20"/>
        <v>0</v>
      </c>
      <c r="H149" s="675"/>
      <c r="I149" s="676"/>
      <c r="J149" s="168">
        <v>0</v>
      </c>
      <c r="K149" s="169">
        <v>0</v>
      </c>
      <c r="L149" s="170">
        <f t="shared" si="21"/>
        <v>0</v>
      </c>
      <c r="M149" s="140"/>
      <c r="N149" s="726" t="s">
        <v>20</v>
      </c>
      <c r="O149" s="727"/>
      <c r="P149" s="728"/>
      <c r="Q149" s="165"/>
      <c r="R149" s="166"/>
      <c r="S149" s="372" t="s">
        <v>3</v>
      </c>
      <c r="T149" s="677">
        <f t="shared" si="22"/>
        <v>0</v>
      </c>
      <c r="U149" s="677"/>
      <c r="V149" s="677"/>
      <c r="W149" s="168">
        <v>0</v>
      </c>
      <c r="X149" s="169">
        <v>0</v>
      </c>
      <c r="Y149" s="170">
        <f t="shared" si="23"/>
        <v>0</v>
      </c>
      <c r="Z149" s="171">
        <f t="shared" si="6"/>
        <v>0</v>
      </c>
      <c r="AC149" s="247" t="s">
        <v>156</v>
      </c>
      <c r="AD149" s="17" t="s">
        <v>156</v>
      </c>
      <c r="AE149" s="148">
        <f t="shared" si="9"/>
        <v>16</v>
      </c>
      <c r="AF149" s="149" t="str">
        <f t="shared" si="10"/>
        <v/>
      </c>
      <c r="AH149" s="125"/>
      <c r="AI149" s="644" t="s">
        <v>620</v>
      </c>
      <c r="AJ149" s="645"/>
      <c r="AK149" s="645"/>
      <c r="AL149" s="645"/>
      <c r="AM149" s="645"/>
      <c r="AN149" s="150" t="s">
        <v>621</v>
      </c>
      <c r="AO149" s="134">
        <f t="shared" si="24"/>
        <v>0</v>
      </c>
      <c r="AP149" s="135"/>
      <c r="AQ149" s="125"/>
      <c r="AR149" s="702" t="s">
        <v>622</v>
      </c>
      <c r="AS149" s="703"/>
      <c r="AT149" s="703"/>
      <c r="AU149" s="703"/>
      <c r="AV149" s="703"/>
      <c r="AW149" s="314" t="s">
        <v>623</v>
      </c>
      <c r="AX149" s="134">
        <f t="shared" si="16"/>
        <v>0</v>
      </c>
      <c r="AY149" s="309"/>
      <c r="AZ149" s="125"/>
      <c r="BA149" s="242"/>
    </row>
    <row r="150" spans="1:53" ht="19.5" thickBot="1" x14ac:dyDescent="0.3">
      <c r="A150" s="726" t="s">
        <v>108</v>
      </c>
      <c r="B150" s="727"/>
      <c r="C150" s="728"/>
      <c r="D150" s="165" t="s">
        <v>3</v>
      </c>
      <c r="E150" s="166" t="s">
        <v>277</v>
      </c>
      <c r="F150" s="373" t="s">
        <v>107</v>
      </c>
      <c r="G150" s="674">
        <f t="shared" si="20"/>
        <v>0</v>
      </c>
      <c r="H150" s="675"/>
      <c r="I150" s="676"/>
      <c r="J150" s="168">
        <v>0</v>
      </c>
      <c r="K150" s="169">
        <v>0</v>
      </c>
      <c r="L150" s="170">
        <f t="shared" si="21"/>
        <v>0</v>
      </c>
      <c r="M150" s="140"/>
      <c r="N150" s="726" t="s">
        <v>108</v>
      </c>
      <c r="O150" s="727"/>
      <c r="P150" s="728"/>
      <c r="Q150" s="165" t="s">
        <v>3</v>
      </c>
      <c r="R150" s="166" t="s">
        <v>277</v>
      </c>
      <c r="S150" s="373" t="s">
        <v>107</v>
      </c>
      <c r="T150" s="677">
        <f t="shared" si="22"/>
        <v>0</v>
      </c>
      <c r="U150" s="677"/>
      <c r="V150" s="677"/>
      <c r="W150" s="168">
        <v>0</v>
      </c>
      <c r="X150" s="169">
        <v>0</v>
      </c>
      <c r="Y150" s="170">
        <f t="shared" si="23"/>
        <v>0</v>
      </c>
      <c r="Z150" s="171">
        <f t="shared" si="6"/>
        <v>0</v>
      </c>
      <c r="AC150" s="247" t="s">
        <v>624</v>
      </c>
      <c r="AD150" s="374" t="s">
        <v>625</v>
      </c>
      <c r="AE150" s="148">
        <f t="shared" si="9"/>
        <v>0</v>
      </c>
      <c r="AF150" s="149" t="str">
        <f t="shared" si="10"/>
        <v/>
      </c>
      <c r="AH150" s="125"/>
      <c r="AI150" s="644" t="s">
        <v>626</v>
      </c>
      <c r="AJ150" s="645"/>
      <c r="AK150" s="645"/>
      <c r="AL150" s="645"/>
      <c r="AM150" s="645"/>
      <c r="AN150" s="76" t="s">
        <v>627</v>
      </c>
      <c r="AO150" s="134">
        <f t="shared" si="24"/>
        <v>0</v>
      </c>
      <c r="AP150" s="135"/>
      <c r="AQ150" s="125"/>
      <c r="AR150" s="702" t="s">
        <v>628</v>
      </c>
      <c r="AS150" s="703"/>
      <c r="AT150" s="703"/>
      <c r="AU150" s="703"/>
      <c r="AV150" s="703"/>
      <c r="AW150" s="151" t="s">
        <v>629</v>
      </c>
      <c r="AX150" s="134">
        <f t="shared" si="16"/>
        <v>0</v>
      </c>
      <c r="AY150" s="309"/>
      <c r="AZ150" s="125"/>
      <c r="BA150" s="242"/>
    </row>
    <row r="151" spans="1:53" ht="18.75" x14ac:dyDescent="0.25">
      <c r="A151" s="720" t="s">
        <v>209</v>
      </c>
      <c r="B151" s="721"/>
      <c r="C151" s="721"/>
      <c r="D151" s="721"/>
      <c r="E151" s="721"/>
      <c r="F151" s="315"/>
      <c r="G151" s="748">
        <f>SUM(G134:I150)</f>
        <v>0</v>
      </c>
      <c r="H151" s="748"/>
      <c r="I151" s="748"/>
      <c r="J151" s="244">
        <f>SUM(J134:J150)</f>
        <v>0</v>
      </c>
      <c r="K151" s="245">
        <f>SUM(K134:K150)</f>
        <v>3</v>
      </c>
      <c r="L151" s="170">
        <f>SUM(L134:L150)</f>
        <v>-3</v>
      </c>
      <c r="M151" s="140"/>
      <c r="N151" s="749" t="s">
        <v>209</v>
      </c>
      <c r="O151" s="750"/>
      <c r="P151" s="750"/>
      <c r="Q151" s="750"/>
      <c r="R151" s="750"/>
      <c r="S151" s="316"/>
      <c r="T151" s="751">
        <f>SUM(T134:V150)</f>
        <v>3</v>
      </c>
      <c r="U151" s="751"/>
      <c r="V151" s="751"/>
      <c r="W151" s="244">
        <f>SUM(W134:W150)</f>
        <v>0</v>
      </c>
      <c r="X151" s="245">
        <f>SUM(X134:X150)</f>
        <v>0</v>
      </c>
      <c r="Y151" s="170">
        <f>SUM(Y134:Y150)</f>
        <v>3</v>
      </c>
      <c r="Z151" s="171">
        <f t="shared" si="6"/>
        <v>3</v>
      </c>
      <c r="AC151" s="247" t="s">
        <v>630</v>
      </c>
      <c r="AD151" s="375" t="s">
        <v>631</v>
      </c>
      <c r="AE151" s="148">
        <f t="shared" si="9"/>
        <v>0</v>
      </c>
      <c r="AF151" s="149" t="str">
        <f t="shared" si="10"/>
        <v/>
      </c>
      <c r="AH151" s="125"/>
      <c r="AI151" s="644" t="s">
        <v>632</v>
      </c>
      <c r="AJ151" s="645"/>
      <c r="AK151" s="645"/>
      <c r="AL151" s="645"/>
      <c r="AM151" s="645"/>
      <c r="AN151" s="376" t="s">
        <v>633</v>
      </c>
      <c r="AO151" s="134">
        <f t="shared" si="24"/>
        <v>0</v>
      </c>
      <c r="AP151" s="135"/>
      <c r="AQ151" s="125"/>
      <c r="AR151" s="702" t="s">
        <v>634</v>
      </c>
      <c r="AS151" s="703"/>
      <c r="AT151" s="703"/>
      <c r="AU151" s="703"/>
      <c r="AV151" s="703"/>
      <c r="AW151" s="151" t="s">
        <v>635</v>
      </c>
      <c r="AX151" s="134">
        <f t="shared" si="16"/>
        <v>0</v>
      </c>
      <c r="AY151" s="309"/>
      <c r="AZ151" s="125"/>
      <c r="BA151" s="242"/>
    </row>
    <row r="152" spans="1:53" ht="18.75" x14ac:dyDescent="0.25">
      <c r="A152" s="377"/>
      <c r="B152" s="377"/>
      <c r="C152" s="377"/>
      <c r="D152" s="377"/>
      <c r="E152" s="377"/>
      <c r="F152" s="378"/>
      <c r="J152" s="379"/>
      <c r="K152" s="379"/>
      <c r="M152" s="84"/>
      <c r="N152" s="377"/>
      <c r="O152" s="377"/>
      <c r="P152" s="377"/>
      <c r="Q152" s="377"/>
      <c r="R152" s="377"/>
      <c r="S152" s="378"/>
      <c r="W152" s="379"/>
      <c r="X152" s="379"/>
      <c r="AC152" s="216" t="s">
        <v>636</v>
      </c>
      <c r="AD152" s="233" t="s">
        <v>637</v>
      </c>
      <c r="AE152" s="148">
        <f t="shared" si="9"/>
        <v>0</v>
      </c>
      <c r="AF152" s="149" t="str">
        <f t="shared" si="10"/>
        <v/>
      </c>
      <c r="AH152" s="125"/>
      <c r="AI152" s="644" t="s">
        <v>638</v>
      </c>
      <c r="AJ152" s="645"/>
      <c r="AK152" s="645"/>
      <c r="AL152" s="645"/>
      <c r="AM152" s="645"/>
      <c r="AN152" s="76" t="s">
        <v>639</v>
      </c>
      <c r="AO152" s="134">
        <f t="shared" si="24"/>
        <v>0</v>
      </c>
      <c r="AP152" s="135"/>
      <c r="AQ152" s="125"/>
      <c r="AR152" s="702" t="s">
        <v>640</v>
      </c>
      <c r="AS152" s="703"/>
      <c r="AT152" s="703"/>
      <c r="AU152" s="703"/>
      <c r="AV152" s="703"/>
      <c r="AW152" s="211" t="s">
        <v>641</v>
      </c>
      <c r="AX152" s="134">
        <f t="shared" si="16"/>
        <v>0</v>
      </c>
      <c r="AY152" s="309"/>
      <c r="AZ152" s="125"/>
      <c r="BA152" s="242"/>
    </row>
    <row r="153" spans="1:53" ht="18" x14ac:dyDescent="0.25">
      <c r="A153" s="377"/>
      <c r="B153" s="377"/>
      <c r="C153" s="377"/>
      <c r="D153" s="377"/>
      <c r="E153" s="377"/>
      <c r="F153" s="378"/>
      <c r="J153" s="379"/>
      <c r="K153" s="379"/>
      <c r="M153" s="84"/>
      <c r="N153" s="377"/>
      <c r="O153" s="377"/>
      <c r="P153" s="377"/>
      <c r="Q153" s="377"/>
      <c r="R153" s="377"/>
      <c r="S153" s="378"/>
      <c r="W153" s="379"/>
      <c r="X153" s="379"/>
      <c r="AC153" s="247" t="s">
        <v>642</v>
      </c>
      <c r="AD153" s="233" t="s">
        <v>643</v>
      </c>
      <c r="AE153" s="148">
        <f t="shared" si="9"/>
        <v>0</v>
      </c>
      <c r="AF153" s="149" t="str">
        <f t="shared" si="10"/>
        <v/>
      </c>
      <c r="AH153" s="125"/>
      <c r="AI153" s="644" t="s">
        <v>644</v>
      </c>
      <c r="AJ153" s="645"/>
      <c r="AK153" s="645"/>
      <c r="AL153" s="645"/>
      <c r="AM153" s="645"/>
      <c r="AN153" s="187" t="s">
        <v>645</v>
      </c>
      <c r="AO153" s="134">
        <f t="shared" si="24"/>
        <v>0</v>
      </c>
      <c r="AP153" s="135"/>
      <c r="AQ153" s="125"/>
      <c r="AR153" s="702" t="s">
        <v>646</v>
      </c>
      <c r="AS153" s="703"/>
      <c r="AT153" s="703"/>
      <c r="AU153" s="703"/>
      <c r="AV153" s="703"/>
      <c r="AW153" s="380" t="s">
        <v>647</v>
      </c>
      <c r="AX153" s="134">
        <f t="shared" si="16"/>
        <v>0</v>
      </c>
      <c r="AY153" s="309"/>
      <c r="AZ153" s="125"/>
      <c r="BA153" s="242"/>
    </row>
    <row r="154" spans="1:53" ht="18.75" x14ac:dyDescent="0.25">
      <c r="A154" s="745" t="s">
        <v>648</v>
      </c>
      <c r="B154" s="746"/>
      <c r="C154" s="746"/>
      <c r="D154" s="746"/>
      <c r="E154" s="747"/>
      <c r="F154" s="381"/>
      <c r="G154" s="734"/>
      <c r="H154" s="734"/>
      <c r="I154" s="735"/>
      <c r="J154" s="382" t="s">
        <v>261</v>
      </c>
      <c r="K154" s="383" t="s">
        <v>262</v>
      </c>
      <c r="L154" s="382" t="s">
        <v>263</v>
      </c>
      <c r="M154" s="84"/>
      <c r="N154" s="745" t="s">
        <v>648</v>
      </c>
      <c r="O154" s="746"/>
      <c r="P154" s="746"/>
      <c r="Q154" s="746"/>
      <c r="R154" s="747"/>
      <c r="S154" s="381"/>
      <c r="T154" s="734"/>
      <c r="U154" s="734"/>
      <c r="V154" s="735"/>
      <c r="W154" s="382" t="s">
        <v>261</v>
      </c>
      <c r="X154" s="383" t="s">
        <v>262</v>
      </c>
      <c r="Y154" s="382" t="s">
        <v>263</v>
      </c>
      <c r="AC154" s="247" t="s">
        <v>649</v>
      </c>
      <c r="AD154" s="233" t="s">
        <v>650</v>
      </c>
      <c r="AE154" s="148">
        <f t="shared" si="9"/>
        <v>0</v>
      </c>
      <c r="AF154" s="149" t="str">
        <f t="shared" si="10"/>
        <v/>
      </c>
      <c r="AH154" s="125"/>
      <c r="AI154" s="644" t="s">
        <v>651</v>
      </c>
      <c r="AJ154" s="645"/>
      <c r="AK154" s="645"/>
      <c r="AL154" s="645"/>
      <c r="AM154" s="645"/>
      <c r="AN154" s="150" t="s">
        <v>652</v>
      </c>
      <c r="AO154" s="134">
        <f t="shared" si="24"/>
        <v>0</v>
      </c>
      <c r="AP154" s="135"/>
      <c r="AQ154" s="125"/>
      <c r="AR154" s="702" t="s">
        <v>653</v>
      </c>
      <c r="AS154" s="703"/>
      <c r="AT154" s="703"/>
      <c r="AU154" s="703"/>
      <c r="AV154" s="703"/>
      <c r="AW154" s="380" t="s">
        <v>654</v>
      </c>
      <c r="AX154" s="134">
        <f t="shared" si="16"/>
        <v>0</v>
      </c>
      <c r="AY154" s="327"/>
      <c r="AZ154" s="125"/>
      <c r="BA154" s="242"/>
    </row>
    <row r="155" spans="1:53" ht="18" x14ac:dyDescent="0.25">
      <c r="A155" s="726" t="s">
        <v>56</v>
      </c>
      <c r="B155" s="727"/>
      <c r="C155" s="728"/>
      <c r="D155" s="729"/>
      <c r="E155" s="730"/>
      <c r="F155" s="384" t="s">
        <v>55</v>
      </c>
      <c r="G155" s="674">
        <f>COUNTIF($B$3:$Q$29,F155)+COUNTIF($K$40:$Q$47,F155)+COUNTIF($R$4:$BB$53,F155)</f>
        <v>0</v>
      </c>
      <c r="H155" s="675"/>
      <c r="I155" s="676"/>
      <c r="J155" s="168">
        <v>0</v>
      </c>
      <c r="K155" s="169">
        <v>0</v>
      </c>
      <c r="L155" s="170">
        <f t="shared" ref="L155:L158" si="25">G155-K155-J155</f>
        <v>0</v>
      </c>
      <c r="M155" s="84"/>
      <c r="N155" s="726" t="s">
        <v>56</v>
      </c>
      <c r="O155" s="727"/>
      <c r="P155" s="728"/>
      <c r="Q155" s="729"/>
      <c r="R155" s="730"/>
      <c r="S155" s="384" t="s">
        <v>55</v>
      </c>
      <c r="T155" s="677">
        <f>COUNTIF($K$30:$Q$38,S155)+COUNTIF($B$30:$J$50,S155)</f>
        <v>0</v>
      </c>
      <c r="U155" s="677"/>
      <c r="V155" s="677"/>
      <c r="W155" s="168">
        <v>0</v>
      </c>
      <c r="X155" s="169">
        <v>0</v>
      </c>
      <c r="Y155" s="170">
        <f t="shared" ref="Y155:Y158" si="26">T155-X155-W155</f>
        <v>0</v>
      </c>
      <c r="Z155" s="171">
        <f t="shared" ref="Z155:Z159" si="27">T155+G155</f>
        <v>0</v>
      </c>
      <c r="AC155" s="247" t="s">
        <v>655</v>
      </c>
      <c r="AD155" s="385" t="s">
        <v>656</v>
      </c>
      <c r="AE155" s="148">
        <f t="shared" si="9"/>
        <v>0</v>
      </c>
      <c r="AF155" s="149" t="str">
        <f t="shared" si="10"/>
        <v/>
      </c>
      <c r="AH155" s="125"/>
      <c r="AI155" s="644" t="s">
        <v>657</v>
      </c>
      <c r="AJ155" s="645"/>
      <c r="AK155" s="645"/>
      <c r="AL155" s="645"/>
      <c r="AM155" s="645"/>
      <c r="AN155" s="386" t="s">
        <v>658</v>
      </c>
      <c r="AO155" s="134">
        <f t="shared" si="24"/>
        <v>0</v>
      </c>
      <c r="AP155" s="135"/>
      <c r="AQ155" s="125"/>
      <c r="AR155" s="702" t="s">
        <v>659</v>
      </c>
      <c r="AS155" s="703"/>
      <c r="AT155" s="703"/>
      <c r="AU155" s="703"/>
      <c r="AV155" s="703"/>
      <c r="AW155" s="380" t="s">
        <v>660</v>
      </c>
      <c r="AX155" s="134">
        <f t="shared" si="16"/>
        <v>0</v>
      </c>
      <c r="AY155" s="327"/>
      <c r="AZ155" s="125"/>
      <c r="BA155" s="128"/>
    </row>
    <row r="156" spans="1:53" ht="18.75" x14ac:dyDescent="0.25">
      <c r="A156" s="726" t="s">
        <v>53</v>
      </c>
      <c r="B156" s="727"/>
      <c r="C156" s="728"/>
      <c r="D156" s="729"/>
      <c r="E156" s="730"/>
      <c r="F156" s="387" t="s">
        <v>54</v>
      </c>
      <c r="G156" s="674">
        <f>COUNTIF($B$3:$Q$29,F156)+COUNTIF($K$40:$Q$47,F156)+COUNTIF($R$4:$BB$53,F156)</f>
        <v>0</v>
      </c>
      <c r="H156" s="675"/>
      <c r="I156" s="676"/>
      <c r="J156" s="168">
        <v>0</v>
      </c>
      <c r="K156" s="169">
        <v>0</v>
      </c>
      <c r="L156" s="170">
        <f t="shared" si="25"/>
        <v>0</v>
      </c>
      <c r="M156" s="84"/>
      <c r="N156" s="726" t="s">
        <v>53</v>
      </c>
      <c r="O156" s="727"/>
      <c r="P156" s="728"/>
      <c r="Q156" s="729"/>
      <c r="R156" s="730"/>
      <c r="S156" s="387" t="s">
        <v>54</v>
      </c>
      <c r="T156" s="677">
        <f>COUNTIF($K$30:$Q$38,S156)+COUNTIF($B$30:$J$50,S156)</f>
        <v>0</v>
      </c>
      <c r="U156" s="677"/>
      <c r="V156" s="677"/>
      <c r="W156" s="168">
        <v>0</v>
      </c>
      <c r="X156" s="169">
        <v>0</v>
      </c>
      <c r="Y156" s="170">
        <f t="shared" si="26"/>
        <v>0</v>
      </c>
      <c r="Z156" s="171">
        <f t="shared" si="27"/>
        <v>0</v>
      </c>
      <c r="AC156" s="247" t="s">
        <v>159</v>
      </c>
      <c r="AD156" s="20" t="s">
        <v>159</v>
      </c>
      <c r="AE156" s="148">
        <f t="shared" si="9"/>
        <v>6</v>
      </c>
      <c r="AF156" s="149" t="str">
        <f t="shared" si="10"/>
        <v/>
      </c>
      <c r="AH156" s="125"/>
      <c r="AI156" s="644" t="s">
        <v>661</v>
      </c>
      <c r="AJ156" s="645"/>
      <c r="AK156" s="645"/>
      <c r="AL156" s="645"/>
      <c r="AM156" s="645"/>
      <c r="AN156" s="388" t="s">
        <v>662</v>
      </c>
      <c r="AO156" s="134">
        <f t="shared" si="24"/>
        <v>0</v>
      </c>
      <c r="AP156" s="135"/>
      <c r="AQ156" s="125"/>
      <c r="AR156" s="702" t="s">
        <v>663</v>
      </c>
      <c r="AS156" s="703"/>
      <c r="AT156" s="703"/>
      <c r="AU156" s="703"/>
      <c r="AV156" s="703"/>
      <c r="AW156" s="389" t="s">
        <v>664</v>
      </c>
      <c r="AX156" s="134">
        <f t="shared" si="16"/>
        <v>0</v>
      </c>
      <c r="AY156" s="327"/>
      <c r="BA156" s="128"/>
    </row>
    <row r="157" spans="1:53" ht="18" x14ac:dyDescent="0.25">
      <c r="A157" s="726" t="s">
        <v>51</v>
      </c>
      <c r="B157" s="727"/>
      <c r="C157" s="728"/>
      <c r="D157" s="729"/>
      <c r="E157" s="730"/>
      <c r="F157" s="390" t="s">
        <v>52</v>
      </c>
      <c r="G157" s="674">
        <f>COUNTIF($B$3:$Q$29,F157)+COUNTIF($K$40:$Q$47,F157)+COUNTIF($R$4:$BB$53,F157)</f>
        <v>0</v>
      </c>
      <c r="H157" s="675"/>
      <c r="I157" s="676"/>
      <c r="J157" s="168">
        <v>0</v>
      </c>
      <c r="K157" s="169">
        <v>0</v>
      </c>
      <c r="L157" s="170">
        <f t="shared" si="25"/>
        <v>0</v>
      </c>
      <c r="M157" s="84"/>
      <c r="N157" s="726" t="s">
        <v>51</v>
      </c>
      <c r="O157" s="727"/>
      <c r="P157" s="728"/>
      <c r="Q157" s="729"/>
      <c r="R157" s="730"/>
      <c r="S157" s="390" t="s">
        <v>52</v>
      </c>
      <c r="T157" s="677">
        <f>COUNTIF($K$30:$Q$38,S157)+COUNTIF($B$30:$J$50,S157)</f>
        <v>0</v>
      </c>
      <c r="U157" s="677"/>
      <c r="V157" s="677"/>
      <c r="W157" s="168">
        <v>0</v>
      </c>
      <c r="X157" s="169">
        <v>0</v>
      </c>
      <c r="Y157" s="170">
        <f t="shared" si="26"/>
        <v>0</v>
      </c>
      <c r="Z157" s="171">
        <f t="shared" si="27"/>
        <v>0</v>
      </c>
      <c r="AC157" s="247" t="s">
        <v>665</v>
      </c>
      <c r="AD157" s="35" t="s">
        <v>173</v>
      </c>
      <c r="AE157" s="148">
        <f t="shared" si="9"/>
        <v>8</v>
      </c>
      <c r="AF157" s="149" t="str">
        <f t="shared" si="10"/>
        <v/>
      </c>
      <c r="AH157" s="125"/>
      <c r="AI157" s="644" t="s">
        <v>666</v>
      </c>
      <c r="AJ157" s="645"/>
      <c r="AK157" s="645"/>
      <c r="AL157" s="645"/>
      <c r="AM157" s="645"/>
      <c r="AN157" s="391" t="s">
        <v>667</v>
      </c>
      <c r="AO157" s="134">
        <f t="shared" si="24"/>
        <v>0</v>
      </c>
      <c r="AP157" s="135"/>
      <c r="AQ157" s="125"/>
      <c r="AR157" s="702" t="s">
        <v>668</v>
      </c>
      <c r="AS157" s="703"/>
      <c r="AT157" s="703"/>
      <c r="AU157" s="703"/>
      <c r="AV157" s="703"/>
      <c r="AW157" s="392" t="s">
        <v>669</v>
      </c>
      <c r="AX157" s="134">
        <f t="shared" si="16"/>
        <v>0</v>
      </c>
      <c r="AY157" s="327"/>
      <c r="BA157" s="128"/>
    </row>
    <row r="158" spans="1:53" ht="18.75" thickBot="1" x14ac:dyDescent="0.3">
      <c r="A158" s="726" t="s">
        <v>49</v>
      </c>
      <c r="B158" s="727"/>
      <c r="C158" s="728"/>
      <c r="D158" s="729"/>
      <c r="E158" s="730"/>
      <c r="F158" s="393" t="s">
        <v>50</v>
      </c>
      <c r="G158" s="674">
        <f>COUNTIF($B$3:$Q$29,F158)+COUNTIF($K$40:$Q$47,F158)+COUNTIF($R$4:$BB$53,F158)</f>
        <v>0</v>
      </c>
      <c r="H158" s="675"/>
      <c r="I158" s="676"/>
      <c r="J158" s="168">
        <v>0</v>
      </c>
      <c r="K158" s="169">
        <v>0</v>
      </c>
      <c r="L158" s="170">
        <f t="shared" si="25"/>
        <v>0</v>
      </c>
      <c r="M158" s="84"/>
      <c r="N158" s="726" t="s">
        <v>49</v>
      </c>
      <c r="O158" s="727"/>
      <c r="P158" s="728"/>
      <c r="Q158" s="729"/>
      <c r="R158" s="730"/>
      <c r="S158" s="393" t="s">
        <v>50</v>
      </c>
      <c r="T158" s="677">
        <f>COUNTIF($K$30:$Q$38,S158)+COUNTIF($B$30:$J$50,S158)</f>
        <v>0</v>
      </c>
      <c r="U158" s="677"/>
      <c r="V158" s="677"/>
      <c r="W158" s="168">
        <v>0</v>
      </c>
      <c r="X158" s="169">
        <v>0</v>
      </c>
      <c r="Y158" s="170">
        <f t="shared" si="26"/>
        <v>0</v>
      </c>
      <c r="Z158" s="171">
        <f t="shared" si="27"/>
        <v>0</v>
      </c>
      <c r="AC158" s="247" t="s">
        <v>670</v>
      </c>
      <c r="AD158" s="394" t="s">
        <v>671</v>
      </c>
      <c r="AE158" s="148">
        <f t="shared" si="9"/>
        <v>0</v>
      </c>
      <c r="AF158" s="149" t="str">
        <f t="shared" si="10"/>
        <v/>
      </c>
      <c r="AH158" s="125"/>
      <c r="AI158" s="744" t="s">
        <v>672</v>
      </c>
      <c r="AJ158" s="700"/>
      <c r="AK158" s="700"/>
      <c r="AL158" s="700"/>
      <c r="AM158" s="701"/>
      <c r="AN158" s="395"/>
      <c r="AO158" s="300">
        <f>SUM(AO82:AO156)</f>
        <v>10</v>
      </c>
      <c r="AQ158" s="125"/>
      <c r="AR158" s="702" t="s">
        <v>673</v>
      </c>
      <c r="AS158" s="703"/>
      <c r="AT158" s="703"/>
      <c r="AU158" s="703"/>
      <c r="AV158" s="703"/>
      <c r="AW158" s="270" t="s">
        <v>674</v>
      </c>
      <c r="AX158" s="134">
        <f t="shared" si="16"/>
        <v>0</v>
      </c>
      <c r="AY158" s="327"/>
      <c r="BA158" s="128"/>
    </row>
    <row r="159" spans="1:53" ht="20.25" thickBot="1" x14ac:dyDescent="0.35">
      <c r="A159" s="724" t="s">
        <v>675</v>
      </c>
      <c r="B159" s="724"/>
      <c r="C159" s="724"/>
      <c r="D159" s="724"/>
      <c r="E159" s="724"/>
      <c r="F159" s="378"/>
      <c r="G159" s="725">
        <f>SUM(G155:I158)</f>
        <v>0</v>
      </c>
      <c r="H159" s="725"/>
      <c r="I159" s="725"/>
      <c r="J159" s="396">
        <f t="shared" ref="J159:L159" si="28">SUM(J155:J158)</f>
        <v>0</v>
      </c>
      <c r="K159" s="397">
        <f t="shared" si="28"/>
        <v>0</v>
      </c>
      <c r="L159" s="398">
        <f t="shared" si="28"/>
        <v>0</v>
      </c>
      <c r="M159" s="84"/>
      <c r="N159" s="724" t="s">
        <v>675</v>
      </c>
      <c r="O159" s="724"/>
      <c r="P159" s="724"/>
      <c r="Q159" s="724"/>
      <c r="R159" s="724"/>
      <c r="S159" s="378"/>
      <c r="T159" s="725">
        <f>SUM(T155:V158)</f>
        <v>0</v>
      </c>
      <c r="U159" s="725"/>
      <c r="V159" s="725"/>
      <c r="W159" s="396">
        <f t="shared" ref="W159:Y159" si="29">SUM(W155:W158)</f>
        <v>0</v>
      </c>
      <c r="X159" s="397">
        <f t="shared" si="29"/>
        <v>0</v>
      </c>
      <c r="Y159" s="398">
        <f t="shared" si="29"/>
        <v>0</v>
      </c>
      <c r="Z159" s="171">
        <f t="shared" si="27"/>
        <v>0</v>
      </c>
      <c r="AC159" s="247" t="s">
        <v>676</v>
      </c>
      <c r="AD159" s="42" t="s">
        <v>176</v>
      </c>
      <c r="AE159" s="148">
        <f t="shared" si="9"/>
        <v>14</v>
      </c>
      <c r="AF159" s="149" t="str">
        <f t="shared" si="10"/>
        <v/>
      </c>
      <c r="AH159" s="125"/>
      <c r="AI159" s="742" t="s">
        <v>677</v>
      </c>
      <c r="AJ159" s="743"/>
      <c r="AK159" s="743"/>
      <c r="AL159" s="743"/>
      <c r="AM159" s="743"/>
      <c r="AN159" s="399" t="s">
        <v>678</v>
      </c>
      <c r="AO159" s="134">
        <f>COUNTIF($P$1:$Q$1,"O-FUT")</f>
        <v>0</v>
      </c>
      <c r="AQ159" s="125"/>
      <c r="AR159" s="702" t="s">
        <v>679</v>
      </c>
      <c r="AS159" s="703"/>
      <c r="AT159" s="703"/>
      <c r="AU159" s="703"/>
      <c r="AV159" s="703"/>
      <c r="AW159" s="202" t="s">
        <v>680</v>
      </c>
      <c r="AX159" s="134">
        <f t="shared" si="16"/>
        <v>0</v>
      </c>
      <c r="AY159" s="327"/>
      <c r="BA159" s="128"/>
    </row>
    <row r="160" spans="1:53" ht="18.75" x14ac:dyDescent="0.25">
      <c r="A160" s="377"/>
      <c r="B160" s="377"/>
      <c r="C160" s="377"/>
      <c r="D160" s="377"/>
      <c r="E160" s="377"/>
      <c r="F160" s="378"/>
      <c r="J160" s="379"/>
      <c r="K160" s="379"/>
      <c r="M160" s="84"/>
      <c r="N160" s="377"/>
      <c r="O160" s="377"/>
      <c r="P160" s="377"/>
      <c r="Q160" s="377"/>
      <c r="R160" s="377"/>
      <c r="S160" s="378"/>
      <c r="W160" s="379"/>
      <c r="X160" s="379"/>
      <c r="AA160" s="140"/>
      <c r="AC160" s="247" t="s">
        <v>681</v>
      </c>
      <c r="AD160" s="400" t="s">
        <v>682</v>
      </c>
      <c r="AE160" s="148">
        <f t="shared" si="9"/>
        <v>0</v>
      </c>
      <c r="AF160" s="149" t="str">
        <f t="shared" si="10"/>
        <v/>
      </c>
      <c r="AH160" s="125"/>
      <c r="AI160" s="401"/>
      <c r="AJ160" s="402"/>
      <c r="AK160" s="402"/>
      <c r="AL160" s="402"/>
      <c r="AM160" s="402"/>
      <c r="AQ160" s="125"/>
      <c r="AR160" s="702" t="s">
        <v>683</v>
      </c>
      <c r="AS160" s="703"/>
      <c r="AT160" s="703"/>
      <c r="AU160" s="703"/>
      <c r="AV160" s="703"/>
      <c r="AW160" s="202" t="s">
        <v>684</v>
      </c>
      <c r="AX160" s="134">
        <f t="shared" si="16"/>
        <v>0</v>
      </c>
      <c r="AY160" s="327"/>
      <c r="BA160" s="128"/>
    </row>
    <row r="161" spans="1:58" ht="18" x14ac:dyDescent="0.25">
      <c r="A161" s="377"/>
      <c r="B161" s="377"/>
      <c r="C161" s="377"/>
      <c r="D161" s="377"/>
      <c r="E161" s="377"/>
      <c r="F161" s="378"/>
      <c r="J161" s="379"/>
      <c r="K161" s="379"/>
      <c r="M161" s="84"/>
      <c r="N161" s="377"/>
      <c r="O161" s="377"/>
      <c r="P161" s="377"/>
      <c r="Q161" s="377"/>
      <c r="R161" s="377"/>
      <c r="S161" s="378"/>
      <c r="W161" s="379"/>
      <c r="X161" s="379"/>
      <c r="AA161" s="140"/>
      <c r="AC161" s="247" t="s">
        <v>685</v>
      </c>
      <c r="AD161" s="23" t="s">
        <v>160</v>
      </c>
      <c r="AE161" s="148">
        <f t="shared" si="9"/>
        <v>8</v>
      </c>
      <c r="AF161" s="149" t="str">
        <f t="shared" si="10"/>
        <v/>
      </c>
      <c r="AH161" s="125"/>
      <c r="AI161" s="666" t="s">
        <v>265</v>
      </c>
      <c r="AJ161" s="659"/>
      <c r="AK161" s="659"/>
      <c r="AL161" s="659"/>
      <c r="AM161" s="659"/>
      <c r="AN161" s="643"/>
      <c r="AO161" s="126" t="s">
        <v>209</v>
      </c>
      <c r="AP161" s="403"/>
      <c r="AQ161" s="125"/>
      <c r="AR161" s="702" t="s">
        <v>686</v>
      </c>
      <c r="AS161" s="703"/>
      <c r="AT161" s="703"/>
      <c r="AU161" s="703"/>
      <c r="AV161" s="703"/>
      <c r="AW161" s="33" t="s">
        <v>171</v>
      </c>
      <c r="AX161" s="134">
        <f t="shared" si="16"/>
        <v>2</v>
      </c>
      <c r="AY161" s="327"/>
      <c r="BA161" s="128"/>
    </row>
    <row r="162" spans="1:58" ht="18.75" x14ac:dyDescent="0.25">
      <c r="A162" s="739" t="s">
        <v>687</v>
      </c>
      <c r="B162" s="740"/>
      <c r="C162" s="740"/>
      <c r="D162" s="740"/>
      <c r="E162" s="741"/>
      <c r="F162" s="381"/>
      <c r="G162" s="734"/>
      <c r="H162" s="734"/>
      <c r="I162" s="735"/>
      <c r="J162" s="382" t="s">
        <v>261</v>
      </c>
      <c r="K162" s="383" t="s">
        <v>262</v>
      </c>
      <c r="L162" s="382" t="s">
        <v>263</v>
      </c>
      <c r="M162" s="84"/>
      <c r="N162" s="739" t="s">
        <v>687</v>
      </c>
      <c r="O162" s="740"/>
      <c r="P162" s="740"/>
      <c r="Q162" s="740"/>
      <c r="R162" s="741"/>
      <c r="S162" s="381"/>
      <c r="T162" s="734"/>
      <c r="U162" s="734"/>
      <c r="V162" s="735"/>
      <c r="W162" s="382" t="s">
        <v>261</v>
      </c>
      <c r="X162" s="383" t="s">
        <v>262</v>
      </c>
      <c r="Y162" s="382" t="s">
        <v>263</v>
      </c>
      <c r="AA162" s="140"/>
      <c r="AC162" s="247" t="s">
        <v>688</v>
      </c>
      <c r="AD162" s="394" t="s">
        <v>689</v>
      </c>
      <c r="AE162" s="148">
        <f t="shared" si="9"/>
        <v>0</v>
      </c>
      <c r="AF162" s="149" t="str">
        <f t="shared" si="10"/>
        <v/>
      </c>
      <c r="AH162" s="125"/>
      <c r="AI162" s="663" t="s">
        <v>690</v>
      </c>
      <c r="AJ162" s="664"/>
      <c r="AK162" s="664"/>
      <c r="AL162" s="664"/>
      <c r="AM162" s="664"/>
      <c r="AN162" s="404" t="s">
        <v>691</v>
      </c>
      <c r="AO162" s="134">
        <f t="shared" ref="AO162:AO190" si="30">COUNTIF($A$1:$GO$59,AN162)</f>
        <v>0</v>
      </c>
      <c r="AP162" s="405"/>
      <c r="AQ162" s="125"/>
      <c r="AR162" s="702" t="s">
        <v>692</v>
      </c>
      <c r="AS162" s="703"/>
      <c r="AT162" s="703"/>
      <c r="AU162" s="703"/>
      <c r="AV162" s="703"/>
      <c r="AW162" s="266" t="s">
        <v>693</v>
      </c>
      <c r="AX162" s="134">
        <f t="shared" si="16"/>
        <v>0</v>
      </c>
      <c r="AY162" s="327"/>
      <c r="BA162" s="128"/>
    </row>
    <row r="163" spans="1:58" ht="18.75" x14ac:dyDescent="0.25">
      <c r="A163" s="726" t="s">
        <v>125</v>
      </c>
      <c r="B163" s="727"/>
      <c r="C163" s="728"/>
      <c r="D163" s="729"/>
      <c r="E163" s="730"/>
      <c r="F163" s="406" t="s">
        <v>65</v>
      </c>
      <c r="G163" s="674">
        <f>COUNTIF($B$3:$Q$29,F163)+COUNTIF($K$40:$Q$47,F163)+COUNTIF($R$4:$BB$53,F163)</f>
        <v>0</v>
      </c>
      <c r="H163" s="675"/>
      <c r="I163" s="676"/>
      <c r="J163" s="168">
        <v>0</v>
      </c>
      <c r="K163" s="169">
        <v>0</v>
      </c>
      <c r="L163" s="170">
        <f t="shared" ref="L163:L165" si="31">G163-K163-J163</f>
        <v>0</v>
      </c>
      <c r="M163" s="84"/>
      <c r="N163" s="726" t="s">
        <v>125</v>
      </c>
      <c r="O163" s="727"/>
      <c r="P163" s="728"/>
      <c r="Q163" s="729"/>
      <c r="R163" s="730"/>
      <c r="S163" s="406" t="s">
        <v>65</v>
      </c>
      <c r="T163" s="677">
        <f>COUNTIF($K$30:$Q$38,S163)+COUNTIF($B$30:$J$50,S163)</f>
        <v>0</v>
      </c>
      <c r="U163" s="677"/>
      <c r="V163" s="677"/>
      <c r="W163" s="168">
        <v>0</v>
      </c>
      <c r="X163" s="169">
        <v>0</v>
      </c>
      <c r="Y163" s="170">
        <f t="shared" ref="Y163:Y165" si="32">T163-X163-W163</f>
        <v>0</v>
      </c>
      <c r="Z163" s="171">
        <f t="shared" ref="Z163:Z166" si="33">T163+G163</f>
        <v>0</v>
      </c>
      <c r="AA163" s="140"/>
      <c r="AC163" s="247" t="s">
        <v>694</v>
      </c>
      <c r="AD163" s="407" t="s">
        <v>695</v>
      </c>
      <c r="AE163" s="148">
        <f t="shared" si="9"/>
        <v>0</v>
      </c>
      <c r="AF163" s="149" t="str">
        <f t="shared" si="10"/>
        <v/>
      </c>
      <c r="AH163" s="125"/>
      <c r="AI163" s="663" t="s">
        <v>696</v>
      </c>
      <c r="AJ163" s="664"/>
      <c r="AK163" s="664"/>
      <c r="AL163" s="664"/>
      <c r="AM163" s="664"/>
      <c r="AN163" s="408" t="s">
        <v>697</v>
      </c>
      <c r="AO163" s="134">
        <f t="shared" si="30"/>
        <v>0</v>
      </c>
      <c r="AP163" s="405"/>
      <c r="AQ163" s="125"/>
      <c r="AR163" s="702" t="s">
        <v>698</v>
      </c>
      <c r="AS163" s="703"/>
      <c r="AT163" s="703"/>
      <c r="AU163" s="703"/>
      <c r="AV163" s="703"/>
      <c r="AW163" s="266" t="s">
        <v>699</v>
      </c>
      <c r="AX163" s="134">
        <f t="shared" si="16"/>
        <v>0</v>
      </c>
      <c r="AY163" s="327"/>
      <c r="BA163" s="128"/>
    </row>
    <row r="164" spans="1:58" ht="18.75" x14ac:dyDescent="0.25">
      <c r="A164" s="726" t="s">
        <v>126</v>
      </c>
      <c r="B164" s="727"/>
      <c r="C164" s="728"/>
      <c r="D164" s="729"/>
      <c r="E164" s="730"/>
      <c r="F164" s="409" t="s">
        <v>64</v>
      </c>
      <c r="G164" s="674">
        <f>COUNTIF($B$3:$Q$29,F164)+COUNTIF($K$40:$Q$47,F164)+COUNTIF($R$4:$BB$53,F164)</f>
        <v>0</v>
      </c>
      <c r="H164" s="675"/>
      <c r="I164" s="676"/>
      <c r="J164" s="168">
        <v>0</v>
      </c>
      <c r="K164" s="169">
        <v>0</v>
      </c>
      <c r="L164" s="170">
        <f t="shared" si="31"/>
        <v>0</v>
      </c>
      <c r="M164" s="84"/>
      <c r="N164" s="726" t="s">
        <v>126</v>
      </c>
      <c r="O164" s="727"/>
      <c r="P164" s="728"/>
      <c r="Q164" s="729"/>
      <c r="R164" s="730"/>
      <c r="S164" s="409" t="s">
        <v>64</v>
      </c>
      <c r="T164" s="677">
        <f>COUNTIF($K$30:$Q$38,S164)+COUNTIF($B$30:$J$50,S164)</f>
        <v>0</v>
      </c>
      <c r="U164" s="677"/>
      <c r="V164" s="677"/>
      <c r="W164" s="168">
        <v>0</v>
      </c>
      <c r="X164" s="169">
        <v>0</v>
      </c>
      <c r="Y164" s="170">
        <f t="shared" si="32"/>
        <v>0</v>
      </c>
      <c r="Z164" s="171">
        <f t="shared" si="33"/>
        <v>0</v>
      </c>
      <c r="AA164" s="140"/>
      <c r="AC164" s="247" t="s">
        <v>700</v>
      </c>
      <c r="AD164" s="410" t="s">
        <v>701</v>
      </c>
      <c r="AE164" s="148">
        <f t="shared" si="9"/>
        <v>0</v>
      </c>
      <c r="AF164" s="149" t="str">
        <f t="shared" si="10"/>
        <v/>
      </c>
      <c r="AH164" s="125"/>
      <c r="AI164" s="663" t="s">
        <v>702</v>
      </c>
      <c r="AJ164" s="664"/>
      <c r="AK164" s="664"/>
      <c r="AL164" s="664"/>
      <c r="AM164" s="664"/>
      <c r="AN164" s="411" t="s">
        <v>703</v>
      </c>
      <c r="AO164" s="134">
        <f t="shared" si="30"/>
        <v>0</v>
      </c>
      <c r="AP164" s="405"/>
      <c r="AQ164" s="125"/>
      <c r="AR164" s="702" t="s">
        <v>704</v>
      </c>
      <c r="AS164" s="703"/>
      <c r="AT164" s="703"/>
      <c r="AU164" s="703"/>
      <c r="AV164" s="703"/>
      <c r="AW164" s="266" t="s">
        <v>705</v>
      </c>
      <c r="AX164" s="134">
        <f t="shared" si="16"/>
        <v>0</v>
      </c>
      <c r="AY164" s="327"/>
      <c r="BA164" s="128"/>
    </row>
    <row r="165" spans="1:58" ht="18" x14ac:dyDescent="0.25">
      <c r="A165" s="726" t="s">
        <v>66</v>
      </c>
      <c r="B165" s="727"/>
      <c r="C165" s="728"/>
      <c r="D165" s="729"/>
      <c r="E165" s="730"/>
      <c r="F165" s="412" t="s">
        <v>67</v>
      </c>
      <c r="G165" s="674">
        <f>COUNTIF($B$3:$Q$29,F165)+COUNTIF($K$40:$Q$47,F165)+COUNTIF($R$4:$BB$53,F165)</f>
        <v>0</v>
      </c>
      <c r="H165" s="675"/>
      <c r="I165" s="676"/>
      <c r="J165" s="168">
        <v>0</v>
      </c>
      <c r="K165" s="169">
        <v>0</v>
      </c>
      <c r="L165" s="170">
        <f t="shared" si="31"/>
        <v>0</v>
      </c>
      <c r="M165" s="84"/>
      <c r="N165" s="726" t="s">
        <v>66</v>
      </c>
      <c r="O165" s="727"/>
      <c r="P165" s="728"/>
      <c r="Q165" s="729"/>
      <c r="R165" s="730"/>
      <c r="S165" s="412" t="s">
        <v>67</v>
      </c>
      <c r="T165" s="677">
        <f>COUNTIF($K$30:$Q$38,S165)+COUNTIF($B$30:$J$50,S165)</f>
        <v>0</v>
      </c>
      <c r="U165" s="677"/>
      <c r="V165" s="677"/>
      <c r="W165" s="168">
        <v>0</v>
      </c>
      <c r="X165" s="169">
        <v>0</v>
      </c>
      <c r="Y165" s="170">
        <f t="shared" si="32"/>
        <v>0</v>
      </c>
      <c r="Z165" s="171">
        <f t="shared" si="33"/>
        <v>0</v>
      </c>
      <c r="AA165" s="140"/>
      <c r="AC165" s="247" t="s">
        <v>706</v>
      </c>
      <c r="AD165" s="413" t="s">
        <v>707</v>
      </c>
      <c r="AE165" s="148">
        <f t="shared" si="9"/>
        <v>0</v>
      </c>
      <c r="AF165" s="149" t="str">
        <f t="shared" si="10"/>
        <v/>
      </c>
      <c r="AH165" s="125"/>
      <c r="AI165" s="663" t="s">
        <v>708</v>
      </c>
      <c r="AJ165" s="664"/>
      <c r="AK165" s="664"/>
      <c r="AL165" s="664"/>
      <c r="AM165" s="664"/>
      <c r="AN165" s="414" t="s">
        <v>709</v>
      </c>
      <c r="AO165" s="134">
        <f t="shared" si="30"/>
        <v>0</v>
      </c>
      <c r="AP165" s="405"/>
      <c r="AQ165" s="125"/>
      <c r="AR165" s="702" t="s">
        <v>710</v>
      </c>
      <c r="AS165" s="703"/>
      <c r="AT165" s="703"/>
      <c r="AU165" s="703"/>
      <c r="AV165" s="703"/>
      <c r="AW165" s="34" t="s">
        <v>172</v>
      </c>
      <c r="AX165" s="134">
        <f t="shared" si="16"/>
        <v>2</v>
      </c>
      <c r="AY165" s="327"/>
      <c r="BA165" s="128"/>
    </row>
    <row r="166" spans="1:58" ht="18.75" x14ac:dyDescent="0.25">
      <c r="A166" s="724" t="s">
        <v>711</v>
      </c>
      <c r="B166" s="724"/>
      <c r="C166" s="724"/>
      <c r="D166" s="724"/>
      <c r="E166" s="724"/>
      <c r="F166" s="378"/>
      <c r="G166" s="725">
        <f t="shared" ref="G166:L166" si="34">SUM(G163:I165)</f>
        <v>0</v>
      </c>
      <c r="H166" s="725"/>
      <c r="I166" s="725"/>
      <c r="J166" s="396">
        <f t="shared" si="34"/>
        <v>0</v>
      </c>
      <c r="K166" s="397">
        <f t="shared" si="34"/>
        <v>0</v>
      </c>
      <c r="L166" s="170">
        <f t="shared" si="34"/>
        <v>0</v>
      </c>
      <c r="M166" s="84"/>
      <c r="N166" s="724" t="s">
        <v>711</v>
      </c>
      <c r="O166" s="724"/>
      <c r="P166" s="724"/>
      <c r="Q166" s="724"/>
      <c r="R166" s="724"/>
      <c r="S166" s="378"/>
      <c r="T166" s="725">
        <f t="shared" ref="T166" si="35">SUM(T163:V165)</f>
        <v>0</v>
      </c>
      <c r="U166" s="725"/>
      <c r="V166" s="725"/>
      <c r="W166" s="396">
        <f t="shared" ref="W166:X166" si="36">SUM(W163:Y165)</f>
        <v>0</v>
      </c>
      <c r="X166" s="397">
        <f t="shared" si="36"/>
        <v>0</v>
      </c>
      <c r="Y166" s="170">
        <f>SUM(Y159:AA161)</f>
        <v>0</v>
      </c>
      <c r="Z166" s="171">
        <f t="shared" si="33"/>
        <v>0</v>
      </c>
      <c r="AA166" s="140" t="b">
        <f>IFERROR(#REF!&gt;0.5,FALSE)</f>
        <v>0</v>
      </c>
      <c r="AC166" s="247" t="s">
        <v>712</v>
      </c>
      <c r="AD166" s="415" t="s">
        <v>713</v>
      </c>
      <c r="AE166" s="148">
        <f t="shared" si="9"/>
        <v>0</v>
      </c>
      <c r="AF166" s="149" t="str">
        <f t="shared" si="10"/>
        <v/>
      </c>
      <c r="AH166" s="125"/>
      <c r="AI166" s="663" t="s">
        <v>714</v>
      </c>
      <c r="AJ166" s="664"/>
      <c r="AK166" s="664"/>
      <c r="AL166" s="664"/>
      <c r="AM166" s="664"/>
      <c r="AN166" s="416" t="s">
        <v>715</v>
      </c>
      <c r="AO166" s="134">
        <f t="shared" si="30"/>
        <v>0</v>
      </c>
      <c r="AP166" s="405"/>
      <c r="AQ166" s="125"/>
      <c r="AR166" s="702" t="s">
        <v>716</v>
      </c>
      <c r="AS166" s="703"/>
      <c r="AT166" s="703"/>
      <c r="AU166" s="703"/>
      <c r="AV166" s="703"/>
      <c r="AW166" s="34" t="s">
        <v>717</v>
      </c>
      <c r="AX166" s="134">
        <f t="shared" si="16"/>
        <v>0</v>
      </c>
      <c r="AY166" s="327"/>
      <c r="BA166" s="128"/>
    </row>
    <row r="167" spans="1:58" ht="18" x14ac:dyDescent="0.25">
      <c r="A167" s="377"/>
      <c r="B167" s="377"/>
      <c r="C167" s="377"/>
      <c r="D167" s="377"/>
      <c r="E167" s="377"/>
      <c r="F167" s="378"/>
      <c r="J167" s="379"/>
      <c r="K167" s="379"/>
      <c r="M167" s="84"/>
      <c r="N167" s="377"/>
      <c r="O167" s="377"/>
      <c r="P167" s="377"/>
      <c r="Q167" s="377"/>
      <c r="R167" s="377"/>
      <c r="S167" s="378"/>
      <c r="W167" s="379"/>
      <c r="X167" s="379"/>
      <c r="AA167" s="140"/>
      <c r="AC167" s="247" t="s">
        <v>718</v>
      </c>
      <c r="AD167" s="415" t="s">
        <v>718</v>
      </c>
      <c r="AE167" s="148">
        <f t="shared" si="9"/>
        <v>0</v>
      </c>
      <c r="AF167" s="149" t="str">
        <f t="shared" si="10"/>
        <v/>
      </c>
      <c r="AH167" s="125"/>
      <c r="AI167" s="663" t="s">
        <v>719</v>
      </c>
      <c r="AJ167" s="664"/>
      <c r="AK167" s="664"/>
      <c r="AL167" s="664"/>
      <c r="AM167" s="664"/>
      <c r="AN167" s="417" t="s">
        <v>720</v>
      </c>
      <c r="AO167" s="134">
        <f t="shared" si="30"/>
        <v>0</v>
      </c>
      <c r="AP167" s="405"/>
      <c r="AQ167" s="125"/>
      <c r="AR167" s="702" t="s">
        <v>721</v>
      </c>
      <c r="AS167" s="703"/>
      <c r="AT167" s="703"/>
      <c r="AU167" s="703"/>
      <c r="AV167" s="703"/>
      <c r="AW167" s="32" t="s">
        <v>170</v>
      </c>
      <c r="AX167" s="134">
        <f t="shared" si="16"/>
        <v>2</v>
      </c>
      <c r="AY167" s="327"/>
      <c r="BA167" s="128"/>
    </row>
    <row r="168" spans="1:58" ht="18.75" x14ac:dyDescent="0.25">
      <c r="A168" s="377"/>
      <c r="B168" s="377"/>
      <c r="C168" s="377"/>
      <c r="D168" s="377"/>
      <c r="E168" s="377"/>
      <c r="F168" s="378"/>
      <c r="J168" s="379"/>
      <c r="K168" s="379"/>
      <c r="M168" s="84"/>
      <c r="N168" s="377"/>
      <c r="O168" s="377"/>
      <c r="P168" s="377"/>
      <c r="Q168" s="377"/>
      <c r="R168" s="377"/>
      <c r="S168" s="378"/>
      <c r="W168" s="379"/>
      <c r="X168" s="379"/>
      <c r="AA168" s="140"/>
      <c r="AC168" s="247" t="s">
        <v>271</v>
      </c>
      <c r="AD168" s="418" t="s">
        <v>722</v>
      </c>
      <c r="AE168" s="148">
        <f t="shared" si="9"/>
        <v>0</v>
      </c>
      <c r="AF168" s="149" t="str">
        <f t="shared" si="10"/>
        <v/>
      </c>
      <c r="AH168" s="125"/>
      <c r="AI168" s="663" t="s">
        <v>723</v>
      </c>
      <c r="AJ168" s="664"/>
      <c r="AK168" s="664"/>
      <c r="AL168" s="664"/>
      <c r="AM168" s="664"/>
      <c r="AN168" s="202" t="s">
        <v>724</v>
      </c>
      <c r="AO168" s="134">
        <f t="shared" si="30"/>
        <v>0</v>
      </c>
      <c r="AP168" s="405"/>
      <c r="AQ168" s="125"/>
      <c r="AR168" s="702" t="s">
        <v>725</v>
      </c>
      <c r="AS168" s="703"/>
      <c r="AT168" s="703"/>
      <c r="AU168" s="703"/>
      <c r="AV168" s="703"/>
      <c r="AW168" s="419" t="s">
        <v>726</v>
      </c>
      <c r="AX168" s="134">
        <f t="shared" si="16"/>
        <v>0</v>
      </c>
      <c r="AY168" s="327"/>
      <c r="BA168" s="128"/>
      <c r="BC168" s="420"/>
      <c r="BD168" s="420"/>
      <c r="BE168" s="420"/>
      <c r="BF168" s="420"/>
    </row>
    <row r="169" spans="1:58" ht="18.75" x14ac:dyDescent="0.25">
      <c r="A169" s="736" t="s">
        <v>727</v>
      </c>
      <c r="B169" s="737"/>
      <c r="C169" s="737"/>
      <c r="D169" s="737"/>
      <c r="E169" s="738"/>
      <c r="F169" s="381"/>
      <c r="G169" s="734"/>
      <c r="H169" s="734"/>
      <c r="I169" s="735"/>
      <c r="J169" s="382" t="s">
        <v>261</v>
      </c>
      <c r="K169" s="383" t="s">
        <v>262</v>
      </c>
      <c r="L169" s="382" t="s">
        <v>263</v>
      </c>
      <c r="M169" s="84"/>
      <c r="N169" s="736" t="s">
        <v>727</v>
      </c>
      <c r="O169" s="737"/>
      <c r="P169" s="737"/>
      <c r="Q169" s="737"/>
      <c r="R169" s="738"/>
      <c r="S169" s="381"/>
      <c r="T169" s="734"/>
      <c r="U169" s="734"/>
      <c r="V169" s="735"/>
      <c r="W169" s="382" t="s">
        <v>261</v>
      </c>
      <c r="X169" s="383" t="s">
        <v>262</v>
      </c>
      <c r="Y169" s="382" t="s">
        <v>263</v>
      </c>
      <c r="AA169" s="140"/>
      <c r="AC169" s="247" t="s">
        <v>728</v>
      </c>
      <c r="AD169" s="43" t="s">
        <v>179</v>
      </c>
      <c r="AE169" s="148">
        <f t="shared" si="9"/>
        <v>16</v>
      </c>
      <c r="AF169" s="149" t="str">
        <f t="shared" si="10"/>
        <v/>
      </c>
      <c r="AH169" s="125"/>
      <c r="AI169" s="663" t="s">
        <v>729</v>
      </c>
      <c r="AJ169" s="664"/>
      <c r="AK169" s="664"/>
      <c r="AL169" s="664"/>
      <c r="AM169" s="664"/>
      <c r="AN169" s="32" t="s">
        <v>730</v>
      </c>
      <c r="AO169" s="134">
        <f t="shared" si="30"/>
        <v>0</v>
      </c>
      <c r="AP169" s="405"/>
      <c r="AQ169" s="125"/>
      <c r="AR169" s="702" t="s">
        <v>731</v>
      </c>
      <c r="AS169" s="703"/>
      <c r="AT169" s="703"/>
      <c r="AU169" s="703"/>
      <c r="AV169" s="703"/>
      <c r="AW169" s="421" t="s">
        <v>732</v>
      </c>
      <c r="AX169" s="134">
        <f t="shared" si="16"/>
        <v>0</v>
      </c>
      <c r="AY169" s="327"/>
      <c r="BA169" s="128"/>
      <c r="BC169" s="422"/>
      <c r="BD169" s="422"/>
      <c r="BE169" s="422"/>
      <c r="BF169" s="422"/>
    </row>
    <row r="170" spans="1:58" ht="18" x14ac:dyDescent="0.25">
      <c r="A170" s="726" t="s">
        <v>127</v>
      </c>
      <c r="B170" s="727"/>
      <c r="C170" s="728"/>
      <c r="D170" s="729"/>
      <c r="E170" s="730"/>
      <c r="F170" s="423" t="s">
        <v>128</v>
      </c>
      <c r="G170" s="674">
        <f>COUNTIF($B$3:$Q$29,F170)+COUNTIF($K$40:$Q$47,F170)+COUNTIF($R$4:$BB$53,F170)</f>
        <v>0</v>
      </c>
      <c r="H170" s="675"/>
      <c r="I170" s="676"/>
      <c r="J170" s="168">
        <v>0</v>
      </c>
      <c r="K170" s="169">
        <v>0</v>
      </c>
      <c r="L170" s="170">
        <f t="shared" ref="L170:L173" si="37">G170-K170-J170</f>
        <v>0</v>
      </c>
      <c r="M170" s="84"/>
      <c r="N170" s="726" t="s">
        <v>127</v>
      </c>
      <c r="O170" s="727"/>
      <c r="P170" s="728"/>
      <c r="Q170" s="729"/>
      <c r="R170" s="730"/>
      <c r="S170" s="423" t="s">
        <v>128</v>
      </c>
      <c r="T170" s="677">
        <f>COUNTIF($K$30:$Q$38,S170)+COUNTIF($B$30:$J$50,S170)</f>
        <v>0</v>
      </c>
      <c r="U170" s="677"/>
      <c r="V170" s="677"/>
      <c r="W170" s="168">
        <v>0</v>
      </c>
      <c r="X170" s="169">
        <v>0</v>
      </c>
      <c r="Y170" s="170">
        <f t="shared" ref="Y170:Y173" si="38">T170-X170-W170</f>
        <v>0</v>
      </c>
      <c r="Z170" s="171">
        <f t="shared" ref="Z170:Z174" si="39">T170+G170</f>
        <v>0</v>
      </c>
      <c r="AA170" s="140"/>
      <c r="AC170" s="247" t="s">
        <v>733</v>
      </c>
      <c r="AD170" s="424" t="s">
        <v>734</v>
      </c>
      <c r="AE170" s="148">
        <f t="shared" si="9"/>
        <v>0</v>
      </c>
      <c r="AF170" s="149" t="str">
        <f t="shared" si="10"/>
        <v/>
      </c>
      <c r="AH170" s="125"/>
      <c r="AI170" s="663" t="s">
        <v>735</v>
      </c>
      <c r="AJ170" s="664"/>
      <c r="AK170" s="664"/>
      <c r="AL170" s="664"/>
      <c r="AM170" s="664"/>
      <c r="AN170" s="34" t="s">
        <v>736</v>
      </c>
      <c r="AO170" s="134">
        <f t="shared" si="30"/>
        <v>0</v>
      </c>
      <c r="AP170" s="405"/>
      <c r="AQ170" s="125"/>
      <c r="AR170" s="702" t="s">
        <v>737</v>
      </c>
      <c r="AS170" s="703"/>
      <c r="AT170" s="703"/>
      <c r="AU170" s="703"/>
      <c r="AV170" s="703"/>
      <c r="AW170" s="425" t="s">
        <v>738</v>
      </c>
      <c r="AX170" s="134">
        <f t="shared" si="16"/>
        <v>0</v>
      </c>
      <c r="AY170" s="327"/>
      <c r="BA170" s="128"/>
      <c r="BC170" s="420"/>
      <c r="BD170" s="420"/>
      <c r="BE170" s="420"/>
      <c r="BF170" s="420"/>
    </row>
    <row r="171" spans="1:58" ht="18" x14ac:dyDescent="0.25">
      <c r="A171" s="726" t="s">
        <v>129</v>
      </c>
      <c r="B171" s="727"/>
      <c r="C171" s="728"/>
      <c r="D171" s="729"/>
      <c r="E171" s="730"/>
      <c r="F171" s="426" t="s">
        <v>130</v>
      </c>
      <c r="G171" s="674">
        <f>COUNTIF($B$3:$Q$29,F171)+COUNTIF($K$40:$Q$47,F171)+COUNTIF($R$4:$BB$53,F171)</f>
        <v>0</v>
      </c>
      <c r="H171" s="675"/>
      <c r="I171" s="676"/>
      <c r="J171" s="168">
        <v>0</v>
      </c>
      <c r="K171" s="169">
        <v>0</v>
      </c>
      <c r="L171" s="170">
        <f t="shared" si="37"/>
        <v>0</v>
      </c>
      <c r="M171" s="84"/>
      <c r="N171" s="726" t="s">
        <v>129</v>
      </c>
      <c r="O171" s="727"/>
      <c r="P171" s="728"/>
      <c r="Q171" s="729"/>
      <c r="R171" s="730"/>
      <c r="S171" s="426" t="s">
        <v>130</v>
      </c>
      <c r="T171" s="677">
        <f>COUNTIF($K$30:$Q$38,S171)+COUNTIF($B$30:$J$50,S171)</f>
        <v>0</v>
      </c>
      <c r="U171" s="677"/>
      <c r="V171" s="677"/>
      <c r="W171" s="168">
        <v>0</v>
      </c>
      <c r="X171" s="169">
        <v>0</v>
      </c>
      <c r="Y171" s="170">
        <f t="shared" si="38"/>
        <v>0</v>
      </c>
      <c r="Z171" s="171">
        <f t="shared" si="39"/>
        <v>0</v>
      </c>
      <c r="AA171" s="140"/>
      <c r="AC171" s="247" t="s">
        <v>739</v>
      </c>
      <c r="AD171" s="427" t="s">
        <v>740</v>
      </c>
      <c r="AE171" s="148">
        <f t="shared" si="9"/>
        <v>0</v>
      </c>
      <c r="AF171" s="149" t="str">
        <f t="shared" si="10"/>
        <v/>
      </c>
      <c r="AH171" s="125"/>
      <c r="AI171" s="663" t="s">
        <v>741</v>
      </c>
      <c r="AJ171" s="664"/>
      <c r="AK171" s="664"/>
      <c r="AL171" s="664"/>
      <c r="AM171" s="664"/>
      <c r="AN171" s="34" t="s">
        <v>5</v>
      </c>
      <c r="AO171" s="134">
        <f t="shared" si="30"/>
        <v>0</v>
      </c>
      <c r="AP171" s="405"/>
      <c r="AQ171" s="125"/>
      <c r="AR171" s="702" t="s">
        <v>742</v>
      </c>
      <c r="AS171" s="703"/>
      <c r="AT171" s="703"/>
      <c r="AU171" s="703"/>
      <c r="AV171" s="703"/>
      <c r="AW171" s="425" t="s">
        <v>743</v>
      </c>
      <c r="AX171" s="134">
        <f t="shared" si="16"/>
        <v>0</v>
      </c>
      <c r="AY171" s="327"/>
      <c r="BA171" s="128"/>
      <c r="BC171" s="428"/>
      <c r="BD171" s="428"/>
      <c r="BE171" s="428"/>
      <c r="BF171" s="428"/>
    </row>
    <row r="172" spans="1:58" ht="18" x14ac:dyDescent="0.25">
      <c r="A172" s="726" t="s">
        <v>131</v>
      </c>
      <c r="B172" s="727"/>
      <c r="C172" s="728"/>
      <c r="D172" s="729"/>
      <c r="E172" s="730"/>
      <c r="F172" s="429" t="s">
        <v>120</v>
      </c>
      <c r="G172" s="674">
        <f>COUNTIF($B$3:$Q$29,F172)+COUNTIF($K$40:$Q$47,F172)+COUNTIF($R$4:$BB$53,F172)</f>
        <v>0</v>
      </c>
      <c r="H172" s="675"/>
      <c r="I172" s="676"/>
      <c r="J172" s="168">
        <v>0</v>
      </c>
      <c r="K172" s="169">
        <v>0</v>
      </c>
      <c r="L172" s="170">
        <f t="shared" si="37"/>
        <v>0</v>
      </c>
      <c r="M172" s="84"/>
      <c r="N172" s="726" t="s">
        <v>131</v>
      </c>
      <c r="O172" s="727"/>
      <c r="P172" s="728"/>
      <c r="Q172" s="729"/>
      <c r="R172" s="730"/>
      <c r="S172" s="429" t="s">
        <v>120</v>
      </c>
      <c r="T172" s="677">
        <f>COUNTIF($K$30:$Q$38,S172)+COUNTIF($B$30:$J$50,S172)</f>
        <v>0</v>
      </c>
      <c r="U172" s="677"/>
      <c r="V172" s="677"/>
      <c r="W172" s="168">
        <v>0</v>
      </c>
      <c r="X172" s="169">
        <v>0</v>
      </c>
      <c r="Y172" s="170">
        <f t="shared" si="38"/>
        <v>0</v>
      </c>
      <c r="Z172" s="171">
        <f t="shared" si="39"/>
        <v>0</v>
      </c>
      <c r="AA172" s="140"/>
      <c r="AC172" s="247" t="s">
        <v>744</v>
      </c>
      <c r="AD172" s="427" t="s">
        <v>745</v>
      </c>
      <c r="AE172" s="148">
        <f t="shared" ref="AE172:AE180" si="40">COUNTIF($A$1:$GO$59,AD172)</f>
        <v>0</v>
      </c>
      <c r="AF172" s="149" t="str">
        <f t="shared" si="10"/>
        <v/>
      </c>
      <c r="AH172" s="125"/>
      <c r="AI172" s="663" t="s">
        <v>746</v>
      </c>
      <c r="AJ172" s="664"/>
      <c r="AK172" s="664"/>
      <c r="AL172" s="664"/>
      <c r="AM172" s="664"/>
      <c r="AN172" s="430" t="s">
        <v>747</v>
      </c>
      <c r="AO172" s="134">
        <f t="shared" si="30"/>
        <v>0</v>
      </c>
      <c r="AP172" s="405"/>
      <c r="AQ172" s="125"/>
      <c r="AR172" s="702" t="s">
        <v>748</v>
      </c>
      <c r="AS172" s="703"/>
      <c r="AT172" s="703"/>
      <c r="AU172" s="703"/>
      <c r="AV172" s="703"/>
      <c r="AW172" s="431" t="s">
        <v>749</v>
      </c>
      <c r="AX172" s="134">
        <f t="shared" si="16"/>
        <v>0</v>
      </c>
      <c r="AY172" s="327"/>
      <c r="BA172" s="128"/>
    </row>
    <row r="173" spans="1:58" ht="18.75" x14ac:dyDescent="0.25">
      <c r="A173" s="726" t="s">
        <v>132</v>
      </c>
      <c r="B173" s="727"/>
      <c r="C173" s="728"/>
      <c r="D173" s="729"/>
      <c r="E173" s="730"/>
      <c r="F173" s="432" t="s">
        <v>121</v>
      </c>
      <c r="G173" s="674">
        <f>COUNTIF($B$3:$Q$29,F173)+COUNTIF($K$40:$Q$47,F173)+COUNTIF($R$4:$BB$53,F173)</f>
        <v>0</v>
      </c>
      <c r="H173" s="675"/>
      <c r="I173" s="676"/>
      <c r="J173" s="168">
        <v>0</v>
      </c>
      <c r="K173" s="169">
        <v>0</v>
      </c>
      <c r="L173" s="170">
        <f t="shared" si="37"/>
        <v>0</v>
      </c>
      <c r="M173" s="84"/>
      <c r="N173" s="726" t="s">
        <v>132</v>
      </c>
      <c r="O173" s="727"/>
      <c r="P173" s="728"/>
      <c r="Q173" s="729"/>
      <c r="R173" s="730"/>
      <c r="S173" s="432" t="s">
        <v>121</v>
      </c>
      <c r="T173" s="677">
        <f>COUNTIF($K$30:$Q$38,S173)+COUNTIF($B$30:$J$50,S173)</f>
        <v>0</v>
      </c>
      <c r="U173" s="677"/>
      <c r="V173" s="677"/>
      <c r="W173" s="168">
        <v>0</v>
      </c>
      <c r="X173" s="169">
        <v>0</v>
      </c>
      <c r="Y173" s="170">
        <f t="shared" si="38"/>
        <v>0</v>
      </c>
      <c r="Z173" s="171">
        <f t="shared" si="39"/>
        <v>0</v>
      </c>
      <c r="AA173" s="140"/>
      <c r="AC173" s="247" t="s">
        <v>750</v>
      </c>
      <c r="AD173" s="433" t="s">
        <v>751</v>
      </c>
      <c r="AE173" s="148">
        <f t="shared" si="40"/>
        <v>0</v>
      </c>
      <c r="AF173" s="149" t="str">
        <f t="shared" ref="AF173:AF180" si="41">IFERROR(AE173/$J$4,"")</f>
        <v/>
      </c>
      <c r="AH173" s="125"/>
      <c r="AI173" s="663" t="s">
        <v>752</v>
      </c>
      <c r="AJ173" s="664"/>
      <c r="AK173" s="664"/>
      <c r="AL173" s="664"/>
      <c r="AM173" s="664"/>
      <c r="AN173" s="151" t="s">
        <v>753</v>
      </c>
      <c r="AO173" s="134">
        <f t="shared" si="30"/>
        <v>0</v>
      </c>
      <c r="AP173" s="405"/>
      <c r="AQ173" s="125"/>
      <c r="AR173" s="702" t="s">
        <v>754</v>
      </c>
      <c r="AS173" s="703"/>
      <c r="AT173" s="703"/>
      <c r="AU173" s="703"/>
      <c r="AV173" s="703"/>
      <c r="AW173" s="434" t="s">
        <v>755</v>
      </c>
      <c r="AX173" s="134">
        <f t="shared" si="16"/>
        <v>0</v>
      </c>
      <c r="AY173" s="327"/>
      <c r="BA173" s="128"/>
      <c r="BC173" s="420"/>
      <c r="BD173" s="420"/>
      <c r="BE173" s="420"/>
      <c r="BF173" s="420"/>
    </row>
    <row r="174" spans="1:58" ht="18" x14ac:dyDescent="0.25">
      <c r="A174" s="724" t="s">
        <v>756</v>
      </c>
      <c r="B174" s="724"/>
      <c r="C174" s="724"/>
      <c r="D174" s="724"/>
      <c r="E174" s="724"/>
      <c r="F174" s="378"/>
      <c r="G174" s="725">
        <f>SUM(G170:I173)</f>
        <v>0</v>
      </c>
      <c r="H174" s="725"/>
      <c r="I174" s="725"/>
      <c r="J174" s="396">
        <f t="shared" ref="J174:L174" si="42">SUM(J170:J173)</f>
        <v>0</v>
      </c>
      <c r="K174" s="397">
        <f t="shared" si="42"/>
        <v>0</v>
      </c>
      <c r="L174" s="398">
        <f t="shared" si="42"/>
        <v>0</v>
      </c>
      <c r="M174" s="84"/>
      <c r="N174" s="724" t="s">
        <v>756</v>
      </c>
      <c r="O174" s="724"/>
      <c r="P174" s="724"/>
      <c r="Q174" s="724"/>
      <c r="R174" s="724"/>
      <c r="S174" s="378"/>
      <c r="T174" s="725">
        <f>SUM(T170:V173)</f>
        <v>0</v>
      </c>
      <c r="U174" s="725"/>
      <c r="V174" s="725"/>
      <c r="W174" s="396">
        <f t="shared" ref="W174:Y174" si="43">SUM(W170:W173)</f>
        <v>0</v>
      </c>
      <c r="X174" s="397">
        <f t="shared" si="43"/>
        <v>0</v>
      </c>
      <c r="Y174" s="398">
        <f t="shared" si="43"/>
        <v>0</v>
      </c>
      <c r="Z174" s="171">
        <f t="shared" si="39"/>
        <v>0</v>
      </c>
      <c r="AA174" s="140"/>
      <c r="AC174" s="247" t="s">
        <v>757</v>
      </c>
      <c r="AD174" s="23" t="s">
        <v>758</v>
      </c>
      <c r="AE174" s="148">
        <f t="shared" si="40"/>
        <v>0</v>
      </c>
      <c r="AF174" s="149" t="str">
        <f t="shared" si="41"/>
        <v/>
      </c>
      <c r="AI174" s="663" t="s">
        <v>759</v>
      </c>
      <c r="AJ174" s="664"/>
      <c r="AK174" s="664"/>
      <c r="AL174" s="664"/>
      <c r="AM174" s="664"/>
      <c r="AN174" s="41" t="s">
        <v>760</v>
      </c>
      <c r="AO174" s="134">
        <f t="shared" si="30"/>
        <v>0</v>
      </c>
      <c r="AP174" s="405"/>
      <c r="AQ174" s="125"/>
      <c r="AR174" s="702" t="s">
        <v>761</v>
      </c>
      <c r="AS174" s="703"/>
      <c r="AT174" s="703"/>
      <c r="AU174" s="703"/>
      <c r="AV174" s="703"/>
      <c r="AW174" s="435" t="s">
        <v>762</v>
      </c>
      <c r="AX174" s="134">
        <f t="shared" si="16"/>
        <v>0</v>
      </c>
      <c r="AY174" s="327"/>
      <c r="BA174" s="128"/>
      <c r="BC174" s="422"/>
      <c r="BD174" s="422"/>
      <c r="BE174" s="422"/>
      <c r="BF174" s="422"/>
    </row>
    <row r="175" spans="1:58" ht="18.75" x14ac:dyDescent="0.25">
      <c r="A175" s="377"/>
      <c r="B175" s="377"/>
      <c r="C175" s="377"/>
      <c r="D175" s="377"/>
      <c r="E175" s="377"/>
      <c r="F175" s="378"/>
      <c r="J175" s="379"/>
      <c r="K175" s="379"/>
      <c r="M175" s="84"/>
      <c r="N175" s="377"/>
      <c r="O175" s="377"/>
      <c r="P175" s="377"/>
      <c r="Q175" s="377"/>
      <c r="R175" s="377"/>
      <c r="S175" s="378"/>
      <c r="W175" s="379"/>
      <c r="X175" s="379"/>
      <c r="AA175" s="140"/>
      <c r="AC175" s="247" t="s">
        <v>763</v>
      </c>
      <c r="AD175" s="424" t="s">
        <v>764</v>
      </c>
      <c r="AE175" s="148">
        <f t="shared" si="40"/>
        <v>0</v>
      </c>
      <c r="AF175" s="149" t="str">
        <f t="shared" si="41"/>
        <v/>
      </c>
      <c r="AI175" s="663" t="s">
        <v>765</v>
      </c>
      <c r="AJ175" s="664"/>
      <c r="AK175" s="664"/>
      <c r="AL175" s="664"/>
      <c r="AM175" s="664"/>
      <c r="AN175" s="270" t="s">
        <v>766</v>
      </c>
      <c r="AO175" s="134">
        <f t="shared" si="30"/>
        <v>0</v>
      </c>
      <c r="AP175" s="405"/>
      <c r="AQ175" s="125"/>
      <c r="AR175" s="702" t="s">
        <v>767</v>
      </c>
      <c r="AS175" s="703"/>
      <c r="AT175" s="703"/>
      <c r="AU175" s="703"/>
      <c r="AV175" s="703"/>
      <c r="AW175" s="436" t="s">
        <v>768</v>
      </c>
      <c r="AX175" s="134">
        <f t="shared" si="16"/>
        <v>0</v>
      </c>
      <c r="AY175" s="327"/>
      <c r="BA175" s="128"/>
      <c r="BC175" s="420"/>
      <c r="BD175" s="420"/>
      <c r="BE175" s="420"/>
      <c r="BF175" s="420"/>
    </row>
    <row r="176" spans="1:58" ht="18.75" x14ac:dyDescent="0.25">
      <c r="A176" s="377"/>
      <c r="B176" s="377"/>
      <c r="C176" s="377"/>
      <c r="D176" s="377"/>
      <c r="E176" s="377"/>
      <c r="F176" s="378"/>
      <c r="J176" s="379"/>
      <c r="K176" s="379"/>
      <c r="M176" s="84"/>
      <c r="N176" s="377"/>
      <c r="O176" s="377"/>
      <c r="P176" s="377"/>
      <c r="Q176" s="377"/>
      <c r="R176" s="377"/>
      <c r="S176" s="378"/>
      <c r="W176" s="379"/>
      <c r="X176" s="379"/>
      <c r="AA176" s="140"/>
      <c r="AC176" s="247" t="s">
        <v>769</v>
      </c>
      <c r="AD176" s="437" t="s">
        <v>770</v>
      </c>
      <c r="AE176" s="148">
        <f t="shared" si="40"/>
        <v>0</v>
      </c>
      <c r="AF176" s="149" t="str">
        <f t="shared" si="41"/>
        <v/>
      </c>
      <c r="AI176" s="663" t="s">
        <v>771</v>
      </c>
      <c r="AJ176" s="664"/>
      <c r="AK176" s="664"/>
      <c r="AL176" s="664"/>
      <c r="AM176" s="664"/>
      <c r="AN176" s="266" t="s">
        <v>772</v>
      </c>
      <c r="AO176" s="134">
        <f t="shared" si="30"/>
        <v>0</v>
      </c>
      <c r="AP176" s="405"/>
      <c r="AQ176" s="125"/>
      <c r="AR176" s="702" t="s">
        <v>773</v>
      </c>
      <c r="AS176" s="703"/>
      <c r="AT176" s="703"/>
      <c r="AU176" s="703"/>
      <c r="AV176" s="703"/>
      <c r="AW176" s="438" t="s">
        <v>774</v>
      </c>
      <c r="AX176" s="134">
        <f t="shared" si="16"/>
        <v>0</v>
      </c>
      <c r="AY176" s="327"/>
      <c r="BA176" s="128"/>
      <c r="BC176" s="428"/>
      <c r="BD176" s="428"/>
      <c r="BE176" s="428"/>
      <c r="BF176" s="428"/>
    </row>
    <row r="177" spans="1:58" ht="18.75" x14ac:dyDescent="0.25">
      <c r="A177" s="731" t="s">
        <v>775</v>
      </c>
      <c r="B177" s="732"/>
      <c r="C177" s="732"/>
      <c r="D177" s="732"/>
      <c r="E177" s="733"/>
      <c r="F177" s="381"/>
      <c r="G177" s="734"/>
      <c r="H177" s="734"/>
      <c r="I177" s="735"/>
      <c r="J177" s="382" t="s">
        <v>261</v>
      </c>
      <c r="K177" s="383" t="s">
        <v>262</v>
      </c>
      <c r="L177" s="382" t="s">
        <v>263</v>
      </c>
      <c r="M177" s="84"/>
      <c r="N177" s="731" t="s">
        <v>775</v>
      </c>
      <c r="O177" s="732"/>
      <c r="P177" s="732"/>
      <c r="Q177" s="732"/>
      <c r="R177" s="733"/>
      <c r="S177" s="381"/>
      <c r="T177" s="734"/>
      <c r="U177" s="734"/>
      <c r="V177" s="735"/>
      <c r="W177" s="382" t="s">
        <v>261</v>
      </c>
      <c r="X177" s="383" t="s">
        <v>262</v>
      </c>
      <c r="Y177" s="382" t="s">
        <v>263</v>
      </c>
      <c r="AA177" s="140"/>
      <c r="AC177" s="247" t="s">
        <v>776</v>
      </c>
      <c r="AD177" s="439" t="s">
        <v>776</v>
      </c>
      <c r="AE177" s="148">
        <f t="shared" si="40"/>
        <v>0</v>
      </c>
      <c r="AF177" s="149" t="str">
        <f t="shared" si="41"/>
        <v/>
      </c>
      <c r="AI177" s="663" t="s">
        <v>777</v>
      </c>
      <c r="AJ177" s="664"/>
      <c r="AK177" s="664"/>
      <c r="AL177" s="664"/>
      <c r="AM177" s="664"/>
      <c r="AN177" s="40" t="s">
        <v>778</v>
      </c>
      <c r="AO177" s="134">
        <f t="shared" si="30"/>
        <v>0</v>
      </c>
      <c r="AP177" s="405"/>
      <c r="AQ177" s="125"/>
      <c r="AR177" s="702" t="s">
        <v>779</v>
      </c>
      <c r="AS177" s="703"/>
      <c r="AT177" s="703"/>
      <c r="AU177" s="703"/>
      <c r="AV177" s="703"/>
      <c r="AW177" s="40" t="s">
        <v>174</v>
      </c>
      <c r="AX177" s="134">
        <f t="shared" si="16"/>
        <v>1</v>
      </c>
      <c r="AY177" s="327"/>
      <c r="BA177" s="128"/>
    </row>
    <row r="178" spans="1:58" ht="18" x14ac:dyDescent="0.25">
      <c r="A178" s="726" t="s">
        <v>58</v>
      </c>
      <c r="B178" s="727"/>
      <c r="C178" s="728"/>
      <c r="D178" s="729"/>
      <c r="E178" s="730"/>
      <c r="F178" s="440" t="s">
        <v>59</v>
      </c>
      <c r="G178" s="674">
        <f>COUNTIF($B$3:$Q$29,F178)+COUNTIF($K$40:$Q$47,F178)+COUNTIF($R$4:$BB$53,F178)</f>
        <v>0</v>
      </c>
      <c r="H178" s="675"/>
      <c r="I178" s="676"/>
      <c r="J178" s="168">
        <v>0</v>
      </c>
      <c r="K178" s="169">
        <v>0</v>
      </c>
      <c r="L178" s="170">
        <f t="shared" ref="L178:L180" si="44">G178-K178-J178</f>
        <v>0</v>
      </c>
      <c r="M178" s="84"/>
      <c r="N178" s="726" t="s">
        <v>58</v>
      </c>
      <c r="O178" s="727"/>
      <c r="P178" s="728"/>
      <c r="Q178" s="729"/>
      <c r="R178" s="730"/>
      <c r="S178" s="440" t="s">
        <v>59</v>
      </c>
      <c r="T178" s="677">
        <f>COUNTIF($K$30:$Q$38,S178)+COUNTIF($B$30:$J$50,S178)</f>
        <v>0</v>
      </c>
      <c r="U178" s="677"/>
      <c r="V178" s="677"/>
      <c r="W178" s="168">
        <v>0</v>
      </c>
      <c r="X178" s="169">
        <v>0</v>
      </c>
      <c r="Y178" s="170">
        <f t="shared" ref="Y178:Y180" si="45">T178-X178-W178</f>
        <v>0</v>
      </c>
      <c r="Z178" s="171">
        <f t="shared" ref="Z178:Z181" si="46">T178+G178</f>
        <v>0</v>
      </c>
      <c r="AA178" s="140"/>
      <c r="AC178" s="247" t="s">
        <v>780</v>
      </c>
      <c r="AD178" s="70" t="s">
        <v>194</v>
      </c>
      <c r="AE178" s="148">
        <f t="shared" si="40"/>
        <v>4</v>
      </c>
      <c r="AF178" s="149" t="str">
        <f t="shared" si="41"/>
        <v/>
      </c>
      <c r="AI178" s="663" t="s">
        <v>781</v>
      </c>
      <c r="AJ178" s="664"/>
      <c r="AK178" s="664"/>
      <c r="AL178" s="664"/>
      <c r="AM178" s="664"/>
      <c r="AN178" s="419" t="s">
        <v>782</v>
      </c>
      <c r="AO178" s="134">
        <f t="shared" si="30"/>
        <v>0</v>
      </c>
      <c r="AP178" s="405"/>
      <c r="AQ178" s="125"/>
      <c r="AR178" s="702" t="s">
        <v>783</v>
      </c>
      <c r="AS178" s="703"/>
      <c r="AT178" s="703"/>
      <c r="AU178" s="703"/>
      <c r="AV178" s="703"/>
      <c r="AW178" s="441" t="s">
        <v>784</v>
      </c>
      <c r="AX178" s="134">
        <f t="shared" si="16"/>
        <v>0</v>
      </c>
      <c r="AY178" s="327"/>
      <c r="BA178" s="128"/>
      <c r="BC178" s="420"/>
      <c r="BD178" s="420"/>
      <c r="BE178" s="420"/>
      <c r="BF178" s="420"/>
    </row>
    <row r="179" spans="1:58" ht="18" x14ac:dyDescent="0.25">
      <c r="A179" s="726" t="s">
        <v>60</v>
      </c>
      <c r="B179" s="727"/>
      <c r="C179" s="728"/>
      <c r="D179" s="729"/>
      <c r="E179" s="730"/>
      <c r="F179" s="442" t="s">
        <v>61</v>
      </c>
      <c r="G179" s="674">
        <f>COUNTIF($B$3:$Q$29,F179)+COUNTIF($K$40:$Q$47,F179)+COUNTIF($R$4:$BB$53,F179)</f>
        <v>0</v>
      </c>
      <c r="H179" s="675"/>
      <c r="I179" s="676"/>
      <c r="J179" s="168">
        <v>0</v>
      </c>
      <c r="K179" s="169">
        <v>0</v>
      </c>
      <c r="L179" s="170">
        <f t="shared" si="44"/>
        <v>0</v>
      </c>
      <c r="M179" s="84"/>
      <c r="N179" s="726" t="s">
        <v>60</v>
      </c>
      <c r="O179" s="727"/>
      <c r="P179" s="728"/>
      <c r="Q179" s="729"/>
      <c r="R179" s="730"/>
      <c r="S179" s="442" t="s">
        <v>61</v>
      </c>
      <c r="T179" s="677">
        <f>COUNTIF($K$30:$Q$38,S179)+COUNTIF($B$30:$J$50,S179)</f>
        <v>0</v>
      </c>
      <c r="U179" s="677"/>
      <c r="V179" s="677"/>
      <c r="W179" s="168">
        <v>0</v>
      </c>
      <c r="X179" s="169">
        <v>0</v>
      </c>
      <c r="Y179" s="170">
        <f t="shared" si="45"/>
        <v>0</v>
      </c>
      <c r="Z179" s="171">
        <f t="shared" si="46"/>
        <v>0</v>
      </c>
      <c r="AA179" s="140"/>
      <c r="AC179" s="247" t="s">
        <v>785</v>
      </c>
      <c r="AD179" s="30" t="s">
        <v>167</v>
      </c>
      <c r="AE179" s="148">
        <f t="shared" si="40"/>
        <v>6</v>
      </c>
      <c r="AF179" s="149" t="str">
        <f t="shared" si="41"/>
        <v/>
      </c>
      <c r="AI179" s="663" t="s">
        <v>786</v>
      </c>
      <c r="AJ179" s="664"/>
      <c r="AK179" s="664"/>
      <c r="AL179" s="664"/>
      <c r="AM179" s="664"/>
      <c r="AN179" s="443" t="s">
        <v>787</v>
      </c>
      <c r="AO179" s="134">
        <f t="shared" si="30"/>
        <v>0</v>
      </c>
      <c r="AP179" s="405"/>
      <c r="AQ179" s="125"/>
      <c r="AR179" s="699" t="s">
        <v>788</v>
      </c>
      <c r="AS179" s="700"/>
      <c r="AT179" s="700"/>
      <c r="AU179" s="700"/>
      <c r="AV179" s="701"/>
      <c r="AW179" s="299"/>
      <c r="AX179" s="300">
        <f>SUM(AX126:AX178)</f>
        <v>8</v>
      </c>
      <c r="AY179" s="125"/>
      <c r="BA179" s="128"/>
      <c r="BC179" s="422"/>
      <c r="BD179" s="422"/>
      <c r="BE179" s="422"/>
      <c r="BF179" s="422"/>
    </row>
    <row r="180" spans="1:58" ht="18" x14ac:dyDescent="0.25">
      <c r="A180" s="726" t="s">
        <v>62</v>
      </c>
      <c r="B180" s="727"/>
      <c r="C180" s="728"/>
      <c r="D180" s="729"/>
      <c r="E180" s="730"/>
      <c r="F180" s="444" t="s">
        <v>63</v>
      </c>
      <c r="G180" s="674">
        <f>COUNTIF($B$3:$Q$29,F180)+COUNTIF($K$40:$Q$47,F180)+COUNTIF($R$4:$BB$53,F180)</f>
        <v>0</v>
      </c>
      <c r="H180" s="675"/>
      <c r="I180" s="676"/>
      <c r="J180" s="168">
        <v>0</v>
      </c>
      <c r="K180" s="169">
        <v>0</v>
      </c>
      <c r="L180" s="170">
        <f t="shared" si="44"/>
        <v>0</v>
      </c>
      <c r="M180" s="84"/>
      <c r="N180" s="726" t="s">
        <v>62</v>
      </c>
      <c r="O180" s="727"/>
      <c r="P180" s="728"/>
      <c r="Q180" s="729"/>
      <c r="R180" s="730"/>
      <c r="S180" s="444" t="s">
        <v>63</v>
      </c>
      <c r="T180" s="677">
        <f>COUNTIF($K$30:$Q$38,S180)+COUNTIF($B$30:$J$50,S180)</f>
        <v>0</v>
      </c>
      <c r="U180" s="677"/>
      <c r="V180" s="677"/>
      <c r="W180" s="168">
        <v>0</v>
      </c>
      <c r="X180" s="169">
        <v>0</v>
      </c>
      <c r="Y180" s="170">
        <f t="shared" si="45"/>
        <v>0</v>
      </c>
      <c r="Z180" s="171">
        <f t="shared" si="46"/>
        <v>0</v>
      </c>
      <c r="AA180" s="140"/>
      <c r="AC180" s="247" t="s">
        <v>789</v>
      </c>
      <c r="AD180" s="445" t="s">
        <v>790</v>
      </c>
      <c r="AE180" s="148">
        <f t="shared" si="40"/>
        <v>0</v>
      </c>
      <c r="AF180" s="149" t="str">
        <f t="shared" si="41"/>
        <v/>
      </c>
      <c r="AI180" s="663" t="s">
        <v>791</v>
      </c>
      <c r="AJ180" s="664"/>
      <c r="AK180" s="664"/>
      <c r="AL180" s="664"/>
      <c r="AM180" s="664"/>
      <c r="AN180" s="446" t="s">
        <v>792</v>
      </c>
      <c r="AO180" s="134">
        <f t="shared" si="30"/>
        <v>0</v>
      </c>
      <c r="AP180" s="405"/>
      <c r="AQ180" s="125"/>
      <c r="AR180" s="125"/>
      <c r="AS180" s="125"/>
      <c r="AT180" s="125"/>
      <c r="AU180" s="125"/>
      <c r="AV180" s="125"/>
      <c r="AW180" s="125"/>
      <c r="AX180" s="125"/>
      <c r="AY180" s="125"/>
      <c r="BA180" s="128"/>
      <c r="BC180" s="420"/>
      <c r="BD180" s="420"/>
      <c r="BE180" s="420"/>
      <c r="BF180" s="420"/>
    </row>
    <row r="181" spans="1:58" ht="18" x14ac:dyDescent="0.25">
      <c r="A181" s="723" t="s">
        <v>793</v>
      </c>
      <c r="B181" s="724"/>
      <c r="C181" s="724"/>
      <c r="D181" s="724"/>
      <c r="E181" s="724"/>
      <c r="F181" s="378"/>
      <c r="G181" s="725">
        <f t="shared" ref="G181" si="47">SUM(G178:I180)</f>
        <v>0</v>
      </c>
      <c r="H181" s="725"/>
      <c r="I181" s="725"/>
      <c r="J181" s="396">
        <f t="shared" ref="J181:L181" si="48">SUM(J178:L180)</f>
        <v>0</v>
      </c>
      <c r="K181" s="397">
        <f t="shared" si="48"/>
        <v>0</v>
      </c>
      <c r="L181" s="170">
        <f t="shared" si="48"/>
        <v>0</v>
      </c>
      <c r="M181" s="84"/>
      <c r="N181" s="723" t="s">
        <v>793</v>
      </c>
      <c r="O181" s="724"/>
      <c r="P181" s="724"/>
      <c r="Q181" s="724"/>
      <c r="R181" s="724"/>
      <c r="S181" s="378"/>
      <c r="T181" s="725">
        <f t="shared" ref="T181" si="49">SUM(T178:V180)</f>
        <v>0</v>
      </c>
      <c r="U181" s="725"/>
      <c r="V181" s="725"/>
      <c r="W181" s="396">
        <f t="shared" ref="W181:X181" si="50">SUM(W178:Y180)</f>
        <v>0</v>
      </c>
      <c r="X181" s="397">
        <f t="shared" si="50"/>
        <v>0</v>
      </c>
      <c r="Y181" s="170">
        <f>SUM(Y174:AA176)</f>
        <v>0</v>
      </c>
      <c r="Z181" s="171">
        <f t="shared" si="46"/>
        <v>0</v>
      </c>
      <c r="AA181" s="140"/>
      <c r="AI181" s="663" t="s">
        <v>794</v>
      </c>
      <c r="AJ181" s="664"/>
      <c r="AK181" s="664"/>
      <c r="AL181" s="664"/>
      <c r="AM181" s="664"/>
      <c r="AN181" s="359" t="s">
        <v>795</v>
      </c>
      <c r="AO181" s="134">
        <f t="shared" si="30"/>
        <v>0</v>
      </c>
      <c r="AP181" s="405"/>
      <c r="AQ181" s="125"/>
      <c r="AR181" s="658" t="s">
        <v>307</v>
      </c>
      <c r="AS181" s="659"/>
      <c r="AT181" s="659"/>
      <c r="AU181" s="659"/>
      <c r="AV181" s="659"/>
      <c r="AW181" s="643"/>
      <c r="AX181" s="126" t="s">
        <v>209</v>
      </c>
      <c r="AY181" s="127"/>
      <c r="BA181" s="128"/>
      <c r="BC181" s="428"/>
      <c r="BD181" s="428"/>
      <c r="BE181" s="428"/>
      <c r="BF181" s="428"/>
    </row>
    <row r="182" spans="1:58" ht="16.5" x14ac:dyDescent="0.25">
      <c r="M182" s="84"/>
      <c r="AA182" s="140"/>
      <c r="AI182" s="663" t="s">
        <v>796</v>
      </c>
      <c r="AJ182" s="664"/>
      <c r="AK182" s="664"/>
      <c r="AL182" s="664"/>
      <c r="AM182" s="664"/>
      <c r="AN182" s="45" t="s">
        <v>181</v>
      </c>
      <c r="AO182" s="134">
        <f t="shared" si="30"/>
        <v>12</v>
      </c>
      <c r="AP182" s="405"/>
      <c r="AQ182" s="125"/>
      <c r="AR182" s="702" t="s">
        <v>797</v>
      </c>
      <c r="AS182" s="703"/>
      <c r="AT182" s="703"/>
      <c r="AU182" s="703"/>
      <c r="AV182" s="703"/>
      <c r="AW182" s="447" t="s">
        <v>798</v>
      </c>
      <c r="AX182" s="134">
        <f t="shared" ref="AX182:AX219" si="51">COUNTIF($A$1:$GO$59,AW182)</f>
        <v>0</v>
      </c>
      <c r="AY182" s="448"/>
      <c r="BA182" s="128"/>
    </row>
    <row r="183" spans="1:58" ht="18" x14ac:dyDescent="0.25">
      <c r="M183" s="84"/>
      <c r="AA183" s="140"/>
      <c r="AI183" s="663" t="s">
        <v>799</v>
      </c>
      <c r="AJ183" s="664"/>
      <c r="AK183" s="664"/>
      <c r="AL183" s="664"/>
      <c r="AM183" s="664"/>
      <c r="AN183" s="45" t="s">
        <v>800</v>
      </c>
      <c r="AO183" s="134">
        <f t="shared" si="30"/>
        <v>0</v>
      </c>
      <c r="AP183" s="405"/>
      <c r="AQ183" s="125"/>
      <c r="AR183" s="702" t="s">
        <v>801</v>
      </c>
      <c r="AS183" s="703"/>
      <c r="AT183" s="703"/>
      <c r="AU183" s="703"/>
      <c r="AV183" s="703"/>
      <c r="AW183" s="41" t="s">
        <v>802</v>
      </c>
      <c r="AX183" s="134">
        <f t="shared" si="51"/>
        <v>0</v>
      </c>
      <c r="AY183" s="448"/>
      <c r="BA183" s="128"/>
      <c r="BC183" s="420"/>
      <c r="BD183" s="420"/>
      <c r="BE183" s="420"/>
      <c r="BF183" s="420"/>
    </row>
    <row r="184" spans="1:58" ht="18.75" x14ac:dyDescent="0.25">
      <c r="A184" s="720" t="s">
        <v>803</v>
      </c>
      <c r="B184" s="721"/>
      <c r="C184" s="721"/>
      <c r="D184" s="721"/>
      <c r="E184" s="721"/>
      <c r="F184" s="246"/>
      <c r="G184" s="722">
        <f>G151+G108+G132+G181+G174+G166+G159+G128</f>
        <v>0</v>
      </c>
      <c r="H184" s="722"/>
      <c r="I184" s="722"/>
      <c r="J184" s="449">
        <f>J151+J108+J132+J181+J174+J166+J159+J128</f>
        <v>0</v>
      </c>
      <c r="K184" s="245">
        <f>K151+K108+K132+K181+K174+K166+K159+K128</f>
        <v>8</v>
      </c>
      <c r="L184" s="170">
        <f>L151+L108+L132+L181+L174+L166+L159+L128</f>
        <v>-8</v>
      </c>
      <c r="M184" s="140"/>
      <c r="N184" s="720" t="s">
        <v>803</v>
      </c>
      <c r="O184" s="721"/>
      <c r="P184" s="721"/>
      <c r="Q184" s="721"/>
      <c r="R184" s="721"/>
      <c r="S184" s="246"/>
      <c r="T184" s="722">
        <f>T151+T108+T132+T181+T174+T166+T159+T128</f>
        <v>8</v>
      </c>
      <c r="U184" s="722"/>
      <c r="V184" s="722"/>
      <c r="W184" s="449">
        <f>W151+W108+W132+W181+W174+W166+W159+W128</f>
        <v>0</v>
      </c>
      <c r="X184" s="245">
        <f>X151+X108+X132+X181+X174+X166+X159+X128</f>
        <v>0</v>
      </c>
      <c r="Y184" s="170">
        <f>Y151+Y108+Y132+Y181+Y174+Y166+Y159+Y128</f>
        <v>8</v>
      </c>
      <c r="Z184" s="171">
        <f>T184+G184</f>
        <v>8</v>
      </c>
      <c r="AA184" s="140"/>
      <c r="AI184" s="663" t="s">
        <v>804</v>
      </c>
      <c r="AJ184" s="664"/>
      <c r="AK184" s="664"/>
      <c r="AL184" s="664"/>
      <c r="AM184" s="664"/>
      <c r="AN184" s="450" t="s">
        <v>805</v>
      </c>
      <c r="AO184" s="134">
        <f t="shared" si="30"/>
        <v>0</v>
      </c>
      <c r="AP184" s="405"/>
      <c r="AQ184" s="125"/>
      <c r="AR184" s="702" t="s">
        <v>806</v>
      </c>
      <c r="AS184" s="703"/>
      <c r="AT184" s="703"/>
      <c r="AU184" s="703"/>
      <c r="AV184" s="703"/>
      <c r="AW184" s="451" t="s">
        <v>807</v>
      </c>
      <c r="AX184" s="134">
        <f t="shared" si="51"/>
        <v>0</v>
      </c>
      <c r="AY184" s="448"/>
      <c r="BA184" s="128"/>
      <c r="BB184" s="452"/>
      <c r="BC184" s="420"/>
      <c r="BD184" s="420"/>
      <c r="BE184" s="420"/>
      <c r="BF184" s="420"/>
    </row>
    <row r="185" spans="1:58" ht="16.5" x14ac:dyDescent="0.25">
      <c r="M185" s="84"/>
      <c r="AA185" s="140"/>
      <c r="AI185" s="663" t="s">
        <v>808</v>
      </c>
      <c r="AJ185" s="664"/>
      <c r="AK185" s="664"/>
      <c r="AL185" s="664"/>
      <c r="AM185" s="664"/>
      <c r="AN185" s="453" t="s">
        <v>809</v>
      </c>
      <c r="AO185" s="134">
        <f t="shared" si="30"/>
        <v>0</v>
      </c>
      <c r="AP185" s="405"/>
      <c r="AQ185" s="125"/>
      <c r="AR185" s="702" t="s">
        <v>810</v>
      </c>
      <c r="AS185" s="703"/>
      <c r="AT185" s="703"/>
      <c r="AU185" s="703"/>
      <c r="AV185" s="703"/>
      <c r="AW185" s="454" t="s">
        <v>811</v>
      </c>
      <c r="AX185" s="134">
        <f t="shared" si="51"/>
        <v>0</v>
      </c>
      <c r="AY185" s="448"/>
      <c r="BA185" s="128"/>
      <c r="BB185" s="455"/>
      <c r="BC185" s="428"/>
      <c r="BD185" s="428"/>
      <c r="BE185" s="428"/>
      <c r="BF185" s="428"/>
    </row>
    <row r="186" spans="1:58" ht="18" x14ac:dyDescent="0.25">
      <c r="M186" s="84"/>
      <c r="AA186" s="140"/>
      <c r="AI186" s="663" t="s">
        <v>812</v>
      </c>
      <c r="AJ186" s="664"/>
      <c r="AK186" s="664"/>
      <c r="AL186" s="664"/>
      <c r="AM186" s="664"/>
      <c r="AN186" s="33" t="s">
        <v>812</v>
      </c>
      <c r="AO186" s="134">
        <f t="shared" si="30"/>
        <v>0</v>
      </c>
      <c r="AP186" s="405"/>
      <c r="AQ186" s="125"/>
      <c r="AR186" s="702" t="s">
        <v>813</v>
      </c>
      <c r="AS186" s="703"/>
      <c r="AT186" s="703"/>
      <c r="AU186" s="703"/>
      <c r="AV186" s="703"/>
      <c r="AW186" s="456" t="s">
        <v>814</v>
      </c>
      <c r="AX186" s="134">
        <f t="shared" si="51"/>
        <v>0</v>
      </c>
      <c r="AY186" s="448"/>
      <c r="BA186" s="128"/>
      <c r="BB186" s="452"/>
    </row>
    <row r="187" spans="1:58" ht="18" x14ac:dyDescent="0.25">
      <c r="M187" s="84"/>
      <c r="AA187" s="140"/>
      <c r="AI187" s="663" t="s">
        <v>815</v>
      </c>
      <c r="AJ187" s="664"/>
      <c r="AK187" s="664"/>
      <c r="AL187" s="664"/>
      <c r="AM187" s="664"/>
      <c r="AN187" s="457" t="s">
        <v>816</v>
      </c>
      <c r="AO187" s="134">
        <f t="shared" si="30"/>
        <v>0</v>
      </c>
      <c r="AP187" s="405"/>
      <c r="AQ187" s="125"/>
      <c r="AR187" s="702" t="s">
        <v>817</v>
      </c>
      <c r="AS187" s="703"/>
      <c r="AT187" s="703"/>
      <c r="AU187" s="703"/>
      <c r="AV187" s="703"/>
      <c r="AW187" s="458" t="s">
        <v>818</v>
      </c>
      <c r="AX187" s="134">
        <f t="shared" si="51"/>
        <v>0</v>
      </c>
      <c r="AY187" s="448"/>
      <c r="BA187" s="128"/>
      <c r="BB187" s="452"/>
      <c r="BC187" s="420"/>
      <c r="BD187" s="420"/>
      <c r="BE187" s="420"/>
      <c r="BF187" s="420"/>
    </row>
    <row r="188" spans="1:58" ht="16.5" x14ac:dyDescent="0.25">
      <c r="A188" s="719" t="s">
        <v>819</v>
      </c>
      <c r="B188" s="719"/>
      <c r="C188" s="719"/>
      <c r="D188" s="719"/>
      <c r="E188" s="719"/>
      <c r="F188" s="719"/>
      <c r="G188" s="719"/>
      <c r="H188" s="719"/>
      <c r="I188" s="719"/>
      <c r="J188" s="719"/>
      <c r="K188" s="719"/>
      <c r="L188" s="719"/>
      <c r="M188" s="719"/>
      <c r="N188" s="719"/>
      <c r="O188" s="719"/>
      <c r="P188" s="719"/>
      <c r="Q188" s="719"/>
      <c r="R188" s="719"/>
      <c r="S188" s="719"/>
      <c r="T188" s="719"/>
      <c r="U188" s="719"/>
      <c r="V188" s="719"/>
      <c r="W188" s="719"/>
      <c r="X188" s="719"/>
      <c r="Y188" s="719"/>
      <c r="Z188" s="719"/>
      <c r="AA188" s="140"/>
      <c r="AI188" s="663" t="s">
        <v>820</v>
      </c>
      <c r="AJ188" s="664"/>
      <c r="AK188" s="664"/>
      <c r="AL188" s="664"/>
      <c r="AM188" s="664"/>
      <c r="AN188" s="459" t="s">
        <v>821</v>
      </c>
      <c r="AO188" s="134">
        <f t="shared" si="30"/>
        <v>0</v>
      </c>
      <c r="AP188" s="405"/>
      <c r="AQ188" s="125"/>
      <c r="AR188" s="702" t="s">
        <v>822</v>
      </c>
      <c r="AS188" s="703"/>
      <c r="AT188" s="703"/>
      <c r="AU188" s="703"/>
      <c r="AV188" s="703"/>
      <c r="AW188" s="458" t="s">
        <v>823</v>
      </c>
      <c r="AX188" s="134">
        <f t="shared" si="51"/>
        <v>0</v>
      </c>
      <c r="AY188" s="448"/>
      <c r="BA188" s="128"/>
      <c r="BC188" s="422"/>
      <c r="BD188" s="422"/>
      <c r="BE188" s="422"/>
      <c r="BF188" s="422"/>
    </row>
    <row r="189" spans="1:58" ht="18" x14ac:dyDescent="0.25">
      <c r="A189" s="719"/>
      <c r="B189" s="719"/>
      <c r="C189" s="719"/>
      <c r="D189" s="719"/>
      <c r="E189" s="719"/>
      <c r="F189" s="719"/>
      <c r="G189" s="719"/>
      <c r="H189" s="719"/>
      <c r="I189" s="719"/>
      <c r="J189" s="719"/>
      <c r="K189" s="719"/>
      <c r="L189" s="719"/>
      <c r="M189" s="719"/>
      <c r="N189" s="719"/>
      <c r="O189" s="719"/>
      <c r="P189" s="719"/>
      <c r="Q189" s="719"/>
      <c r="R189" s="719"/>
      <c r="S189" s="719"/>
      <c r="T189" s="719"/>
      <c r="U189" s="719"/>
      <c r="V189" s="719"/>
      <c r="W189" s="719"/>
      <c r="X189" s="719"/>
      <c r="Y189" s="719"/>
      <c r="Z189" s="719"/>
      <c r="AA189" s="140" t="b">
        <f>IFERROR(#REF!&gt;0.5,FALSE)</f>
        <v>0</v>
      </c>
      <c r="AI189" s="663" t="s">
        <v>824</v>
      </c>
      <c r="AJ189" s="664"/>
      <c r="AK189" s="664"/>
      <c r="AL189" s="664"/>
      <c r="AM189" s="664"/>
      <c r="AN189" s="460" t="s">
        <v>825</v>
      </c>
      <c r="AO189" s="134">
        <f t="shared" si="30"/>
        <v>0</v>
      </c>
      <c r="AP189" s="405"/>
      <c r="AQ189" s="125"/>
      <c r="AR189" s="702" t="s">
        <v>826</v>
      </c>
      <c r="AS189" s="703"/>
      <c r="AT189" s="703"/>
      <c r="AU189" s="703"/>
      <c r="AV189" s="703"/>
      <c r="AW189" s="458" t="s">
        <v>827</v>
      </c>
      <c r="AX189" s="134">
        <f t="shared" si="51"/>
        <v>0</v>
      </c>
      <c r="AY189" s="448"/>
      <c r="BA189" s="128"/>
      <c r="BB189" s="452"/>
      <c r="BC189" s="420"/>
      <c r="BD189" s="420"/>
      <c r="BE189" s="420"/>
      <c r="BF189" s="420"/>
    </row>
    <row r="190" spans="1:58" ht="17.25" thickBot="1" x14ac:dyDescent="0.3">
      <c r="AA190" s="140" t="b">
        <f>IFERROR(#REF!&gt;0.5,FALSE)</f>
        <v>0</v>
      </c>
      <c r="AI190" s="663" t="s">
        <v>828</v>
      </c>
      <c r="AJ190" s="664"/>
      <c r="AK190" s="664"/>
      <c r="AL190" s="664"/>
      <c r="AM190" s="664"/>
      <c r="AN190" s="357" t="s">
        <v>829</v>
      </c>
      <c r="AO190" s="134">
        <f t="shared" si="30"/>
        <v>0</v>
      </c>
      <c r="AP190" s="405"/>
      <c r="AQ190" s="125"/>
      <c r="AR190" s="702" t="s">
        <v>830</v>
      </c>
      <c r="AS190" s="703"/>
      <c r="AT190" s="703"/>
      <c r="AU190" s="703"/>
      <c r="AV190" s="703"/>
      <c r="AW190" s="461" t="s">
        <v>831</v>
      </c>
      <c r="AX190" s="134">
        <f t="shared" si="51"/>
        <v>0</v>
      </c>
      <c r="AY190" s="448"/>
      <c r="BA190" s="128"/>
      <c r="BB190" s="455"/>
      <c r="BC190" s="428"/>
      <c r="BD190" s="428"/>
      <c r="BE190" s="428"/>
      <c r="BF190" s="428"/>
    </row>
    <row r="191" spans="1:58" ht="27.75" thickBot="1" x14ac:dyDescent="0.3">
      <c r="A191" s="711" t="s">
        <v>832</v>
      </c>
      <c r="B191" s="712"/>
      <c r="C191" s="712"/>
      <c r="D191" s="712"/>
      <c r="E191" s="712"/>
      <c r="F191" s="712"/>
      <c r="G191" s="713"/>
      <c r="H191" s="462">
        <f>F193+S193</f>
        <v>0</v>
      </c>
      <c r="AA191" s="140"/>
      <c r="AI191" s="647" t="s">
        <v>833</v>
      </c>
      <c r="AJ191" s="648"/>
      <c r="AK191" s="648"/>
      <c r="AL191" s="648"/>
      <c r="AM191" s="649"/>
      <c r="AN191" s="299"/>
      <c r="AO191" s="300">
        <f>SUM(AO162:AO190)</f>
        <v>12</v>
      </c>
      <c r="AP191" s="125"/>
      <c r="AQ191" s="125"/>
      <c r="AR191" s="702" t="s">
        <v>834</v>
      </c>
      <c r="AS191" s="703"/>
      <c r="AT191" s="703"/>
      <c r="AU191" s="703"/>
      <c r="AV191" s="703"/>
      <c r="AW191" s="202" t="s">
        <v>835</v>
      </c>
      <c r="AX191" s="134">
        <f t="shared" si="51"/>
        <v>0</v>
      </c>
      <c r="AY191" s="448"/>
      <c r="BA191" s="128"/>
      <c r="BB191" s="452"/>
    </row>
    <row r="192" spans="1:58" ht="18.75" thickBot="1" x14ac:dyDescent="0.3">
      <c r="AA192" s="140"/>
      <c r="AI192" s="463"/>
      <c r="AJ192" s="125"/>
      <c r="AK192" s="125"/>
      <c r="AL192" s="125"/>
      <c r="AM192" s="125"/>
      <c r="AN192" s="125"/>
      <c r="AO192" s="125"/>
      <c r="AP192" s="125"/>
      <c r="AQ192" s="125"/>
      <c r="AR192" s="702" t="s">
        <v>836</v>
      </c>
      <c r="AS192" s="703"/>
      <c r="AT192" s="703"/>
      <c r="AU192" s="703"/>
      <c r="AV192" s="703"/>
      <c r="AW192" s="464" t="s">
        <v>837</v>
      </c>
      <c r="AX192" s="134">
        <f t="shared" si="51"/>
        <v>0</v>
      </c>
      <c r="AY192" s="465"/>
      <c r="BA192" s="128"/>
      <c r="BB192" s="452"/>
      <c r="BC192" s="420"/>
      <c r="BD192" s="420"/>
      <c r="BE192" s="420"/>
      <c r="BF192" s="420"/>
    </row>
    <row r="193" spans="1:58" ht="24" thickBot="1" x14ac:dyDescent="0.4">
      <c r="A193" s="714" t="s">
        <v>838</v>
      </c>
      <c r="B193" s="715"/>
      <c r="C193" s="715"/>
      <c r="D193" s="715"/>
      <c r="E193" s="716"/>
      <c r="F193" s="717">
        <f>SUM(G202,G215,G223,G227,G231)</f>
        <v>0</v>
      </c>
      <c r="G193" s="718"/>
      <c r="N193" s="714" t="s">
        <v>803</v>
      </c>
      <c r="O193" s="715"/>
      <c r="P193" s="715"/>
      <c r="Q193" s="715"/>
      <c r="R193" s="716"/>
      <c r="S193" s="717">
        <f>SUM(T202,T215,T223,T227,T231)</f>
        <v>0</v>
      </c>
      <c r="T193" s="718"/>
      <c r="AA193" s="140"/>
      <c r="AI193" s="463"/>
      <c r="AJ193" s="125"/>
      <c r="AK193" s="125"/>
      <c r="AL193" s="125"/>
      <c r="AM193" s="125"/>
      <c r="AN193" s="125"/>
      <c r="AO193" s="125"/>
      <c r="AQ193" s="125"/>
      <c r="AR193" s="702" t="s">
        <v>839</v>
      </c>
      <c r="AS193" s="703"/>
      <c r="AT193" s="703"/>
      <c r="AU193" s="703"/>
      <c r="AV193" s="703"/>
      <c r="AW193" s="357" t="s">
        <v>840</v>
      </c>
      <c r="AX193" s="134">
        <f t="shared" si="51"/>
        <v>0</v>
      </c>
      <c r="AY193" s="465"/>
      <c r="BA193" s="128"/>
      <c r="BC193" s="422"/>
      <c r="BD193" s="422"/>
      <c r="BE193" s="422"/>
      <c r="BF193" s="422"/>
    </row>
    <row r="194" spans="1:58" ht="21.75" thickBot="1" x14ac:dyDescent="0.4">
      <c r="A194" s="466"/>
      <c r="B194" s="467"/>
      <c r="C194" s="467"/>
      <c r="D194" s="467"/>
      <c r="E194" s="468"/>
      <c r="F194" s="468"/>
      <c r="G194" s="468"/>
      <c r="Q194" s="468"/>
      <c r="AA194" s="140"/>
      <c r="AI194" s="666" t="s">
        <v>283</v>
      </c>
      <c r="AJ194" s="659"/>
      <c r="AK194" s="659"/>
      <c r="AL194" s="659"/>
      <c r="AM194" s="659"/>
      <c r="AN194" s="660"/>
      <c r="AO194" s="126" t="s">
        <v>209</v>
      </c>
      <c r="AP194" s="127"/>
      <c r="AQ194" s="125"/>
      <c r="AR194" s="708" t="s">
        <v>841</v>
      </c>
      <c r="AS194" s="709"/>
      <c r="AT194" s="709"/>
      <c r="AU194" s="709"/>
      <c r="AV194" s="709"/>
      <c r="AW194" s="469" t="s">
        <v>842</v>
      </c>
      <c r="AX194" s="134">
        <f t="shared" si="51"/>
        <v>0</v>
      </c>
      <c r="AY194" s="465"/>
      <c r="BA194" s="128"/>
      <c r="BC194" s="420"/>
      <c r="BD194" s="420"/>
      <c r="BE194" s="420"/>
      <c r="BF194" s="420"/>
    </row>
    <row r="195" spans="1:58" ht="18.75" thickBot="1" x14ac:dyDescent="0.3">
      <c r="A195" s="678" t="s">
        <v>843</v>
      </c>
      <c r="B195" s="679"/>
      <c r="C195" s="679"/>
      <c r="D195" s="679"/>
      <c r="E195" s="680"/>
      <c r="G195" s="710"/>
      <c r="H195" s="710"/>
      <c r="I195" s="710"/>
      <c r="N195" s="678" t="s">
        <v>843</v>
      </c>
      <c r="O195" s="679"/>
      <c r="P195" s="679"/>
      <c r="Q195" s="679"/>
      <c r="R195" s="680"/>
      <c r="T195" s="710"/>
      <c r="U195" s="710"/>
      <c r="V195" s="710"/>
      <c r="AA195" s="140"/>
      <c r="AI195" s="663" t="s">
        <v>844</v>
      </c>
      <c r="AJ195" s="664"/>
      <c r="AK195" s="664"/>
      <c r="AL195" s="664"/>
      <c r="AM195" s="665"/>
      <c r="AN195" s="470" t="s">
        <v>845</v>
      </c>
      <c r="AO195" s="134">
        <f>COUNTIF($A$1:$GO$59,AN195)</f>
        <v>0</v>
      </c>
      <c r="AP195" s="471"/>
      <c r="AQ195" s="125"/>
      <c r="AR195" s="702" t="s">
        <v>846</v>
      </c>
      <c r="AS195" s="703"/>
      <c r="AT195" s="703"/>
      <c r="AU195" s="703"/>
      <c r="AV195" s="703"/>
      <c r="AW195" s="392" t="s">
        <v>847</v>
      </c>
      <c r="AX195" s="134">
        <f t="shared" si="51"/>
        <v>0</v>
      </c>
      <c r="AY195" s="465"/>
      <c r="BA195" s="128"/>
      <c r="BB195" s="452"/>
      <c r="BC195" s="428"/>
      <c r="BD195" s="428"/>
      <c r="BE195" s="428"/>
      <c r="BF195" s="428"/>
    </row>
    <row r="196" spans="1:58" ht="18.75" x14ac:dyDescent="0.25">
      <c r="A196" s="705" t="s">
        <v>848</v>
      </c>
      <c r="B196" s="705"/>
      <c r="C196" s="705"/>
      <c r="D196" s="705"/>
      <c r="E196" s="705"/>
      <c r="F196" s="60" t="s">
        <v>849</v>
      </c>
      <c r="G196" s="674">
        <f t="shared" ref="G196:G201" si="52">COUNTIF($B$3:$Q$29,F196)+COUNTIF($K$40:$Q$47,F196)+COUNTIF($R$4:$BB$53,F196)</f>
        <v>0</v>
      </c>
      <c r="H196" s="675"/>
      <c r="I196" s="676"/>
      <c r="N196" s="705" t="s">
        <v>848</v>
      </c>
      <c r="O196" s="705"/>
      <c r="P196" s="705"/>
      <c r="Q196" s="705"/>
      <c r="R196" s="705"/>
      <c r="S196" s="60" t="s">
        <v>849</v>
      </c>
      <c r="T196" s="677">
        <f t="shared" ref="T196:T201" si="53">COUNTIF($K$30:$Q$38,S196)+COUNTIF($B$30:$J$50,S196)</f>
        <v>0</v>
      </c>
      <c r="U196" s="677"/>
      <c r="V196" s="677"/>
      <c r="AA196" s="140"/>
      <c r="AI196" s="663" t="s">
        <v>850</v>
      </c>
      <c r="AJ196" s="664"/>
      <c r="AK196" s="664"/>
      <c r="AL196" s="664"/>
      <c r="AM196" s="665"/>
      <c r="AN196" s="472" t="s">
        <v>851</v>
      </c>
      <c r="AO196" s="134">
        <f>COUNTIF($A$1:$GO$59,AN196)</f>
        <v>0</v>
      </c>
      <c r="AP196" s="471"/>
      <c r="AQ196" s="125"/>
      <c r="AR196" s="702" t="s">
        <v>852</v>
      </c>
      <c r="AS196" s="703"/>
      <c r="AT196" s="703"/>
      <c r="AU196" s="703"/>
      <c r="AV196" s="703"/>
      <c r="AW196" s="473" t="s">
        <v>853</v>
      </c>
      <c r="AX196" s="134">
        <f t="shared" si="51"/>
        <v>0</v>
      </c>
      <c r="AY196" s="465"/>
      <c r="BA196" s="128"/>
      <c r="BB196" s="455"/>
    </row>
    <row r="197" spans="1:58" ht="18.75" x14ac:dyDescent="0.25">
      <c r="A197" s="673" t="s">
        <v>854</v>
      </c>
      <c r="B197" s="673"/>
      <c r="C197" s="673"/>
      <c r="D197" s="673"/>
      <c r="E197" s="673"/>
      <c r="F197" s="60" t="s">
        <v>855</v>
      </c>
      <c r="G197" s="674">
        <f t="shared" si="52"/>
        <v>0</v>
      </c>
      <c r="H197" s="675"/>
      <c r="I197" s="676"/>
      <c r="N197" s="673" t="s">
        <v>854</v>
      </c>
      <c r="O197" s="673"/>
      <c r="P197" s="673"/>
      <c r="Q197" s="673"/>
      <c r="R197" s="673"/>
      <c r="S197" s="60" t="s">
        <v>855</v>
      </c>
      <c r="T197" s="677">
        <f t="shared" si="53"/>
        <v>0</v>
      </c>
      <c r="U197" s="677"/>
      <c r="V197" s="677"/>
      <c r="AA197" s="140" t="b">
        <f>IFERROR(#REF!&gt;0.5,FALSE)</f>
        <v>0</v>
      </c>
      <c r="AI197" s="647" t="s">
        <v>856</v>
      </c>
      <c r="AJ197" s="648"/>
      <c r="AK197" s="648"/>
      <c r="AL197" s="648"/>
      <c r="AM197" s="649"/>
      <c r="AN197" s="299"/>
      <c r="AO197" s="300">
        <f>SUM(AO195:AO196)</f>
        <v>0</v>
      </c>
      <c r="AP197" s="125"/>
      <c r="AQ197" s="125"/>
      <c r="AR197" s="702" t="s">
        <v>857</v>
      </c>
      <c r="AS197" s="703"/>
      <c r="AT197" s="703"/>
      <c r="AU197" s="703"/>
      <c r="AV197" s="703"/>
      <c r="AW197" s="474" t="s">
        <v>858</v>
      </c>
      <c r="AX197" s="134">
        <f t="shared" si="51"/>
        <v>0</v>
      </c>
      <c r="AY197" s="465"/>
      <c r="BA197" s="128"/>
      <c r="BB197" s="452"/>
      <c r="BC197" s="420"/>
      <c r="BD197" s="420"/>
      <c r="BE197" s="420"/>
      <c r="BF197" s="420"/>
    </row>
    <row r="198" spans="1:58" ht="18.75" x14ac:dyDescent="0.25">
      <c r="A198" s="673" t="s">
        <v>859</v>
      </c>
      <c r="B198" s="673"/>
      <c r="C198" s="673"/>
      <c r="D198" s="673"/>
      <c r="E198" s="673"/>
      <c r="F198" s="60" t="s">
        <v>860</v>
      </c>
      <c r="G198" s="674">
        <f t="shared" si="52"/>
        <v>0</v>
      </c>
      <c r="H198" s="675"/>
      <c r="I198" s="676"/>
      <c r="N198" s="673" t="s">
        <v>859</v>
      </c>
      <c r="O198" s="673"/>
      <c r="P198" s="673"/>
      <c r="Q198" s="673"/>
      <c r="R198" s="673"/>
      <c r="S198" s="60" t="s">
        <v>860</v>
      </c>
      <c r="T198" s="677">
        <f t="shared" si="53"/>
        <v>0</v>
      </c>
      <c r="U198" s="677"/>
      <c r="V198" s="677"/>
      <c r="AA198" s="140" t="b">
        <f>IFERROR(#REF!&gt;0.5,FALSE)</f>
        <v>0</v>
      </c>
      <c r="AI198" s="463"/>
      <c r="AJ198" s="125"/>
      <c r="AK198" s="125"/>
      <c r="AL198" s="125"/>
      <c r="AM198" s="125"/>
      <c r="AN198" s="125"/>
      <c r="AO198" s="125"/>
      <c r="AP198" s="125"/>
      <c r="AQ198" s="125"/>
      <c r="AR198" s="702" t="s">
        <v>861</v>
      </c>
      <c r="AS198" s="703"/>
      <c r="AT198" s="703"/>
      <c r="AU198" s="703"/>
      <c r="AV198" s="703"/>
      <c r="AW198" s="33" t="s">
        <v>862</v>
      </c>
      <c r="AX198" s="134">
        <f t="shared" si="51"/>
        <v>0</v>
      </c>
      <c r="AY198" s="465"/>
      <c r="BA198" s="128"/>
      <c r="BC198" s="422"/>
      <c r="BD198" s="422"/>
      <c r="BE198" s="422"/>
      <c r="BF198" s="422"/>
    </row>
    <row r="199" spans="1:58" ht="18.75" x14ac:dyDescent="0.25">
      <c r="A199" s="673" t="s">
        <v>863</v>
      </c>
      <c r="B199" s="673"/>
      <c r="C199" s="673"/>
      <c r="D199" s="673"/>
      <c r="E199" s="673"/>
      <c r="F199" s="60" t="s">
        <v>864</v>
      </c>
      <c r="G199" s="674">
        <f t="shared" si="52"/>
        <v>0</v>
      </c>
      <c r="H199" s="675"/>
      <c r="I199" s="676"/>
      <c r="N199" s="673" t="s">
        <v>863</v>
      </c>
      <c r="O199" s="673"/>
      <c r="P199" s="673"/>
      <c r="Q199" s="673"/>
      <c r="R199" s="673"/>
      <c r="S199" s="60" t="s">
        <v>864</v>
      </c>
      <c r="T199" s="677">
        <f t="shared" si="53"/>
        <v>0</v>
      </c>
      <c r="U199" s="677"/>
      <c r="V199" s="677"/>
      <c r="AA199" s="140"/>
      <c r="AI199" s="463"/>
      <c r="AJ199" s="125"/>
      <c r="AK199" s="125"/>
      <c r="AL199" s="125"/>
      <c r="AM199" s="125"/>
      <c r="AN199" s="125"/>
      <c r="AO199" s="125"/>
      <c r="AP199" s="125"/>
      <c r="AQ199" s="125"/>
      <c r="AR199" s="702" t="s">
        <v>865</v>
      </c>
      <c r="AS199" s="703"/>
      <c r="AT199" s="703"/>
      <c r="AU199" s="703"/>
      <c r="AV199" s="703"/>
      <c r="AW199" s="32" t="s">
        <v>866</v>
      </c>
      <c r="AX199" s="134">
        <f t="shared" si="51"/>
        <v>0</v>
      </c>
      <c r="AY199" s="465"/>
      <c r="BA199" s="128"/>
      <c r="BB199" s="452"/>
      <c r="BC199" s="420"/>
      <c r="BD199" s="420"/>
      <c r="BE199" s="420"/>
      <c r="BF199" s="420"/>
    </row>
    <row r="200" spans="1:58" ht="18.75" x14ac:dyDescent="0.25">
      <c r="A200" s="673" t="s">
        <v>867</v>
      </c>
      <c r="B200" s="673"/>
      <c r="C200" s="673"/>
      <c r="D200" s="673"/>
      <c r="E200" s="673"/>
      <c r="F200" s="60" t="s">
        <v>868</v>
      </c>
      <c r="G200" s="674">
        <f t="shared" si="52"/>
        <v>0</v>
      </c>
      <c r="H200" s="675"/>
      <c r="I200" s="676"/>
      <c r="N200" s="673" t="s">
        <v>867</v>
      </c>
      <c r="O200" s="673"/>
      <c r="P200" s="673"/>
      <c r="Q200" s="673"/>
      <c r="R200" s="673"/>
      <c r="S200" s="60" t="s">
        <v>868</v>
      </c>
      <c r="T200" s="677">
        <f t="shared" si="53"/>
        <v>0</v>
      </c>
      <c r="U200" s="677"/>
      <c r="V200" s="677"/>
      <c r="AA200" s="140"/>
      <c r="AI200" s="641" t="s">
        <v>869</v>
      </c>
      <c r="AJ200" s="642"/>
      <c r="AK200" s="642"/>
      <c r="AL200" s="642"/>
      <c r="AM200" s="642"/>
      <c r="AN200" s="643"/>
      <c r="AO200" s="126" t="s">
        <v>209</v>
      </c>
      <c r="AP200" s="127"/>
      <c r="AR200" s="702" t="s">
        <v>870</v>
      </c>
      <c r="AS200" s="703"/>
      <c r="AT200" s="703"/>
      <c r="AU200" s="703"/>
      <c r="AV200" s="703"/>
      <c r="AW200" s="475" t="s">
        <v>871</v>
      </c>
      <c r="AX200" s="134">
        <f t="shared" si="51"/>
        <v>0</v>
      </c>
      <c r="AY200" s="465"/>
      <c r="BA200" s="128"/>
      <c r="BB200" s="455"/>
      <c r="BC200" s="428"/>
      <c r="BD200" s="428"/>
      <c r="BE200" s="428"/>
      <c r="BF200" s="428"/>
    </row>
    <row r="201" spans="1:58" ht="18.75" x14ac:dyDescent="0.25">
      <c r="A201" s="673" t="s">
        <v>872</v>
      </c>
      <c r="B201" s="673"/>
      <c r="C201" s="673"/>
      <c r="D201" s="673"/>
      <c r="E201" s="673"/>
      <c r="F201" s="60" t="s">
        <v>873</v>
      </c>
      <c r="G201" s="674">
        <f t="shared" si="52"/>
        <v>0</v>
      </c>
      <c r="H201" s="675"/>
      <c r="I201" s="676"/>
      <c r="N201" s="673" t="s">
        <v>872</v>
      </c>
      <c r="O201" s="673"/>
      <c r="P201" s="673"/>
      <c r="Q201" s="673"/>
      <c r="R201" s="673"/>
      <c r="S201" s="60" t="s">
        <v>873</v>
      </c>
      <c r="T201" s="677">
        <f t="shared" si="53"/>
        <v>0</v>
      </c>
      <c r="U201" s="677"/>
      <c r="V201" s="677"/>
      <c r="AA201" s="140"/>
      <c r="AH201" s="128"/>
      <c r="AI201" s="644" t="s">
        <v>874</v>
      </c>
      <c r="AJ201" s="645"/>
      <c r="AK201" s="645"/>
      <c r="AL201" s="645"/>
      <c r="AM201" s="645"/>
      <c r="AN201" s="202" t="s">
        <v>875</v>
      </c>
      <c r="AO201" s="134">
        <f t="shared" ref="AO201:AO207" si="54">COUNTIF($A$1:$GO$59,AN201)</f>
        <v>0</v>
      </c>
      <c r="AP201" s="476"/>
      <c r="AR201" s="702" t="s">
        <v>876</v>
      </c>
      <c r="AS201" s="703"/>
      <c r="AT201" s="703"/>
      <c r="AU201" s="703"/>
      <c r="AV201" s="703"/>
      <c r="AW201" s="150" t="s">
        <v>877</v>
      </c>
      <c r="AX201" s="134">
        <f t="shared" si="51"/>
        <v>0</v>
      </c>
      <c r="AY201" s="465"/>
      <c r="BA201" s="128"/>
      <c r="BB201" s="452"/>
    </row>
    <row r="202" spans="1:58" ht="19.5" thickBot="1" x14ac:dyDescent="0.3">
      <c r="A202" s="706" t="s">
        <v>209</v>
      </c>
      <c r="B202" s="707"/>
      <c r="C202" s="707"/>
      <c r="D202" s="707"/>
      <c r="E202" s="707"/>
      <c r="F202" s="477"/>
      <c r="G202" s="670">
        <f>SUM(G196:I201)</f>
        <v>0</v>
      </c>
      <c r="H202" s="671"/>
      <c r="I202" s="672"/>
      <c r="N202" s="706" t="s">
        <v>209</v>
      </c>
      <c r="O202" s="707"/>
      <c r="P202" s="707"/>
      <c r="Q202" s="707"/>
      <c r="R202" s="707"/>
      <c r="S202" s="477"/>
      <c r="T202" s="670">
        <f>SUM(T196:V201)</f>
        <v>0</v>
      </c>
      <c r="U202" s="671"/>
      <c r="V202" s="672"/>
      <c r="AA202" s="140" t="b">
        <f>IFERROR(#REF!&gt;0.5,FALSE)</f>
        <v>0</v>
      </c>
      <c r="AH202" s="478"/>
      <c r="AI202" s="644" t="s">
        <v>878</v>
      </c>
      <c r="AJ202" s="645"/>
      <c r="AK202" s="645"/>
      <c r="AL202" s="645"/>
      <c r="AM202" s="646"/>
      <c r="AN202" s="470" t="s">
        <v>879</v>
      </c>
      <c r="AO202" s="134">
        <f t="shared" si="54"/>
        <v>0</v>
      </c>
      <c r="AP202" s="479"/>
      <c r="AR202" s="702" t="s">
        <v>880</v>
      </c>
      <c r="AS202" s="703"/>
      <c r="AT202" s="703"/>
      <c r="AU202" s="703"/>
      <c r="AV202" s="703"/>
      <c r="AW202" s="480" t="s">
        <v>881</v>
      </c>
      <c r="AX202" s="134">
        <f t="shared" si="51"/>
        <v>0</v>
      </c>
      <c r="AY202" s="465"/>
      <c r="AZ202" s="125"/>
      <c r="BA202" s="128"/>
      <c r="BB202" s="452"/>
    </row>
    <row r="203" spans="1:58" ht="18.75" thickBot="1" x14ac:dyDescent="0.3">
      <c r="A203" s="678" t="s">
        <v>882</v>
      </c>
      <c r="B203" s="679"/>
      <c r="C203" s="679"/>
      <c r="D203" s="679"/>
      <c r="E203" s="680"/>
      <c r="F203" s="481"/>
      <c r="G203" s="481"/>
      <c r="H203" s="481"/>
      <c r="I203" s="481"/>
      <c r="N203" s="678" t="s">
        <v>882</v>
      </c>
      <c r="O203" s="679"/>
      <c r="P203" s="679"/>
      <c r="Q203" s="679"/>
      <c r="R203" s="680"/>
      <c r="S203" s="481"/>
      <c r="T203" s="481"/>
      <c r="U203" s="481"/>
      <c r="V203" s="481"/>
      <c r="AA203" s="140"/>
      <c r="AH203" s="478"/>
      <c r="AI203" s="644" t="s">
        <v>883</v>
      </c>
      <c r="AJ203" s="645"/>
      <c r="AK203" s="645"/>
      <c r="AL203" s="645"/>
      <c r="AM203" s="646"/>
      <c r="AN203" s="482" t="s">
        <v>884</v>
      </c>
      <c r="AO203" s="134">
        <f t="shared" si="54"/>
        <v>0</v>
      </c>
      <c r="AP203" s="479"/>
      <c r="AR203" s="702" t="s">
        <v>885</v>
      </c>
      <c r="AS203" s="703"/>
      <c r="AT203" s="703"/>
      <c r="AU203" s="703"/>
      <c r="AV203" s="703"/>
      <c r="AW203" s="320" t="s">
        <v>886</v>
      </c>
      <c r="AX203" s="134">
        <f t="shared" si="51"/>
        <v>0</v>
      </c>
      <c r="AY203" s="465"/>
      <c r="BA203" s="128"/>
    </row>
    <row r="204" spans="1:58" ht="18.75" x14ac:dyDescent="0.25">
      <c r="A204" s="705" t="s">
        <v>848</v>
      </c>
      <c r="B204" s="705"/>
      <c r="C204" s="705"/>
      <c r="D204" s="705"/>
      <c r="E204" s="705"/>
      <c r="F204" s="60" t="s">
        <v>887</v>
      </c>
      <c r="G204" s="674">
        <f t="shared" ref="G204:G214" si="55">COUNTIF($B$3:$Q$29,F204)+COUNTIF($K$40:$Q$47,F204)+COUNTIF($R$4:$BB$53,F204)</f>
        <v>0</v>
      </c>
      <c r="H204" s="675"/>
      <c r="I204" s="676"/>
      <c r="N204" s="705" t="s">
        <v>848</v>
      </c>
      <c r="O204" s="705"/>
      <c r="P204" s="705"/>
      <c r="Q204" s="705"/>
      <c r="R204" s="705"/>
      <c r="S204" s="60" t="s">
        <v>887</v>
      </c>
      <c r="T204" s="677">
        <f t="shared" ref="T204:T214" si="56">COUNTIF($K$30:$Q$38,S204)+COUNTIF($B$30:$J$50,S204)</f>
        <v>0</v>
      </c>
      <c r="U204" s="677"/>
      <c r="V204" s="677"/>
      <c r="AA204" s="140"/>
      <c r="AI204" s="644" t="s">
        <v>888</v>
      </c>
      <c r="AJ204" s="645"/>
      <c r="AK204" s="645"/>
      <c r="AL204" s="645"/>
      <c r="AM204" s="646"/>
      <c r="AN204" s="483" t="s">
        <v>889</v>
      </c>
      <c r="AO204" s="134">
        <f t="shared" si="54"/>
        <v>0</v>
      </c>
      <c r="AP204" s="479"/>
      <c r="AR204" s="702" t="s">
        <v>890</v>
      </c>
      <c r="AS204" s="703"/>
      <c r="AT204" s="703"/>
      <c r="AU204" s="703"/>
      <c r="AV204" s="703"/>
      <c r="AW204" s="484" t="s">
        <v>891</v>
      </c>
      <c r="AX204" s="134">
        <f t="shared" si="51"/>
        <v>0</v>
      </c>
      <c r="AY204" s="465"/>
      <c r="BA204" s="128"/>
      <c r="BB204" s="452"/>
    </row>
    <row r="205" spans="1:58" ht="18.75" x14ac:dyDescent="0.25">
      <c r="A205" s="673" t="s">
        <v>854</v>
      </c>
      <c r="B205" s="673"/>
      <c r="C205" s="673"/>
      <c r="D205" s="673"/>
      <c r="E205" s="673"/>
      <c r="F205" s="60" t="s">
        <v>892</v>
      </c>
      <c r="G205" s="674">
        <f t="shared" si="55"/>
        <v>0</v>
      </c>
      <c r="H205" s="675"/>
      <c r="I205" s="676"/>
      <c r="N205" s="673" t="s">
        <v>854</v>
      </c>
      <c r="O205" s="673"/>
      <c r="P205" s="673"/>
      <c r="Q205" s="673"/>
      <c r="R205" s="673"/>
      <c r="S205" s="60" t="s">
        <v>892</v>
      </c>
      <c r="T205" s="677">
        <f t="shared" si="56"/>
        <v>0</v>
      </c>
      <c r="U205" s="677"/>
      <c r="V205" s="677"/>
      <c r="AA205" s="140"/>
      <c r="AI205" s="644" t="s">
        <v>893</v>
      </c>
      <c r="AJ205" s="645"/>
      <c r="AK205" s="645"/>
      <c r="AL205" s="645"/>
      <c r="AM205" s="646"/>
      <c r="AN205" s="485" t="s">
        <v>894</v>
      </c>
      <c r="AO205" s="134">
        <f t="shared" si="54"/>
        <v>0</v>
      </c>
      <c r="AP205" s="479"/>
      <c r="AR205" s="702" t="s">
        <v>895</v>
      </c>
      <c r="AS205" s="703"/>
      <c r="AT205" s="703"/>
      <c r="AU205" s="703"/>
      <c r="AV205" s="703"/>
      <c r="AW205" s="16" t="s">
        <v>155</v>
      </c>
      <c r="AX205" s="134">
        <f t="shared" si="51"/>
        <v>6</v>
      </c>
      <c r="AY205" s="465"/>
      <c r="BA205" s="128"/>
      <c r="BB205" s="486"/>
    </row>
    <row r="206" spans="1:58" ht="18.75" x14ac:dyDescent="0.25">
      <c r="A206" s="673" t="s">
        <v>859</v>
      </c>
      <c r="B206" s="673"/>
      <c r="C206" s="673"/>
      <c r="D206" s="673"/>
      <c r="E206" s="673"/>
      <c r="F206" s="60" t="s">
        <v>896</v>
      </c>
      <c r="G206" s="674">
        <f t="shared" si="55"/>
        <v>0</v>
      </c>
      <c r="H206" s="675"/>
      <c r="I206" s="676"/>
      <c r="N206" s="673" t="s">
        <v>859</v>
      </c>
      <c r="O206" s="673"/>
      <c r="P206" s="673"/>
      <c r="Q206" s="673"/>
      <c r="R206" s="673"/>
      <c r="S206" s="60" t="s">
        <v>896</v>
      </c>
      <c r="T206" s="677">
        <f t="shared" si="56"/>
        <v>0</v>
      </c>
      <c r="U206" s="677"/>
      <c r="V206" s="677"/>
      <c r="AA206" s="140"/>
      <c r="AI206" s="644" t="s">
        <v>897</v>
      </c>
      <c r="AJ206" s="645"/>
      <c r="AK206" s="645"/>
      <c r="AL206" s="645"/>
      <c r="AM206" s="646"/>
      <c r="AN206" s="487" t="s">
        <v>898</v>
      </c>
      <c r="AO206" s="134">
        <f t="shared" si="54"/>
        <v>0</v>
      </c>
      <c r="AP206" s="479"/>
      <c r="AR206" s="702" t="s">
        <v>899</v>
      </c>
      <c r="AS206" s="703"/>
      <c r="AT206" s="703"/>
      <c r="AU206" s="703"/>
      <c r="AV206" s="703"/>
      <c r="AW206" s="16" t="s">
        <v>900</v>
      </c>
      <c r="AX206" s="134">
        <f t="shared" si="51"/>
        <v>0</v>
      </c>
      <c r="AY206" s="465"/>
      <c r="BA206" s="128"/>
      <c r="BB206" s="452"/>
    </row>
    <row r="207" spans="1:58" ht="18.75" x14ac:dyDescent="0.25">
      <c r="A207" s="673" t="s">
        <v>901</v>
      </c>
      <c r="B207" s="673"/>
      <c r="C207" s="673"/>
      <c r="D207" s="673"/>
      <c r="E207" s="673"/>
      <c r="F207" s="60" t="s">
        <v>902</v>
      </c>
      <c r="G207" s="674">
        <f t="shared" si="55"/>
        <v>0</v>
      </c>
      <c r="H207" s="675"/>
      <c r="I207" s="676"/>
      <c r="N207" s="673" t="s">
        <v>901</v>
      </c>
      <c r="O207" s="673"/>
      <c r="P207" s="673"/>
      <c r="Q207" s="673"/>
      <c r="R207" s="673"/>
      <c r="S207" s="60" t="s">
        <v>902</v>
      </c>
      <c r="T207" s="677">
        <f t="shared" si="56"/>
        <v>0</v>
      </c>
      <c r="U207" s="677"/>
      <c r="V207" s="677"/>
      <c r="AA207" s="140"/>
      <c r="AI207" s="644" t="s">
        <v>903</v>
      </c>
      <c r="AJ207" s="645"/>
      <c r="AK207" s="645"/>
      <c r="AL207" s="645"/>
      <c r="AM207" s="646"/>
      <c r="AN207" s="41" t="s">
        <v>904</v>
      </c>
      <c r="AO207" s="134">
        <f t="shared" si="54"/>
        <v>0</v>
      </c>
      <c r="AP207" s="479"/>
      <c r="AR207" s="702" t="s">
        <v>905</v>
      </c>
      <c r="AS207" s="703"/>
      <c r="AT207" s="703"/>
      <c r="AU207" s="703"/>
      <c r="AV207" s="703"/>
      <c r="AW207" s="16" t="s">
        <v>906</v>
      </c>
      <c r="AX207" s="134">
        <f t="shared" si="51"/>
        <v>0</v>
      </c>
      <c r="AY207" s="465"/>
      <c r="BA207" s="128"/>
      <c r="BB207" s="452"/>
    </row>
    <row r="208" spans="1:58" ht="18" x14ac:dyDescent="0.25">
      <c r="A208" s="673" t="s">
        <v>863</v>
      </c>
      <c r="B208" s="673"/>
      <c r="C208" s="673"/>
      <c r="D208" s="673"/>
      <c r="E208" s="673"/>
      <c r="F208" s="60" t="s">
        <v>907</v>
      </c>
      <c r="G208" s="674">
        <f t="shared" si="55"/>
        <v>0</v>
      </c>
      <c r="H208" s="675"/>
      <c r="I208" s="676"/>
      <c r="N208" s="673" t="s">
        <v>863</v>
      </c>
      <c r="O208" s="673"/>
      <c r="P208" s="673"/>
      <c r="Q208" s="673"/>
      <c r="R208" s="673"/>
      <c r="S208" s="60" t="s">
        <v>907</v>
      </c>
      <c r="T208" s="677">
        <f t="shared" si="56"/>
        <v>0</v>
      </c>
      <c r="U208" s="677"/>
      <c r="V208" s="677"/>
      <c r="AA208" s="140"/>
      <c r="AI208" s="647" t="s">
        <v>908</v>
      </c>
      <c r="AJ208" s="648"/>
      <c r="AK208" s="648"/>
      <c r="AL208" s="648"/>
      <c r="AM208" s="649"/>
      <c r="AN208" s="299"/>
      <c r="AO208" s="300">
        <f>SUM(AO201:AO207)</f>
        <v>0</v>
      </c>
      <c r="AP208" s="125"/>
      <c r="AR208" s="702" t="s">
        <v>909</v>
      </c>
      <c r="AS208" s="703"/>
      <c r="AT208" s="703"/>
      <c r="AU208" s="703"/>
      <c r="AV208" s="703"/>
      <c r="AW208" s="488" t="s">
        <v>910</v>
      </c>
      <c r="AX208" s="134">
        <f t="shared" si="51"/>
        <v>0</v>
      </c>
      <c r="AY208" s="465"/>
      <c r="BA208" s="128"/>
    </row>
    <row r="209" spans="1:54" ht="18.75" x14ac:dyDescent="0.25">
      <c r="A209" s="673" t="s">
        <v>911</v>
      </c>
      <c r="B209" s="673"/>
      <c r="C209" s="673"/>
      <c r="D209" s="673"/>
      <c r="E209" s="673"/>
      <c r="F209" s="60" t="s">
        <v>912</v>
      </c>
      <c r="G209" s="674">
        <f t="shared" si="55"/>
        <v>0</v>
      </c>
      <c r="H209" s="675"/>
      <c r="I209" s="676"/>
      <c r="N209" s="673" t="s">
        <v>911</v>
      </c>
      <c r="O209" s="673"/>
      <c r="P209" s="673"/>
      <c r="Q209" s="673"/>
      <c r="R209" s="673"/>
      <c r="S209" s="60" t="s">
        <v>912</v>
      </c>
      <c r="T209" s="677">
        <f t="shared" si="56"/>
        <v>0</v>
      </c>
      <c r="U209" s="677"/>
      <c r="V209" s="677"/>
      <c r="AA209" s="140"/>
      <c r="AI209" s="463"/>
      <c r="AJ209" s="125"/>
      <c r="AK209" s="125"/>
      <c r="AL209" s="125"/>
      <c r="AM209" s="125"/>
      <c r="AN209" s="125"/>
      <c r="AO209" s="125"/>
      <c r="AP209" s="125"/>
      <c r="AR209" s="702" t="s">
        <v>913</v>
      </c>
      <c r="AS209" s="703"/>
      <c r="AT209" s="703"/>
      <c r="AU209" s="703"/>
      <c r="AV209" s="703"/>
      <c r="AW209" s="489" t="s">
        <v>914</v>
      </c>
      <c r="AX209" s="134">
        <f t="shared" si="51"/>
        <v>0</v>
      </c>
      <c r="AY209" s="465"/>
      <c r="BA209" s="128"/>
      <c r="BB209" s="452"/>
    </row>
    <row r="210" spans="1:54" ht="18" x14ac:dyDescent="0.25">
      <c r="A210" s="673" t="s">
        <v>915</v>
      </c>
      <c r="B210" s="673"/>
      <c r="C210" s="673"/>
      <c r="D210" s="673"/>
      <c r="E210" s="673"/>
      <c r="F210" s="60" t="s">
        <v>916</v>
      </c>
      <c r="G210" s="674">
        <f t="shared" si="55"/>
        <v>0</v>
      </c>
      <c r="H210" s="675"/>
      <c r="I210" s="676"/>
      <c r="N210" s="673" t="s">
        <v>915</v>
      </c>
      <c r="O210" s="673"/>
      <c r="P210" s="673"/>
      <c r="Q210" s="673"/>
      <c r="R210" s="673"/>
      <c r="S210" s="60" t="s">
        <v>916</v>
      </c>
      <c r="T210" s="677">
        <f t="shared" si="56"/>
        <v>0</v>
      </c>
      <c r="U210" s="677"/>
      <c r="V210" s="677"/>
      <c r="AA210" s="140"/>
      <c r="AI210" s="490"/>
      <c r="AQ210" s="125"/>
      <c r="AR210" s="663" t="s">
        <v>917</v>
      </c>
      <c r="AS210" s="664"/>
      <c r="AT210" s="664"/>
      <c r="AU210" s="664"/>
      <c r="AV210" s="664"/>
      <c r="AW210" s="491" t="s">
        <v>917</v>
      </c>
      <c r="AX210" s="134">
        <f t="shared" si="51"/>
        <v>0</v>
      </c>
      <c r="AY210" s="465"/>
      <c r="BA210" s="128"/>
      <c r="BB210" s="492"/>
    </row>
    <row r="211" spans="1:54" ht="18.75" x14ac:dyDescent="0.25">
      <c r="A211" s="673" t="s">
        <v>918</v>
      </c>
      <c r="B211" s="673"/>
      <c r="C211" s="673"/>
      <c r="D211" s="673"/>
      <c r="E211" s="673"/>
      <c r="F211" s="60" t="s">
        <v>919</v>
      </c>
      <c r="G211" s="674">
        <f t="shared" si="55"/>
        <v>0</v>
      </c>
      <c r="H211" s="675"/>
      <c r="I211" s="676"/>
      <c r="N211" s="673" t="s">
        <v>918</v>
      </c>
      <c r="O211" s="673"/>
      <c r="P211" s="673"/>
      <c r="Q211" s="673"/>
      <c r="R211" s="673"/>
      <c r="S211" s="60" t="s">
        <v>919</v>
      </c>
      <c r="T211" s="677">
        <f t="shared" si="56"/>
        <v>0</v>
      </c>
      <c r="U211" s="677"/>
      <c r="V211" s="677"/>
      <c r="AA211" s="140"/>
      <c r="AI211" s="666" t="s">
        <v>301</v>
      </c>
      <c r="AJ211" s="659"/>
      <c r="AK211" s="659"/>
      <c r="AL211" s="659"/>
      <c r="AM211" s="659"/>
      <c r="AN211" s="660"/>
      <c r="AO211" s="126" t="s">
        <v>209</v>
      </c>
      <c r="AP211" s="127"/>
      <c r="AQ211" s="493"/>
      <c r="AR211" s="702" t="s">
        <v>920</v>
      </c>
      <c r="AS211" s="703"/>
      <c r="AT211" s="703"/>
      <c r="AU211" s="703"/>
      <c r="AV211" s="703"/>
      <c r="AW211" s="34" t="s">
        <v>921</v>
      </c>
      <c r="AX211" s="134">
        <f t="shared" si="51"/>
        <v>0</v>
      </c>
      <c r="AY211" s="465"/>
      <c r="BA211" s="128"/>
      <c r="BB211" s="452"/>
    </row>
    <row r="212" spans="1:54" ht="18" x14ac:dyDescent="0.25">
      <c r="A212" s="673" t="s">
        <v>922</v>
      </c>
      <c r="B212" s="673"/>
      <c r="C212" s="673"/>
      <c r="D212" s="673"/>
      <c r="E212" s="673"/>
      <c r="F212" s="60" t="s">
        <v>923</v>
      </c>
      <c r="G212" s="674">
        <f t="shared" si="55"/>
        <v>0</v>
      </c>
      <c r="H212" s="675"/>
      <c r="I212" s="676"/>
      <c r="N212" s="673" t="s">
        <v>922</v>
      </c>
      <c r="O212" s="673"/>
      <c r="P212" s="673"/>
      <c r="Q212" s="673"/>
      <c r="R212" s="673"/>
      <c r="S212" s="60" t="s">
        <v>923</v>
      </c>
      <c r="T212" s="677">
        <f t="shared" si="56"/>
        <v>0</v>
      </c>
      <c r="U212" s="677"/>
      <c r="V212" s="677"/>
      <c r="AA212" s="140"/>
      <c r="AI212" s="681" t="s">
        <v>924</v>
      </c>
      <c r="AJ212" s="682"/>
      <c r="AK212" s="682"/>
      <c r="AL212" s="682"/>
      <c r="AM212" s="683"/>
      <c r="AN212" s="494" t="s">
        <v>925</v>
      </c>
      <c r="AO212" s="134">
        <f t="shared" ref="AO212:AO227" si="57">COUNTIF($A$1:$GO$59,AN212)</f>
        <v>0</v>
      </c>
      <c r="AP212" s="495"/>
      <c r="AR212" s="702" t="s">
        <v>926</v>
      </c>
      <c r="AS212" s="703"/>
      <c r="AT212" s="703"/>
      <c r="AU212" s="703"/>
      <c r="AV212" s="703"/>
      <c r="AW212" s="336" t="s">
        <v>927</v>
      </c>
      <c r="AX212" s="134">
        <f t="shared" si="51"/>
        <v>0</v>
      </c>
      <c r="AY212" s="465"/>
      <c r="BA212" s="128"/>
      <c r="BB212" s="452"/>
    </row>
    <row r="213" spans="1:54" ht="18" x14ac:dyDescent="0.25">
      <c r="A213" s="673" t="s">
        <v>928</v>
      </c>
      <c r="B213" s="673"/>
      <c r="C213" s="673"/>
      <c r="D213" s="673"/>
      <c r="E213" s="673"/>
      <c r="F213" s="60" t="s">
        <v>929</v>
      </c>
      <c r="G213" s="674">
        <f t="shared" si="55"/>
        <v>0</v>
      </c>
      <c r="H213" s="675"/>
      <c r="I213" s="676"/>
      <c r="N213" s="673" t="s">
        <v>928</v>
      </c>
      <c r="O213" s="673"/>
      <c r="P213" s="673"/>
      <c r="Q213" s="673"/>
      <c r="R213" s="673"/>
      <c r="S213" s="60" t="s">
        <v>929</v>
      </c>
      <c r="T213" s="677">
        <f t="shared" si="56"/>
        <v>0</v>
      </c>
      <c r="U213" s="677"/>
      <c r="V213" s="677"/>
      <c r="AA213" s="140"/>
      <c r="AI213" s="681" t="s">
        <v>930</v>
      </c>
      <c r="AJ213" s="682"/>
      <c r="AK213" s="682"/>
      <c r="AL213" s="682"/>
      <c r="AM213" s="683"/>
      <c r="AN213" s="494" t="s">
        <v>930</v>
      </c>
      <c r="AO213" s="134">
        <f t="shared" si="57"/>
        <v>0</v>
      </c>
      <c r="AP213" s="496"/>
      <c r="AR213" s="702" t="s">
        <v>931</v>
      </c>
      <c r="AS213" s="703"/>
      <c r="AT213" s="703"/>
      <c r="AU213" s="703"/>
      <c r="AV213" s="703"/>
      <c r="AW213" s="475" t="s">
        <v>932</v>
      </c>
      <c r="AX213" s="134">
        <f t="shared" si="51"/>
        <v>0</v>
      </c>
      <c r="AY213" s="465"/>
      <c r="BA213" s="128"/>
    </row>
    <row r="214" spans="1:54" ht="18" x14ac:dyDescent="0.25">
      <c r="A214" s="673" t="s">
        <v>933</v>
      </c>
      <c r="B214" s="673"/>
      <c r="C214" s="673"/>
      <c r="D214" s="673"/>
      <c r="E214" s="673"/>
      <c r="F214" s="60" t="s">
        <v>934</v>
      </c>
      <c r="G214" s="674">
        <f t="shared" si="55"/>
        <v>0</v>
      </c>
      <c r="H214" s="675"/>
      <c r="I214" s="676"/>
      <c r="N214" s="673" t="s">
        <v>933</v>
      </c>
      <c r="O214" s="673"/>
      <c r="P214" s="673"/>
      <c r="Q214" s="673"/>
      <c r="R214" s="673"/>
      <c r="S214" s="60" t="s">
        <v>934</v>
      </c>
      <c r="T214" s="677">
        <f t="shared" si="56"/>
        <v>0</v>
      </c>
      <c r="U214" s="677"/>
      <c r="V214" s="677"/>
      <c r="AA214" s="140"/>
      <c r="AI214" s="681" t="s">
        <v>935</v>
      </c>
      <c r="AJ214" s="682"/>
      <c r="AK214" s="682"/>
      <c r="AL214" s="682"/>
      <c r="AM214" s="683"/>
      <c r="AN214" s="494" t="s">
        <v>936</v>
      </c>
      <c r="AO214" s="134">
        <f t="shared" si="57"/>
        <v>0</v>
      </c>
      <c r="AP214" s="496"/>
      <c r="AQ214" s="125"/>
      <c r="AR214" s="702" t="s">
        <v>937</v>
      </c>
      <c r="AS214" s="703"/>
      <c r="AT214" s="703"/>
      <c r="AU214" s="703"/>
      <c r="AV214" s="703"/>
      <c r="AW214" s="497" t="s">
        <v>938</v>
      </c>
      <c r="AX214" s="134">
        <f t="shared" si="51"/>
        <v>0</v>
      </c>
      <c r="AY214" s="465"/>
      <c r="BA214" s="128"/>
      <c r="BB214" s="452"/>
    </row>
    <row r="215" spans="1:54" ht="19.5" thickBot="1" x14ac:dyDescent="0.3">
      <c r="A215" s="704" t="s">
        <v>209</v>
      </c>
      <c r="B215" s="704"/>
      <c r="C215" s="704"/>
      <c r="D215" s="704"/>
      <c r="E215" s="704"/>
      <c r="F215" s="477"/>
      <c r="G215" s="670">
        <f>SUM(G204:I214)</f>
        <v>0</v>
      </c>
      <c r="H215" s="671"/>
      <c r="I215" s="672"/>
      <c r="N215" s="704" t="s">
        <v>209</v>
      </c>
      <c r="O215" s="704"/>
      <c r="P215" s="704"/>
      <c r="Q215" s="704"/>
      <c r="R215" s="704"/>
      <c r="S215" s="477"/>
      <c r="T215" s="670">
        <f>SUM(T204:V214)</f>
        <v>0</v>
      </c>
      <c r="U215" s="671"/>
      <c r="V215" s="672"/>
      <c r="AA215" s="140"/>
      <c r="AI215" s="681" t="s">
        <v>939</v>
      </c>
      <c r="AJ215" s="682"/>
      <c r="AK215" s="682"/>
      <c r="AL215" s="682"/>
      <c r="AM215" s="683"/>
      <c r="AN215" s="494" t="s">
        <v>940</v>
      </c>
      <c r="AO215" s="134">
        <f t="shared" si="57"/>
        <v>0</v>
      </c>
      <c r="AP215" s="496"/>
      <c r="AQ215" s="125"/>
      <c r="AR215" s="702" t="s">
        <v>941</v>
      </c>
      <c r="AS215" s="703"/>
      <c r="AT215" s="703"/>
      <c r="AU215" s="703"/>
      <c r="AV215" s="703"/>
      <c r="AW215" s="498" t="s">
        <v>942</v>
      </c>
      <c r="AX215" s="134">
        <f t="shared" si="51"/>
        <v>0</v>
      </c>
      <c r="AY215" s="465"/>
      <c r="BA215" s="128"/>
      <c r="BB215" s="499"/>
    </row>
    <row r="216" spans="1:54" ht="18.75" thickBot="1" x14ac:dyDescent="0.3">
      <c r="A216" s="678" t="s">
        <v>118</v>
      </c>
      <c r="B216" s="679"/>
      <c r="C216" s="679"/>
      <c r="D216" s="679"/>
      <c r="E216" s="680"/>
      <c r="F216" s="481"/>
      <c r="G216" s="481"/>
      <c r="H216" s="481"/>
      <c r="I216" s="481"/>
      <c r="N216" s="678" t="s">
        <v>118</v>
      </c>
      <c r="O216" s="679"/>
      <c r="P216" s="679"/>
      <c r="Q216" s="679"/>
      <c r="R216" s="680"/>
      <c r="S216" s="481"/>
      <c r="T216" s="481"/>
      <c r="U216" s="481"/>
      <c r="V216" s="481"/>
      <c r="AA216" s="140"/>
      <c r="AI216" s="681" t="s">
        <v>943</v>
      </c>
      <c r="AJ216" s="682"/>
      <c r="AK216" s="682"/>
      <c r="AL216" s="682"/>
      <c r="AM216" s="683"/>
      <c r="AN216" s="494" t="s">
        <v>944</v>
      </c>
      <c r="AO216" s="134">
        <f t="shared" si="57"/>
        <v>0</v>
      </c>
      <c r="AP216" s="496"/>
      <c r="AQ216" s="125"/>
      <c r="AR216" s="702" t="s">
        <v>945</v>
      </c>
      <c r="AS216" s="703"/>
      <c r="AT216" s="703"/>
      <c r="AU216" s="703"/>
      <c r="AV216" s="703"/>
      <c r="AW216" s="500" t="s">
        <v>946</v>
      </c>
      <c r="AX216" s="134">
        <f t="shared" si="51"/>
        <v>0</v>
      </c>
      <c r="AY216" s="465"/>
      <c r="BA216" s="128"/>
      <c r="BB216" s="452"/>
    </row>
    <row r="217" spans="1:54" ht="18.75" x14ac:dyDescent="0.25">
      <c r="A217" s="673" t="s">
        <v>848</v>
      </c>
      <c r="B217" s="673"/>
      <c r="C217" s="673"/>
      <c r="D217" s="673"/>
      <c r="E217" s="673"/>
      <c r="F217" s="60" t="s">
        <v>947</v>
      </c>
      <c r="G217" s="674">
        <f t="shared" ref="G217:G222" si="58">COUNTIF($B$3:$Q$29,F217)+COUNTIF($K$40:$Q$47,F217)+COUNTIF($R$4:$BB$53,F217)</f>
        <v>0</v>
      </c>
      <c r="H217" s="675"/>
      <c r="I217" s="676"/>
      <c r="N217" s="673" t="s">
        <v>848</v>
      </c>
      <c r="O217" s="673"/>
      <c r="P217" s="673"/>
      <c r="Q217" s="673"/>
      <c r="R217" s="673"/>
      <c r="S217" s="60" t="s">
        <v>947</v>
      </c>
      <c r="T217" s="677">
        <f t="shared" ref="T217:T222" si="59">COUNTIF($K$30:$Q$38,S217)+COUNTIF($B$30:$J$50,S217)</f>
        <v>0</v>
      </c>
      <c r="U217" s="677"/>
      <c r="V217" s="677"/>
      <c r="AA217" s="140"/>
      <c r="AI217" s="681" t="s">
        <v>948</v>
      </c>
      <c r="AJ217" s="682"/>
      <c r="AK217" s="682"/>
      <c r="AL217" s="682"/>
      <c r="AM217" s="683"/>
      <c r="AN217" s="494" t="s">
        <v>949</v>
      </c>
      <c r="AO217" s="134">
        <f t="shared" si="57"/>
        <v>0</v>
      </c>
      <c r="AP217" s="496"/>
      <c r="AQ217" s="125"/>
      <c r="AR217" s="702" t="s">
        <v>950</v>
      </c>
      <c r="AS217" s="703"/>
      <c r="AT217" s="703"/>
      <c r="AU217" s="703"/>
      <c r="AV217" s="703"/>
      <c r="AW217" s="501" t="s">
        <v>951</v>
      </c>
      <c r="AX217" s="134">
        <f t="shared" si="51"/>
        <v>0</v>
      </c>
      <c r="AY217" s="465"/>
      <c r="BA217" s="128"/>
      <c r="BB217" s="452"/>
    </row>
    <row r="218" spans="1:54" ht="18.75" x14ac:dyDescent="0.25">
      <c r="A218" s="673" t="s">
        <v>854</v>
      </c>
      <c r="B218" s="673"/>
      <c r="C218" s="673"/>
      <c r="D218" s="673"/>
      <c r="E218" s="673"/>
      <c r="F218" s="60" t="s">
        <v>952</v>
      </c>
      <c r="G218" s="674">
        <f t="shared" si="58"/>
        <v>0</v>
      </c>
      <c r="H218" s="675"/>
      <c r="I218" s="676"/>
      <c r="N218" s="673" t="s">
        <v>854</v>
      </c>
      <c r="O218" s="673"/>
      <c r="P218" s="673"/>
      <c r="Q218" s="673"/>
      <c r="R218" s="673"/>
      <c r="S218" s="60" t="s">
        <v>952</v>
      </c>
      <c r="T218" s="677">
        <f t="shared" si="59"/>
        <v>0</v>
      </c>
      <c r="U218" s="677"/>
      <c r="V218" s="677"/>
      <c r="AA218" s="84"/>
      <c r="AI218" s="681" t="s">
        <v>953</v>
      </c>
      <c r="AJ218" s="682"/>
      <c r="AK218" s="682"/>
      <c r="AL218" s="682"/>
      <c r="AM218" s="683"/>
      <c r="AN218" s="494" t="s">
        <v>954</v>
      </c>
      <c r="AO218" s="134">
        <f t="shared" si="57"/>
        <v>0</v>
      </c>
      <c r="AP218" s="496"/>
      <c r="AQ218" s="125"/>
      <c r="AR218" s="702" t="s">
        <v>955</v>
      </c>
      <c r="AS218" s="703"/>
      <c r="AT218" s="703"/>
      <c r="AU218" s="703"/>
      <c r="AV218" s="703"/>
      <c r="AW218" s="498" t="s">
        <v>956</v>
      </c>
      <c r="AX218" s="134">
        <f t="shared" si="51"/>
        <v>0</v>
      </c>
      <c r="AY218" s="465"/>
      <c r="BA218" s="128"/>
    </row>
    <row r="219" spans="1:54" ht="18.75" x14ac:dyDescent="0.25">
      <c r="A219" s="673" t="s">
        <v>859</v>
      </c>
      <c r="B219" s="673"/>
      <c r="C219" s="673"/>
      <c r="D219" s="673"/>
      <c r="E219" s="673"/>
      <c r="F219" s="60" t="s">
        <v>957</v>
      </c>
      <c r="G219" s="674">
        <f t="shared" si="58"/>
        <v>0</v>
      </c>
      <c r="H219" s="675"/>
      <c r="I219" s="676"/>
      <c r="N219" s="673" t="s">
        <v>859</v>
      </c>
      <c r="O219" s="673"/>
      <c r="P219" s="673"/>
      <c r="Q219" s="673"/>
      <c r="R219" s="673"/>
      <c r="S219" s="60" t="s">
        <v>957</v>
      </c>
      <c r="T219" s="677">
        <f t="shared" si="59"/>
        <v>0</v>
      </c>
      <c r="U219" s="677"/>
      <c r="V219" s="677"/>
      <c r="AI219" s="681" t="s">
        <v>958</v>
      </c>
      <c r="AJ219" s="682"/>
      <c r="AK219" s="682"/>
      <c r="AL219" s="682"/>
      <c r="AM219" s="683"/>
      <c r="AN219" s="494" t="s">
        <v>959</v>
      </c>
      <c r="AO219" s="134">
        <f t="shared" si="57"/>
        <v>0</v>
      </c>
      <c r="AP219" s="496"/>
      <c r="AQ219" s="125"/>
      <c r="AR219" s="702" t="s">
        <v>960</v>
      </c>
      <c r="AS219" s="703"/>
      <c r="AT219" s="703"/>
      <c r="AU219" s="703"/>
      <c r="AV219" s="703"/>
      <c r="AW219" s="502" t="s">
        <v>961</v>
      </c>
      <c r="AX219" s="134">
        <f t="shared" si="51"/>
        <v>0</v>
      </c>
      <c r="AY219" s="465"/>
      <c r="BA219" s="128"/>
    </row>
    <row r="220" spans="1:54" ht="18" x14ac:dyDescent="0.25">
      <c r="A220" s="673" t="s">
        <v>863</v>
      </c>
      <c r="B220" s="673"/>
      <c r="C220" s="673"/>
      <c r="D220" s="673"/>
      <c r="E220" s="673"/>
      <c r="F220" s="60" t="s">
        <v>962</v>
      </c>
      <c r="G220" s="674">
        <f t="shared" si="58"/>
        <v>0</v>
      </c>
      <c r="H220" s="675"/>
      <c r="I220" s="676"/>
      <c r="N220" s="673" t="s">
        <v>863</v>
      </c>
      <c r="O220" s="673"/>
      <c r="P220" s="673"/>
      <c r="Q220" s="673"/>
      <c r="R220" s="673"/>
      <c r="S220" s="60" t="s">
        <v>962</v>
      </c>
      <c r="T220" s="677">
        <f t="shared" si="59"/>
        <v>0</v>
      </c>
      <c r="U220" s="677"/>
      <c r="V220" s="677"/>
      <c r="AI220" s="681" t="s">
        <v>963</v>
      </c>
      <c r="AJ220" s="682"/>
      <c r="AK220" s="682"/>
      <c r="AL220" s="682"/>
      <c r="AM220" s="683"/>
      <c r="AN220" s="494" t="s">
        <v>964</v>
      </c>
      <c r="AO220" s="134">
        <f t="shared" si="57"/>
        <v>0</v>
      </c>
      <c r="AP220" s="496"/>
      <c r="AQ220" s="125"/>
      <c r="AR220" s="699" t="s">
        <v>965</v>
      </c>
      <c r="AS220" s="700"/>
      <c r="AT220" s="700"/>
      <c r="AU220" s="700"/>
      <c r="AV220" s="701"/>
      <c r="AW220" s="299"/>
      <c r="AX220" s="300">
        <f>SUM(AX182:AX219)</f>
        <v>6</v>
      </c>
      <c r="BA220" s="128"/>
    </row>
    <row r="221" spans="1:54" ht="18" x14ac:dyDescent="0.25">
      <c r="A221" s="673" t="s">
        <v>867</v>
      </c>
      <c r="B221" s="673"/>
      <c r="C221" s="673"/>
      <c r="D221" s="673"/>
      <c r="E221" s="673"/>
      <c r="F221" s="60" t="s">
        <v>966</v>
      </c>
      <c r="G221" s="674">
        <f t="shared" si="58"/>
        <v>0</v>
      </c>
      <c r="H221" s="675"/>
      <c r="I221" s="676"/>
      <c r="N221" s="673" t="s">
        <v>867</v>
      </c>
      <c r="O221" s="673"/>
      <c r="P221" s="673"/>
      <c r="Q221" s="673"/>
      <c r="R221" s="673"/>
      <c r="S221" s="60" t="s">
        <v>966</v>
      </c>
      <c r="T221" s="677">
        <f t="shared" si="59"/>
        <v>0</v>
      </c>
      <c r="U221" s="677"/>
      <c r="V221" s="677"/>
      <c r="AI221" s="681" t="s">
        <v>967</v>
      </c>
      <c r="AJ221" s="682"/>
      <c r="AK221" s="682"/>
      <c r="AL221" s="682"/>
      <c r="AM221" s="683"/>
      <c r="AN221" s="494" t="s">
        <v>968</v>
      </c>
      <c r="AO221" s="134">
        <f t="shared" si="57"/>
        <v>0</v>
      </c>
      <c r="AP221" s="496"/>
      <c r="AQ221" s="125"/>
      <c r="BA221" s="128"/>
    </row>
    <row r="222" spans="1:54" ht="18.75" thickBot="1" x14ac:dyDescent="0.3">
      <c r="A222" s="698" t="s">
        <v>872</v>
      </c>
      <c r="B222" s="698"/>
      <c r="C222" s="698"/>
      <c r="D222" s="698"/>
      <c r="E222" s="698"/>
      <c r="F222" s="60" t="s">
        <v>969</v>
      </c>
      <c r="G222" s="674">
        <f t="shared" si="58"/>
        <v>0</v>
      </c>
      <c r="H222" s="675"/>
      <c r="I222" s="676"/>
      <c r="N222" s="698" t="s">
        <v>872</v>
      </c>
      <c r="O222" s="698"/>
      <c r="P222" s="698"/>
      <c r="Q222" s="698"/>
      <c r="R222" s="698"/>
      <c r="S222" s="60" t="s">
        <v>969</v>
      </c>
      <c r="T222" s="677">
        <f t="shared" si="59"/>
        <v>0</v>
      </c>
      <c r="U222" s="677"/>
      <c r="V222" s="677"/>
      <c r="AI222" s="681" t="s">
        <v>970</v>
      </c>
      <c r="AJ222" s="682"/>
      <c r="AK222" s="682"/>
      <c r="AL222" s="682"/>
      <c r="AM222" s="683"/>
      <c r="AN222" s="494" t="s">
        <v>971</v>
      </c>
      <c r="AO222" s="134">
        <f t="shared" si="57"/>
        <v>0</v>
      </c>
      <c r="AP222" s="496"/>
      <c r="AQ222" s="125"/>
      <c r="AR222" s="658" t="s">
        <v>312</v>
      </c>
      <c r="AS222" s="659"/>
      <c r="AT222" s="659"/>
      <c r="AU222" s="659"/>
      <c r="AV222" s="659"/>
      <c r="AW222" s="660"/>
      <c r="AX222" s="126" t="s">
        <v>209</v>
      </c>
      <c r="AY222" s="127"/>
      <c r="BA222" s="128"/>
    </row>
    <row r="223" spans="1:54" ht="18.75" thickBot="1" x14ac:dyDescent="0.3">
      <c r="A223" s="693" t="s">
        <v>209</v>
      </c>
      <c r="B223" s="694"/>
      <c r="C223" s="694"/>
      <c r="D223" s="694"/>
      <c r="E223" s="694"/>
      <c r="F223" s="477"/>
      <c r="G223" s="670">
        <f>SUM(G217:I222)</f>
        <v>0</v>
      </c>
      <c r="H223" s="671"/>
      <c r="I223" s="672"/>
      <c r="N223" s="693" t="s">
        <v>209</v>
      </c>
      <c r="O223" s="694"/>
      <c r="P223" s="694"/>
      <c r="Q223" s="694"/>
      <c r="R223" s="694"/>
      <c r="S223" s="477"/>
      <c r="T223" s="670">
        <f>SUM(T217:V222)</f>
        <v>0</v>
      </c>
      <c r="U223" s="671"/>
      <c r="V223" s="672"/>
      <c r="AI223" s="681" t="s">
        <v>972</v>
      </c>
      <c r="AJ223" s="682"/>
      <c r="AK223" s="682"/>
      <c r="AL223" s="682"/>
      <c r="AM223" s="683"/>
      <c r="AN223" s="494" t="s">
        <v>972</v>
      </c>
      <c r="AO223" s="134">
        <f t="shared" si="57"/>
        <v>0</v>
      </c>
      <c r="AP223" s="496"/>
      <c r="AR223" s="695" t="s">
        <v>973</v>
      </c>
      <c r="AS223" s="696"/>
      <c r="AT223" s="696"/>
      <c r="AU223" s="696"/>
      <c r="AV223" s="697"/>
      <c r="AW223" s="503" t="s">
        <v>974</v>
      </c>
      <c r="AX223" s="134">
        <f>COUNTIF($A$1:$GO$59,AW223)</f>
        <v>0</v>
      </c>
      <c r="AY223" s="504"/>
      <c r="BA223" s="128"/>
    </row>
    <row r="224" spans="1:54" ht="18.75" thickBot="1" x14ac:dyDescent="0.3">
      <c r="A224" s="684" t="s">
        <v>975</v>
      </c>
      <c r="B224" s="685"/>
      <c r="C224" s="685"/>
      <c r="D224" s="685"/>
      <c r="E224" s="686"/>
      <c r="F224" s="481"/>
      <c r="G224" s="481"/>
      <c r="H224" s="481"/>
      <c r="I224" s="481"/>
      <c r="N224" s="684" t="s">
        <v>975</v>
      </c>
      <c r="O224" s="685"/>
      <c r="P224" s="685"/>
      <c r="Q224" s="685"/>
      <c r="R224" s="686"/>
      <c r="S224" s="481"/>
      <c r="T224" s="481"/>
      <c r="U224" s="481"/>
      <c r="V224" s="481"/>
      <c r="AI224" s="681" t="s">
        <v>976</v>
      </c>
      <c r="AJ224" s="682"/>
      <c r="AK224" s="682"/>
      <c r="AL224" s="682"/>
      <c r="AM224" s="683"/>
      <c r="AN224" s="494" t="s">
        <v>977</v>
      </c>
      <c r="AO224" s="134">
        <f t="shared" si="57"/>
        <v>0</v>
      </c>
      <c r="AP224" s="496"/>
      <c r="AR224" s="687" t="s">
        <v>978</v>
      </c>
      <c r="AS224" s="688"/>
      <c r="AT224" s="688"/>
      <c r="AU224" s="688"/>
      <c r="AV224" s="689"/>
      <c r="AW224" s="505" t="s">
        <v>979</v>
      </c>
      <c r="AX224" s="134">
        <f>COUNTIF($A$1:$GO$59,AW224)</f>
        <v>0</v>
      </c>
      <c r="AY224" s="504"/>
      <c r="BA224" s="128"/>
    </row>
    <row r="225" spans="1:53" ht="18" x14ac:dyDescent="0.25">
      <c r="A225" s="673" t="s">
        <v>848</v>
      </c>
      <c r="B225" s="673"/>
      <c r="C225" s="673"/>
      <c r="D225" s="673"/>
      <c r="E225" s="673"/>
      <c r="F225" s="60" t="s">
        <v>980</v>
      </c>
      <c r="G225" s="674">
        <f>COUNTIF($B$3:$Q$29,F225)+COUNTIF($K$40:$Q$47,F225)+COUNTIF($R$4:$BB$53,F225)</f>
        <v>0</v>
      </c>
      <c r="H225" s="675"/>
      <c r="I225" s="676"/>
      <c r="N225" s="673" t="s">
        <v>848</v>
      </c>
      <c r="O225" s="673"/>
      <c r="P225" s="673"/>
      <c r="Q225" s="673"/>
      <c r="R225" s="673"/>
      <c r="S225" s="60" t="s">
        <v>980</v>
      </c>
      <c r="T225" s="677">
        <f>COUNTIF($K$30:$Q$38,S225)+COUNTIF($B$30:$J$50,S225)</f>
        <v>0</v>
      </c>
      <c r="U225" s="677"/>
      <c r="V225" s="677"/>
      <c r="AI225" s="681" t="s">
        <v>981</v>
      </c>
      <c r="AJ225" s="682"/>
      <c r="AK225" s="682"/>
      <c r="AL225" s="682"/>
      <c r="AM225" s="683"/>
      <c r="AN225" s="494" t="s">
        <v>981</v>
      </c>
      <c r="AO225" s="134">
        <f t="shared" si="57"/>
        <v>0</v>
      </c>
      <c r="AP225" s="496"/>
      <c r="AR225" s="690" t="s">
        <v>982</v>
      </c>
      <c r="AS225" s="691"/>
      <c r="AT225" s="691"/>
      <c r="AU225" s="691"/>
      <c r="AV225" s="692"/>
      <c r="AW225" s="299"/>
      <c r="AX225" s="300">
        <f>SUM(AX223:AX224)</f>
        <v>0</v>
      </c>
      <c r="BA225" s="128"/>
    </row>
    <row r="226" spans="1:53" ht="18" x14ac:dyDescent="0.25">
      <c r="A226" s="673" t="s">
        <v>863</v>
      </c>
      <c r="B226" s="673"/>
      <c r="C226" s="673"/>
      <c r="D226" s="673"/>
      <c r="E226" s="673"/>
      <c r="F226" s="60" t="s">
        <v>983</v>
      </c>
      <c r="G226" s="674">
        <f>COUNTIF($B$3:$Q$29,F226)+COUNTIF($K$40:$Q$47,F226)+COUNTIF($R$4:$BB$53,F226)</f>
        <v>0</v>
      </c>
      <c r="H226" s="675"/>
      <c r="I226" s="676"/>
      <c r="N226" s="673" t="s">
        <v>863</v>
      </c>
      <c r="O226" s="673"/>
      <c r="P226" s="673"/>
      <c r="Q226" s="673"/>
      <c r="R226" s="673"/>
      <c r="S226" s="60" t="s">
        <v>983</v>
      </c>
      <c r="T226" s="677">
        <f>COUNTIF($K$30:$Q$38,S226)+COUNTIF($B$30:$J$50,S226)</f>
        <v>0</v>
      </c>
      <c r="U226" s="677"/>
      <c r="V226" s="677"/>
      <c r="AI226" s="681" t="s">
        <v>984</v>
      </c>
      <c r="AJ226" s="682"/>
      <c r="AK226" s="682"/>
      <c r="AL226" s="682"/>
      <c r="AM226" s="683"/>
      <c r="AN226" s="494" t="s">
        <v>985</v>
      </c>
      <c r="AO226" s="134">
        <f t="shared" si="57"/>
        <v>0</v>
      </c>
      <c r="AP226" s="496"/>
      <c r="AY226" s="125"/>
      <c r="BA226" s="128"/>
    </row>
    <row r="227" spans="1:53" ht="18.75" thickBot="1" x14ac:dyDescent="0.3">
      <c r="A227" s="667" t="s">
        <v>209</v>
      </c>
      <c r="B227" s="668"/>
      <c r="C227" s="668"/>
      <c r="D227" s="668"/>
      <c r="E227" s="669"/>
      <c r="F227" s="477"/>
      <c r="G227" s="670">
        <f>SUM(G225:I226)</f>
        <v>0</v>
      </c>
      <c r="H227" s="671"/>
      <c r="I227" s="672"/>
      <c r="N227" s="667" t="s">
        <v>209</v>
      </c>
      <c r="O227" s="668"/>
      <c r="P227" s="668"/>
      <c r="Q227" s="668"/>
      <c r="R227" s="669"/>
      <c r="S227" s="477"/>
      <c r="T227" s="670">
        <f>SUM(T225:V226)</f>
        <v>0</v>
      </c>
      <c r="U227" s="671"/>
      <c r="V227" s="672"/>
      <c r="AI227" s="681" t="s">
        <v>986</v>
      </c>
      <c r="AJ227" s="682"/>
      <c r="AK227" s="682"/>
      <c r="AL227" s="682"/>
      <c r="AM227" s="683"/>
      <c r="AN227" s="494" t="s">
        <v>987</v>
      </c>
      <c r="AO227" s="134">
        <f t="shared" si="57"/>
        <v>0</v>
      </c>
      <c r="AP227" s="496"/>
      <c r="AR227" s="658" t="s">
        <v>271</v>
      </c>
      <c r="AS227" s="659"/>
      <c r="AT227" s="659"/>
      <c r="AU227" s="659"/>
      <c r="AV227" s="659"/>
      <c r="AW227" s="660"/>
      <c r="AX227" s="126" t="s">
        <v>209</v>
      </c>
      <c r="AY227" s="127"/>
      <c r="BA227" s="128"/>
    </row>
    <row r="228" spans="1:53" ht="18.75" thickBot="1" x14ac:dyDescent="0.3">
      <c r="A228" s="678" t="s">
        <v>988</v>
      </c>
      <c r="B228" s="679"/>
      <c r="C228" s="679"/>
      <c r="D228" s="679"/>
      <c r="E228" s="680"/>
      <c r="F228" s="481"/>
      <c r="G228" s="481"/>
      <c r="H228" s="481"/>
      <c r="I228" s="481"/>
      <c r="N228" s="678" t="s">
        <v>988</v>
      </c>
      <c r="O228" s="679"/>
      <c r="P228" s="679"/>
      <c r="Q228" s="679"/>
      <c r="R228" s="680"/>
      <c r="S228" s="481"/>
      <c r="T228" s="481"/>
      <c r="U228" s="481"/>
      <c r="V228" s="481"/>
      <c r="AI228" s="647" t="s">
        <v>989</v>
      </c>
      <c r="AJ228" s="648"/>
      <c r="AK228" s="648"/>
      <c r="AL228" s="648"/>
      <c r="AM228" s="649"/>
      <c r="AN228" s="299"/>
      <c r="AO228" s="300">
        <f>SUM(AO212:AO227)</f>
        <v>0</v>
      </c>
      <c r="AR228" s="655" t="s">
        <v>990</v>
      </c>
      <c r="AS228" s="656"/>
      <c r="AT228" s="656"/>
      <c r="AU228" s="656"/>
      <c r="AV228" s="657"/>
      <c r="AW228" s="506" t="s">
        <v>991</v>
      </c>
      <c r="AX228" s="134">
        <f t="shared" ref="AX228:AX233" si="60">COUNTIF($A$1:$GO$59,AW228)</f>
        <v>0</v>
      </c>
      <c r="AY228" s="507"/>
      <c r="BA228" s="128"/>
    </row>
    <row r="229" spans="1:53" ht="18" x14ac:dyDescent="0.25">
      <c r="A229" s="673" t="s">
        <v>848</v>
      </c>
      <c r="B229" s="673"/>
      <c r="C229" s="673"/>
      <c r="D229" s="673"/>
      <c r="E229" s="673"/>
      <c r="F229" s="60" t="s">
        <v>992</v>
      </c>
      <c r="G229" s="674">
        <f>COUNTIF($B$3:$Q$29,F229)+COUNTIF($K$40:$Q$47,F229)+COUNTIF($R$4:$BB$53,F229)</f>
        <v>0</v>
      </c>
      <c r="H229" s="675"/>
      <c r="I229" s="676"/>
      <c r="N229" s="673" t="s">
        <v>848</v>
      </c>
      <c r="O229" s="673"/>
      <c r="P229" s="673"/>
      <c r="Q229" s="673"/>
      <c r="R229" s="673"/>
      <c r="S229" s="60" t="s">
        <v>992</v>
      </c>
      <c r="T229" s="677">
        <f>COUNTIF($K$30:$Q$38,S229)+COUNTIF($B$30:$J$50,S229)</f>
        <v>0</v>
      </c>
      <c r="U229" s="677"/>
      <c r="V229" s="677"/>
      <c r="AI229" s="490"/>
      <c r="AR229" s="655" t="s">
        <v>993</v>
      </c>
      <c r="AS229" s="656"/>
      <c r="AT229" s="656"/>
      <c r="AU229" s="656"/>
      <c r="AV229" s="657"/>
      <c r="AW229" s="508" t="s">
        <v>994</v>
      </c>
      <c r="AX229" s="134">
        <f t="shared" si="60"/>
        <v>0</v>
      </c>
      <c r="AY229" s="507"/>
      <c r="BA229" s="128"/>
    </row>
    <row r="230" spans="1:53" ht="18" x14ac:dyDescent="0.25">
      <c r="A230" s="673" t="s">
        <v>863</v>
      </c>
      <c r="B230" s="673"/>
      <c r="C230" s="673"/>
      <c r="D230" s="673"/>
      <c r="E230" s="673"/>
      <c r="F230" s="60" t="s">
        <v>995</v>
      </c>
      <c r="G230" s="674">
        <f>COUNTIF($B$3:$Q$29,F230)+COUNTIF($K$40:$Q$47,F230)+COUNTIF($R$4:$BB$53,F230)</f>
        <v>0</v>
      </c>
      <c r="H230" s="675"/>
      <c r="I230" s="676"/>
      <c r="N230" s="673" t="s">
        <v>863</v>
      </c>
      <c r="O230" s="673"/>
      <c r="P230" s="673"/>
      <c r="Q230" s="673"/>
      <c r="R230" s="673"/>
      <c r="S230" s="60" t="s">
        <v>995</v>
      </c>
      <c r="T230" s="677">
        <f>COUNTIF($K$30:$Q$38,S230)+COUNTIF($B$30:$J$50,S230)</f>
        <v>0</v>
      </c>
      <c r="U230" s="677"/>
      <c r="V230" s="677"/>
      <c r="AI230" s="666"/>
      <c r="AJ230" s="659"/>
      <c r="AK230" s="659"/>
      <c r="AL230" s="659"/>
      <c r="AM230" s="659"/>
      <c r="AN230" s="643"/>
      <c r="AO230" s="126"/>
      <c r="AP230" s="127"/>
      <c r="AR230" s="655" t="s">
        <v>996</v>
      </c>
      <c r="AS230" s="656"/>
      <c r="AT230" s="656"/>
      <c r="AU230" s="656"/>
      <c r="AV230" s="657"/>
      <c r="AW230" s="509" t="s">
        <v>997</v>
      </c>
      <c r="AX230" s="134">
        <f t="shared" si="60"/>
        <v>0</v>
      </c>
      <c r="AY230" s="507"/>
      <c r="BA230" s="128"/>
    </row>
    <row r="231" spans="1:53" ht="18.75" thickBot="1" x14ac:dyDescent="0.3">
      <c r="A231" s="667" t="s">
        <v>209</v>
      </c>
      <c r="B231" s="668"/>
      <c r="C231" s="668"/>
      <c r="D231" s="668"/>
      <c r="E231" s="669"/>
      <c r="F231" s="477"/>
      <c r="G231" s="670">
        <f>SUM(G229:I230)</f>
        <v>0</v>
      </c>
      <c r="H231" s="671"/>
      <c r="I231" s="672"/>
      <c r="N231" s="667" t="s">
        <v>209</v>
      </c>
      <c r="O231" s="668"/>
      <c r="P231" s="668"/>
      <c r="Q231" s="668"/>
      <c r="R231" s="669"/>
      <c r="S231" s="477"/>
      <c r="T231" s="670">
        <f>SUM(T229:V230)</f>
        <v>0</v>
      </c>
      <c r="U231" s="671"/>
      <c r="V231" s="672"/>
      <c r="AI231" s="663"/>
      <c r="AJ231" s="664"/>
      <c r="AK231" s="664"/>
      <c r="AL231" s="664"/>
      <c r="AM231" s="664"/>
      <c r="AN231" s="295"/>
      <c r="AO231" s="134"/>
      <c r="AP231" s="510"/>
      <c r="AR231" s="655" t="s">
        <v>998</v>
      </c>
      <c r="AS231" s="656"/>
      <c r="AT231" s="656"/>
      <c r="AU231" s="656"/>
      <c r="AV231" s="657"/>
      <c r="AW231" s="511" t="s">
        <v>999</v>
      </c>
      <c r="AX231" s="134">
        <f t="shared" si="60"/>
        <v>0</v>
      </c>
      <c r="AY231" s="507"/>
      <c r="BA231" s="128"/>
    </row>
    <row r="232" spans="1:53" ht="15.75" x14ac:dyDescent="0.25">
      <c r="M232" s="84"/>
      <c r="AI232" s="647"/>
      <c r="AJ232" s="648"/>
      <c r="AK232" s="648"/>
      <c r="AL232" s="648"/>
      <c r="AM232" s="649"/>
      <c r="AN232" s="299"/>
      <c r="AO232" s="300"/>
      <c r="AR232" s="655" t="s">
        <v>1000</v>
      </c>
      <c r="AS232" s="656"/>
      <c r="AT232" s="656"/>
      <c r="AU232" s="656"/>
      <c r="AV232" s="657"/>
      <c r="AW232" s="512" t="s">
        <v>1001</v>
      </c>
      <c r="AX232" s="134">
        <f t="shared" si="60"/>
        <v>0</v>
      </c>
      <c r="AY232" s="507"/>
      <c r="BA232" s="128"/>
    </row>
    <row r="233" spans="1:53" ht="15.75" x14ac:dyDescent="0.25">
      <c r="M233" s="84"/>
      <c r="AI233" s="490"/>
      <c r="AR233" s="655" t="s">
        <v>1002</v>
      </c>
      <c r="AS233" s="656"/>
      <c r="AT233" s="656"/>
      <c r="AU233" s="656"/>
      <c r="AV233" s="657"/>
      <c r="AW233" s="513" t="s">
        <v>1003</v>
      </c>
      <c r="AX233" s="134">
        <f t="shared" si="60"/>
        <v>0</v>
      </c>
      <c r="AY233" s="507"/>
      <c r="BA233" s="128"/>
    </row>
    <row r="234" spans="1:53" ht="15.75" x14ac:dyDescent="0.25">
      <c r="M234" s="84"/>
      <c r="AI234" s="490"/>
      <c r="AR234" s="658" t="s">
        <v>1004</v>
      </c>
      <c r="AS234" s="659"/>
      <c r="AT234" s="659"/>
      <c r="AU234" s="659"/>
      <c r="AV234" s="660"/>
      <c r="AW234" s="299"/>
      <c r="AX234" s="300">
        <f>SUM(AX228:AX233)</f>
        <v>0</v>
      </c>
      <c r="BA234" s="128"/>
    </row>
    <row r="235" spans="1:53" ht="15.75" x14ac:dyDescent="0.25">
      <c r="M235" s="84"/>
      <c r="AI235" s="666" t="s">
        <v>718</v>
      </c>
      <c r="AJ235" s="659"/>
      <c r="AK235" s="659"/>
      <c r="AL235" s="659"/>
      <c r="AM235" s="659"/>
      <c r="AN235" s="660"/>
      <c r="AO235" s="126" t="s">
        <v>209</v>
      </c>
      <c r="AP235" s="127"/>
      <c r="BA235" s="128"/>
    </row>
    <row r="236" spans="1:53" ht="15.75" x14ac:dyDescent="0.25">
      <c r="M236" s="84"/>
      <c r="AI236" s="663" t="s">
        <v>1005</v>
      </c>
      <c r="AJ236" s="664"/>
      <c r="AK236" s="664"/>
      <c r="AL236" s="664"/>
      <c r="AM236" s="665"/>
      <c r="AN236" s="514" t="s">
        <v>1006</v>
      </c>
      <c r="AO236" s="134">
        <f>COUNTIF($A$1:$GO$59,AN236)</f>
        <v>0</v>
      </c>
      <c r="AP236" s="515"/>
      <c r="AR236" s="658" t="s">
        <v>317</v>
      </c>
      <c r="AS236" s="659"/>
      <c r="AT236" s="659"/>
      <c r="AU236" s="659"/>
      <c r="AV236" s="659"/>
      <c r="AW236" s="660"/>
      <c r="AX236" s="126" t="s">
        <v>209</v>
      </c>
      <c r="AY236" s="127"/>
      <c r="BA236" s="128"/>
    </row>
    <row r="237" spans="1:53" ht="15.75" x14ac:dyDescent="0.25">
      <c r="M237" s="84"/>
      <c r="AI237" s="663" t="s">
        <v>1007</v>
      </c>
      <c r="AJ237" s="664"/>
      <c r="AK237" s="664"/>
      <c r="AL237" s="664"/>
      <c r="AM237" s="665"/>
      <c r="AN237" s="516" t="s">
        <v>1008</v>
      </c>
      <c r="AO237" s="134">
        <f>COUNTIF($A$1:$GO$59,AN237)</f>
        <v>0</v>
      </c>
      <c r="AP237" s="517"/>
      <c r="AQ237" s="125"/>
      <c r="AR237" s="655" t="s">
        <v>1009</v>
      </c>
      <c r="AS237" s="656"/>
      <c r="AT237" s="656"/>
      <c r="AU237" s="656"/>
      <c r="AV237" s="657"/>
      <c r="AW237" s="518" t="s">
        <v>318</v>
      </c>
      <c r="AX237" s="134">
        <f>COUNTIF($A$1:$GO$59,AW237)</f>
        <v>0</v>
      </c>
      <c r="AY237" s="507"/>
      <c r="BA237" s="128"/>
    </row>
    <row r="238" spans="1:53" ht="15.75" x14ac:dyDescent="0.25">
      <c r="M238" s="84"/>
      <c r="AI238" s="663" t="s">
        <v>1010</v>
      </c>
      <c r="AJ238" s="664"/>
      <c r="AK238" s="664"/>
      <c r="AL238" s="664"/>
      <c r="AM238" s="665"/>
      <c r="AN238" s="519" t="s">
        <v>1011</v>
      </c>
      <c r="AO238" s="134">
        <f>COUNTIF($A$1:$GO$59,AN238)</f>
        <v>0</v>
      </c>
      <c r="AP238" s="517"/>
      <c r="AR238" s="658" t="s">
        <v>1012</v>
      </c>
      <c r="AS238" s="659"/>
      <c r="AT238" s="659"/>
      <c r="AU238" s="659"/>
      <c r="AV238" s="660"/>
      <c r="AW238" s="299"/>
      <c r="AX238" s="300">
        <f>SUM(AX237:AX237)</f>
        <v>0</v>
      </c>
      <c r="BA238" s="128"/>
    </row>
    <row r="239" spans="1:53" ht="15.75" x14ac:dyDescent="0.25">
      <c r="M239" s="84"/>
      <c r="AI239" s="663" t="s">
        <v>1013</v>
      </c>
      <c r="AJ239" s="664"/>
      <c r="AK239" s="664"/>
      <c r="AL239" s="664"/>
      <c r="AM239" s="665"/>
      <c r="AN239" s="520" t="s">
        <v>1014</v>
      </c>
      <c r="AO239" s="134">
        <f>COUNTIF($A$1:$GO$59,AN239)</f>
        <v>0</v>
      </c>
      <c r="AP239" s="517"/>
      <c r="AR239" s="125"/>
      <c r="AS239" s="125"/>
      <c r="AT239" s="125"/>
      <c r="AU239" s="125"/>
      <c r="AV239" s="125"/>
      <c r="AW239" s="125"/>
      <c r="AX239" s="125"/>
      <c r="AY239" s="125"/>
      <c r="BA239" s="128"/>
    </row>
    <row r="240" spans="1:53" ht="15.75" x14ac:dyDescent="0.25">
      <c r="M240" s="84"/>
      <c r="AI240" s="663" t="s">
        <v>1015</v>
      </c>
      <c r="AJ240" s="664"/>
      <c r="AK240" s="664"/>
      <c r="AL240" s="664"/>
      <c r="AM240" s="665"/>
      <c r="AN240" s="521" t="s">
        <v>1016</v>
      </c>
      <c r="AO240" s="134">
        <f>COUNTIF($A$1:$GO$59,AN240)</f>
        <v>0</v>
      </c>
      <c r="AP240" s="517"/>
      <c r="AR240" s="658" t="s">
        <v>330</v>
      </c>
      <c r="AS240" s="659"/>
      <c r="AT240" s="659"/>
      <c r="AU240" s="659"/>
      <c r="AV240" s="659"/>
      <c r="AW240" s="660"/>
      <c r="AX240" s="126" t="s">
        <v>209</v>
      </c>
      <c r="AY240" s="127"/>
      <c r="BA240" s="128"/>
    </row>
    <row r="241" spans="13:53" ht="18" x14ac:dyDescent="0.25">
      <c r="M241" s="84"/>
      <c r="AI241" s="647" t="s">
        <v>1017</v>
      </c>
      <c r="AJ241" s="648"/>
      <c r="AK241" s="648"/>
      <c r="AL241" s="648"/>
      <c r="AM241" s="649"/>
      <c r="AN241" s="299"/>
      <c r="AO241" s="300">
        <f>SUM(AO236:AO240)</f>
        <v>0</v>
      </c>
      <c r="AP241" s="125"/>
      <c r="AR241" s="662" t="s">
        <v>330</v>
      </c>
      <c r="AS241" s="656"/>
      <c r="AT241" s="656"/>
      <c r="AU241" s="656"/>
      <c r="AV241" s="657"/>
      <c r="AW241" s="522" t="s">
        <v>331</v>
      </c>
      <c r="AX241" s="134">
        <f>COUNTIF($A$1:$GO$59,AW241)</f>
        <v>0</v>
      </c>
      <c r="AY241" s="523"/>
      <c r="BA241" s="478"/>
    </row>
    <row r="242" spans="13:53" ht="18" x14ac:dyDescent="0.25">
      <c r="M242" s="84"/>
      <c r="AI242" s="490"/>
      <c r="AR242" s="658" t="s">
        <v>1018</v>
      </c>
      <c r="AS242" s="659"/>
      <c r="AT242" s="659"/>
      <c r="AU242" s="659"/>
      <c r="AV242" s="660"/>
      <c r="AW242" s="299"/>
      <c r="AX242" s="300">
        <f>SUM(AX241:AX241)</f>
        <v>0</v>
      </c>
      <c r="BA242" s="478"/>
    </row>
    <row r="243" spans="13:53" ht="18" x14ac:dyDescent="0.25">
      <c r="M243" s="84"/>
      <c r="AI243" s="641" t="s">
        <v>336</v>
      </c>
      <c r="AJ243" s="642"/>
      <c r="AK243" s="642"/>
      <c r="AL243" s="642"/>
      <c r="AM243" s="642"/>
      <c r="AN243" s="643"/>
      <c r="AO243" s="126" t="s">
        <v>209</v>
      </c>
      <c r="AP243" s="127"/>
      <c r="BA243" s="478"/>
    </row>
    <row r="244" spans="13:53" ht="18" x14ac:dyDescent="0.25">
      <c r="M244" s="84"/>
      <c r="AI244" s="644" t="s">
        <v>1019</v>
      </c>
      <c r="AJ244" s="645"/>
      <c r="AK244" s="645"/>
      <c r="AL244" s="645"/>
      <c r="AM244" s="645"/>
      <c r="AN244" s="524" t="s">
        <v>1020</v>
      </c>
      <c r="AO244" s="134">
        <f>COUNTIF($A$1:$GO$59,AN244)</f>
        <v>0</v>
      </c>
      <c r="AP244" s="525"/>
      <c r="AR244" s="658" t="s">
        <v>642</v>
      </c>
      <c r="AS244" s="659"/>
      <c r="AT244" s="659"/>
      <c r="AU244" s="659"/>
      <c r="AV244" s="659"/>
      <c r="AW244" s="660"/>
      <c r="AX244" s="126" t="s">
        <v>209</v>
      </c>
      <c r="AY244" s="127"/>
      <c r="BA244" s="478"/>
    </row>
    <row r="245" spans="13:53" ht="18" x14ac:dyDescent="0.25">
      <c r="M245" s="84"/>
      <c r="AA245" s="84"/>
      <c r="AI245" s="644" t="s">
        <v>1021</v>
      </c>
      <c r="AJ245" s="645"/>
      <c r="AK245" s="645"/>
      <c r="AL245" s="645"/>
      <c r="AM245" s="646"/>
      <c r="AN245" s="526" t="s">
        <v>1022</v>
      </c>
      <c r="AO245" s="134">
        <f>COUNTIF($A$1:$GO$59,AN245)</f>
        <v>0</v>
      </c>
      <c r="AP245" s="525"/>
      <c r="AR245" s="655" t="s">
        <v>642</v>
      </c>
      <c r="AS245" s="656"/>
      <c r="AT245" s="656"/>
      <c r="AU245" s="656"/>
      <c r="AV245" s="657"/>
      <c r="AW245" s="527" t="s">
        <v>1023</v>
      </c>
      <c r="AX245" s="134">
        <f>COUNTIF($A$1:$GO$59,AW245)</f>
        <v>0</v>
      </c>
      <c r="AY245" s="528"/>
      <c r="BA245" s="478"/>
    </row>
    <row r="246" spans="13:53" ht="18" x14ac:dyDescent="0.25">
      <c r="M246" s="84"/>
      <c r="AA246" s="84"/>
      <c r="AI246" s="647" t="s">
        <v>1024</v>
      </c>
      <c r="AJ246" s="648"/>
      <c r="AK246" s="648"/>
      <c r="AL246" s="648"/>
      <c r="AM246" s="649"/>
      <c r="AN246" s="299"/>
      <c r="AO246" s="300">
        <f>SUM(AO244:AO245)</f>
        <v>0</v>
      </c>
      <c r="AP246" s="125"/>
      <c r="AR246" s="658" t="s">
        <v>1025</v>
      </c>
      <c r="AS246" s="659"/>
      <c r="AT246" s="659"/>
      <c r="AU246" s="659"/>
      <c r="AV246" s="660"/>
      <c r="AW246" s="529"/>
      <c r="AX246" s="300">
        <f>SUM(AX245:AX245)</f>
        <v>0</v>
      </c>
      <c r="BA246" s="478"/>
    </row>
    <row r="247" spans="13:53" ht="18" x14ac:dyDescent="0.25">
      <c r="M247" s="84"/>
      <c r="AA247" s="84"/>
      <c r="AI247" s="490"/>
      <c r="BA247" s="478"/>
    </row>
    <row r="248" spans="13:53" ht="18" x14ac:dyDescent="0.25">
      <c r="M248" s="84"/>
      <c r="AA248" s="84"/>
      <c r="AI248" s="641" t="s">
        <v>515</v>
      </c>
      <c r="AJ248" s="642"/>
      <c r="AK248" s="642"/>
      <c r="AL248" s="642"/>
      <c r="AM248" s="642"/>
      <c r="AN248" s="643"/>
      <c r="AO248" s="126" t="s">
        <v>209</v>
      </c>
      <c r="AP248" s="127"/>
      <c r="AR248" s="658" t="s">
        <v>364</v>
      </c>
      <c r="AS248" s="659"/>
      <c r="AT248" s="659"/>
      <c r="AU248" s="659"/>
      <c r="AV248" s="659"/>
      <c r="AW248" s="660"/>
      <c r="AX248" s="126" t="s">
        <v>209</v>
      </c>
      <c r="AY248" s="127"/>
      <c r="BA248" s="478"/>
    </row>
    <row r="249" spans="13:53" ht="18" x14ac:dyDescent="0.25">
      <c r="M249" s="84"/>
      <c r="AA249" s="84"/>
      <c r="AI249" s="644" t="s">
        <v>1026</v>
      </c>
      <c r="AJ249" s="645"/>
      <c r="AK249" s="645"/>
      <c r="AL249" s="645"/>
      <c r="AM249" s="650"/>
      <c r="AN249" s="514" t="s">
        <v>1027</v>
      </c>
      <c r="AO249" s="134">
        <f t="shared" ref="AO249:AO258" si="61">COUNTIF($A$1:$GO$59,AN249)</f>
        <v>0</v>
      </c>
      <c r="AP249" s="530"/>
      <c r="AR249" s="655" t="s">
        <v>1028</v>
      </c>
      <c r="AS249" s="656"/>
      <c r="AT249" s="656"/>
      <c r="AU249" s="656"/>
      <c r="AV249" s="657"/>
      <c r="AW249" s="531" t="s">
        <v>1029</v>
      </c>
      <c r="AX249" s="134">
        <f>COUNTIF($A$1:$GO$59,AW249)</f>
        <v>0</v>
      </c>
      <c r="AY249" s="532"/>
      <c r="BA249" s="478"/>
    </row>
    <row r="250" spans="13:53" ht="18" x14ac:dyDescent="0.25">
      <c r="M250" s="84"/>
      <c r="AA250" s="84"/>
      <c r="AI250" s="644" t="s">
        <v>1030</v>
      </c>
      <c r="AJ250" s="645"/>
      <c r="AK250" s="645"/>
      <c r="AL250" s="645"/>
      <c r="AM250" s="650"/>
      <c r="AN250" s="533" t="s">
        <v>1031</v>
      </c>
      <c r="AO250" s="134">
        <f t="shared" si="61"/>
        <v>0</v>
      </c>
      <c r="AP250" s="530"/>
      <c r="AR250" s="658" t="s">
        <v>1032</v>
      </c>
      <c r="AS250" s="659"/>
      <c r="AT250" s="659"/>
      <c r="AU250" s="659"/>
      <c r="AV250" s="660"/>
      <c r="AW250" s="299"/>
      <c r="AX250" s="300">
        <f>SUM(AX249:AX249)</f>
        <v>0</v>
      </c>
      <c r="BA250" s="478"/>
    </row>
    <row r="251" spans="13:53" ht="18" x14ac:dyDescent="0.25">
      <c r="M251" s="84"/>
      <c r="AA251" s="84"/>
      <c r="AI251" s="644" t="s">
        <v>1033</v>
      </c>
      <c r="AJ251" s="645"/>
      <c r="AK251" s="645"/>
      <c r="AL251" s="645"/>
      <c r="AM251" s="650"/>
      <c r="AN251" s="534" t="s">
        <v>1034</v>
      </c>
      <c r="AO251" s="134">
        <f t="shared" si="61"/>
        <v>0</v>
      </c>
      <c r="AP251" s="530"/>
      <c r="BA251" s="478"/>
    </row>
    <row r="252" spans="13:53" ht="18" x14ac:dyDescent="0.25">
      <c r="M252" s="84"/>
      <c r="AA252" s="84"/>
      <c r="AI252" s="644" t="s">
        <v>1035</v>
      </c>
      <c r="AJ252" s="645"/>
      <c r="AK252" s="645"/>
      <c r="AL252" s="645"/>
      <c r="AM252" s="650"/>
      <c r="AN252" s="535" t="s">
        <v>1036</v>
      </c>
      <c r="AO252" s="134">
        <f t="shared" si="61"/>
        <v>0</v>
      </c>
      <c r="AP252" s="530"/>
      <c r="AR252" s="661" t="s">
        <v>255</v>
      </c>
      <c r="AS252" s="642"/>
      <c r="AT252" s="642"/>
      <c r="AU252" s="642"/>
      <c r="AV252" s="642"/>
      <c r="AW252" s="643"/>
      <c r="AX252" s="126" t="s">
        <v>209</v>
      </c>
      <c r="AY252" s="127"/>
      <c r="BA252" s="478"/>
    </row>
    <row r="253" spans="13:53" ht="18" x14ac:dyDescent="0.25">
      <c r="M253" s="84"/>
      <c r="AA253" s="84"/>
      <c r="AI253" s="644" t="s">
        <v>1037</v>
      </c>
      <c r="AJ253" s="645"/>
      <c r="AK253" s="645"/>
      <c r="AL253" s="645"/>
      <c r="AM253" s="650"/>
      <c r="AN253" s="536" t="s">
        <v>1038</v>
      </c>
      <c r="AO253" s="134">
        <f t="shared" si="61"/>
        <v>0</v>
      </c>
      <c r="AP253" s="530"/>
      <c r="AR253" s="651" t="s">
        <v>1039</v>
      </c>
      <c r="AS253" s="651"/>
      <c r="AT253" s="651"/>
      <c r="AU253" s="651"/>
      <c r="AV253" s="651"/>
      <c r="AW253" s="537" t="s">
        <v>1040</v>
      </c>
      <c r="AX253" s="134">
        <f>COUNTIF($A$1:$GO$59,AW253)</f>
        <v>0</v>
      </c>
      <c r="AY253" s="249"/>
      <c r="BA253" s="478"/>
    </row>
    <row r="254" spans="13:53" ht="18" x14ac:dyDescent="0.25">
      <c r="M254" s="84"/>
      <c r="AA254" s="84"/>
      <c r="AI254" s="644" t="s">
        <v>1041</v>
      </c>
      <c r="AJ254" s="645"/>
      <c r="AK254" s="645"/>
      <c r="AL254" s="645"/>
      <c r="AM254" s="650"/>
      <c r="AN254" s="538" t="s">
        <v>1042</v>
      </c>
      <c r="AO254" s="134">
        <f t="shared" si="61"/>
        <v>0</v>
      </c>
      <c r="AP254" s="530"/>
      <c r="AR254" s="651" t="s">
        <v>1043</v>
      </c>
      <c r="AS254" s="651"/>
      <c r="AT254" s="651"/>
      <c r="AU254" s="651"/>
      <c r="AV254" s="651"/>
      <c r="AW254" s="539" t="s">
        <v>1044</v>
      </c>
      <c r="AX254" s="134">
        <f>COUNTIF($A$1:$GO$59,AW254)</f>
        <v>0</v>
      </c>
      <c r="AY254" s="249"/>
      <c r="BA254" s="478"/>
    </row>
    <row r="255" spans="13:53" ht="18" x14ac:dyDescent="0.25">
      <c r="M255" s="84"/>
      <c r="AA255" s="84"/>
      <c r="AI255" s="644" t="s">
        <v>1045</v>
      </c>
      <c r="AJ255" s="645"/>
      <c r="AK255" s="645"/>
      <c r="AL255" s="645"/>
      <c r="AM255" s="650"/>
      <c r="AN255" s="540" t="s">
        <v>1046</v>
      </c>
      <c r="AO255" s="134">
        <f t="shared" si="61"/>
        <v>0</v>
      </c>
      <c r="AP255" s="530"/>
      <c r="AR255" s="651" t="s">
        <v>1047</v>
      </c>
      <c r="AS255" s="651"/>
      <c r="AT255" s="651"/>
      <c r="AU255" s="651"/>
      <c r="AV255" s="651"/>
      <c r="AW255" s="204" t="s">
        <v>1048</v>
      </c>
      <c r="AX255" s="134">
        <f>COUNTIF($A$1:$GO$59,AW255)</f>
        <v>0</v>
      </c>
      <c r="AY255" s="249"/>
      <c r="BA255" s="478"/>
    </row>
    <row r="256" spans="13:53" ht="18" x14ac:dyDescent="0.25">
      <c r="M256" s="84"/>
      <c r="AA256" s="84"/>
      <c r="AI256" s="644" t="s">
        <v>1049</v>
      </c>
      <c r="AJ256" s="645"/>
      <c r="AK256" s="645"/>
      <c r="AL256" s="645"/>
      <c r="AM256" s="650"/>
      <c r="AN256" s="541" t="s">
        <v>1050</v>
      </c>
      <c r="AO256" s="134">
        <f t="shared" si="61"/>
        <v>0</v>
      </c>
      <c r="AP256" s="530"/>
      <c r="AR256" s="651" t="s">
        <v>1051</v>
      </c>
      <c r="AS256" s="651"/>
      <c r="AT256" s="651"/>
      <c r="AU256" s="651"/>
      <c r="AV256" s="651"/>
      <c r="AW256" s="542" t="s">
        <v>1052</v>
      </c>
      <c r="AX256" s="134">
        <f>COUNTIF($A$1:$GO$59,AW256)</f>
        <v>0</v>
      </c>
      <c r="AY256" s="249"/>
      <c r="BA256" s="478"/>
    </row>
    <row r="257" spans="13:53" ht="18" x14ac:dyDescent="0.25">
      <c r="M257" s="84"/>
      <c r="AA257" s="84"/>
      <c r="AI257" s="644" t="s">
        <v>1053</v>
      </c>
      <c r="AJ257" s="645"/>
      <c r="AK257" s="645"/>
      <c r="AL257" s="645"/>
      <c r="AM257" s="650"/>
      <c r="AN257" s="543" t="s">
        <v>1054</v>
      </c>
      <c r="AO257" s="134">
        <f t="shared" si="61"/>
        <v>0</v>
      </c>
      <c r="AP257" s="530"/>
      <c r="AR257" s="652" t="s">
        <v>1055</v>
      </c>
      <c r="AS257" s="653"/>
      <c r="AT257" s="653"/>
      <c r="AU257" s="653"/>
      <c r="AV257" s="654"/>
      <c r="AW257" s="544"/>
      <c r="AX257" s="300">
        <f>SUM(AX253:AX256)</f>
        <v>0</v>
      </c>
      <c r="BA257" s="478"/>
    </row>
    <row r="258" spans="13:53" ht="18" x14ac:dyDescent="0.25">
      <c r="M258" s="84"/>
      <c r="AA258" s="84"/>
      <c r="AI258" s="644" t="s">
        <v>1056</v>
      </c>
      <c r="AJ258" s="645"/>
      <c r="AK258" s="645"/>
      <c r="AL258" s="645"/>
      <c r="AM258" s="650"/>
      <c r="AN258" s="545" t="s">
        <v>1057</v>
      </c>
      <c r="AO258" s="134">
        <f t="shared" si="61"/>
        <v>0</v>
      </c>
      <c r="AP258" s="530"/>
      <c r="BA258" s="478"/>
    </row>
    <row r="259" spans="13:53" ht="18" x14ac:dyDescent="0.25">
      <c r="M259" s="84"/>
      <c r="AA259" s="84"/>
      <c r="AI259" s="647" t="s">
        <v>1058</v>
      </c>
      <c r="AJ259" s="648"/>
      <c r="AK259" s="648"/>
      <c r="AL259" s="648"/>
      <c r="AM259" s="649"/>
      <c r="AN259" s="299"/>
      <c r="AO259" s="300">
        <f>SUM(AO249:AO258)</f>
        <v>0</v>
      </c>
      <c r="AP259" s="125"/>
      <c r="BA259" s="478"/>
    </row>
    <row r="260" spans="13:53" ht="18" x14ac:dyDescent="0.25">
      <c r="M260" s="84"/>
      <c r="AA260" s="84"/>
      <c r="AI260" s="490"/>
      <c r="BA260" s="478"/>
    </row>
    <row r="261" spans="13:53" ht="18" x14ac:dyDescent="0.25">
      <c r="M261" s="84"/>
      <c r="AA261" s="84"/>
      <c r="AI261" s="641" t="s">
        <v>295</v>
      </c>
      <c r="AJ261" s="642"/>
      <c r="AK261" s="642"/>
      <c r="AL261" s="642"/>
      <c r="AM261" s="642"/>
      <c r="AN261" s="643"/>
      <c r="AO261" s="126" t="s">
        <v>209</v>
      </c>
      <c r="AP261" s="127"/>
      <c r="BA261" s="478"/>
    </row>
    <row r="262" spans="13:53" ht="18" x14ac:dyDescent="0.25">
      <c r="M262" s="84"/>
      <c r="AA262" s="84"/>
      <c r="AI262" s="644" t="s">
        <v>1059</v>
      </c>
      <c r="AJ262" s="645"/>
      <c r="AK262" s="645"/>
      <c r="AL262" s="645"/>
      <c r="AM262" s="645"/>
      <c r="AN262" s="546" t="s">
        <v>1060</v>
      </c>
      <c r="AO262" s="134">
        <f>COUNTIF($A$1:$GO$59,AN262)</f>
        <v>0</v>
      </c>
      <c r="AP262" s="525"/>
      <c r="BA262" s="478"/>
    </row>
    <row r="263" spans="13:53" ht="18" x14ac:dyDescent="0.25">
      <c r="M263" s="84"/>
      <c r="AA263" s="84"/>
      <c r="AI263" s="644"/>
      <c r="AJ263" s="645"/>
      <c r="AK263" s="645"/>
      <c r="AL263" s="645"/>
      <c r="AM263" s="646"/>
      <c r="AN263" s="547"/>
      <c r="AO263" s="134"/>
      <c r="AP263" s="525"/>
      <c r="BA263" s="478"/>
    </row>
    <row r="264" spans="13:53" ht="18" x14ac:dyDescent="0.25">
      <c r="M264" s="84"/>
      <c r="AA264" s="84"/>
      <c r="AI264" s="647" t="s">
        <v>1061</v>
      </c>
      <c r="AJ264" s="648"/>
      <c r="AK264" s="648"/>
      <c r="AL264" s="648"/>
      <c r="AM264" s="649"/>
      <c r="AN264" s="299"/>
      <c r="AO264" s="300">
        <f>SUM(AO262:AO263)</f>
        <v>0</v>
      </c>
      <c r="AP264" s="125"/>
      <c r="BA264" s="478"/>
    </row>
    <row r="265" spans="13:53" ht="18" x14ac:dyDescent="0.25">
      <c r="M265" s="84"/>
      <c r="AA265" s="84"/>
      <c r="AI265" s="548"/>
      <c r="AJ265" s="549"/>
      <c r="AK265" s="549"/>
      <c r="AL265" s="549"/>
      <c r="AM265" s="549"/>
      <c r="AN265" s="550"/>
      <c r="AO265" s="551"/>
      <c r="AP265" s="125"/>
      <c r="BA265" s="478"/>
    </row>
    <row r="266" spans="13:53" ht="18" x14ac:dyDescent="0.25">
      <c r="M266" s="84"/>
      <c r="AA266" s="84"/>
      <c r="AI266" s="548"/>
      <c r="AJ266" s="549"/>
      <c r="AK266" s="549"/>
      <c r="AL266" s="549"/>
      <c r="AM266" s="549"/>
      <c r="AN266" s="550"/>
      <c r="AO266" s="551"/>
      <c r="AP266" s="125"/>
      <c r="BA266" s="478"/>
    </row>
    <row r="267" spans="13:53" ht="18" x14ac:dyDescent="0.25">
      <c r="M267" s="84"/>
      <c r="AA267" s="84"/>
      <c r="AI267" s="548"/>
      <c r="AJ267" s="549"/>
      <c r="AK267" s="549"/>
      <c r="AL267" s="549"/>
      <c r="AM267" s="549"/>
      <c r="AN267" s="550"/>
      <c r="AO267" s="551"/>
      <c r="AP267" s="125"/>
      <c r="BA267" s="478"/>
    </row>
    <row r="268" spans="13:53" ht="18" x14ac:dyDescent="0.25">
      <c r="M268" s="84"/>
      <c r="AA268" s="84"/>
      <c r="AI268" s="548"/>
      <c r="AJ268" s="549"/>
      <c r="AK268" s="549"/>
      <c r="AL268" s="549"/>
      <c r="AM268" s="549"/>
      <c r="AN268" s="550"/>
      <c r="AO268" s="551"/>
      <c r="AP268" s="125"/>
      <c r="BA268" s="478"/>
    </row>
    <row r="269" spans="13:53" ht="18" x14ac:dyDescent="0.25">
      <c r="M269" s="84"/>
      <c r="AA269" s="84"/>
      <c r="AI269" s="548"/>
      <c r="AJ269" s="549"/>
      <c r="AK269" s="549"/>
      <c r="AL269" s="549"/>
      <c r="AM269" s="549"/>
      <c r="AN269" s="550"/>
      <c r="AO269" s="551"/>
      <c r="AP269" s="125"/>
      <c r="BA269" s="478"/>
    </row>
    <row r="270" spans="13:53" ht="18" x14ac:dyDescent="0.25">
      <c r="M270" s="84"/>
      <c r="AA270" s="84"/>
      <c r="AI270" s="548"/>
      <c r="AJ270" s="549"/>
      <c r="AK270" s="549"/>
      <c r="AL270" s="549"/>
      <c r="AM270" s="549"/>
      <c r="AN270" s="550"/>
      <c r="AO270" s="551"/>
      <c r="AP270" s="125"/>
      <c r="BA270" s="478"/>
    </row>
    <row r="271" spans="13:53" ht="18" x14ac:dyDescent="0.25">
      <c r="M271" s="84"/>
      <c r="AA271" s="84"/>
      <c r="AI271" s="548"/>
      <c r="AJ271" s="549"/>
      <c r="AK271" s="549"/>
      <c r="AL271" s="549"/>
      <c r="AM271" s="549"/>
      <c r="AN271" s="550"/>
      <c r="AO271" s="551"/>
      <c r="AP271" s="125"/>
      <c r="BA271" s="478"/>
    </row>
    <row r="272" spans="13:53" ht="18" x14ac:dyDescent="0.25">
      <c r="M272" s="84"/>
      <c r="AA272" s="84"/>
      <c r="AI272" s="548"/>
      <c r="AJ272" s="549"/>
      <c r="AK272" s="549"/>
      <c r="AL272" s="549"/>
      <c r="AM272" s="549"/>
      <c r="AN272" s="550"/>
      <c r="AO272" s="551"/>
      <c r="AP272" s="125"/>
      <c r="BA272" s="478"/>
    </row>
    <row r="273" spans="13:53" ht="18" x14ac:dyDescent="0.25">
      <c r="M273" s="84"/>
      <c r="AA273" s="84"/>
      <c r="AI273" s="548"/>
      <c r="AJ273" s="549"/>
      <c r="AK273" s="549"/>
      <c r="AL273" s="549"/>
      <c r="AM273" s="549"/>
      <c r="AN273" s="550"/>
      <c r="AO273" s="551"/>
      <c r="AP273" s="125"/>
      <c r="BA273" s="478"/>
    </row>
    <row r="274" spans="13:53" ht="18" x14ac:dyDescent="0.25">
      <c r="M274" s="84"/>
      <c r="AA274" s="84"/>
      <c r="AI274" s="548"/>
      <c r="AJ274" s="549"/>
      <c r="AK274" s="549"/>
      <c r="AL274" s="549"/>
      <c r="AM274" s="549"/>
      <c r="AN274" s="550"/>
      <c r="AO274" s="551"/>
      <c r="AP274" s="125"/>
      <c r="BA274" s="478"/>
    </row>
    <row r="275" spans="13:53" ht="18" x14ac:dyDescent="0.25">
      <c r="M275" s="84"/>
      <c r="AA275" s="84"/>
      <c r="AI275" s="490"/>
      <c r="BA275" s="478"/>
    </row>
    <row r="276" spans="13:53" ht="15.75" thickBot="1" x14ac:dyDescent="0.3">
      <c r="M276" s="84"/>
      <c r="AA276" s="84"/>
      <c r="AI276" s="552"/>
      <c r="AJ276" s="553"/>
      <c r="AK276" s="553"/>
      <c r="AL276" s="553"/>
      <c r="AM276" s="553"/>
      <c r="AN276" s="553"/>
      <c r="AO276" s="553"/>
      <c r="AP276" s="553"/>
      <c r="AQ276" s="553"/>
      <c r="AR276" s="553"/>
      <c r="AS276" s="553"/>
      <c r="AT276" s="553"/>
      <c r="AU276" s="553"/>
      <c r="AV276" s="553"/>
      <c r="AW276" s="553"/>
      <c r="AX276" s="553"/>
      <c r="AY276" s="553"/>
      <c r="AZ276" s="553"/>
      <c r="BA276" s="554"/>
    </row>
    <row r="277" spans="13:53" x14ac:dyDescent="0.25">
      <c r="M277" s="84"/>
      <c r="AA277" s="84"/>
    </row>
    <row r="278" spans="13:53" x14ac:dyDescent="0.25">
      <c r="M278" s="84"/>
      <c r="AA278" s="84"/>
    </row>
    <row r="279" spans="13:53" x14ac:dyDescent="0.25">
      <c r="M279" s="84"/>
      <c r="AA279" s="84"/>
    </row>
    <row r="280" spans="13:53" x14ac:dyDescent="0.25">
      <c r="M280" s="84"/>
      <c r="AA280" s="84"/>
    </row>
    <row r="281" spans="13:53" x14ac:dyDescent="0.25">
      <c r="M281" s="84"/>
      <c r="AA281" s="84"/>
    </row>
    <row r="282" spans="13:53" ht="18" x14ac:dyDescent="0.25">
      <c r="M282" s="84"/>
      <c r="AA282" s="84"/>
      <c r="AZ282" s="452"/>
    </row>
    <row r="283" spans="13:53" ht="18" x14ac:dyDescent="0.25">
      <c r="M283" s="84"/>
      <c r="AA283" s="84"/>
      <c r="AI283" s="555"/>
      <c r="AJ283" s="555"/>
      <c r="AK283" s="555"/>
      <c r="AL283" s="555"/>
      <c r="AM283" s="555"/>
      <c r="AQ283" s="556"/>
    </row>
    <row r="284" spans="13:53" ht="18" x14ac:dyDescent="0.25">
      <c r="M284" s="84"/>
      <c r="AA284" s="84"/>
      <c r="AI284" s="639"/>
      <c r="AJ284" s="639"/>
      <c r="AK284" s="639"/>
      <c r="AL284" s="639"/>
      <c r="AM284" s="639"/>
      <c r="AN284" s="639"/>
      <c r="AO284" s="556"/>
      <c r="AP284" s="556"/>
      <c r="AQ284" s="313"/>
      <c r="BA284" s="452"/>
    </row>
    <row r="285" spans="13:53" ht="18" x14ac:dyDescent="0.25">
      <c r="M285" s="84"/>
      <c r="AA285" s="84"/>
      <c r="AI285" s="637"/>
      <c r="AJ285" s="637"/>
      <c r="AK285" s="637"/>
      <c r="AL285" s="637"/>
      <c r="AM285" s="637"/>
      <c r="AN285" s="455"/>
      <c r="AO285" s="313"/>
      <c r="AP285" s="313"/>
      <c r="AQ285" s="556"/>
      <c r="AZ285" s="452"/>
      <c r="BA285" s="556"/>
    </row>
    <row r="286" spans="13:53" ht="18" x14ac:dyDescent="0.25">
      <c r="M286" s="84"/>
      <c r="AA286" s="84"/>
      <c r="AI286" s="639"/>
      <c r="AJ286" s="639"/>
      <c r="AK286" s="639"/>
      <c r="AL286" s="639"/>
      <c r="AM286" s="639"/>
      <c r="AN286" s="639"/>
      <c r="AO286" s="556"/>
      <c r="AP286" s="556"/>
      <c r="AQ286" s="557"/>
      <c r="AZ286" s="556"/>
      <c r="BA286" s="452"/>
    </row>
    <row r="287" spans="13:53" ht="18" x14ac:dyDescent="0.25">
      <c r="M287" s="84"/>
      <c r="AA287" s="84"/>
      <c r="AI287" s="639"/>
      <c r="AJ287" s="639"/>
      <c r="AK287" s="639"/>
      <c r="AL287" s="639"/>
      <c r="AM287" s="639"/>
      <c r="AN287" s="639"/>
      <c r="AO287" s="557"/>
      <c r="AP287" s="557"/>
      <c r="AQ287" s="557"/>
      <c r="AZ287" s="452"/>
      <c r="BA287" s="452"/>
    </row>
    <row r="288" spans="13:53" ht="18" x14ac:dyDescent="0.25">
      <c r="M288" s="84"/>
      <c r="AA288" s="84"/>
      <c r="AI288" s="452"/>
      <c r="AJ288" s="452"/>
      <c r="AK288" s="452"/>
      <c r="AL288" s="452"/>
      <c r="AM288" s="452"/>
      <c r="AN288" s="452"/>
      <c r="AO288" s="557"/>
      <c r="AP288" s="557"/>
      <c r="AQ288" s="557"/>
      <c r="AZ288" s="452"/>
      <c r="BA288" s="452"/>
    </row>
    <row r="289" spans="13:53" ht="18" x14ac:dyDescent="0.25">
      <c r="M289" s="84"/>
      <c r="AA289" s="84"/>
      <c r="AI289" s="452"/>
      <c r="AJ289" s="452"/>
      <c r="AK289" s="452"/>
      <c r="AL289" s="452"/>
      <c r="AM289" s="452"/>
      <c r="AN289" s="452"/>
      <c r="AO289" s="557"/>
      <c r="AP289" s="557"/>
      <c r="AQ289" s="557"/>
      <c r="AZ289" s="452"/>
      <c r="BA289" s="452"/>
    </row>
    <row r="290" spans="13:53" ht="18" x14ac:dyDescent="0.25">
      <c r="M290" s="84"/>
      <c r="AA290" s="84"/>
      <c r="AI290" s="452"/>
      <c r="AJ290" s="452"/>
      <c r="AK290" s="452"/>
      <c r="AL290" s="452"/>
      <c r="AM290" s="452"/>
      <c r="AN290" s="452"/>
      <c r="AO290" s="557"/>
      <c r="AP290" s="557"/>
      <c r="AQ290" s="557"/>
      <c r="AZ290" s="452"/>
      <c r="BA290" s="452"/>
    </row>
    <row r="291" spans="13:53" ht="18" x14ac:dyDescent="0.25">
      <c r="M291" s="84"/>
      <c r="AA291" s="84"/>
      <c r="AI291" s="452"/>
      <c r="AJ291" s="452"/>
      <c r="AK291" s="452"/>
      <c r="AL291" s="452"/>
      <c r="AM291" s="452"/>
      <c r="AN291" s="452"/>
      <c r="AO291" s="557"/>
      <c r="AP291" s="557"/>
      <c r="AQ291" s="557"/>
      <c r="AZ291" s="452"/>
      <c r="BA291" s="452"/>
    </row>
    <row r="292" spans="13:53" ht="18" x14ac:dyDescent="0.25">
      <c r="M292" s="84"/>
      <c r="AA292" s="84"/>
      <c r="AI292" s="452"/>
      <c r="AJ292" s="452"/>
      <c r="AK292" s="452"/>
      <c r="AL292" s="452"/>
      <c r="AM292" s="452"/>
      <c r="AN292" s="452"/>
      <c r="AO292" s="557"/>
      <c r="AP292" s="557"/>
      <c r="AQ292" s="557"/>
      <c r="AZ292" s="452"/>
      <c r="BA292" s="452"/>
    </row>
    <row r="293" spans="13:53" ht="18" x14ac:dyDescent="0.25">
      <c r="M293" s="84"/>
      <c r="AA293" s="84"/>
      <c r="AI293" s="452"/>
      <c r="AJ293" s="452"/>
      <c r="AK293" s="452"/>
      <c r="AL293" s="452"/>
      <c r="AM293" s="452"/>
      <c r="AN293" s="452"/>
      <c r="AO293" s="557"/>
      <c r="AP293" s="557"/>
      <c r="AQ293" s="557"/>
      <c r="AZ293" s="452"/>
      <c r="BA293" s="452"/>
    </row>
    <row r="294" spans="13:53" ht="18" x14ac:dyDescent="0.25">
      <c r="M294" s="84"/>
      <c r="AA294" s="84"/>
      <c r="AI294" s="452"/>
      <c r="AJ294" s="452"/>
      <c r="AK294" s="452"/>
      <c r="AL294" s="452"/>
      <c r="AM294" s="452"/>
      <c r="AN294" s="452"/>
      <c r="AO294" s="557"/>
      <c r="AP294" s="557"/>
      <c r="AQ294" s="557"/>
      <c r="AZ294" s="452"/>
      <c r="BA294" s="452"/>
    </row>
    <row r="295" spans="13:53" ht="18" x14ac:dyDescent="0.25">
      <c r="M295" s="84"/>
      <c r="AA295" s="84"/>
      <c r="AI295" s="452"/>
      <c r="AJ295" s="452"/>
      <c r="AK295" s="452"/>
      <c r="AL295" s="452"/>
      <c r="AM295" s="452"/>
      <c r="AN295" s="452"/>
      <c r="AO295" s="557"/>
      <c r="AP295" s="557"/>
      <c r="AQ295" s="557"/>
      <c r="AZ295" s="452"/>
      <c r="BA295" s="452"/>
    </row>
    <row r="296" spans="13:53" ht="18" x14ac:dyDescent="0.25">
      <c r="M296" s="84"/>
      <c r="AA296" s="84"/>
      <c r="AI296" s="452"/>
      <c r="AJ296" s="452"/>
      <c r="AK296" s="452"/>
      <c r="AL296" s="452"/>
      <c r="AM296" s="452"/>
      <c r="AN296" s="452"/>
      <c r="AO296" s="557"/>
      <c r="AP296" s="557"/>
      <c r="AQ296" s="557"/>
      <c r="AZ296" s="452"/>
      <c r="BA296" s="452"/>
    </row>
    <row r="297" spans="13:53" ht="18" x14ac:dyDescent="0.25">
      <c r="M297" s="84"/>
      <c r="AA297" s="84"/>
      <c r="AI297" s="452"/>
      <c r="AJ297" s="452"/>
      <c r="AK297" s="452"/>
      <c r="AL297" s="452"/>
      <c r="AM297" s="452"/>
      <c r="AN297" s="452"/>
      <c r="AO297" s="557"/>
      <c r="AP297" s="557"/>
      <c r="AQ297" s="557"/>
      <c r="AZ297" s="452"/>
      <c r="BA297" s="452"/>
    </row>
    <row r="298" spans="13:53" ht="18" x14ac:dyDescent="0.25">
      <c r="M298" s="84"/>
      <c r="AA298" s="84"/>
      <c r="AI298" s="452"/>
      <c r="AJ298" s="452"/>
      <c r="AK298" s="452"/>
      <c r="AL298" s="452"/>
      <c r="AM298" s="452"/>
      <c r="AN298" s="452"/>
      <c r="AO298" s="557"/>
      <c r="AP298" s="557"/>
      <c r="AQ298" s="557"/>
      <c r="AZ298" s="452"/>
      <c r="BA298" s="452"/>
    </row>
    <row r="299" spans="13:53" ht="18" x14ac:dyDescent="0.25">
      <c r="M299" s="84"/>
      <c r="AA299" s="84"/>
      <c r="AI299" s="452"/>
      <c r="AJ299" s="452"/>
      <c r="AK299" s="452"/>
      <c r="AL299" s="452"/>
      <c r="AM299" s="452"/>
      <c r="AN299" s="452"/>
      <c r="AO299" s="557"/>
      <c r="AP299" s="557"/>
      <c r="AQ299" s="557"/>
      <c r="AZ299" s="452"/>
      <c r="BA299" s="452"/>
    </row>
    <row r="300" spans="13:53" ht="18" x14ac:dyDescent="0.25">
      <c r="M300" s="84"/>
      <c r="AA300" s="84"/>
      <c r="AI300" s="555"/>
      <c r="AJ300" s="555"/>
      <c r="AK300" s="555"/>
      <c r="AL300" s="555"/>
      <c r="AM300" s="555"/>
      <c r="AQ300" s="557"/>
      <c r="AZ300" s="452"/>
      <c r="BA300" s="452"/>
    </row>
    <row r="301" spans="13:53" ht="18" x14ac:dyDescent="0.25">
      <c r="M301" s="84"/>
      <c r="AA301" s="84"/>
      <c r="AI301" s="555"/>
      <c r="AJ301" s="555"/>
      <c r="AK301" s="555"/>
      <c r="AL301" s="555"/>
      <c r="AM301" s="555"/>
      <c r="AQ301" s="557"/>
      <c r="AZ301" s="452"/>
      <c r="BA301" s="452"/>
    </row>
    <row r="302" spans="13:53" ht="18" x14ac:dyDescent="0.25">
      <c r="M302" s="84"/>
      <c r="AA302" s="84"/>
      <c r="AI302" s="555"/>
      <c r="AJ302" s="555"/>
      <c r="AK302" s="555"/>
      <c r="AL302" s="555"/>
      <c r="AM302" s="555"/>
      <c r="AQ302" s="557"/>
      <c r="AZ302" s="452"/>
      <c r="BA302" s="452"/>
    </row>
    <row r="303" spans="13:53" ht="18" x14ac:dyDescent="0.25">
      <c r="M303" s="84"/>
      <c r="AA303" s="84"/>
      <c r="AI303" s="555"/>
      <c r="AJ303" s="555"/>
      <c r="AK303" s="555"/>
      <c r="AL303" s="555"/>
      <c r="AM303" s="555"/>
      <c r="AQ303" s="557"/>
      <c r="AZ303" s="452"/>
      <c r="BA303" s="452"/>
    </row>
    <row r="304" spans="13:53" ht="18" x14ac:dyDescent="0.25">
      <c r="M304" s="84"/>
      <c r="AA304" s="84"/>
      <c r="AI304" s="555"/>
      <c r="AJ304" s="555"/>
      <c r="AK304" s="555"/>
      <c r="AL304" s="555"/>
      <c r="AM304" s="555"/>
      <c r="AQ304" s="557"/>
      <c r="AZ304" s="452"/>
      <c r="BA304" s="452"/>
    </row>
    <row r="305" spans="13:53" ht="18" x14ac:dyDescent="0.25">
      <c r="M305" s="84"/>
      <c r="AA305" s="84"/>
      <c r="AI305" s="555"/>
      <c r="AJ305" s="555"/>
      <c r="AK305" s="555"/>
      <c r="AL305" s="555"/>
      <c r="AM305" s="555"/>
      <c r="AQ305" s="557"/>
      <c r="AZ305" s="452"/>
      <c r="BA305" s="452"/>
    </row>
    <row r="306" spans="13:53" ht="18" x14ac:dyDescent="0.25">
      <c r="M306" s="84"/>
      <c r="AA306" s="84"/>
      <c r="AI306" s="555"/>
      <c r="AJ306" s="555"/>
      <c r="AK306" s="555"/>
      <c r="AL306" s="555"/>
      <c r="AM306" s="555"/>
      <c r="AQ306" s="557"/>
      <c r="AZ306" s="452"/>
      <c r="BA306" s="452"/>
    </row>
    <row r="307" spans="13:53" ht="18" x14ac:dyDescent="0.25">
      <c r="M307" s="84"/>
      <c r="AA307" s="84"/>
      <c r="AI307" s="555"/>
      <c r="AJ307" s="555"/>
      <c r="AK307" s="555"/>
      <c r="AL307" s="555"/>
      <c r="AM307" s="555"/>
      <c r="AQ307" s="557"/>
      <c r="AZ307" s="452"/>
      <c r="BA307" s="452"/>
    </row>
    <row r="308" spans="13:53" ht="18" x14ac:dyDescent="0.25">
      <c r="M308" s="84"/>
      <c r="AA308" s="84"/>
      <c r="AI308" s="555"/>
      <c r="AJ308" s="555"/>
      <c r="AK308" s="555"/>
      <c r="AL308" s="555"/>
      <c r="AM308" s="555"/>
      <c r="AQ308" s="557"/>
      <c r="AZ308" s="452"/>
      <c r="BA308" s="452"/>
    </row>
    <row r="309" spans="13:53" ht="18" x14ac:dyDescent="0.25">
      <c r="M309" s="84"/>
      <c r="AA309" s="84"/>
      <c r="AI309" s="555"/>
      <c r="AJ309" s="555"/>
      <c r="AK309" s="555"/>
      <c r="AL309" s="555"/>
      <c r="AM309" s="555"/>
      <c r="AQ309" s="557"/>
      <c r="AZ309" s="452"/>
      <c r="BA309" s="452"/>
    </row>
    <row r="310" spans="13:53" ht="18" x14ac:dyDescent="0.25">
      <c r="M310" s="84"/>
      <c r="AA310" s="84"/>
      <c r="AI310" s="555"/>
      <c r="AJ310" s="555"/>
      <c r="AK310" s="555"/>
      <c r="AL310" s="555"/>
      <c r="AM310" s="555"/>
      <c r="AQ310" s="557"/>
      <c r="AZ310" s="452"/>
      <c r="BA310" s="452"/>
    </row>
    <row r="311" spans="13:53" ht="18" x14ac:dyDescent="0.25">
      <c r="M311" s="84"/>
      <c r="AA311" s="84"/>
      <c r="AI311" s="555"/>
      <c r="AJ311" s="555"/>
      <c r="AK311" s="555"/>
      <c r="AL311" s="555"/>
      <c r="AM311" s="555"/>
      <c r="AQ311" s="557"/>
      <c r="AZ311" s="452"/>
      <c r="BA311" s="452"/>
    </row>
    <row r="312" spans="13:53" ht="18" x14ac:dyDescent="0.25">
      <c r="M312" s="84"/>
      <c r="AA312" s="84"/>
      <c r="AI312" s="555"/>
      <c r="AJ312" s="555"/>
      <c r="AK312" s="555"/>
      <c r="AL312" s="555"/>
      <c r="AM312" s="555"/>
      <c r="AQ312" s="557"/>
      <c r="AZ312" s="452"/>
      <c r="BA312" s="452"/>
    </row>
    <row r="313" spans="13:53" ht="18" x14ac:dyDescent="0.25">
      <c r="M313" s="84"/>
      <c r="AA313" s="84"/>
      <c r="AI313" s="555"/>
      <c r="AJ313" s="555"/>
      <c r="AK313" s="555"/>
      <c r="AL313" s="555"/>
      <c r="AM313" s="555"/>
      <c r="AQ313" s="557"/>
      <c r="AZ313" s="452"/>
      <c r="BA313" s="452"/>
    </row>
    <row r="314" spans="13:53" ht="18" x14ac:dyDescent="0.25">
      <c r="M314" s="84"/>
      <c r="AI314" s="555"/>
      <c r="AJ314" s="555"/>
      <c r="AK314" s="555"/>
      <c r="AL314" s="555"/>
      <c r="AM314" s="555"/>
      <c r="AQ314" s="557"/>
      <c r="AZ314" s="452"/>
      <c r="BA314" s="452"/>
    </row>
    <row r="315" spans="13:53" ht="18" x14ac:dyDescent="0.25">
      <c r="M315" s="84"/>
      <c r="AI315" s="555"/>
      <c r="AJ315" s="555"/>
      <c r="AK315" s="555"/>
      <c r="AL315" s="555"/>
      <c r="AM315" s="555"/>
      <c r="AQ315" s="556"/>
      <c r="AZ315" s="452"/>
    </row>
    <row r="316" spans="13:53" ht="18" x14ac:dyDescent="0.25">
      <c r="M316" s="84"/>
      <c r="AI316" s="555"/>
      <c r="AJ316" s="555"/>
      <c r="AK316" s="555"/>
      <c r="AL316" s="555"/>
      <c r="AM316" s="555"/>
      <c r="AQ316" s="313"/>
      <c r="BA316" s="452"/>
    </row>
    <row r="317" spans="13:53" ht="18" x14ac:dyDescent="0.25">
      <c r="M317" s="84"/>
      <c r="AI317" s="637"/>
      <c r="AJ317" s="637"/>
      <c r="AK317" s="637"/>
      <c r="AL317" s="637"/>
      <c r="AM317" s="637"/>
      <c r="AN317" s="455"/>
      <c r="AO317" s="313"/>
      <c r="AP317" s="313"/>
      <c r="AQ317" s="313"/>
      <c r="AZ317" s="452"/>
      <c r="BA317" s="452"/>
    </row>
    <row r="318" spans="13:53" ht="18" x14ac:dyDescent="0.25">
      <c r="M318" s="84"/>
      <c r="AI318" s="556"/>
      <c r="AJ318" s="556"/>
      <c r="AK318" s="556"/>
      <c r="AL318" s="556"/>
      <c r="AM318" s="556"/>
      <c r="AN318" s="455"/>
      <c r="AO318" s="313"/>
      <c r="AP318" s="313"/>
      <c r="AQ318" s="313"/>
      <c r="AZ318" s="452"/>
      <c r="BA318" s="452"/>
    </row>
    <row r="319" spans="13:53" ht="18" x14ac:dyDescent="0.25">
      <c r="M319" s="84"/>
      <c r="AI319" s="556"/>
      <c r="AJ319" s="556"/>
      <c r="AK319" s="556"/>
      <c r="AL319" s="556"/>
      <c r="AM319" s="556"/>
      <c r="AN319" s="455"/>
      <c r="AO319" s="313"/>
      <c r="AP319" s="313"/>
      <c r="AQ319" s="556"/>
      <c r="AZ319" s="452"/>
      <c r="BA319" s="556"/>
    </row>
    <row r="320" spans="13:53" ht="18" x14ac:dyDescent="0.25">
      <c r="M320" s="84"/>
      <c r="AI320" s="556"/>
      <c r="AJ320" s="556"/>
      <c r="AK320" s="556"/>
      <c r="AL320" s="556"/>
      <c r="AM320" s="556"/>
      <c r="AN320" s="455"/>
      <c r="AO320" s="313"/>
      <c r="AP320" s="313"/>
      <c r="AQ320" s="557"/>
      <c r="AR320" s="557"/>
      <c r="AS320" s="557"/>
      <c r="AT320" s="557"/>
      <c r="AU320" s="557"/>
      <c r="AZ320" s="556"/>
      <c r="BA320" s="452"/>
    </row>
    <row r="321" spans="13:53" ht="18" x14ac:dyDescent="0.25">
      <c r="M321" s="84"/>
      <c r="AI321" s="639"/>
      <c r="AJ321" s="639"/>
      <c r="AK321" s="639"/>
      <c r="AL321" s="639"/>
      <c r="AM321" s="639"/>
      <c r="AN321" s="639"/>
      <c r="AO321" s="556"/>
      <c r="AP321" s="556"/>
      <c r="AW321" s="452"/>
      <c r="AX321" s="452"/>
      <c r="AY321" s="452"/>
      <c r="AZ321" s="452"/>
      <c r="BA321" s="452"/>
    </row>
    <row r="322" spans="13:53" ht="18" x14ac:dyDescent="0.25">
      <c r="M322" s="84"/>
      <c r="AI322" s="639"/>
      <c r="AJ322" s="639"/>
      <c r="AK322" s="639"/>
      <c r="AL322" s="639"/>
      <c r="AM322" s="639"/>
      <c r="AN322" s="639"/>
      <c r="AO322" s="557"/>
      <c r="AP322" s="557"/>
      <c r="AQ322" s="556"/>
      <c r="AW322" s="452"/>
      <c r="AX322" s="452"/>
      <c r="AY322" s="452"/>
      <c r="AZ322" s="452"/>
      <c r="BA322" s="452"/>
    </row>
    <row r="323" spans="13:53" ht="18" x14ac:dyDescent="0.25">
      <c r="M323" s="84"/>
      <c r="AQ323" s="556"/>
      <c r="AW323" s="452"/>
      <c r="AX323" s="452"/>
      <c r="AY323" s="452"/>
      <c r="AZ323" s="452"/>
    </row>
    <row r="324" spans="13:53" ht="18" x14ac:dyDescent="0.25">
      <c r="M324" s="84"/>
      <c r="AI324" s="639"/>
      <c r="AJ324" s="639"/>
      <c r="AK324" s="639"/>
      <c r="AL324" s="639"/>
      <c r="AM324" s="639"/>
      <c r="AN324" s="639"/>
      <c r="AO324" s="556"/>
      <c r="AP324" s="556"/>
      <c r="AQ324" s="556"/>
      <c r="AR324" s="556"/>
      <c r="AS324" s="556"/>
      <c r="AT324" s="556"/>
      <c r="AU324" s="556"/>
      <c r="AW324" s="556"/>
      <c r="AX324" s="556"/>
      <c r="AY324" s="556"/>
    </row>
    <row r="325" spans="13:53" ht="18" x14ac:dyDescent="0.25">
      <c r="M325" s="84"/>
      <c r="AI325" s="637"/>
      <c r="AJ325" s="637"/>
      <c r="AK325" s="637"/>
      <c r="AL325" s="637"/>
      <c r="AM325" s="637"/>
      <c r="AN325" s="455"/>
      <c r="AO325" s="313"/>
      <c r="AP325" s="313"/>
      <c r="AQ325" s="313"/>
      <c r="AR325" s="313"/>
      <c r="AS325" s="313"/>
      <c r="AT325" s="313"/>
      <c r="AU325" s="313"/>
      <c r="AW325" s="452"/>
      <c r="AX325" s="452"/>
      <c r="AY325" s="452"/>
      <c r="BA325" s="452"/>
    </row>
    <row r="326" spans="13:53" ht="18" x14ac:dyDescent="0.25">
      <c r="M326" s="84"/>
      <c r="AI326" s="556"/>
      <c r="AJ326" s="556"/>
      <c r="AK326" s="556"/>
      <c r="AL326" s="556"/>
      <c r="AM326" s="556"/>
      <c r="AN326" s="455"/>
      <c r="AO326" s="313"/>
      <c r="AP326" s="313"/>
      <c r="AQ326" s="313"/>
      <c r="AR326" s="313"/>
      <c r="AS326" s="313"/>
      <c r="AT326" s="313"/>
      <c r="AU326" s="313"/>
      <c r="AW326" s="452"/>
      <c r="AX326" s="452"/>
      <c r="AY326" s="452"/>
      <c r="AZ326" s="452"/>
      <c r="BA326" s="452"/>
    </row>
    <row r="327" spans="13:53" ht="18" x14ac:dyDescent="0.25">
      <c r="M327" s="84"/>
      <c r="AI327" s="556"/>
      <c r="AJ327" s="556"/>
      <c r="AK327" s="556"/>
      <c r="AL327" s="556"/>
      <c r="AM327" s="556"/>
      <c r="AN327" s="455"/>
      <c r="AO327" s="313"/>
      <c r="AP327" s="313"/>
      <c r="AQ327" s="313"/>
      <c r="AZ327" s="452"/>
      <c r="BA327" s="452"/>
    </row>
    <row r="328" spans="13:53" ht="18" x14ac:dyDescent="0.25">
      <c r="M328" s="84"/>
      <c r="AI328" s="556"/>
      <c r="AJ328" s="556"/>
      <c r="AK328" s="556"/>
      <c r="AL328" s="556"/>
      <c r="AM328" s="556"/>
      <c r="AN328" s="455"/>
      <c r="AO328" s="313"/>
      <c r="AP328" s="313"/>
      <c r="AQ328" s="313"/>
      <c r="AZ328" s="452"/>
      <c r="BA328" s="452"/>
    </row>
    <row r="329" spans="13:53" ht="18" x14ac:dyDescent="0.25">
      <c r="M329" s="84"/>
      <c r="AI329" s="556"/>
      <c r="AJ329" s="556"/>
      <c r="AK329" s="556"/>
      <c r="AL329" s="556"/>
      <c r="AM329" s="556"/>
      <c r="AN329" s="455"/>
      <c r="AO329" s="313"/>
      <c r="AP329" s="313"/>
      <c r="AQ329" s="313"/>
      <c r="AR329" s="557"/>
      <c r="AS329" s="557"/>
      <c r="AT329" s="557"/>
      <c r="AU329" s="557"/>
      <c r="AZ329" s="452"/>
      <c r="BA329" s="452"/>
    </row>
    <row r="330" spans="13:53" ht="18" x14ac:dyDescent="0.25">
      <c r="M330" s="84"/>
      <c r="AI330" s="556"/>
      <c r="AJ330" s="556"/>
      <c r="AK330" s="556"/>
      <c r="AL330" s="556"/>
      <c r="AM330" s="556"/>
      <c r="AN330" s="455"/>
      <c r="AO330" s="313"/>
      <c r="AP330" s="313"/>
      <c r="AR330" s="557"/>
      <c r="AS330" s="557"/>
      <c r="AT330" s="557"/>
      <c r="AU330" s="557"/>
      <c r="AZ330" s="452"/>
      <c r="BA330" s="452"/>
    </row>
    <row r="331" spans="13:53" ht="18" x14ac:dyDescent="0.25">
      <c r="M331" s="84"/>
      <c r="AI331" s="556"/>
      <c r="AJ331" s="556"/>
      <c r="AK331" s="556"/>
      <c r="AL331" s="556"/>
      <c r="AM331" s="556"/>
      <c r="AN331" s="455"/>
      <c r="AO331" s="313"/>
      <c r="AP331" s="313"/>
      <c r="AQ331" s="556"/>
      <c r="AR331" s="557"/>
      <c r="AS331" s="557"/>
      <c r="AT331" s="557"/>
      <c r="AU331" s="557"/>
      <c r="AZ331" s="452"/>
      <c r="BA331" s="452"/>
    </row>
    <row r="332" spans="13:53" ht="18" x14ac:dyDescent="0.25">
      <c r="M332" s="84"/>
      <c r="AQ332" s="556"/>
      <c r="AW332" s="452"/>
      <c r="AX332" s="452"/>
      <c r="AY332" s="452"/>
      <c r="AZ332" s="452"/>
    </row>
    <row r="333" spans="13:53" ht="18" x14ac:dyDescent="0.25">
      <c r="M333" s="84"/>
      <c r="AI333" s="639"/>
      <c r="AJ333" s="639"/>
      <c r="AK333" s="639"/>
      <c r="AL333" s="639"/>
      <c r="AM333" s="639"/>
      <c r="AN333" s="639"/>
      <c r="AO333" s="556"/>
      <c r="AP333" s="556"/>
      <c r="AQ333" s="313"/>
      <c r="AR333" s="556"/>
      <c r="AS333" s="556"/>
      <c r="AT333" s="556"/>
      <c r="AU333" s="556"/>
      <c r="AW333" s="556"/>
      <c r="AX333" s="556"/>
      <c r="AY333" s="556"/>
    </row>
    <row r="334" spans="13:53" ht="18" x14ac:dyDescent="0.25">
      <c r="M334" s="84"/>
      <c r="AI334" s="637"/>
      <c r="AJ334" s="637"/>
      <c r="AK334" s="637"/>
      <c r="AL334" s="637"/>
      <c r="AM334" s="637"/>
      <c r="AN334" s="455"/>
      <c r="AO334" s="313"/>
      <c r="AP334" s="313"/>
      <c r="AQ334" s="556"/>
      <c r="AR334" s="313"/>
      <c r="AS334" s="313"/>
      <c r="AT334" s="313"/>
      <c r="AU334" s="313"/>
      <c r="AW334" s="452"/>
      <c r="AX334" s="452"/>
      <c r="AY334" s="452"/>
    </row>
    <row r="335" spans="13:53" ht="18" x14ac:dyDescent="0.25">
      <c r="M335" s="84"/>
      <c r="AI335" s="639"/>
      <c r="AJ335" s="639"/>
      <c r="AK335" s="639"/>
      <c r="AL335" s="639"/>
      <c r="AM335" s="639"/>
      <c r="AN335" s="639"/>
      <c r="AO335" s="556"/>
      <c r="AP335" s="556"/>
      <c r="AQ335" s="557"/>
      <c r="AR335" s="556"/>
      <c r="AS335" s="556"/>
      <c r="AT335" s="556"/>
      <c r="AU335" s="556"/>
      <c r="AW335" s="452"/>
      <c r="AX335" s="452"/>
      <c r="AY335" s="452"/>
    </row>
    <row r="336" spans="13:53" ht="18" x14ac:dyDescent="0.25">
      <c r="M336" s="84"/>
      <c r="AI336" s="639"/>
      <c r="AJ336" s="639"/>
      <c r="AK336" s="639"/>
      <c r="AL336" s="639"/>
      <c r="AM336" s="639"/>
      <c r="AN336" s="639"/>
      <c r="AO336" s="557"/>
      <c r="AP336" s="557"/>
      <c r="AR336" s="556"/>
      <c r="AS336" s="556"/>
      <c r="AT336" s="556"/>
      <c r="AU336" s="556"/>
      <c r="AW336" s="452"/>
      <c r="AX336" s="452"/>
      <c r="AY336" s="452"/>
    </row>
    <row r="337" spans="13:51" ht="18" x14ac:dyDescent="0.25">
      <c r="M337" s="84"/>
      <c r="AI337" s="555"/>
      <c r="AJ337" s="555"/>
      <c r="AK337" s="555"/>
      <c r="AL337" s="555"/>
      <c r="AM337" s="555"/>
      <c r="AQ337" s="556"/>
      <c r="AR337" s="557"/>
      <c r="AS337" s="557"/>
      <c r="AT337" s="557"/>
      <c r="AU337" s="557"/>
    </row>
    <row r="338" spans="13:51" ht="18" x14ac:dyDescent="0.25">
      <c r="M338" s="84"/>
      <c r="AI338" s="639"/>
      <c r="AJ338" s="639"/>
      <c r="AK338" s="639"/>
      <c r="AL338" s="639"/>
      <c r="AM338" s="639"/>
      <c r="AN338" s="639"/>
      <c r="AO338" s="556"/>
      <c r="AP338" s="556"/>
      <c r="AQ338" s="313"/>
      <c r="AW338" s="452"/>
      <c r="AX338" s="452"/>
      <c r="AY338" s="452"/>
    </row>
    <row r="339" spans="13:51" ht="18" x14ac:dyDescent="0.25">
      <c r="M339" s="84"/>
      <c r="AI339" s="637"/>
      <c r="AJ339" s="637"/>
      <c r="AK339" s="637"/>
      <c r="AL339" s="637"/>
      <c r="AM339" s="637"/>
      <c r="AN339" s="455"/>
      <c r="AO339" s="313"/>
      <c r="AP339" s="313"/>
      <c r="AQ339" s="556"/>
      <c r="AR339" s="556"/>
      <c r="AS339" s="556"/>
      <c r="AT339" s="556"/>
      <c r="AU339" s="556"/>
      <c r="AW339" s="556"/>
      <c r="AX339" s="556"/>
      <c r="AY339" s="556"/>
    </row>
    <row r="340" spans="13:51" ht="18" x14ac:dyDescent="0.25">
      <c r="M340" s="84"/>
      <c r="AI340" s="639"/>
      <c r="AJ340" s="639"/>
      <c r="AK340" s="639"/>
      <c r="AL340" s="639"/>
      <c r="AM340" s="639"/>
      <c r="AN340" s="639"/>
      <c r="AO340" s="556"/>
      <c r="AP340" s="556"/>
      <c r="AQ340" s="557"/>
      <c r="AR340" s="313"/>
      <c r="AS340" s="313"/>
      <c r="AT340" s="313"/>
      <c r="AU340" s="313"/>
      <c r="AW340" s="452"/>
      <c r="AX340" s="452"/>
      <c r="AY340" s="452"/>
    </row>
    <row r="341" spans="13:51" ht="18" x14ac:dyDescent="0.25">
      <c r="M341" s="84"/>
      <c r="AI341" s="639"/>
      <c r="AJ341" s="639"/>
      <c r="AK341" s="639"/>
      <c r="AL341" s="639"/>
      <c r="AM341" s="639"/>
      <c r="AN341" s="639"/>
      <c r="AO341" s="557"/>
      <c r="AP341" s="557"/>
      <c r="AR341" s="556"/>
      <c r="AS341" s="556"/>
      <c r="AT341" s="556"/>
      <c r="AU341" s="556"/>
      <c r="AW341" s="452"/>
      <c r="AX341" s="452"/>
      <c r="AY341" s="452"/>
    </row>
    <row r="342" spans="13:51" ht="18" x14ac:dyDescent="0.25">
      <c r="M342" s="84"/>
      <c r="AK342" s="125"/>
      <c r="AQ342" s="556"/>
      <c r="AR342" s="557"/>
      <c r="AS342" s="557"/>
      <c r="AT342" s="557"/>
      <c r="AU342" s="557"/>
    </row>
    <row r="343" spans="13:51" ht="18" x14ac:dyDescent="0.25">
      <c r="M343" s="84"/>
      <c r="AI343" s="638"/>
      <c r="AJ343" s="638"/>
      <c r="AK343" s="638"/>
      <c r="AL343" s="638"/>
      <c r="AM343" s="638"/>
      <c r="AN343" s="638"/>
      <c r="AO343" s="556"/>
      <c r="AP343" s="556"/>
      <c r="AQ343" s="313"/>
    </row>
    <row r="344" spans="13:51" ht="18" x14ac:dyDescent="0.25">
      <c r="M344" s="84"/>
      <c r="AI344" s="640"/>
      <c r="AJ344" s="640"/>
      <c r="AK344" s="640"/>
      <c r="AL344" s="640"/>
      <c r="AM344" s="640"/>
      <c r="AN344" s="455"/>
      <c r="AO344" s="313"/>
      <c r="AP344" s="313"/>
      <c r="AQ344" s="556"/>
      <c r="AR344" s="556"/>
      <c r="AS344" s="556"/>
      <c r="AT344" s="556"/>
      <c r="AU344" s="556"/>
    </row>
    <row r="345" spans="13:51" ht="18" x14ac:dyDescent="0.25">
      <c r="M345" s="84"/>
      <c r="AI345" s="638"/>
      <c r="AJ345" s="638"/>
      <c r="AK345" s="638"/>
      <c r="AL345" s="638"/>
      <c r="AM345" s="638"/>
      <c r="AN345" s="638"/>
      <c r="AO345" s="556"/>
      <c r="AP345" s="556"/>
      <c r="AQ345" s="557"/>
      <c r="AR345" s="313"/>
      <c r="AS345" s="313"/>
      <c r="AT345" s="313"/>
      <c r="AU345" s="313"/>
    </row>
    <row r="346" spans="13:51" ht="18" x14ac:dyDescent="0.25">
      <c r="M346" s="84"/>
      <c r="AI346" s="638"/>
      <c r="AJ346" s="638"/>
      <c r="AK346" s="638"/>
      <c r="AL346" s="638"/>
      <c r="AM346" s="638"/>
      <c r="AN346" s="638"/>
      <c r="AO346" s="557"/>
      <c r="AP346" s="557"/>
      <c r="AR346" s="556"/>
      <c r="AS346" s="556"/>
      <c r="AT346" s="556"/>
      <c r="AU346" s="556"/>
    </row>
    <row r="347" spans="13:51" ht="18" x14ac:dyDescent="0.25">
      <c r="M347" s="84"/>
      <c r="AI347" s="555"/>
      <c r="AJ347" s="555"/>
      <c r="AK347" s="555"/>
      <c r="AL347" s="555"/>
      <c r="AM347" s="555"/>
      <c r="AQ347" s="556"/>
      <c r="AR347" s="557"/>
      <c r="AS347" s="557"/>
      <c r="AT347" s="557"/>
      <c r="AU347" s="557"/>
    </row>
    <row r="348" spans="13:51" ht="18" x14ac:dyDescent="0.25">
      <c r="M348" s="84"/>
      <c r="AI348" s="639"/>
      <c r="AJ348" s="639"/>
      <c r="AK348" s="639"/>
      <c r="AL348" s="639"/>
      <c r="AM348" s="639"/>
      <c r="AN348" s="639"/>
      <c r="AO348" s="556"/>
      <c r="AP348" s="556"/>
      <c r="AQ348" s="313"/>
    </row>
    <row r="349" spans="13:51" ht="18" x14ac:dyDescent="0.25">
      <c r="M349" s="84"/>
      <c r="AI349" s="637"/>
      <c r="AJ349" s="637"/>
      <c r="AK349" s="637"/>
      <c r="AL349" s="637"/>
      <c r="AM349" s="637"/>
      <c r="AN349" s="455"/>
      <c r="AO349" s="313"/>
      <c r="AP349" s="313"/>
      <c r="AQ349" s="556"/>
      <c r="AR349" s="556"/>
      <c r="AS349" s="556"/>
      <c r="AT349" s="556"/>
      <c r="AU349" s="556"/>
    </row>
    <row r="350" spans="13:51" ht="18" x14ac:dyDescent="0.25">
      <c r="M350" s="84"/>
      <c r="AI350" s="639"/>
      <c r="AJ350" s="639"/>
      <c r="AK350" s="639"/>
      <c r="AL350" s="639"/>
      <c r="AM350" s="639"/>
      <c r="AN350" s="639"/>
      <c r="AO350" s="556"/>
      <c r="AP350" s="556"/>
      <c r="AQ350" s="557"/>
      <c r="AR350" s="313"/>
      <c r="AS350" s="313"/>
      <c r="AT350" s="313"/>
      <c r="AU350" s="313"/>
    </row>
    <row r="351" spans="13:51" ht="18" x14ac:dyDescent="0.25">
      <c r="M351" s="84"/>
      <c r="AI351" s="639"/>
      <c r="AJ351" s="639"/>
      <c r="AK351" s="639"/>
      <c r="AL351" s="639"/>
      <c r="AM351" s="639"/>
      <c r="AN351" s="639"/>
      <c r="AO351" s="557"/>
      <c r="AP351" s="557"/>
      <c r="AR351" s="556"/>
      <c r="AS351" s="556"/>
      <c r="AT351" s="556"/>
      <c r="AU351" s="556"/>
    </row>
    <row r="352" spans="13:51" x14ac:dyDescent="0.25">
      <c r="M352" s="84"/>
      <c r="AR352" s="557"/>
      <c r="AS352" s="557"/>
      <c r="AT352" s="557"/>
      <c r="AU352" s="557"/>
    </row>
    <row r="353" spans="13:47" ht="18" x14ac:dyDescent="0.25">
      <c r="M353" s="84"/>
      <c r="AI353" s="555"/>
      <c r="AJ353" s="555"/>
      <c r="AK353" s="555"/>
      <c r="AL353" s="555"/>
      <c r="AM353" s="555"/>
      <c r="AQ353" s="556"/>
    </row>
    <row r="354" spans="13:47" ht="18" x14ac:dyDescent="0.25">
      <c r="M354" s="84"/>
      <c r="AI354" s="639"/>
      <c r="AJ354" s="639"/>
      <c r="AK354" s="639"/>
      <c r="AL354" s="639"/>
      <c r="AM354" s="639"/>
      <c r="AN354" s="639"/>
      <c r="AO354" s="556"/>
      <c r="AP354" s="556"/>
      <c r="AR354" s="556"/>
      <c r="AS354" s="556"/>
      <c r="AT354" s="556"/>
      <c r="AU354" s="556"/>
    </row>
    <row r="355" spans="13:47" ht="18" x14ac:dyDescent="0.25">
      <c r="M355" s="84"/>
      <c r="AI355" s="637"/>
      <c r="AJ355" s="637"/>
      <c r="AK355" s="637"/>
      <c r="AL355" s="637"/>
      <c r="AM355" s="637"/>
      <c r="AN355" s="455"/>
      <c r="AO355" s="313"/>
      <c r="AP355" s="313"/>
      <c r="AR355" s="313"/>
      <c r="AS355" s="313"/>
      <c r="AT355" s="313"/>
      <c r="AU355" s="313"/>
    </row>
    <row r="356" spans="13:47" x14ac:dyDescent="0.25">
      <c r="M356" s="84"/>
    </row>
    <row r="357" spans="13:47" x14ac:dyDescent="0.25">
      <c r="M357" s="84"/>
    </row>
    <row r="358" spans="13:47" x14ac:dyDescent="0.25">
      <c r="M358" s="84"/>
    </row>
    <row r="359" spans="13:47" x14ac:dyDescent="0.25">
      <c r="M359" s="84"/>
    </row>
    <row r="360" spans="13:47" x14ac:dyDescent="0.25">
      <c r="M360" s="84"/>
    </row>
    <row r="361" spans="13:47" x14ac:dyDescent="0.25">
      <c r="M361" s="84"/>
    </row>
    <row r="362" spans="13:47" x14ac:dyDescent="0.25">
      <c r="M362" s="84"/>
    </row>
    <row r="363" spans="13:47" x14ac:dyDescent="0.25">
      <c r="M363" s="84"/>
    </row>
    <row r="364" spans="13:47" x14ac:dyDescent="0.25">
      <c r="M364" s="84"/>
    </row>
    <row r="365" spans="13:47" x14ac:dyDescent="0.25">
      <c r="M365" s="84"/>
    </row>
    <row r="366" spans="13:47" x14ac:dyDescent="0.25">
      <c r="M366" s="84"/>
    </row>
    <row r="367" spans="13:47" x14ac:dyDescent="0.25">
      <c r="M367" s="84"/>
    </row>
    <row r="368" spans="13:47" x14ac:dyDescent="0.25">
      <c r="M368" s="84"/>
    </row>
    <row r="369" spans="13:13" x14ac:dyDescent="0.25">
      <c r="M369" s="84"/>
    </row>
    <row r="370" spans="13:13" x14ac:dyDescent="0.25">
      <c r="M370" s="84"/>
    </row>
    <row r="371" spans="13:13" x14ac:dyDescent="0.25">
      <c r="M371" s="84"/>
    </row>
    <row r="372" spans="13:13" x14ac:dyDescent="0.25">
      <c r="M372" s="84"/>
    </row>
    <row r="373" spans="13:13" x14ac:dyDescent="0.25">
      <c r="M373" s="84"/>
    </row>
    <row r="374" spans="13:13" x14ac:dyDescent="0.25">
      <c r="M374" s="84"/>
    </row>
    <row r="375" spans="13:13" x14ac:dyDescent="0.25">
      <c r="M375" s="84"/>
    </row>
    <row r="376" spans="13:13" x14ac:dyDescent="0.25">
      <c r="M376" s="84"/>
    </row>
    <row r="377" spans="13:13" x14ac:dyDescent="0.25">
      <c r="M377" s="84"/>
    </row>
    <row r="378" spans="13:13" x14ac:dyDescent="0.25">
      <c r="M378" s="84"/>
    </row>
    <row r="379" spans="13:13" x14ac:dyDescent="0.25">
      <c r="M379" s="84"/>
    </row>
    <row r="380" spans="13:13" x14ac:dyDescent="0.25">
      <c r="M380" s="84"/>
    </row>
    <row r="381" spans="13:13" x14ac:dyDescent="0.25">
      <c r="M381" s="84"/>
    </row>
    <row r="382" spans="13:13" x14ac:dyDescent="0.25">
      <c r="M382" s="84"/>
    </row>
    <row r="383" spans="13:13" x14ac:dyDescent="0.25">
      <c r="M383" s="84"/>
    </row>
    <row r="384" spans="13:13" x14ac:dyDescent="0.25">
      <c r="M384" s="84"/>
    </row>
    <row r="385" spans="13:13" x14ac:dyDescent="0.25">
      <c r="M385" s="84"/>
    </row>
    <row r="386" spans="13:13" x14ac:dyDescent="0.25">
      <c r="M386" s="84"/>
    </row>
    <row r="387" spans="13:13" x14ac:dyDescent="0.25">
      <c r="M387" s="84"/>
    </row>
    <row r="388" spans="13:13" x14ac:dyDescent="0.25">
      <c r="M388" s="84"/>
    </row>
    <row r="389" spans="13:13" x14ac:dyDescent="0.25">
      <c r="M389" s="84"/>
    </row>
    <row r="390" spans="13:13" x14ac:dyDescent="0.25">
      <c r="M390" s="84"/>
    </row>
    <row r="391" spans="13:13" x14ac:dyDescent="0.25">
      <c r="M391" s="84"/>
    </row>
    <row r="392" spans="13:13" x14ac:dyDescent="0.25">
      <c r="M392" s="84"/>
    </row>
    <row r="393" spans="13:13" x14ac:dyDescent="0.25">
      <c r="M393" s="84"/>
    </row>
    <row r="394" spans="13:13" x14ac:dyDescent="0.25">
      <c r="M394" s="84"/>
    </row>
    <row r="395" spans="13:13" x14ac:dyDescent="0.25">
      <c r="M395" s="84"/>
    </row>
    <row r="396" spans="13:13" x14ac:dyDescent="0.25">
      <c r="M396" s="84"/>
    </row>
    <row r="397" spans="13:13" x14ac:dyDescent="0.25">
      <c r="M397" s="84"/>
    </row>
    <row r="398" spans="13:13" x14ac:dyDescent="0.25">
      <c r="M398" s="84"/>
    </row>
    <row r="399" spans="13:13" x14ac:dyDescent="0.25">
      <c r="M399" s="84"/>
    </row>
    <row r="400" spans="13:13" x14ac:dyDescent="0.25">
      <c r="M400" s="84"/>
    </row>
    <row r="401" spans="13:13" x14ac:dyDescent="0.25">
      <c r="M401" s="84"/>
    </row>
    <row r="402" spans="13:13" x14ac:dyDescent="0.25">
      <c r="M402" s="84"/>
    </row>
    <row r="403" spans="13:13" x14ac:dyDescent="0.25">
      <c r="M403" s="84"/>
    </row>
    <row r="404" spans="13:13" x14ac:dyDescent="0.25">
      <c r="M404" s="84"/>
    </row>
    <row r="405" spans="13:13" x14ac:dyDescent="0.25">
      <c r="M405" s="84"/>
    </row>
    <row r="406" spans="13:13" x14ac:dyDescent="0.25">
      <c r="M406" s="84"/>
    </row>
    <row r="407" spans="13:13" x14ac:dyDescent="0.25">
      <c r="M407" s="84"/>
    </row>
    <row r="408" spans="13:13" x14ac:dyDescent="0.25">
      <c r="M408" s="84"/>
    </row>
    <row r="409" spans="13:13" x14ac:dyDescent="0.25">
      <c r="M409" s="84"/>
    </row>
    <row r="410" spans="13:13" x14ac:dyDescent="0.25">
      <c r="M410" s="84"/>
    </row>
    <row r="411" spans="13:13" x14ac:dyDescent="0.25">
      <c r="M411" s="84"/>
    </row>
    <row r="412" spans="13:13" x14ac:dyDescent="0.25">
      <c r="M412" s="84"/>
    </row>
    <row r="413" spans="13:13" x14ac:dyDescent="0.25">
      <c r="M413" s="84"/>
    </row>
    <row r="414" spans="13:13" x14ac:dyDescent="0.25">
      <c r="M414" s="84"/>
    </row>
    <row r="415" spans="13:13" x14ac:dyDescent="0.25">
      <c r="M415" s="84"/>
    </row>
    <row r="416" spans="13:13" x14ac:dyDescent="0.25">
      <c r="M416" s="84"/>
    </row>
    <row r="417" spans="13:13" x14ac:dyDescent="0.25">
      <c r="M417" s="84"/>
    </row>
    <row r="418" spans="13:13" x14ac:dyDescent="0.25">
      <c r="M418" s="84"/>
    </row>
    <row r="419" spans="13:13" x14ac:dyDescent="0.25">
      <c r="M419" s="84"/>
    </row>
    <row r="420" spans="13:13" x14ac:dyDescent="0.25">
      <c r="M420" s="84"/>
    </row>
    <row r="421" spans="13:13" x14ac:dyDescent="0.25">
      <c r="M421" s="84"/>
    </row>
    <row r="422" spans="13:13" x14ac:dyDescent="0.25">
      <c r="M422" s="84"/>
    </row>
    <row r="423" spans="13:13" x14ac:dyDescent="0.25">
      <c r="M423" s="84"/>
    </row>
    <row r="424" spans="13:13" x14ac:dyDescent="0.25">
      <c r="M424" s="84"/>
    </row>
    <row r="425" spans="13:13" x14ac:dyDescent="0.25">
      <c r="M425" s="84"/>
    </row>
    <row r="426" spans="13:13" x14ac:dyDescent="0.25">
      <c r="M426" s="84"/>
    </row>
    <row r="427" spans="13:13" x14ac:dyDescent="0.25">
      <c r="M427" s="84"/>
    </row>
    <row r="428" spans="13:13" x14ac:dyDescent="0.25">
      <c r="M428" s="84"/>
    </row>
    <row r="429" spans="13:13" x14ac:dyDescent="0.25">
      <c r="M429" s="84"/>
    </row>
    <row r="430" spans="13:13" x14ac:dyDescent="0.25">
      <c r="M430" s="84"/>
    </row>
    <row r="431" spans="13:13" x14ac:dyDescent="0.25">
      <c r="M431" s="84"/>
    </row>
    <row r="432" spans="13:13" x14ac:dyDescent="0.25">
      <c r="M432" s="84"/>
    </row>
    <row r="433" spans="13:13" x14ac:dyDescent="0.25">
      <c r="M433" s="84"/>
    </row>
    <row r="434" spans="13:13" x14ac:dyDescent="0.25">
      <c r="M434" s="84"/>
    </row>
    <row r="435" spans="13:13" x14ac:dyDescent="0.25">
      <c r="M435" s="84"/>
    </row>
    <row r="436" spans="13:13" x14ac:dyDescent="0.25">
      <c r="M436" s="84"/>
    </row>
    <row r="437" spans="13:13" x14ac:dyDescent="0.25">
      <c r="M437" s="84"/>
    </row>
    <row r="438" spans="13:13" x14ac:dyDescent="0.25">
      <c r="M438" s="84"/>
    </row>
    <row r="439" spans="13:13" x14ac:dyDescent="0.25">
      <c r="M439" s="84"/>
    </row>
    <row r="440" spans="13:13" x14ac:dyDescent="0.25">
      <c r="M440" s="84"/>
    </row>
    <row r="441" spans="13:13" x14ac:dyDescent="0.25">
      <c r="M441" s="84"/>
    </row>
    <row r="442" spans="13:13" x14ac:dyDescent="0.25">
      <c r="M442" s="84"/>
    </row>
    <row r="443" spans="13:13" x14ac:dyDescent="0.25">
      <c r="M443" s="84"/>
    </row>
    <row r="444" spans="13:13" x14ac:dyDescent="0.25">
      <c r="M444" s="84"/>
    </row>
    <row r="445" spans="13:13" x14ac:dyDescent="0.25">
      <c r="M445" s="84"/>
    </row>
    <row r="446" spans="13:13" x14ac:dyDescent="0.25">
      <c r="M446" s="84"/>
    </row>
    <row r="447" spans="13:13" x14ac:dyDescent="0.25">
      <c r="M447" s="84"/>
    </row>
    <row r="448" spans="13:13" x14ac:dyDescent="0.25">
      <c r="M448" s="84"/>
    </row>
    <row r="449" spans="13:58" x14ac:dyDescent="0.25">
      <c r="M449" s="84"/>
    </row>
    <row r="450" spans="13:58" x14ac:dyDescent="0.25">
      <c r="M450" s="84"/>
    </row>
    <row r="451" spans="13:58" x14ac:dyDescent="0.25">
      <c r="M451" s="84"/>
      <c r="BF451" s="558" t="s">
        <v>1062</v>
      </c>
    </row>
  </sheetData>
  <mergeCells count="943">
    <mergeCell ref="AN32:AR32"/>
    <mergeCell ref="AA37:AD37"/>
    <mergeCell ref="Z51:AF53"/>
    <mergeCell ref="A67:I67"/>
    <mergeCell ref="J67:M67"/>
    <mergeCell ref="Q67:T67"/>
    <mergeCell ref="W67:Z67"/>
    <mergeCell ref="A1:BC1"/>
    <mergeCell ref="B3:F6"/>
    <mergeCell ref="AB3:AF6"/>
    <mergeCell ref="AL3:BB8"/>
    <mergeCell ref="E9:F9"/>
    <mergeCell ref="W14:Y20"/>
    <mergeCell ref="AU17:AY17"/>
    <mergeCell ref="Y68:Z68"/>
    <mergeCell ref="A69:F69"/>
    <mergeCell ref="G69:I69"/>
    <mergeCell ref="Q69:R69"/>
    <mergeCell ref="S69:T69"/>
    <mergeCell ref="W69:X69"/>
    <mergeCell ref="Y69:Z69"/>
    <mergeCell ref="H30:I31"/>
    <mergeCell ref="AA30:AD30"/>
    <mergeCell ref="U70:V70"/>
    <mergeCell ref="A71:D71"/>
    <mergeCell ref="A72:D72"/>
    <mergeCell ref="A74:D74"/>
    <mergeCell ref="A75:D75"/>
    <mergeCell ref="A76:D76"/>
    <mergeCell ref="Q68:R68"/>
    <mergeCell ref="S68:T68"/>
    <mergeCell ref="W68:X68"/>
    <mergeCell ref="A79:Z79"/>
    <mergeCell ref="D80:H80"/>
    <mergeCell ref="I80:J80"/>
    <mergeCell ref="Q80:U80"/>
    <mergeCell ref="V80:W80"/>
    <mergeCell ref="AC80:AF81"/>
    <mergeCell ref="D81:H81"/>
    <mergeCell ref="I81:J81"/>
    <mergeCell ref="Q81:U81"/>
    <mergeCell ref="V81:W81"/>
    <mergeCell ref="AI81:AN81"/>
    <mergeCell ref="AR81:AW81"/>
    <mergeCell ref="D82:H82"/>
    <mergeCell ref="I82:J82"/>
    <mergeCell ref="Q82:U82"/>
    <mergeCell ref="V82:W82"/>
    <mergeCell ref="AC82:AD82"/>
    <mergeCell ref="AI82:AM82"/>
    <mergeCell ref="AR82:AV82"/>
    <mergeCell ref="AI85:AM85"/>
    <mergeCell ref="AR85:AV85"/>
    <mergeCell ref="A86:I86"/>
    <mergeCell ref="N86:V86"/>
    <mergeCell ref="AI86:AM86"/>
    <mergeCell ref="AR86:AV86"/>
    <mergeCell ref="AR83:AV83"/>
    <mergeCell ref="D84:H84"/>
    <mergeCell ref="I84:J84"/>
    <mergeCell ref="Q84:U84"/>
    <mergeCell ref="V84:W84"/>
    <mergeCell ref="AI84:AM84"/>
    <mergeCell ref="AR84:AV84"/>
    <mergeCell ref="D83:H83"/>
    <mergeCell ref="I83:J83"/>
    <mergeCell ref="Q83:U83"/>
    <mergeCell ref="V83:W83"/>
    <mergeCell ref="AC83:AF83"/>
    <mergeCell ref="AI83:AM83"/>
    <mergeCell ref="A88:C88"/>
    <mergeCell ref="G88:I88"/>
    <mergeCell ref="N88:P88"/>
    <mergeCell ref="T88:V88"/>
    <mergeCell ref="AI88:AM88"/>
    <mergeCell ref="AR88:AV88"/>
    <mergeCell ref="A87:C87"/>
    <mergeCell ref="G87:I87"/>
    <mergeCell ref="N87:P87"/>
    <mergeCell ref="T87:V87"/>
    <mergeCell ref="AI87:AM87"/>
    <mergeCell ref="AR87:AV87"/>
    <mergeCell ref="A90:C90"/>
    <mergeCell ref="G90:I90"/>
    <mergeCell ref="N90:P90"/>
    <mergeCell ref="T90:V90"/>
    <mergeCell ref="AI90:AM90"/>
    <mergeCell ref="AR90:AV90"/>
    <mergeCell ref="A89:C89"/>
    <mergeCell ref="G89:I89"/>
    <mergeCell ref="N89:P89"/>
    <mergeCell ref="T89:V89"/>
    <mergeCell ref="AI89:AM89"/>
    <mergeCell ref="AR89:AV89"/>
    <mergeCell ref="A92:C92"/>
    <mergeCell ref="G92:I92"/>
    <mergeCell ref="N92:P92"/>
    <mergeCell ref="T92:V92"/>
    <mergeCell ref="AI92:AM92"/>
    <mergeCell ref="AR92:AV92"/>
    <mergeCell ref="A91:C91"/>
    <mergeCell ref="G91:I91"/>
    <mergeCell ref="N91:P91"/>
    <mergeCell ref="T91:V91"/>
    <mergeCell ref="AI91:AM91"/>
    <mergeCell ref="AR91:AV91"/>
    <mergeCell ref="A94:C94"/>
    <mergeCell ref="G94:I94"/>
    <mergeCell ref="N94:P94"/>
    <mergeCell ref="T94:V94"/>
    <mergeCell ref="AI94:AM94"/>
    <mergeCell ref="AR94:AV94"/>
    <mergeCell ref="A93:C93"/>
    <mergeCell ref="G93:I93"/>
    <mergeCell ref="N93:P93"/>
    <mergeCell ref="T93:V93"/>
    <mergeCell ref="AI93:AM93"/>
    <mergeCell ref="AR93:AV93"/>
    <mergeCell ref="A96:C96"/>
    <mergeCell ref="G96:I96"/>
    <mergeCell ref="N96:P96"/>
    <mergeCell ref="T96:V96"/>
    <mergeCell ref="AI96:AM96"/>
    <mergeCell ref="AR96:AV96"/>
    <mergeCell ref="A95:C95"/>
    <mergeCell ref="G95:I95"/>
    <mergeCell ref="N95:P95"/>
    <mergeCell ref="T95:V95"/>
    <mergeCell ref="AI95:AM95"/>
    <mergeCell ref="AR95:AV95"/>
    <mergeCell ref="A98:C98"/>
    <mergeCell ref="G98:I98"/>
    <mergeCell ref="N98:P98"/>
    <mergeCell ref="T98:V98"/>
    <mergeCell ref="AI98:AM98"/>
    <mergeCell ref="AR98:AV98"/>
    <mergeCell ref="A97:C97"/>
    <mergeCell ref="G97:I97"/>
    <mergeCell ref="N97:P97"/>
    <mergeCell ref="T97:V97"/>
    <mergeCell ref="AI97:AM97"/>
    <mergeCell ref="AR97:AV97"/>
    <mergeCell ref="A100:C100"/>
    <mergeCell ref="G100:I100"/>
    <mergeCell ref="N100:P100"/>
    <mergeCell ref="T100:V100"/>
    <mergeCell ref="AI100:AM100"/>
    <mergeCell ref="AR100:AV100"/>
    <mergeCell ref="A99:C99"/>
    <mergeCell ref="G99:I99"/>
    <mergeCell ref="N99:P99"/>
    <mergeCell ref="T99:V99"/>
    <mergeCell ref="AI99:AM99"/>
    <mergeCell ref="AR99:AV99"/>
    <mergeCell ref="A102:C102"/>
    <mergeCell ref="G102:I102"/>
    <mergeCell ref="N102:P102"/>
    <mergeCell ref="T102:V102"/>
    <mergeCell ref="AI102:AM102"/>
    <mergeCell ref="AR102:AV102"/>
    <mergeCell ref="A101:C101"/>
    <mergeCell ref="G101:I101"/>
    <mergeCell ref="N101:P101"/>
    <mergeCell ref="T101:V101"/>
    <mergeCell ref="AI101:AM101"/>
    <mergeCell ref="AR101:AV101"/>
    <mergeCell ref="A104:C104"/>
    <mergeCell ref="G104:I104"/>
    <mergeCell ref="N104:P104"/>
    <mergeCell ref="T104:V104"/>
    <mergeCell ref="AI104:AM104"/>
    <mergeCell ref="AR104:AV104"/>
    <mergeCell ref="A103:C103"/>
    <mergeCell ref="G103:I103"/>
    <mergeCell ref="N103:P103"/>
    <mergeCell ref="T103:V103"/>
    <mergeCell ref="AI103:AM103"/>
    <mergeCell ref="AR103:AV103"/>
    <mergeCell ref="A106:C106"/>
    <mergeCell ref="G106:I106"/>
    <mergeCell ref="N106:P106"/>
    <mergeCell ref="T106:V106"/>
    <mergeCell ref="AI106:AM106"/>
    <mergeCell ref="AR106:AV106"/>
    <mergeCell ref="A105:C105"/>
    <mergeCell ref="G105:I105"/>
    <mergeCell ref="N105:P105"/>
    <mergeCell ref="T105:V105"/>
    <mergeCell ref="AI105:AM105"/>
    <mergeCell ref="AR105:AV105"/>
    <mergeCell ref="AR107:AV107"/>
    <mergeCell ref="A108:E108"/>
    <mergeCell ref="G108:I108"/>
    <mergeCell ref="N108:R108"/>
    <mergeCell ref="T108:V108"/>
    <mergeCell ref="AI108:AM108"/>
    <mergeCell ref="AR108:AV108"/>
    <mergeCell ref="A107:C107"/>
    <mergeCell ref="G107:I107"/>
    <mergeCell ref="N107:P107"/>
    <mergeCell ref="T107:V107"/>
    <mergeCell ref="AC107:AF107"/>
    <mergeCell ref="AI107:AM107"/>
    <mergeCell ref="A109:I109"/>
    <mergeCell ref="N109:V109"/>
    <mergeCell ref="AI109:AM109"/>
    <mergeCell ref="AR109:AV109"/>
    <mergeCell ref="A110:C110"/>
    <mergeCell ref="G110:I110"/>
    <mergeCell ref="N110:P110"/>
    <mergeCell ref="T110:V110"/>
    <mergeCell ref="AI110:AM110"/>
    <mergeCell ref="AR110:AV110"/>
    <mergeCell ref="A112:C112"/>
    <mergeCell ref="G112:I112"/>
    <mergeCell ref="N112:P112"/>
    <mergeCell ref="T112:V112"/>
    <mergeCell ref="AI112:AM112"/>
    <mergeCell ref="AR112:AV112"/>
    <mergeCell ref="A111:C111"/>
    <mergeCell ref="G111:I111"/>
    <mergeCell ref="N111:P111"/>
    <mergeCell ref="T111:V111"/>
    <mergeCell ref="AI111:AM111"/>
    <mergeCell ref="AR111:AV111"/>
    <mergeCell ref="A114:C114"/>
    <mergeCell ref="G114:I114"/>
    <mergeCell ref="N114:P114"/>
    <mergeCell ref="T114:V114"/>
    <mergeCell ref="AI114:AM114"/>
    <mergeCell ref="AR114:AV114"/>
    <mergeCell ref="A113:C113"/>
    <mergeCell ref="G113:I113"/>
    <mergeCell ref="N113:P113"/>
    <mergeCell ref="T113:V113"/>
    <mergeCell ref="AI113:AM113"/>
    <mergeCell ref="AR113:AV113"/>
    <mergeCell ref="A116:C116"/>
    <mergeCell ref="G116:I116"/>
    <mergeCell ref="N116:P116"/>
    <mergeCell ref="T116:V116"/>
    <mergeCell ref="AI116:AM116"/>
    <mergeCell ref="AR116:AV116"/>
    <mergeCell ref="A115:C115"/>
    <mergeCell ref="G115:I115"/>
    <mergeCell ref="N115:P115"/>
    <mergeCell ref="T115:V115"/>
    <mergeCell ref="AI115:AM115"/>
    <mergeCell ref="AR115:AV115"/>
    <mergeCell ref="A118:C118"/>
    <mergeCell ref="G118:I118"/>
    <mergeCell ref="N118:P118"/>
    <mergeCell ref="T118:V118"/>
    <mergeCell ref="AI118:AM118"/>
    <mergeCell ref="AR118:AV118"/>
    <mergeCell ref="A117:C117"/>
    <mergeCell ref="G117:I117"/>
    <mergeCell ref="N117:P117"/>
    <mergeCell ref="T117:V117"/>
    <mergeCell ref="AI117:AM117"/>
    <mergeCell ref="AR117:AV117"/>
    <mergeCell ref="A121:C121"/>
    <mergeCell ref="G121:I121"/>
    <mergeCell ref="N121:P121"/>
    <mergeCell ref="T121:V121"/>
    <mergeCell ref="AI121:AM121"/>
    <mergeCell ref="AR121:AV121"/>
    <mergeCell ref="A119:C119"/>
    <mergeCell ref="G119:I119"/>
    <mergeCell ref="N119:P119"/>
    <mergeCell ref="T119:V119"/>
    <mergeCell ref="AI119:AM119"/>
    <mergeCell ref="A120:C120"/>
    <mergeCell ref="G120:I120"/>
    <mergeCell ref="N120:P120"/>
    <mergeCell ref="T120:V120"/>
    <mergeCell ref="AI120:AM120"/>
    <mergeCell ref="A123:C123"/>
    <mergeCell ref="G123:I123"/>
    <mergeCell ref="N123:P123"/>
    <mergeCell ref="T123:V123"/>
    <mergeCell ref="AI123:AM123"/>
    <mergeCell ref="AR123:AV123"/>
    <mergeCell ref="A122:C122"/>
    <mergeCell ref="G122:I122"/>
    <mergeCell ref="N122:P122"/>
    <mergeCell ref="T122:V122"/>
    <mergeCell ref="AI122:AM122"/>
    <mergeCell ref="AR122:AV122"/>
    <mergeCell ref="AR125:AW125"/>
    <mergeCell ref="A126:C126"/>
    <mergeCell ref="G126:I126"/>
    <mergeCell ref="N126:P126"/>
    <mergeCell ref="T126:V126"/>
    <mergeCell ref="AI126:AM126"/>
    <mergeCell ref="AR126:AV126"/>
    <mergeCell ref="A124:C124"/>
    <mergeCell ref="G124:I124"/>
    <mergeCell ref="N124:P124"/>
    <mergeCell ref="T124:V124"/>
    <mergeCell ref="AI124:AM124"/>
    <mergeCell ref="A125:C125"/>
    <mergeCell ref="G125:I125"/>
    <mergeCell ref="N125:P125"/>
    <mergeCell ref="T125:V125"/>
    <mergeCell ref="AI125:AM125"/>
    <mergeCell ref="A128:E128"/>
    <mergeCell ref="G128:I128"/>
    <mergeCell ref="N128:R128"/>
    <mergeCell ref="T128:V128"/>
    <mergeCell ref="AI128:AM128"/>
    <mergeCell ref="AR128:AV128"/>
    <mergeCell ref="A127:C127"/>
    <mergeCell ref="G127:I127"/>
    <mergeCell ref="N127:P127"/>
    <mergeCell ref="T127:V127"/>
    <mergeCell ref="AI127:AM127"/>
    <mergeCell ref="AR127:AV127"/>
    <mergeCell ref="A129:I129"/>
    <mergeCell ref="N129:V129"/>
    <mergeCell ref="AI129:AM129"/>
    <mergeCell ref="AR129:AV129"/>
    <mergeCell ref="A130:C130"/>
    <mergeCell ref="G130:I130"/>
    <mergeCell ref="N130:P130"/>
    <mergeCell ref="T130:V130"/>
    <mergeCell ref="AI130:AM130"/>
    <mergeCell ref="AR130:AV130"/>
    <mergeCell ref="A132:E132"/>
    <mergeCell ref="G132:I132"/>
    <mergeCell ref="N132:R132"/>
    <mergeCell ref="T132:V132"/>
    <mergeCell ref="AI132:AM132"/>
    <mergeCell ref="AR132:AV132"/>
    <mergeCell ref="A131:C131"/>
    <mergeCell ref="G131:I131"/>
    <mergeCell ref="N131:P131"/>
    <mergeCell ref="T131:V131"/>
    <mergeCell ref="AI131:AM131"/>
    <mergeCell ref="AR131:AV131"/>
    <mergeCell ref="A135:C135"/>
    <mergeCell ref="G135:I135"/>
    <mergeCell ref="N135:P135"/>
    <mergeCell ref="T135:V135"/>
    <mergeCell ref="AI135:AM135"/>
    <mergeCell ref="AR135:AV135"/>
    <mergeCell ref="A133:I133"/>
    <mergeCell ref="N133:V133"/>
    <mergeCell ref="AI133:AM133"/>
    <mergeCell ref="AR133:AV133"/>
    <mergeCell ref="A134:C134"/>
    <mergeCell ref="G134:I134"/>
    <mergeCell ref="N134:P134"/>
    <mergeCell ref="T134:V134"/>
    <mergeCell ref="AI134:AM134"/>
    <mergeCell ref="AR134:AV134"/>
    <mergeCell ref="A137:C137"/>
    <mergeCell ref="G137:I137"/>
    <mergeCell ref="N137:P137"/>
    <mergeCell ref="T137:V137"/>
    <mergeCell ref="AI137:AM137"/>
    <mergeCell ref="AR137:AV137"/>
    <mergeCell ref="A136:C136"/>
    <mergeCell ref="G136:I136"/>
    <mergeCell ref="N136:P136"/>
    <mergeCell ref="T136:V136"/>
    <mergeCell ref="AI136:AM136"/>
    <mergeCell ref="AR136:AV136"/>
    <mergeCell ref="A139:C139"/>
    <mergeCell ref="G139:I139"/>
    <mergeCell ref="N139:P139"/>
    <mergeCell ref="T139:V139"/>
    <mergeCell ref="AI139:AM139"/>
    <mergeCell ref="AR139:AV139"/>
    <mergeCell ref="A138:C138"/>
    <mergeCell ref="G138:I138"/>
    <mergeCell ref="N138:P138"/>
    <mergeCell ref="T138:V138"/>
    <mergeCell ref="AI138:AM138"/>
    <mergeCell ref="AR138:AV138"/>
    <mergeCell ref="A141:C141"/>
    <mergeCell ref="G141:I141"/>
    <mergeCell ref="N141:P141"/>
    <mergeCell ref="T141:V141"/>
    <mergeCell ref="AI141:AM141"/>
    <mergeCell ref="AR141:AV141"/>
    <mergeCell ref="A140:C140"/>
    <mergeCell ref="G140:I140"/>
    <mergeCell ref="N140:P140"/>
    <mergeCell ref="T140:V140"/>
    <mergeCell ref="AI140:AM140"/>
    <mergeCell ref="AR140:AV140"/>
    <mergeCell ref="A143:C143"/>
    <mergeCell ref="G143:I143"/>
    <mergeCell ref="N143:P143"/>
    <mergeCell ref="T143:V143"/>
    <mergeCell ref="AI143:AM143"/>
    <mergeCell ref="AR143:AV143"/>
    <mergeCell ref="A142:C142"/>
    <mergeCell ref="G142:I142"/>
    <mergeCell ref="N142:P142"/>
    <mergeCell ref="T142:V142"/>
    <mergeCell ref="AI142:AM142"/>
    <mergeCell ref="AR142:AV142"/>
    <mergeCell ref="A145:C145"/>
    <mergeCell ref="G145:I145"/>
    <mergeCell ref="N145:P145"/>
    <mergeCell ref="T145:V145"/>
    <mergeCell ref="AI145:AM145"/>
    <mergeCell ref="AR145:AV145"/>
    <mergeCell ref="A144:C144"/>
    <mergeCell ref="G144:I144"/>
    <mergeCell ref="N144:P144"/>
    <mergeCell ref="T144:V144"/>
    <mergeCell ref="AI144:AM144"/>
    <mergeCell ref="AR144:AV144"/>
    <mergeCell ref="A147:C147"/>
    <mergeCell ref="G147:I147"/>
    <mergeCell ref="N147:P147"/>
    <mergeCell ref="T147:V147"/>
    <mergeCell ref="AI147:AM147"/>
    <mergeCell ref="AR147:AV147"/>
    <mergeCell ref="A146:C146"/>
    <mergeCell ref="G146:I146"/>
    <mergeCell ref="N146:P146"/>
    <mergeCell ref="T146:V146"/>
    <mergeCell ref="AI146:AM146"/>
    <mergeCell ref="AR146:AV146"/>
    <mergeCell ref="A149:C149"/>
    <mergeCell ref="G149:I149"/>
    <mergeCell ref="N149:P149"/>
    <mergeCell ref="T149:V149"/>
    <mergeCell ref="AI149:AM149"/>
    <mergeCell ref="AR149:AV149"/>
    <mergeCell ref="A148:C148"/>
    <mergeCell ref="G148:I148"/>
    <mergeCell ref="N148:P148"/>
    <mergeCell ref="T148:V148"/>
    <mergeCell ref="AI148:AM148"/>
    <mergeCell ref="AR148:AV148"/>
    <mergeCell ref="A151:E151"/>
    <mergeCell ref="G151:I151"/>
    <mergeCell ref="N151:R151"/>
    <mergeCell ref="T151:V151"/>
    <mergeCell ref="AI151:AM151"/>
    <mergeCell ref="AR151:AV151"/>
    <mergeCell ref="A150:C150"/>
    <mergeCell ref="G150:I150"/>
    <mergeCell ref="N150:P150"/>
    <mergeCell ref="T150:V150"/>
    <mergeCell ref="AI150:AM150"/>
    <mergeCell ref="AR150:AV150"/>
    <mergeCell ref="AI152:AM152"/>
    <mergeCell ref="AR152:AV152"/>
    <mergeCell ref="AI153:AM153"/>
    <mergeCell ref="AR153:AV153"/>
    <mergeCell ref="A154:E154"/>
    <mergeCell ref="G154:I154"/>
    <mergeCell ref="N154:R154"/>
    <mergeCell ref="T154:V154"/>
    <mergeCell ref="AI154:AM154"/>
    <mergeCell ref="AR154:AV154"/>
    <mergeCell ref="AI155:AM155"/>
    <mergeCell ref="AR155:AV155"/>
    <mergeCell ref="A156:C156"/>
    <mergeCell ref="D156:E156"/>
    <mergeCell ref="G156:I156"/>
    <mergeCell ref="N156:P156"/>
    <mergeCell ref="Q156:R156"/>
    <mergeCell ref="T156:V156"/>
    <mergeCell ref="AI156:AM156"/>
    <mergeCell ref="AR156:AV156"/>
    <mergeCell ref="A155:C155"/>
    <mergeCell ref="D155:E155"/>
    <mergeCell ref="G155:I155"/>
    <mergeCell ref="N155:P155"/>
    <mergeCell ref="Q155:R155"/>
    <mergeCell ref="T155:V155"/>
    <mergeCell ref="A159:E159"/>
    <mergeCell ref="G159:I159"/>
    <mergeCell ref="N159:R159"/>
    <mergeCell ref="T159:V159"/>
    <mergeCell ref="AI159:AM159"/>
    <mergeCell ref="AR159:AV159"/>
    <mergeCell ref="AI157:AM157"/>
    <mergeCell ref="AR157:AV157"/>
    <mergeCell ref="A158:C158"/>
    <mergeCell ref="D158:E158"/>
    <mergeCell ref="G158:I158"/>
    <mergeCell ref="N158:P158"/>
    <mergeCell ref="Q158:R158"/>
    <mergeCell ref="T158:V158"/>
    <mergeCell ref="AI158:AM158"/>
    <mergeCell ref="AR158:AV158"/>
    <mergeCell ref="A157:C157"/>
    <mergeCell ref="D157:E157"/>
    <mergeCell ref="G157:I157"/>
    <mergeCell ref="N157:P157"/>
    <mergeCell ref="Q157:R157"/>
    <mergeCell ref="T157:V157"/>
    <mergeCell ref="AR160:AV160"/>
    <mergeCell ref="AI161:AN161"/>
    <mergeCell ref="AR161:AV161"/>
    <mergeCell ref="A162:E162"/>
    <mergeCell ref="G162:I162"/>
    <mergeCell ref="N162:R162"/>
    <mergeCell ref="T162:V162"/>
    <mergeCell ref="AI162:AM162"/>
    <mergeCell ref="AR162:AV162"/>
    <mergeCell ref="AI163:AM163"/>
    <mergeCell ref="AR163:AV163"/>
    <mergeCell ref="A164:C164"/>
    <mergeCell ref="D164:E164"/>
    <mergeCell ref="G164:I164"/>
    <mergeCell ref="N164:P164"/>
    <mergeCell ref="Q164:R164"/>
    <mergeCell ref="T164:V164"/>
    <mergeCell ref="AI164:AM164"/>
    <mergeCell ref="AR164:AV164"/>
    <mergeCell ref="A163:C163"/>
    <mergeCell ref="D163:E163"/>
    <mergeCell ref="G163:I163"/>
    <mergeCell ref="N163:P163"/>
    <mergeCell ref="Q163:R163"/>
    <mergeCell ref="T163:V163"/>
    <mergeCell ref="AI165:AM165"/>
    <mergeCell ref="AR165:AV165"/>
    <mergeCell ref="A166:E166"/>
    <mergeCell ref="G166:I166"/>
    <mergeCell ref="N166:R166"/>
    <mergeCell ref="T166:V166"/>
    <mergeCell ref="AI166:AM166"/>
    <mergeCell ref="AR166:AV166"/>
    <mergeCell ref="A165:C165"/>
    <mergeCell ref="D165:E165"/>
    <mergeCell ref="G165:I165"/>
    <mergeCell ref="N165:P165"/>
    <mergeCell ref="Q165:R165"/>
    <mergeCell ref="T165:V165"/>
    <mergeCell ref="AI167:AM167"/>
    <mergeCell ref="AR167:AV167"/>
    <mergeCell ref="AI168:AM168"/>
    <mergeCell ref="AR168:AV168"/>
    <mergeCell ref="A169:E169"/>
    <mergeCell ref="G169:I169"/>
    <mergeCell ref="N169:R169"/>
    <mergeCell ref="T169:V169"/>
    <mergeCell ref="AI169:AM169"/>
    <mergeCell ref="AR169:AV169"/>
    <mergeCell ref="AI170:AM170"/>
    <mergeCell ref="AR170:AV170"/>
    <mergeCell ref="A171:C171"/>
    <mergeCell ref="D171:E171"/>
    <mergeCell ref="G171:I171"/>
    <mergeCell ref="N171:P171"/>
    <mergeCell ref="Q171:R171"/>
    <mergeCell ref="T171:V171"/>
    <mergeCell ref="AI171:AM171"/>
    <mergeCell ref="AR171:AV171"/>
    <mergeCell ref="A170:C170"/>
    <mergeCell ref="D170:E170"/>
    <mergeCell ref="G170:I170"/>
    <mergeCell ref="N170:P170"/>
    <mergeCell ref="Q170:R170"/>
    <mergeCell ref="T170:V170"/>
    <mergeCell ref="A174:E174"/>
    <mergeCell ref="G174:I174"/>
    <mergeCell ref="N174:R174"/>
    <mergeCell ref="T174:V174"/>
    <mergeCell ref="AI174:AM174"/>
    <mergeCell ref="AR174:AV174"/>
    <mergeCell ref="AI172:AM172"/>
    <mergeCell ref="AR172:AV172"/>
    <mergeCell ref="A173:C173"/>
    <mergeCell ref="D173:E173"/>
    <mergeCell ref="G173:I173"/>
    <mergeCell ref="N173:P173"/>
    <mergeCell ref="Q173:R173"/>
    <mergeCell ref="T173:V173"/>
    <mergeCell ref="AI173:AM173"/>
    <mergeCell ref="AR173:AV173"/>
    <mergeCell ref="A172:C172"/>
    <mergeCell ref="D172:E172"/>
    <mergeCell ref="G172:I172"/>
    <mergeCell ref="N172:P172"/>
    <mergeCell ref="Q172:R172"/>
    <mergeCell ref="T172:V172"/>
    <mergeCell ref="AI175:AM175"/>
    <mergeCell ref="AR175:AV175"/>
    <mergeCell ref="AI176:AM176"/>
    <mergeCell ref="AR176:AV176"/>
    <mergeCell ref="A177:E177"/>
    <mergeCell ref="G177:I177"/>
    <mergeCell ref="N177:R177"/>
    <mergeCell ref="T177:V177"/>
    <mergeCell ref="AI177:AM177"/>
    <mergeCell ref="AR177:AV177"/>
    <mergeCell ref="AI178:AM178"/>
    <mergeCell ref="AR178:AV178"/>
    <mergeCell ref="A179:C179"/>
    <mergeCell ref="D179:E179"/>
    <mergeCell ref="G179:I179"/>
    <mergeCell ref="N179:P179"/>
    <mergeCell ref="Q179:R179"/>
    <mergeCell ref="T179:V179"/>
    <mergeCell ref="AI179:AM179"/>
    <mergeCell ref="AR179:AV179"/>
    <mergeCell ref="A178:C178"/>
    <mergeCell ref="D178:E178"/>
    <mergeCell ref="G178:I178"/>
    <mergeCell ref="N178:P178"/>
    <mergeCell ref="Q178:R178"/>
    <mergeCell ref="T178:V178"/>
    <mergeCell ref="AI180:AM180"/>
    <mergeCell ref="A181:E181"/>
    <mergeCell ref="G181:I181"/>
    <mergeCell ref="N181:R181"/>
    <mergeCell ref="T181:V181"/>
    <mergeCell ref="AI181:AM181"/>
    <mergeCell ref="A180:C180"/>
    <mergeCell ref="D180:E180"/>
    <mergeCell ref="G180:I180"/>
    <mergeCell ref="N180:P180"/>
    <mergeCell ref="Q180:R180"/>
    <mergeCell ref="T180:V180"/>
    <mergeCell ref="AR181:AW181"/>
    <mergeCell ref="AI182:AM182"/>
    <mergeCell ref="AR182:AV182"/>
    <mergeCell ref="AI183:AM183"/>
    <mergeCell ref="AR183:AV183"/>
    <mergeCell ref="A184:E184"/>
    <mergeCell ref="G184:I184"/>
    <mergeCell ref="N184:R184"/>
    <mergeCell ref="T184:V184"/>
    <mergeCell ref="AI184:AM184"/>
    <mergeCell ref="A188:Z189"/>
    <mergeCell ref="AI188:AM188"/>
    <mergeCell ref="AR188:AV188"/>
    <mergeCell ref="AI189:AM189"/>
    <mergeCell ref="AR189:AV189"/>
    <mergeCell ref="AI190:AM190"/>
    <mergeCell ref="AR190:AV190"/>
    <mergeCell ref="AR184:AV184"/>
    <mergeCell ref="AI185:AM185"/>
    <mergeCell ref="AR185:AV185"/>
    <mergeCell ref="AI186:AM186"/>
    <mergeCell ref="AR186:AV186"/>
    <mergeCell ref="AI187:AM187"/>
    <mergeCell ref="AR187:AV187"/>
    <mergeCell ref="AI194:AN194"/>
    <mergeCell ref="AR194:AV194"/>
    <mergeCell ref="A195:E195"/>
    <mergeCell ref="G195:I195"/>
    <mergeCell ref="N195:R195"/>
    <mergeCell ref="T195:V195"/>
    <mergeCell ref="AI195:AM195"/>
    <mergeCell ref="AR195:AV195"/>
    <mergeCell ref="A191:G191"/>
    <mergeCell ref="AI191:AM191"/>
    <mergeCell ref="AR191:AV191"/>
    <mergeCell ref="AR192:AV192"/>
    <mergeCell ref="A193:E193"/>
    <mergeCell ref="F193:G193"/>
    <mergeCell ref="N193:R193"/>
    <mergeCell ref="S193:T193"/>
    <mergeCell ref="AR193:AV193"/>
    <mergeCell ref="A197:E197"/>
    <mergeCell ref="G197:I197"/>
    <mergeCell ref="N197:R197"/>
    <mergeCell ref="T197:V197"/>
    <mergeCell ref="AI197:AM197"/>
    <mergeCell ref="AR197:AV197"/>
    <mergeCell ref="A196:E196"/>
    <mergeCell ref="G196:I196"/>
    <mergeCell ref="N196:R196"/>
    <mergeCell ref="T196:V196"/>
    <mergeCell ref="AI196:AM196"/>
    <mergeCell ref="AR196:AV196"/>
    <mergeCell ref="A200:E200"/>
    <mergeCell ref="G200:I200"/>
    <mergeCell ref="N200:R200"/>
    <mergeCell ref="T200:V200"/>
    <mergeCell ref="AI200:AN200"/>
    <mergeCell ref="AR200:AV200"/>
    <mergeCell ref="A198:E198"/>
    <mergeCell ref="G198:I198"/>
    <mergeCell ref="N198:R198"/>
    <mergeCell ref="T198:V198"/>
    <mergeCell ref="AR198:AV198"/>
    <mergeCell ref="A199:E199"/>
    <mergeCell ref="G199:I199"/>
    <mergeCell ref="N199:R199"/>
    <mergeCell ref="T199:V199"/>
    <mergeCell ref="AR199:AV199"/>
    <mergeCell ref="A202:E202"/>
    <mergeCell ref="G202:I202"/>
    <mergeCell ref="N202:R202"/>
    <mergeCell ref="T202:V202"/>
    <mergeCell ref="AI202:AM202"/>
    <mergeCell ref="AR202:AV202"/>
    <mergeCell ref="A201:E201"/>
    <mergeCell ref="G201:I201"/>
    <mergeCell ref="N201:R201"/>
    <mergeCell ref="T201:V201"/>
    <mergeCell ref="AI201:AM201"/>
    <mergeCell ref="AR201:AV201"/>
    <mergeCell ref="A203:E203"/>
    <mergeCell ref="N203:R203"/>
    <mergeCell ref="AI203:AM203"/>
    <mergeCell ref="AR203:AV203"/>
    <mergeCell ref="A204:E204"/>
    <mergeCell ref="G204:I204"/>
    <mergeCell ref="N204:R204"/>
    <mergeCell ref="T204:V204"/>
    <mergeCell ref="AI204:AM204"/>
    <mergeCell ref="AR204:AV204"/>
    <mergeCell ref="A206:E206"/>
    <mergeCell ref="G206:I206"/>
    <mergeCell ref="N206:R206"/>
    <mergeCell ref="T206:V206"/>
    <mergeCell ref="AI206:AM206"/>
    <mergeCell ref="AR206:AV206"/>
    <mergeCell ref="A205:E205"/>
    <mergeCell ref="G205:I205"/>
    <mergeCell ref="N205:R205"/>
    <mergeCell ref="T205:V205"/>
    <mergeCell ref="AI205:AM205"/>
    <mergeCell ref="AR205:AV205"/>
    <mergeCell ref="A208:E208"/>
    <mergeCell ref="G208:I208"/>
    <mergeCell ref="N208:R208"/>
    <mergeCell ref="T208:V208"/>
    <mergeCell ref="AI208:AM208"/>
    <mergeCell ref="AR208:AV208"/>
    <mergeCell ref="A207:E207"/>
    <mergeCell ref="G207:I207"/>
    <mergeCell ref="N207:R207"/>
    <mergeCell ref="T207:V207"/>
    <mergeCell ref="AI207:AM207"/>
    <mergeCell ref="AR207:AV207"/>
    <mergeCell ref="A211:E211"/>
    <mergeCell ref="G211:I211"/>
    <mergeCell ref="N211:R211"/>
    <mergeCell ref="T211:V211"/>
    <mergeCell ref="AI211:AN211"/>
    <mergeCell ref="AR211:AV211"/>
    <mergeCell ref="A209:E209"/>
    <mergeCell ref="G209:I209"/>
    <mergeCell ref="N209:R209"/>
    <mergeCell ref="T209:V209"/>
    <mergeCell ref="AR209:AV209"/>
    <mergeCell ref="A210:E210"/>
    <mergeCell ref="G210:I210"/>
    <mergeCell ref="N210:R210"/>
    <mergeCell ref="T210:V210"/>
    <mergeCell ref="AR210:AV210"/>
    <mergeCell ref="A213:E213"/>
    <mergeCell ref="G213:I213"/>
    <mergeCell ref="N213:R213"/>
    <mergeCell ref="T213:V213"/>
    <mergeCell ref="AI213:AM213"/>
    <mergeCell ref="AR213:AV213"/>
    <mergeCell ref="A212:E212"/>
    <mergeCell ref="G212:I212"/>
    <mergeCell ref="N212:R212"/>
    <mergeCell ref="T212:V212"/>
    <mergeCell ref="AI212:AM212"/>
    <mergeCell ref="AR212:AV212"/>
    <mergeCell ref="A215:E215"/>
    <mergeCell ref="G215:I215"/>
    <mergeCell ref="N215:R215"/>
    <mergeCell ref="T215:V215"/>
    <mergeCell ref="AI215:AM215"/>
    <mergeCell ref="AR215:AV215"/>
    <mergeCell ref="A214:E214"/>
    <mergeCell ref="G214:I214"/>
    <mergeCell ref="N214:R214"/>
    <mergeCell ref="T214:V214"/>
    <mergeCell ref="AI214:AM214"/>
    <mergeCell ref="AR214:AV214"/>
    <mergeCell ref="A218:E218"/>
    <mergeCell ref="G218:I218"/>
    <mergeCell ref="N218:R218"/>
    <mergeCell ref="T218:V218"/>
    <mergeCell ref="AI218:AM218"/>
    <mergeCell ref="AR218:AV218"/>
    <mergeCell ref="A216:E216"/>
    <mergeCell ref="N216:R216"/>
    <mergeCell ref="AI216:AM216"/>
    <mergeCell ref="AR216:AV216"/>
    <mergeCell ref="A217:E217"/>
    <mergeCell ref="G217:I217"/>
    <mergeCell ref="N217:R217"/>
    <mergeCell ref="T217:V217"/>
    <mergeCell ref="AI217:AM217"/>
    <mergeCell ref="AR217:AV217"/>
    <mergeCell ref="A220:E220"/>
    <mergeCell ref="G220:I220"/>
    <mergeCell ref="N220:R220"/>
    <mergeCell ref="T220:V220"/>
    <mergeCell ref="AI220:AM220"/>
    <mergeCell ref="AR220:AV220"/>
    <mergeCell ref="A219:E219"/>
    <mergeCell ref="G219:I219"/>
    <mergeCell ref="N219:R219"/>
    <mergeCell ref="T219:V219"/>
    <mergeCell ref="AI219:AM219"/>
    <mergeCell ref="AR219:AV219"/>
    <mergeCell ref="AR222:AW222"/>
    <mergeCell ref="A223:E223"/>
    <mergeCell ref="G223:I223"/>
    <mergeCell ref="N223:R223"/>
    <mergeCell ref="T223:V223"/>
    <mergeCell ref="AI223:AM223"/>
    <mergeCell ref="AR223:AV223"/>
    <mergeCell ref="A221:E221"/>
    <mergeCell ref="G221:I221"/>
    <mergeCell ref="N221:R221"/>
    <mergeCell ref="T221:V221"/>
    <mergeCell ref="AI221:AM221"/>
    <mergeCell ref="A222:E222"/>
    <mergeCell ref="G222:I222"/>
    <mergeCell ref="N222:R222"/>
    <mergeCell ref="T222:V222"/>
    <mergeCell ref="AI222:AM222"/>
    <mergeCell ref="A224:E224"/>
    <mergeCell ref="N224:R224"/>
    <mergeCell ref="AI224:AM224"/>
    <mergeCell ref="AR224:AV224"/>
    <mergeCell ref="A225:E225"/>
    <mergeCell ref="G225:I225"/>
    <mergeCell ref="N225:R225"/>
    <mergeCell ref="T225:V225"/>
    <mergeCell ref="AI225:AM225"/>
    <mergeCell ref="AR225:AV225"/>
    <mergeCell ref="A226:E226"/>
    <mergeCell ref="G226:I226"/>
    <mergeCell ref="N226:R226"/>
    <mergeCell ref="T226:V226"/>
    <mergeCell ref="AI226:AM226"/>
    <mergeCell ref="A227:E227"/>
    <mergeCell ref="G227:I227"/>
    <mergeCell ref="N227:R227"/>
    <mergeCell ref="T227:V227"/>
    <mergeCell ref="AI227:AM227"/>
    <mergeCell ref="AR227:AW227"/>
    <mergeCell ref="A228:E228"/>
    <mergeCell ref="N228:R228"/>
    <mergeCell ref="AI228:AM228"/>
    <mergeCell ref="AR228:AV228"/>
    <mergeCell ref="A229:E229"/>
    <mergeCell ref="G229:I229"/>
    <mergeCell ref="N229:R229"/>
    <mergeCell ref="T229:V229"/>
    <mergeCell ref="AR229:AV229"/>
    <mergeCell ref="A231:E231"/>
    <mergeCell ref="G231:I231"/>
    <mergeCell ref="N231:R231"/>
    <mergeCell ref="T231:V231"/>
    <mergeCell ref="AI231:AM231"/>
    <mergeCell ref="AR231:AV231"/>
    <mergeCell ref="A230:E230"/>
    <mergeCell ref="G230:I230"/>
    <mergeCell ref="N230:R230"/>
    <mergeCell ref="T230:V230"/>
    <mergeCell ref="AI230:AN230"/>
    <mergeCell ref="AR230:AV230"/>
    <mergeCell ref="AI237:AM237"/>
    <mergeCell ref="AR237:AV237"/>
    <mergeCell ref="AI238:AM238"/>
    <mergeCell ref="AR238:AV238"/>
    <mergeCell ref="AI239:AM239"/>
    <mergeCell ref="AI240:AM240"/>
    <mergeCell ref="AR240:AW240"/>
    <mergeCell ref="AI232:AM232"/>
    <mergeCell ref="AR232:AV232"/>
    <mergeCell ref="AR233:AV233"/>
    <mergeCell ref="AR234:AV234"/>
    <mergeCell ref="AI235:AN235"/>
    <mergeCell ref="AI236:AM236"/>
    <mergeCell ref="AR236:AW236"/>
    <mergeCell ref="AI245:AM245"/>
    <mergeCell ref="AR245:AV245"/>
    <mergeCell ref="AI246:AM246"/>
    <mergeCell ref="AR246:AV246"/>
    <mergeCell ref="AI248:AN248"/>
    <mergeCell ref="AR248:AW248"/>
    <mergeCell ref="AI241:AM241"/>
    <mergeCell ref="AR241:AV241"/>
    <mergeCell ref="AR242:AV242"/>
    <mergeCell ref="AI243:AN243"/>
    <mergeCell ref="AI244:AM244"/>
    <mergeCell ref="AR244:AW244"/>
    <mergeCell ref="AI253:AM253"/>
    <mergeCell ref="AR253:AV253"/>
    <mergeCell ref="AI254:AM254"/>
    <mergeCell ref="AR254:AV254"/>
    <mergeCell ref="AI255:AM255"/>
    <mergeCell ref="AR255:AV255"/>
    <mergeCell ref="AI249:AM249"/>
    <mergeCell ref="AR249:AV249"/>
    <mergeCell ref="AI250:AM250"/>
    <mergeCell ref="AR250:AV250"/>
    <mergeCell ref="AI251:AM251"/>
    <mergeCell ref="AI252:AM252"/>
    <mergeCell ref="AR252:AW252"/>
    <mergeCell ref="AI261:AN261"/>
    <mergeCell ref="AI262:AM262"/>
    <mergeCell ref="AI263:AM263"/>
    <mergeCell ref="AI264:AM264"/>
    <mergeCell ref="AI284:AN284"/>
    <mergeCell ref="AI285:AM285"/>
    <mergeCell ref="AI256:AM256"/>
    <mergeCell ref="AR256:AV256"/>
    <mergeCell ref="AI257:AM257"/>
    <mergeCell ref="AR257:AV257"/>
    <mergeCell ref="AI258:AM258"/>
    <mergeCell ref="AI259:AM259"/>
    <mergeCell ref="AI325:AM325"/>
    <mergeCell ref="AI333:AN333"/>
    <mergeCell ref="AI334:AM334"/>
    <mergeCell ref="AI335:AN335"/>
    <mergeCell ref="AI336:AN336"/>
    <mergeCell ref="AI338:AN338"/>
    <mergeCell ref="AI286:AN286"/>
    <mergeCell ref="AI287:AN287"/>
    <mergeCell ref="AI317:AM317"/>
    <mergeCell ref="AI321:AN321"/>
    <mergeCell ref="AI322:AN322"/>
    <mergeCell ref="AI324:AN324"/>
    <mergeCell ref="AI355:AM355"/>
    <mergeCell ref="AI346:AN346"/>
    <mergeCell ref="AI348:AN348"/>
    <mergeCell ref="AI349:AM349"/>
    <mergeCell ref="AI350:AN350"/>
    <mergeCell ref="AI351:AN351"/>
    <mergeCell ref="AI354:AN354"/>
    <mergeCell ref="AI339:AM339"/>
    <mergeCell ref="AI340:AN340"/>
    <mergeCell ref="AI341:AN341"/>
    <mergeCell ref="AI343:AN343"/>
    <mergeCell ref="AI344:AM344"/>
    <mergeCell ref="AI345:AN345"/>
  </mergeCells>
  <phoneticPr fontId="0" type="noConversion"/>
  <conditionalFormatting sqref="A87:A107 A110:A120 N110:N120">
    <cfRule type="expression" dxfId="63" priority="59">
      <formula>IF(D87="DESC",1,0)</formula>
    </cfRule>
  </conditionalFormatting>
  <conditionalFormatting sqref="A130:A131">
    <cfRule type="expression" dxfId="62" priority="52">
      <formula>IF(D130="DESC",1,0)</formula>
    </cfRule>
  </conditionalFormatting>
  <conditionalFormatting sqref="A134:A150">
    <cfRule type="expression" dxfId="61" priority="55">
      <formula>IF(D134="DESC",1,0)</formula>
    </cfRule>
  </conditionalFormatting>
  <conditionalFormatting sqref="A196:A201">
    <cfRule type="expression" dxfId="60" priority="14">
      <formula>IF(#REF!="DESC",1,0)</formula>
    </cfRule>
  </conditionalFormatting>
  <conditionalFormatting sqref="A204:A214">
    <cfRule type="expression" dxfId="59" priority="6">
      <formula>IF(#REF!="DESC",1,0)</formula>
    </cfRule>
  </conditionalFormatting>
  <conditionalFormatting sqref="A217:A222">
    <cfRule type="expression" dxfId="58" priority="13">
      <formula>IF(#REF!="DESC",1,0)</formula>
    </cfRule>
  </conditionalFormatting>
  <conditionalFormatting sqref="A225:A226">
    <cfRule type="expression" dxfId="57" priority="12">
      <formula>IF(#REF!="DESC",1,0)</formula>
    </cfRule>
  </conditionalFormatting>
  <conditionalFormatting sqref="A229:A230">
    <cfRule type="expression" dxfId="56" priority="11">
      <formula>IF(#REF!="DESC",1,0)</formula>
    </cfRule>
  </conditionalFormatting>
  <conditionalFormatting sqref="A155:C158">
    <cfRule type="expression" dxfId="55" priority="25">
      <formula>IF(D155="DESC",1,0)</formula>
    </cfRule>
  </conditionalFormatting>
  <conditionalFormatting sqref="A163:C165">
    <cfRule type="expression" dxfId="54" priority="29">
      <formula>IF(D163="DESC",1,0)</formula>
    </cfRule>
  </conditionalFormatting>
  <conditionalFormatting sqref="A170:C173">
    <cfRule type="expression" dxfId="53" priority="27">
      <formula>IF(D170="DESC",1,0)</formula>
    </cfRule>
  </conditionalFormatting>
  <conditionalFormatting sqref="A178:C180">
    <cfRule type="expression" dxfId="52" priority="24">
      <formula>IF(D178="DESC",1,0)</formula>
    </cfRule>
  </conditionalFormatting>
  <conditionalFormatting sqref="A121:N126">
    <cfRule type="expression" dxfId="51" priority="53">
      <formula>IF(D121="DESC",1,0)</formula>
    </cfRule>
  </conditionalFormatting>
  <conditionalFormatting sqref="A127:P127">
    <cfRule type="expression" dxfId="50" priority="1">
      <formula>IF(D127="DESC",1,0)</formula>
    </cfRule>
  </conditionalFormatting>
  <conditionalFormatting sqref="F96">
    <cfRule type="expression" dxfId="49" priority="60">
      <formula>IF(D96="DESC",1,0)</formula>
    </cfRule>
  </conditionalFormatting>
  <conditionalFormatting sqref="F100">
    <cfRule type="expression" dxfId="48" priority="61">
      <formula>IF(D100="DESC",1,0)</formula>
    </cfRule>
  </conditionalFormatting>
  <conditionalFormatting sqref="F120">
    <cfRule type="expression" dxfId="47" priority="34">
      <formula>IF(D120="DESC",1,0)</formula>
    </cfRule>
  </conditionalFormatting>
  <conditionalFormatting sqref="F155:F158">
    <cfRule type="expression" dxfId="46" priority="26">
      <formula>IF(D155="DESC",1,0)</formula>
    </cfRule>
  </conditionalFormatting>
  <conditionalFormatting sqref="F163:F165">
    <cfRule type="expression" dxfId="45" priority="16">
      <formula>IF(D163="DESC",1,0)</formula>
    </cfRule>
  </conditionalFormatting>
  <conditionalFormatting sqref="F170:F173">
    <cfRule type="expression" dxfId="44" priority="28">
      <formula>IF(D170="DESC",1,0)</formula>
    </cfRule>
  </conditionalFormatting>
  <conditionalFormatting sqref="F178:F180">
    <cfRule type="expression" dxfId="43" priority="30">
      <formula>IF(D178="DESC",1,0)</formula>
    </cfRule>
  </conditionalFormatting>
  <conditionalFormatting sqref="G204:N214">
    <cfRule type="expression" dxfId="42" priority="5">
      <formula>IF(#REF!="DESC",1,0)</formula>
    </cfRule>
  </conditionalFormatting>
  <conditionalFormatting sqref="M112:M113">
    <cfRule type="expression" dxfId="41" priority="2">
      <formula>IF(P112="DESC",1,0)</formula>
    </cfRule>
  </conditionalFormatting>
  <conditionalFormatting sqref="M118">
    <cfRule type="expression" dxfId="40" priority="3">
      <formula>IF(P118="DESC",1,0)</formula>
    </cfRule>
  </conditionalFormatting>
  <conditionalFormatting sqref="N87:N107">
    <cfRule type="expression" dxfId="39" priority="56">
      <formula>IF(Q87="DESC",1,0)</formula>
    </cfRule>
  </conditionalFormatting>
  <conditionalFormatting sqref="N130:N131">
    <cfRule type="expression" dxfId="38" priority="51">
      <formula>IF(Q130="DESC",1,0)</formula>
    </cfRule>
  </conditionalFormatting>
  <conditionalFormatting sqref="N134:N150">
    <cfRule type="expression" dxfId="37" priority="54">
      <formula>IF(Q134="DESC",1,0)</formula>
    </cfRule>
  </conditionalFormatting>
  <conditionalFormatting sqref="N196:N201">
    <cfRule type="expression" dxfId="36" priority="10">
      <formula>IF(#REF!="DESC",1,0)</formula>
    </cfRule>
  </conditionalFormatting>
  <conditionalFormatting sqref="N217:N222">
    <cfRule type="expression" dxfId="35" priority="9">
      <formula>IF(#REF!="DESC",1,0)</formula>
    </cfRule>
  </conditionalFormatting>
  <conditionalFormatting sqref="N225:N226">
    <cfRule type="expression" dxfId="34" priority="8">
      <formula>IF(#REF!="DESC",1,0)</formula>
    </cfRule>
  </conditionalFormatting>
  <conditionalFormatting sqref="N229:N230">
    <cfRule type="expression" dxfId="33" priority="7">
      <formula>IF(#REF!="DESC",1,0)</formula>
    </cfRule>
  </conditionalFormatting>
  <conditionalFormatting sqref="N155:P158">
    <cfRule type="expression" dxfId="32" priority="19">
      <formula>IF(Q155="DESC",1,0)</formula>
    </cfRule>
  </conditionalFormatting>
  <conditionalFormatting sqref="N163:P165">
    <cfRule type="expression" dxfId="31" priority="22">
      <formula>IF(Q163="DESC",1,0)</formula>
    </cfRule>
  </conditionalFormatting>
  <conditionalFormatting sqref="N170:P173">
    <cfRule type="expression" dxfId="30" priority="21">
      <formula>IF(Q170="DESC",1,0)</formula>
    </cfRule>
  </conditionalFormatting>
  <conditionalFormatting sqref="N178:P180">
    <cfRule type="expression" dxfId="29" priority="18">
      <formula>IF(Q178="DESC",1,0)</formula>
    </cfRule>
  </conditionalFormatting>
  <conditionalFormatting sqref="S96">
    <cfRule type="expression" dxfId="28" priority="57">
      <formula>IF(Q96="DESC",1,0)</formula>
    </cfRule>
  </conditionalFormatting>
  <conditionalFormatting sqref="S100">
    <cfRule type="expression" dxfId="27" priority="58">
      <formula>IF(Q100="DESC",1,0)</formula>
    </cfRule>
  </conditionalFormatting>
  <conditionalFormatting sqref="S120">
    <cfRule type="expression" dxfId="26" priority="33">
      <formula>IF(Q120="DESC",1,0)</formula>
    </cfRule>
  </conditionalFormatting>
  <conditionalFormatting sqref="S127">
    <cfRule type="expression" dxfId="25" priority="4">
      <formula>IF(V127="DESC",1,0)</formula>
    </cfRule>
  </conditionalFormatting>
  <conditionalFormatting sqref="S155:S158">
    <cfRule type="expression" dxfId="24" priority="20">
      <formula>IF(Q155="DESC",1,0)</formula>
    </cfRule>
  </conditionalFormatting>
  <conditionalFormatting sqref="S163:S165">
    <cfRule type="expression" dxfId="23" priority="15">
      <formula>IF(Q163="DESC",1,0)</formula>
    </cfRule>
  </conditionalFormatting>
  <conditionalFormatting sqref="S170:S173">
    <cfRule type="expression" dxfId="22" priority="17">
      <formula>IF(Q170="DESC",1,0)</formula>
    </cfRule>
  </conditionalFormatting>
  <conditionalFormatting sqref="S178:S180">
    <cfRule type="expression" dxfId="21" priority="23">
      <formula>IF(Q178="DESC",1,0)</formula>
    </cfRule>
  </conditionalFormatting>
  <conditionalFormatting sqref="AD100">
    <cfRule type="duplicateValues" dxfId="20" priority="62"/>
  </conditionalFormatting>
  <conditionalFormatting sqref="AD105">
    <cfRule type="duplicateValues" dxfId="19" priority="36"/>
  </conditionalFormatting>
  <conditionalFormatting sqref="AD108:AD109 AD111 AD113:AD119 AD121:AD124">
    <cfRule type="duplicateValues" dxfId="18" priority="63"/>
  </conditionalFormatting>
  <conditionalFormatting sqref="AD110">
    <cfRule type="duplicateValues" dxfId="17" priority="48"/>
  </conditionalFormatting>
  <conditionalFormatting sqref="AD112">
    <cfRule type="duplicateValues" dxfId="16" priority="50"/>
  </conditionalFormatting>
  <conditionalFormatting sqref="AD120">
    <cfRule type="duplicateValues" dxfId="15" priority="49"/>
  </conditionalFormatting>
  <conditionalFormatting sqref="AD125">
    <cfRule type="duplicateValues" dxfId="14" priority="42"/>
  </conditionalFormatting>
  <conditionalFormatting sqref="AD126">
    <cfRule type="duplicateValues" dxfId="13" priority="35"/>
  </conditionalFormatting>
  <conditionalFormatting sqref="AD127 AD129:AD132 AD134 AD137:AD140 AD142:AD148 AD150:AD151 AD153:AD161 AD163:AD165 AD167:AD169 AD171:AD177">
    <cfRule type="duplicateValues" dxfId="12" priority="64"/>
  </conditionalFormatting>
  <conditionalFormatting sqref="AD128">
    <cfRule type="duplicateValues" dxfId="11" priority="41"/>
  </conditionalFormatting>
  <conditionalFormatting sqref="AD133">
    <cfRule type="duplicateValues" dxfId="10" priority="46"/>
  </conditionalFormatting>
  <conditionalFormatting sqref="AD135">
    <cfRule type="duplicateValues" dxfId="9" priority="32"/>
  </conditionalFormatting>
  <conditionalFormatting sqref="AD136">
    <cfRule type="duplicateValues" dxfId="8" priority="47"/>
  </conditionalFormatting>
  <conditionalFormatting sqref="AD141">
    <cfRule type="duplicateValues" dxfId="7" priority="39"/>
  </conditionalFormatting>
  <conditionalFormatting sqref="AD149">
    <cfRule type="duplicateValues" dxfId="6" priority="45"/>
  </conditionalFormatting>
  <conditionalFormatting sqref="AD152">
    <cfRule type="duplicateValues" dxfId="5" priority="31"/>
  </conditionalFormatting>
  <conditionalFormatting sqref="AD162">
    <cfRule type="duplicateValues" dxfId="4" priority="40"/>
  </conditionalFormatting>
  <conditionalFormatting sqref="AD166">
    <cfRule type="duplicateValues" dxfId="3" priority="44"/>
  </conditionalFormatting>
  <conditionalFormatting sqref="AD170">
    <cfRule type="duplicateValues" dxfId="2" priority="43"/>
  </conditionalFormatting>
  <conditionalFormatting sqref="AD179">
    <cfRule type="duplicateValues" dxfId="1" priority="38"/>
  </conditionalFormatting>
  <conditionalFormatting sqref="AD180">
    <cfRule type="duplicateValues" dxfId="0" priority="37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BC54"/>
  <sheetViews>
    <sheetView topLeftCell="A15" zoomScale="60" zoomScaleNormal="60" workbookViewId="0">
      <selection activeCell="B35" sqref="B35:I35"/>
    </sheetView>
  </sheetViews>
  <sheetFormatPr baseColWidth="10" defaultColWidth="16" defaultRowHeight="15" x14ac:dyDescent="0.25"/>
  <cols>
    <col min="1" max="13" width="16" style="7"/>
    <col min="14" max="40" width="1.7109375" style="7" customWidth="1"/>
    <col min="41" max="53" width="2.7109375" style="7" customWidth="1"/>
    <col min="54" max="16384" width="16" style="7"/>
  </cols>
  <sheetData>
    <row r="1" spans="1:55" ht="36.75" thickBot="1" x14ac:dyDescent="0.3">
      <c r="A1" s="632" t="s">
        <v>149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632"/>
      <c r="AU1" s="632"/>
      <c r="AV1" s="632"/>
      <c r="AW1" s="632"/>
      <c r="AX1" s="632"/>
      <c r="AY1" s="632"/>
      <c r="AZ1" s="632"/>
      <c r="BA1" s="632"/>
      <c r="BB1" s="632"/>
      <c r="BC1" s="633"/>
    </row>
    <row r="2" spans="1:55" ht="15.75" thickBot="1" x14ac:dyDescent="0.3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55" ht="15" customHeight="1" x14ac:dyDescent="0.25">
      <c r="B3" s="625"/>
      <c r="C3" s="634"/>
      <c r="D3" s="634"/>
      <c r="E3" s="634"/>
      <c r="F3" s="635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AB3" s="625"/>
      <c r="AC3" s="634"/>
      <c r="AD3" s="634"/>
      <c r="AE3" s="634"/>
      <c r="AF3" s="635"/>
      <c r="AL3" s="625"/>
      <c r="AM3" s="634"/>
      <c r="AN3" s="634"/>
      <c r="AO3" s="634"/>
      <c r="AP3" s="634"/>
      <c r="AQ3" s="634"/>
      <c r="AR3" s="634"/>
      <c r="AS3" s="634"/>
      <c r="AT3" s="634"/>
      <c r="AU3" s="634"/>
      <c r="AV3" s="634"/>
      <c r="AW3" s="634"/>
      <c r="AX3" s="634"/>
      <c r="AY3" s="634"/>
      <c r="AZ3" s="634"/>
      <c r="BA3" s="634"/>
      <c r="BB3" s="635"/>
    </row>
    <row r="4" spans="1:55" x14ac:dyDescent="0.25">
      <c r="B4" s="627"/>
      <c r="C4" s="626"/>
      <c r="D4" s="626"/>
      <c r="E4" s="626"/>
      <c r="F4" s="628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AB4" s="627"/>
      <c r="AC4" s="626"/>
      <c r="AD4" s="626"/>
      <c r="AE4" s="626"/>
      <c r="AF4" s="628"/>
      <c r="AL4" s="627"/>
      <c r="AM4" s="626"/>
      <c r="AN4" s="626"/>
      <c r="AO4" s="626"/>
      <c r="AP4" s="626"/>
      <c r="AQ4" s="626"/>
      <c r="AR4" s="626"/>
      <c r="AS4" s="626"/>
      <c r="AT4" s="626"/>
      <c r="AU4" s="626"/>
      <c r="AV4" s="626"/>
      <c r="AW4" s="626"/>
      <c r="AX4" s="626"/>
      <c r="AY4" s="626"/>
      <c r="AZ4" s="626"/>
      <c r="BA4" s="626"/>
      <c r="BB4" s="628"/>
    </row>
    <row r="5" spans="1:55" x14ac:dyDescent="0.25">
      <c r="B5" s="627"/>
      <c r="C5" s="626"/>
      <c r="D5" s="626"/>
      <c r="E5" s="626"/>
      <c r="F5" s="628"/>
      <c r="G5" s="559"/>
      <c r="H5" s="55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AB5" s="627"/>
      <c r="AC5" s="626"/>
      <c r="AD5" s="626"/>
      <c r="AE5" s="626"/>
      <c r="AF5" s="628"/>
      <c r="AL5" s="627"/>
      <c r="AM5" s="626"/>
      <c r="AN5" s="626"/>
      <c r="AO5" s="626"/>
      <c r="AP5" s="626"/>
      <c r="AQ5" s="626"/>
      <c r="AR5" s="626"/>
      <c r="AS5" s="626"/>
      <c r="AT5" s="626"/>
      <c r="AU5" s="626"/>
      <c r="AV5" s="626"/>
      <c r="AW5" s="626"/>
      <c r="AX5" s="626"/>
      <c r="AY5" s="626"/>
      <c r="AZ5" s="626"/>
      <c r="BA5" s="626"/>
      <c r="BB5" s="628"/>
      <c r="BC5" s="9"/>
    </row>
    <row r="6" spans="1:55" ht="15.75" thickBot="1" x14ac:dyDescent="0.3">
      <c r="B6" s="629"/>
      <c r="C6" s="630"/>
      <c r="D6" s="630"/>
      <c r="E6" s="630"/>
      <c r="F6" s="631"/>
      <c r="G6" s="560"/>
      <c r="H6" s="561"/>
      <c r="I6" s="561"/>
      <c r="J6" s="561"/>
      <c r="K6" s="561"/>
      <c r="L6" s="561"/>
      <c r="M6" s="561"/>
      <c r="N6" s="561"/>
      <c r="O6" s="561"/>
      <c r="P6" s="561"/>
      <c r="Q6" s="561"/>
      <c r="R6" s="559"/>
      <c r="S6" s="559"/>
      <c r="T6" s="559"/>
      <c r="V6" s="8"/>
      <c r="W6" s="8"/>
      <c r="X6" s="8"/>
      <c r="Y6" s="8"/>
      <c r="Z6" s="8"/>
      <c r="AA6" s="11"/>
      <c r="AB6" s="629"/>
      <c r="AC6" s="630"/>
      <c r="AD6" s="630"/>
      <c r="AE6" s="630"/>
      <c r="AF6" s="631"/>
      <c r="AL6" s="627"/>
      <c r="AM6" s="626"/>
      <c r="AN6" s="626"/>
      <c r="AO6" s="626"/>
      <c r="AP6" s="626"/>
      <c r="AQ6" s="626"/>
      <c r="AR6" s="626"/>
      <c r="AS6" s="626"/>
      <c r="AT6" s="626"/>
      <c r="AU6" s="626"/>
      <c r="AV6" s="626"/>
      <c r="AW6" s="626"/>
      <c r="AX6" s="626"/>
      <c r="AY6" s="626"/>
      <c r="AZ6" s="626"/>
      <c r="BA6" s="626"/>
      <c r="BB6" s="628"/>
      <c r="BC6" s="9"/>
    </row>
    <row r="7" spans="1:55" ht="15.75" x14ac:dyDescent="0.25">
      <c r="A7" s="12"/>
      <c r="B7" s="559"/>
      <c r="C7" s="559"/>
      <c r="D7" s="559"/>
      <c r="E7" s="559"/>
      <c r="F7" s="559"/>
      <c r="G7" s="559"/>
      <c r="H7" s="559"/>
      <c r="I7" s="559"/>
      <c r="J7" s="559"/>
      <c r="K7" s="559"/>
      <c r="L7" s="559"/>
      <c r="M7" s="559"/>
      <c r="N7" s="559"/>
      <c r="O7" s="559"/>
      <c r="P7" s="559"/>
      <c r="Q7" s="559"/>
      <c r="R7" s="562"/>
      <c r="S7" s="563"/>
      <c r="T7" s="562"/>
      <c r="U7" s="14"/>
      <c r="AL7" s="627"/>
      <c r="AM7" s="626"/>
      <c r="AN7" s="626"/>
      <c r="AO7" s="626"/>
      <c r="AP7" s="626"/>
      <c r="AQ7" s="626"/>
      <c r="AR7" s="626"/>
      <c r="AS7" s="626"/>
      <c r="AT7" s="626"/>
      <c r="AU7" s="626"/>
      <c r="AV7" s="626"/>
      <c r="AW7" s="626"/>
      <c r="AX7" s="626"/>
      <c r="AY7" s="626"/>
      <c r="AZ7" s="626"/>
      <c r="BA7" s="626"/>
      <c r="BB7" s="628"/>
      <c r="BC7" s="9"/>
    </row>
    <row r="8" spans="1:55" ht="15.75" thickBot="1" x14ac:dyDescent="0.3">
      <c r="A8" s="12"/>
      <c r="B8" s="559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AL8" s="629"/>
      <c r="AM8" s="630"/>
      <c r="AN8" s="630"/>
      <c r="AO8" s="630"/>
      <c r="AP8" s="630"/>
      <c r="AQ8" s="630"/>
      <c r="AR8" s="630"/>
      <c r="AS8" s="630"/>
      <c r="AT8" s="630"/>
      <c r="AU8" s="630"/>
      <c r="AV8" s="630"/>
      <c r="AW8" s="630"/>
      <c r="AX8" s="630"/>
      <c r="AY8" s="630"/>
      <c r="AZ8" s="630"/>
      <c r="BA8" s="630"/>
      <c r="BB8" s="631"/>
      <c r="BC8" s="9"/>
    </row>
    <row r="9" spans="1:55" ht="78.75" x14ac:dyDescent="0.25">
      <c r="A9" s="12"/>
      <c r="B9" s="564"/>
      <c r="C9" s="559"/>
      <c r="D9" s="559"/>
      <c r="E9" s="636"/>
      <c r="F9" s="636"/>
      <c r="G9" s="559"/>
      <c r="H9" s="559"/>
      <c r="I9" s="559"/>
      <c r="J9" s="559"/>
      <c r="K9" s="559"/>
      <c r="L9" s="559"/>
      <c r="M9" s="559"/>
      <c r="N9" s="559"/>
      <c r="O9" s="559"/>
      <c r="P9" s="559"/>
      <c r="Q9" s="559"/>
      <c r="R9" s="559"/>
      <c r="S9" s="559"/>
      <c r="T9" s="559"/>
      <c r="AD9" s="16" t="s">
        <v>155</v>
      </c>
      <c r="AE9" s="16" t="s">
        <v>155</v>
      </c>
      <c r="AL9" s="9"/>
      <c r="BC9" s="9"/>
    </row>
    <row r="10" spans="1:55" ht="15.75" x14ac:dyDescent="0.25">
      <c r="A10" s="12"/>
      <c r="B10" s="564"/>
      <c r="C10" s="559"/>
      <c r="D10" s="559"/>
      <c r="E10" s="565"/>
      <c r="F10" s="565"/>
      <c r="G10" s="559"/>
      <c r="H10" s="559"/>
      <c r="I10" s="559"/>
      <c r="J10" s="559"/>
      <c r="K10" s="559"/>
      <c r="L10" s="559"/>
      <c r="M10" s="559"/>
      <c r="N10" s="559"/>
      <c r="O10" s="559"/>
      <c r="P10" s="559"/>
      <c r="Q10" s="559"/>
      <c r="R10" s="559"/>
      <c r="S10" s="559"/>
      <c r="T10" s="559"/>
      <c r="AL10" s="9"/>
      <c r="AN10" s="559"/>
      <c r="AO10" s="559"/>
      <c r="AP10" s="559"/>
      <c r="AQ10" s="559"/>
      <c r="AR10" s="559"/>
      <c r="AS10" s="559"/>
      <c r="AT10" s="559"/>
      <c r="AU10" s="559"/>
      <c r="AV10" s="559"/>
      <c r="AW10" s="559"/>
      <c r="AX10" s="559"/>
      <c r="AY10" s="559"/>
      <c r="AZ10" s="559"/>
      <c r="BA10" s="559"/>
      <c r="BB10" s="559"/>
      <c r="BC10" s="9"/>
    </row>
    <row r="11" spans="1:55" ht="15.75" x14ac:dyDescent="0.25">
      <c r="A11" s="12"/>
      <c r="B11" s="564"/>
      <c r="C11" s="559"/>
      <c r="D11" s="559"/>
      <c r="E11" s="565"/>
      <c r="F11" s="565"/>
      <c r="G11" s="559"/>
      <c r="H11" s="559"/>
      <c r="I11" s="559"/>
      <c r="J11" s="566"/>
      <c r="K11" s="559"/>
      <c r="L11" s="559"/>
      <c r="M11" s="559"/>
      <c r="N11" s="559"/>
      <c r="O11" s="559"/>
      <c r="P11" s="559"/>
      <c r="Q11" s="559"/>
      <c r="R11" s="559"/>
      <c r="S11" s="559"/>
      <c r="T11" s="559"/>
      <c r="W11" s="559"/>
      <c r="X11" s="559"/>
      <c r="Y11" s="559"/>
      <c r="Z11" s="559"/>
      <c r="AA11" s="559"/>
      <c r="AB11" s="559"/>
      <c r="AC11" s="559"/>
      <c r="AD11" s="559"/>
      <c r="AE11" s="559"/>
      <c r="AF11" s="559"/>
      <c r="AG11" s="559"/>
      <c r="AH11" s="559"/>
      <c r="AI11" s="559"/>
      <c r="AJ11" s="559"/>
      <c r="AK11" s="559"/>
      <c r="AL11" s="9"/>
      <c r="AN11" s="559"/>
      <c r="AO11" s="559"/>
      <c r="AP11" s="559"/>
      <c r="AQ11" s="559"/>
      <c r="AR11" s="559"/>
      <c r="AS11" s="559"/>
      <c r="AT11" s="559"/>
      <c r="AU11" s="559"/>
      <c r="AV11" s="559"/>
      <c r="AW11" s="559"/>
      <c r="AX11" s="559"/>
      <c r="AY11" s="559"/>
      <c r="AZ11" s="559"/>
      <c r="BA11" s="559"/>
      <c r="BB11" s="559"/>
      <c r="BC11" s="9"/>
    </row>
    <row r="12" spans="1:55" ht="15.75" x14ac:dyDescent="0.25">
      <c r="A12" s="12"/>
      <c r="B12" s="567"/>
      <c r="C12" s="559"/>
      <c r="D12" s="559"/>
      <c r="E12" s="565"/>
      <c r="F12" s="565"/>
      <c r="G12" s="559"/>
      <c r="H12" s="559"/>
      <c r="I12" s="559"/>
      <c r="J12" s="568"/>
      <c r="K12" s="568"/>
      <c r="L12" s="568"/>
      <c r="M12" s="569"/>
      <c r="N12" s="559"/>
      <c r="O12" s="559"/>
      <c r="P12" s="559"/>
      <c r="Q12" s="564"/>
      <c r="R12" s="564"/>
      <c r="S12" s="564"/>
      <c r="T12" s="559"/>
      <c r="W12" s="559"/>
      <c r="X12" s="566"/>
      <c r="Y12" s="566"/>
      <c r="Z12" s="559"/>
      <c r="AA12" s="559"/>
      <c r="AB12" s="559"/>
      <c r="AC12" s="559"/>
      <c r="AD12" s="559"/>
      <c r="AE12" s="559"/>
      <c r="AF12" s="559"/>
      <c r="AG12" s="559"/>
      <c r="AH12" s="559"/>
      <c r="AI12" s="559"/>
      <c r="AJ12" s="559"/>
      <c r="AK12" s="559"/>
      <c r="AL12" s="9"/>
      <c r="AN12" s="564"/>
      <c r="AO12" s="564"/>
      <c r="AP12" s="559"/>
      <c r="AQ12" s="559"/>
      <c r="AR12" s="559"/>
      <c r="AS12" s="559"/>
      <c r="AT12" s="559"/>
      <c r="AU12" s="559"/>
      <c r="AV12" s="559"/>
      <c r="AW12" s="559"/>
      <c r="AX12" s="604"/>
      <c r="AY12" s="604"/>
      <c r="AZ12" s="559"/>
      <c r="BA12" s="559"/>
      <c r="BB12" s="559"/>
      <c r="BC12" s="9"/>
    </row>
    <row r="13" spans="1:55" ht="16.5" thickBot="1" x14ac:dyDescent="0.3">
      <c r="A13" s="12"/>
      <c r="B13" s="564"/>
      <c r="C13" s="559"/>
      <c r="D13" s="559"/>
      <c r="E13" s="565"/>
      <c r="F13" s="565"/>
      <c r="G13" s="559"/>
      <c r="H13" s="559"/>
      <c r="I13" s="559"/>
      <c r="J13" s="568"/>
      <c r="K13" s="568"/>
      <c r="L13" s="568"/>
      <c r="M13" s="569"/>
      <c r="N13" s="559"/>
      <c r="O13" s="559"/>
      <c r="P13" s="559"/>
      <c r="Q13" s="564"/>
      <c r="R13" s="564"/>
      <c r="S13" s="564"/>
      <c r="T13" s="559"/>
      <c r="W13" s="559"/>
      <c r="X13" s="583"/>
      <c r="Y13" s="584"/>
      <c r="Z13" s="566"/>
      <c r="AA13" s="559"/>
      <c r="AB13" s="559"/>
      <c r="AC13" s="559"/>
      <c r="AD13" s="559"/>
      <c r="AE13" s="559"/>
      <c r="AF13" s="559"/>
      <c r="AG13" s="559"/>
      <c r="AH13" s="559"/>
      <c r="AI13" s="559"/>
      <c r="AJ13" s="559"/>
      <c r="AK13" s="559"/>
      <c r="AL13" s="9"/>
      <c r="AN13" s="559"/>
      <c r="AO13" s="564"/>
      <c r="AP13" s="564"/>
      <c r="AQ13" s="559"/>
      <c r="AR13" s="559"/>
      <c r="AS13" s="559"/>
      <c r="AT13" s="559"/>
      <c r="AU13" s="559"/>
      <c r="AV13" s="559"/>
      <c r="AW13" s="604"/>
      <c r="AX13" s="604"/>
      <c r="AY13" s="559"/>
      <c r="AZ13" s="559"/>
      <c r="BA13" s="559"/>
      <c r="BB13" s="582"/>
      <c r="BC13" s="9"/>
    </row>
    <row r="14" spans="1:55" ht="15.75" x14ac:dyDescent="0.25">
      <c r="A14" s="12"/>
      <c r="B14" s="564"/>
      <c r="C14" s="559"/>
      <c r="D14" s="559"/>
      <c r="E14" s="559"/>
      <c r="F14" s="570"/>
      <c r="G14" s="559"/>
      <c r="H14" s="559"/>
      <c r="I14" s="559"/>
      <c r="J14" s="559"/>
      <c r="K14" s="559"/>
      <c r="L14" s="559"/>
      <c r="M14" s="559"/>
      <c r="N14" s="559"/>
      <c r="O14" s="559"/>
      <c r="P14" s="559"/>
      <c r="Q14" s="559"/>
      <c r="R14" s="559"/>
      <c r="S14" s="559"/>
      <c r="T14" s="559"/>
      <c r="W14" s="625"/>
      <c r="X14" s="626"/>
      <c r="Y14" s="626"/>
      <c r="Z14" s="585"/>
      <c r="AA14" s="559"/>
      <c r="AB14" s="559"/>
      <c r="AC14" s="559"/>
      <c r="AD14" s="559"/>
      <c r="AE14" s="559"/>
      <c r="AF14" s="559"/>
      <c r="AG14" s="559"/>
      <c r="AH14" s="559"/>
      <c r="AI14" s="559"/>
      <c r="AJ14" s="559"/>
      <c r="AK14" s="559"/>
      <c r="AL14" s="9"/>
      <c r="AN14" s="559"/>
      <c r="AO14" s="559"/>
      <c r="AP14" s="564"/>
      <c r="AQ14" s="564"/>
      <c r="AR14" s="559"/>
      <c r="AS14" s="559"/>
      <c r="AT14" s="559"/>
      <c r="AU14" s="559"/>
      <c r="AV14" s="604"/>
      <c r="AW14" s="604"/>
      <c r="AX14" s="559"/>
      <c r="AY14" s="559"/>
      <c r="AZ14" s="559"/>
      <c r="BA14" s="559"/>
      <c r="BB14" s="582"/>
      <c r="BC14" s="9"/>
    </row>
    <row r="15" spans="1:55" ht="15.75" x14ac:dyDescent="0.25">
      <c r="A15" s="12"/>
      <c r="B15" s="564"/>
      <c r="C15" s="559"/>
      <c r="D15" s="559"/>
      <c r="E15" s="559"/>
      <c r="F15" s="570"/>
      <c r="G15" s="559"/>
      <c r="H15" s="559"/>
      <c r="I15" s="559"/>
      <c r="J15" s="559"/>
      <c r="K15" s="559"/>
      <c r="L15" s="559"/>
      <c r="M15" s="559"/>
      <c r="N15" s="559"/>
      <c r="O15" s="559"/>
      <c r="P15" s="559"/>
      <c r="Q15" s="559"/>
      <c r="R15" s="559"/>
      <c r="S15" s="559"/>
      <c r="T15" s="559"/>
      <c r="W15" s="627"/>
      <c r="X15" s="626"/>
      <c r="Y15" s="626"/>
      <c r="Z15" s="585"/>
      <c r="AA15" s="559"/>
      <c r="AB15" s="559"/>
      <c r="AC15" s="559"/>
      <c r="AD15" s="559"/>
      <c r="AE15" s="559"/>
      <c r="AF15" s="559"/>
      <c r="AG15" s="559"/>
      <c r="AH15" s="559"/>
      <c r="AI15" s="559"/>
      <c r="AJ15" s="559"/>
      <c r="AK15" s="559"/>
      <c r="AL15" s="9"/>
      <c r="AN15" s="559"/>
      <c r="AO15" s="559"/>
      <c r="AP15" s="559"/>
      <c r="AQ15" s="564"/>
      <c r="AR15" s="564"/>
      <c r="AS15" s="559"/>
      <c r="AT15" s="559"/>
      <c r="AU15" s="604"/>
      <c r="AV15" s="604"/>
      <c r="AW15" s="559"/>
      <c r="AX15" s="559"/>
      <c r="AY15" s="559"/>
      <c r="AZ15" s="559"/>
      <c r="BA15" s="559"/>
      <c r="BB15" s="582"/>
      <c r="BC15" s="9"/>
    </row>
    <row r="16" spans="1:55" ht="15.75" x14ac:dyDescent="0.25">
      <c r="A16" s="12"/>
      <c r="B16" s="564"/>
      <c r="C16" s="559"/>
      <c r="D16" s="559"/>
      <c r="E16" s="565"/>
      <c r="F16" s="565"/>
      <c r="G16" s="559"/>
      <c r="H16" s="559"/>
      <c r="I16" s="559"/>
      <c r="J16" s="559"/>
      <c r="K16" s="559"/>
      <c r="L16" s="559"/>
      <c r="M16" s="559"/>
      <c r="N16" s="559"/>
      <c r="O16" s="559"/>
      <c r="P16" s="559"/>
      <c r="Q16" s="559"/>
      <c r="R16" s="559"/>
      <c r="S16" s="559"/>
      <c r="T16" s="559"/>
      <c r="W16" s="627"/>
      <c r="X16" s="626"/>
      <c r="Y16" s="628"/>
      <c r="Z16" s="586"/>
      <c r="AA16" s="559"/>
      <c r="AB16" s="559"/>
      <c r="AC16" s="559"/>
      <c r="AD16" s="559"/>
      <c r="AE16" s="559"/>
      <c r="AF16" s="559"/>
      <c r="AG16" s="559"/>
      <c r="AH16" s="559"/>
      <c r="AI16" s="559"/>
      <c r="AJ16" s="559"/>
      <c r="AK16" s="559"/>
      <c r="AL16" s="9"/>
      <c r="AN16" s="559"/>
      <c r="AO16" s="559"/>
      <c r="AP16" s="559"/>
      <c r="AQ16" s="559"/>
      <c r="AR16" s="559"/>
      <c r="AS16" s="559"/>
      <c r="AT16" s="559"/>
      <c r="AU16" s="559"/>
      <c r="AV16" s="559"/>
      <c r="AW16" s="559"/>
      <c r="AX16" s="559"/>
      <c r="AY16" s="559"/>
      <c r="AZ16" s="559"/>
      <c r="BA16" s="559"/>
      <c r="BB16" s="582"/>
      <c r="BC16" s="9"/>
    </row>
    <row r="17" spans="1:55" ht="15.75" x14ac:dyDescent="0.25">
      <c r="A17" s="12"/>
      <c r="B17" s="564"/>
      <c r="C17" s="559"/>
      <c r="D17" s="559"/>
      <c r="E17" s="565"/>
      <c r="F17" s="565"/>
      <c r="G17" s="559"/>
      <c r="H17" s="559"/>
      <c r="I17" s="559"/>
      <c r="J17" s="571"/>
      <c r="K17" s="571"/>
      <c r="L17" s="571"/>
      <c r="M17" s="571"/>
      <c r="N17" s="559"/>
      <c r="O17" s="559"/>
      <c r="P17" s="564"/>
      <c r="Q17" s="564"/>
      <c r="R17" s="564"/>
      <c r="S17" s="564"/>
      <c r="T17" s="559"/>
      <c r="W17" s="627"/>
      <c r="X17" s="626"/>
      <c r="Y17" s="628"/>
      <c r="Z17" s="586"/>
      <c r="AA17" s="559"/>
      <c r="AB17" s="559"/>
      <c r="AC17" s="559"/>
      <c r="AD17" s="559"/>
      <c r="AE17" s="559"/>
      <c r="AF17" s="559"/>
      <c r="AG17" s="559"/>
      <c r="AH17" s="559"/>
      <c r="AI17" s="559"/>
      <c r="AJ17" s="559"/>
      <c r="AK17" s="559"/>
      <c r="AL17" s="9"/>
      <c r="AN17" s="559"/>
      <c r="AO17" s="559"/>
      <c r="AP17" s="559"/>
      <c r="AQ17" s="559"/>
      <c r="AR17" s="559"/>
      <c r="AS17" s="559"/>
      <c r="AT17" s="559"/>
      <c r="AU17" s="615"/>
      <c r="AV17" s="615"/>
      <c r="AW17" s="615"/>
      <c r="AX17" s="615"/>
      <c r="AY17" s="615"/>
      <c r="AZ17" s="559"/>
      <c r="BA17" s="559"/>
      <c r="BB17" s="582"/>
      <c r="BC17" s="9"/>
    </row>
    <row r="18" spans="1:55" ht="15.75" x14ac:dyDescent="0.25">
      <c r="A18" s="12"/>
      <c r="B18" s="567"/>
      <c r="C18" s="559"/>
      <c r="D18" s="559"/>
      <c r="E18" s="565"/>
      <c r="F18" s="565"/>
      <c r="G18" s="559"/>
      <c r="H18" s="559"/>
      <c r="I18" s="559"/>
      <c r="J18" s="571"/>
      <c r="K18" s="571"/>
      <c r="L18" s="571"/>
      <c r="M18" s="571"/>
      <c r="N18" s="559"/>
      <c r="O18" s="559"/>
      <c r="P18" s="564"/>
      <c r="Q18" s="564"/>
      <c r="R18" s="564"/>
      <c r="S18" s="564"/>
      <c r="T18" s="559"/>
      <c r="W18" s="627"/>
      <c r="X18" s="626"/>
      <c r="Y18" s="628"/>
      <c r="Z18" s="586"/>
      <c r="AA18" s="559"/>
      <c r="AB18" s="559"/>
      <c r="AC18" s="559"/>
      <c r="AD18" s="559"/>
      <c r="AE18" s="559"/>
      <c r="AF18" s="559"/>
      <c r="AG18" s="559"/>
      <c r="AH18" s="559"/>
      <c r="AI18" s="559"/>
      <c r="AJ18" s="559"/>
      <c r="AK18" s="559"/>
      <c r="AL18" s="9"/>
      <c r="AN18" s="559"/>
      <c r="AO18" s="559"/>
      <c r="AP18" s="559"/>
      <c r="AQ18" s="559"/>
      <c r="AR18" s="559"/>
      <c r="AS18" s="559"/>
      <c r="AT18" s="559"/>
      <c r="AU18" s="559"/>
      <c r="AV18" s="559"/>
      <c r="AW18" s="559"/>
      <c r="AX18" s="559"/>
      <c r="AY18" s="559"/>
      <c r="AZ18" s="559"/>
      <c r="BA18" s="559"/>
      <c r="BB18" s="582"/>
      <c r="BC18" s="9"/>
    </row>
    <row r="19" spans="1:55" ht="18" x14ac:dyDescent="0.25">
      <c r="A19" s="12"/>
      <c r="B19" s="572"/>
      <c r="C19" s="559"/>
      <c r="D19" s="559"/>
      <c r="E19" s="565"/>
      <c r="F19" s="565"/>
      <c r="G19" s="559"/>
      <c r="H19" s="559"/>
      <c r="I19" s="559"/>
      <c r="J19" s="559"/>
      <c r="K19" s="559"/>
      <c r="L19" s="559"/>
      <c r="M19" s="559"/>
      <c r="N19" s="559"/>
      <c r="O19" s="559"/>
      <c r="P19" s="559"/>
      <c r="Q19" s="559"/>
      <c r="R19" s="559"/>
      <c r="S19" s="559"/>
      <c r="T19" s="559"/>
      <c r="W19" s="627"/>
      <c r="X19" s="626"/>
      <c r="Y19" s="628"/>
      <c r="Z19" s="586"/>
      <c r="AA19" s="559"/>
      <c r="AB19" s="559"/>
      <c r="AC19" s="559"/>
      <c r="AD19" s="559"/>
      <c r="AE19" s="559"/>
      <c r="AF19" s="559"/>
      <c r="AG19" s="559"/>
      <c r="AH19" s="559"/>
      <c r="AI19" s="559"/>
      <c r="AJ19" s="559"/>
      <c r="AK19" s="559"/>
      <c r="AL19" s="9"/>
      <c r="AN19" s="559"/>
      <c r="AO19" s="559"/>
      <c r="AP19" s="559"/>
      <c r="AQ19" s="559"/>
      <c r="AR19" s="559"/>
      <c r="AS19" s="559"/>
      <c r="AT19" s="559"/>
      <c r="AU19" s="559"/>
      <c r="AV19" s="559"/>
      <c r="AW19" s="559"/>
      <c r="AX19" s="605"/>
      <c r="AY19" s="605"/>
      <c r="AZ19" s="559"/>
      <c r="BA19" s="559"/>
      <c r="BB19" s="582"/>
      <c r="BC19" s="9"/>
    </row>
    <row r="20" spans="1:55" ht="18.75" thickBot="1" x14ac:dyDescent="0.3">
      <c r="A20" s="12"/>
      <c r="B20" s="572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W20" s="629"/>
      <c r="X20" s="630"/>
      <c r="Y20" s="631"/>
      <c r="Z20" s="559"/>
      <c r="AA20" s="559"/>
      <c r="AB20" s="559"/>
      <c r="AC20" s="559"/>
      <c r="AD20" s="559"/>
      <c r="AE20" s="559"/>
      <c r="AF20" s="559"/>
      <c r="AG20" s="587"/>
      <c r="AH20" s="588"/>
      <c r="AI20" s="587"/>
      <c r="AJ20" s="589"/>
      <c r="AK20" s="559"/>
      <c r="AL20" s="9"/>
      <c r="AN20" s="573"/>
      <c r="AO20" s="573"/>
      <c r="AP20" s="559"/>
      <c r="AQ20" s="559"/>
      <c r="AR20" s="559"/>
      <c r="AS20" s="559"/>
      <c r="AT20" s="559"/>
      <c r="AU20" s="559"/>
      <c r="AV20" s="606"/>
      <c r="AW20" s="605"/>
      <c r="AX20" s="597"/>
      <c r="AY20" s="597"/>
      <c r="AZ20" s="605"/>
      <c r="BA20" s="607"/>
      <c r="BB20" s="582"/>
      <c r="BC20" s="9"/>
    </row>
    <row r="21" spans="1:55" ht="18" x14ac:dyDescent="0.25">
      <c r="A21" s="12"/>
      <c r="B21" s="572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W21" s="559"/>
      <c r="X21" s="559"/>
      <c r="Y21" s="559"/>
      <c r="Z21" s="559"/>
      <c r="AA21" s="559"/>
      <c r="AB21" s="559"/>
      <c r="AC21" s="559"/>
      <c r="AD21" s="559"/>
      <c r="AE21" s="559"/>
      <c r="AF21" s="559"/>
      <c r="AG21" s="590"/>
      <c r="AH21" s="588"/>
      <c r="AI21" s="591"/>
      <c r="AJ21" s="589"/>
      <c r="AK21" s="559"/>
      <c r="AL21" s="9"/>
      <c r="AN21" s="559"/>
      <c r="AO21" s="573"/>
      <c r="AP21" s="573"/>
      <c r="AQ21" s="559"/>
      <c r="AR21" s="559"/>
      <c r="AS21" s="559"/>
      <c r="AT21" s="559"/>
      <c r="AU21" s="606"/>
      <c r="AV21" s="605"/>
      <c r="AW21" s="597"/>
      <c r="AX21" s="597"/>
      <c r="AY21" s="605"/>
      <c r="AZ21" s="607"/>
      <c r="BA21" s="559"/>
      <c r="BB21" s="582"/>
      <c r="BC21" s="9"/>
    </row>
    <row r="22" spans="1:55" ht="18" x14ac:dyDescent="0.25">
      <c r="A22" s="12"/>
      <c r="B22" s="572"/>
      <c r="C22" s="559"/>
      <c r="D22" s="559"/>
      <c r="E22" s="573"/>
      <c r="F22" s="573"/>
      <c r="G22" s="559"/>
      <c r="H22" s="559"/>
      <c r="I22" s="559"/>
      <c r="J22" s="559"/>
      <c r="K22" s="559"/>
      <c r="L22" s="559"/>
      <c r="M22" s="559"/>
      <c r="N22" s="559"/>
      <c r="O22" s="559"/>
      <c r="P22" s="559"/>
      <c r="Q22" s="559"/>
      <c r="R22" s="559"/>
      <c r="S22" s="559"/>
      <c r="T22" s="559"/>
      <c r="W22" s="559"/>
      <c r="X22" s="559"/>
      <c r="Y22" s="559"/>
      <c r="Z22" s="559"/>
      <c r="AA22" s="559"/>
      <c r="AB22" s="559"/>
      <c r="AC22" s="559"/>
      <c r="AD22" s="559"/>
      <c r="AE22" s="559"/>
      <c r="AF22" s="559"/>
      <c r="AG22" s="559"/>
      <c r="AH22" s="559"/>
      <c r="AI22" s="559"/>
      <c r="AJ22" s="559"/>
      <c r="AK22" s="559"/>
      <c r="AL22" s="9"/>
      <c r="AN22" s="559"/>
      <c r="AO22" s="559"/>
      <c r="AP22" s="573"/>
      <c r="AQ22" s="573"/>
      <c r="AR22" s="559"/>
      <c r="AS22" s="559"/>
      <c r="AT22" s="606"/>
      <c r="AU22" s="605"/>
      <c r="AV22" s="597"/>
      <c r="AW22" s="597"/>
      <c r="AX22" s="605"/>
      <c r="AY22" s="607"/>
      <c r="AZ22" s="559"/>
      <c r="BA22" s="559"/>
      <c r="BB22" s="582"/>
      <c r="BC22" s="9"/>
    </row>
    <row r="23" spans="1:55" ht="18" x14ac:dyDescent="0.25">
      <c r="A23" s="12"/>
      <c r="B23" s="572"/>
      <c r="C23" s="559"/>
      <c r="D23" s="559"/>
      <c r="E23" s="573"/>
      <c r="F23" s="573"/>
      <c r="G23" s="559"/>
      <c r="H23" s="559"/>
      <c r="I23" s="559"/>
      <c r="J23" s="572"/>
      <c r="K23" s="572"/>
      <c r="L23" s="572"/>
      <c r="M23" s="572"/>
      <c r="N23" s="559"/>
      <c r="O23" s="559"/>
      <c r="P23" s="564"/>
      <c r="Q23" s="564"/>
      <c r="R23" s="564"/>
      <c r="S23" s="564"/>
      <c r="T23" s="559"/>
      <c r="W23" s="559"/>
      <c r="X23" s="559"/>
      <c r="Y23" s="559"/>
      <c r="Z23" s="559"/>
      <c r="AA23" s="559"/>
      <c r="AB23" s="559"/>
      <c r="AC23" s="559"/>
      <c r="AD23" s="559"/>
      <c r="AE23" s="559"/>
      <c r="AF23" s="559"/>
      <c r="AG23" s="559"/>
      <c r="AH23" s="559"/>
      <c r="AI23" s="559"/>
      <c r="AJ23" s="559"/>
      <c r="AK23" s="559"/>
      <c r="AL23" s="9"/>
      <c r="AN23" s="559"/>
      <c r="AO23" s="559"/>
      <c r="AP23" s="559"/>
      <c r="AQ23" s="573"/>
      <c r="AR23" s="573"/>
      <c r="AS23" s="606"/>
      <c r="AT23" s="605"/>
      <c r="AU23" s="597"/>
      <c r="AV23" s="597"/>
      <c r="AW23" s="605"/>
      <c r="AX23" s="607"/>
      <c r="AY23" s="559"/>
      <c r="AZ23" s="559"/>
      <c r="BA23" s="559"/>
      <c r="BB23" s="582"/>
      <c r="BC23" s="9"/>
    </row>
    <row r="24" spans="1:55" ht="18" x14ac:dyDescent="0.25">
      <c r="A24" s="12"/>
      <c r="B24" s="572"/>
      <c r="C24" s="559"/>
      <c r="D24" s="559"/>
      <c r="E24" s="573"/>
      <c r="F24" s="573"/>
      <c r="G24" s="559"/>
      <c r="H24" s="559"/>
      <c r="I24" s="559"/>
      <c r="J24" s="572"/>
      <c r="K24" s="572"/>
      <c r="L24" s="572"/>
      <c r="M24" s="572"/>
      <c r="N24" s="559"/>
      <c r="O24" s="559"/>
      <c r="P24" s="564"/>
      <c r="Q24" s="564"/>
      <c r="R24" s="564"/>
      <c r="S24" s="564"/>
      <c r="T24" s="559"/>
      <c r="W24" s="559"/>
      <c r="X24" s="559"/>
      <c r="Y24" s="559"/>
      <c r="Z24" s="559"/>
      <c r="AA24" s="559"/>
      <c r="AB24" s="559"/>
      <c r="AC24" s="559"/>
      <c r="AD24" s="559"/>
      <c r="AE24" s="559"/>
      <c r="AF24" s="559"/>
      <c r="AG24" s="559"/>
      <c r="AH24" s="559"/>
      <c r="AI24" s="559"/>
      <c r="AJ24" s="559"/>
      <c r="AK24" s="559"/>
      <c r="AO24" s="559"/>
      <c r="AP24" s="559"/>
      <c r="AQ24" s="559"/>
      <c r="AR24" s="559"/>
      <c r="AS24" s="559"/>
      <c r="AT24" s="594"/>
      <c r="AU24" s="605"/>
      <c r="AV24" s="605"/>
      <c r="AW24" s="559"/>
      <c r="AX24" s="559"/>
      <c r="AY24" s="559"/>
      <c r="AZ24" s="559"/>
      <c r="BA24" s="559"/>
      <c r="BB24" s="582"/>
      <c r="BC24" s="9"/>
    </row>
    <row r="25" spans="1:55" ht="15.75" x14ac:dyDescent="0.25">
      <c r="A25" s="12"/>
      <c r="B25" s="559"/>
      <c r="C25" s="559"/>
      <c r="D25" s="559"/>
      <c r="E25" s="573"/>
      <c r="F25" s="573"/>
      <c r="G25" s="559"/>
      <c r="H25" s="559"/>
      <c r="I25" s="559"/>
      <c r="J25" s="559"/>
      <c r="K25" s="559"/>
      <c r="L25" s="559"/>
      <c r="M25" s="559"/>
      <c r="N25" s="559"/>
      <c r="O25" s="559"/>
      <c r="P25" s="559"/>
      <c r="Q25" s="559"/>
      <c r="R25" s="559"/>
      <c r="S25" s="559"/>
      <c r="T25" s="559"/>
      <c r="W25" s="559"/>
      <c r="X25" s="559"/>
      <c r="Y25" s="559"/>
      <c r="Z25" s="559"/>
      <c r="AA25" s="559"/>
      <c r="AB25" s="559"/>
      <c r="AC25" s="559"/>
      <c r="AD25" s="559"/>
      <c r="AE25" s="559"/>
      <c r="AF25" s="559"/>
      <c r="AG25" s="592"/>
      <c r="AH25" s="592"/>
      <c r="AI25" s="592"/>
      <c r="AJ25" s="592"/>
      <c r="AK25" s="559"/>
      <c r="AO25" s="559"/>
      <c r="AP25" s="559"/>
      <c r="AQ25" s="559"/>
      <c r="AR25" s="559"/>
      <c r="AS25" s="559"/>
      <c r="AT25" s="559"/>
      <c r="AU25" s="559"/>
      <c r="AV25" s="559"/>
      <c r="AW25" s="559"/>
      <c r="AX25" s="559"/>
      <c r="AY25" s="559"/>
      <c r="AZ25" s="559"/>
      <c r="BA25" s="559"/>
      <c r="BB25" s="604"/>
      <c r="BC25" s="9"/>
    </row>
    <row r="26" spans="1:55" ht="15.75" x14ac:dyDescent="0.25">
      <c r="A26" s="12"/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W26" s="559"/>
      <c r="X26" s="559"/>
      <c r="Y26" s="559"/>
      <c r="Z26" s="559"/>
      <c r="AA26" s="559"/>
      <c r="AB26" s="559"/>
      <c r="AC26" s="559"/>
      <c r="AD26" s="559"/>
      <c r="AE26" s="559"/>
      <c r="AF26" s="559"/>
      <c r="AG26" s="592"/>
      <c r="AH26" s="592"/>
      <c r="AI26" s="592"/>
      <c r="AJ26" s="592"/>
      <c r="AK26" s="559"/>
      <c r="AL26" s="9"/>
      <c r="AN26" s="559"/>
      <c r="AO26" s="559"/>
      <c r="AP26" s="559"/>
      <c r="AQ26" s="559"/>
      <c r="AR26" s="559"/>
      <c r="AS26" s="559"/>
      <c r="AT26" s="559"/>
      <c r="AU26" s="559"/>
      <c r="AV26" s="559"/>
      <c r="AW26" s="559"/>
      <c r="AX26" s="559"/>
      <c r="AY26" s="559"/>
      <c r="AZ26" s="559"/>
      <c r="BA26" s="559"/>
      <c r="BB26" s="604"/>
      <c r="BC26" s="9"/>
    </row>
    <row r="27" spans="1:55" ht="15.75" x14ac:dyDescent="0.25">
      <c r="A27" s="12"/>
      <c r="B27" s="559"/>
      <c r="C27" s="559"/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59"/>
      <c r="Q27" s="559"/>
      <c r="R27" s="559"/>
      <c r="S27" s="559"/>
      <c r="T27" s="559"/>
      <c r="W27" s="559"/>
      <c r="X27" s="559"/>
      <c r="Y27" s="559"/>
      <c r="Z27" s="559"/>
      <c r="AA27" s="559"/>
      <c r="AB27" s="559"/>
      <c r="AC27" s="559"/>
      <c r="AD27" s="559"/>
      <c r="AE27" s="559"/>
      <c r="AF27" s="559"/>
      <c r="AG27" s="559"/>
      <c r="AH27" s="559"/>
      <c r="AI27" s="559"/>
      <c r="AJ27" s="559"/>
      <c r="AK27" s="559"/>
      <c r="AL27" s="9"/>
      <c r="AN27" s="559"/>
      <c r="AO27" s="559"/>
      <c r="AP27" s="559"/>
      <c r="AQ27" s="559"/>
      <c r="AR27" s="559"/>
      <c r="AS27" s="559"/>
      <c r="AT27" s="559"/>
      <c r="AU27" s="559"/>
      <c r="AV27" s="559"/>
      <c r="AW27" s="559"/>
      <c r="AX27" s="559"/>
      <c r="AY27" s="559"/>
      <c r="AZ27" s="559"/>
      <c r="BA27" s="559"/>
      <c r="BB27" s="604"/>
      <c r="BC27" s="9"/>
    </row>
    <row r="28" spans="1:55" ht="15.75" x14ac:dyDescent="0.25">
      <c r="A28" s="12"/>
      <c r="B28" s="559"/>
      <c r="C28" s="559"/>
      <c r="D28" s="559"/>
      <c r="E28" s="559"/>
      <c r="F28" s="559"/>
      <c r="G28" s="559"/>
      <c r="H28" s="559"/>
      <c r="I28" s="559"/>
      <c r="J28" s="559"/>
      <c r="K28" s="559"/>
      <c r="L28" s="559"/>
      <c r="M28" s="559"/>
      <c r="N28" s="559"/>
      <c r="O28" s="559"/>
      <c r="P28" s="559"/>
      <c r="Q28" s="559"/>
      <c r="R28" s="559"/>
      <c r="S28" s="559"/>
      <c r="T28" s="559"/>
      <c r="W28" s="559"/>
      <c r="X28" s="559"/>
      <c r="Y28" s="559"/>
      <c r="Z28" s="559"/>
      <c r="AA28" s="559"/>
      <c r="AB28" s="559"/>
      <c r="AC28" s="559"/>
      <c r="AD28" s="559"/>
      <c r="AE28" s="559"/>
      <c r="AF28" s="559"/>
      <c r="AG28" s="559"/>
      <c r="AH28" s="559"/>
      <c r="AI28" s="559"/>
      <c r="AJ28" s="559"/>
      <c r="AK28" s="559"/>
      <c r="AL28" s="9"/>
      <c r="AN28" s="559"/>
      <c r="AO28" s="559"/>
      <c r="AP28" s="559"/>
      <c r="AQ28" s="559"/>
      <c r="AR28" s="559"/>
      <c r="AS28" s="564"/>
      <c r="AT28" s="564"/>
      <c r="AU28" s="559"/>
      <c r="AV28" s="559"/>
      <c r="AW28" s="559"/>
      <c r="AX28" s="559"/>
      <c r="AY28" s="559"/>
      <c r="AZ28" s="559"/>
      <c r="BA28" s="559"/>
      <c r="BB28" s="604"/>
      <c r="BC28" s="9"/>
    </row>
    <row r="29" spans="1:55" ht="16.5" thickBot="1" x14ac:dyDescent="0.3">
      <c r="A29" s="12"/>
      <c r="B29" s="559"/>
      <c r="C29" s="559"/>
      <c r="D29" s="559"/>
      <c r="E29" s="559"/>
      <c r="F29" s="559"/>
      <c r="G29" s="559"/>
      <c r="H29" s="559"/>
      <c r="I29" s="559"/>
      <c r="J29" s="564"/>
      <c r="K29" s="574"/>
      <c r="L29" s="574"/>
      <c r="M29" s="574"/>
      <c r="N29" s="574"/>
      <c r="O29" s="564"/>
      <c r="P29" s="559"/>
      <c r="Q29" s="559"/>
      <c r="R29" s="559"/>
      <c r="S29" s="559"/>
      <c r="T29" s="559"/>
      <c r="W29" s="559"/>
      <c r="X29" s="559"/>
      <c r="Y29" s="559"/>
      <c r="Z29" s="559"/>
      <c r="AA29" s="559"/>
      <c r="AB29" s="559"/>
      <c r="AC29" s="559"/>
      <c r="AD29" s="559"/>
      <c r="AE29" s="559"/>
      <c r="AF29" s="559"/>
      <c r="AG29" s="559"/>
      <c r="AH29" s="559"/>
      <c r="AI29" s="559"/>
      <c r="AJ29" s="559"/>
      <c r="AK29" s="559"/>
      <c r="AL29" s="9"/>
      <c r="AN29" s="559"/>
      <c r="AO29" s="559"/>
      <c r="AP29" s="559"/>
      <c r="AQ29" s="559"/>
      <c r="AR29" s="559"/>
      <c r="AS29" s="564"/>
      <c r="AT29" s="564"/>
      <c r="AU29" s="559"/>
      <c r="AV29" s="559"/>
      <c r="AW29" s="559"/>
      <c r="AX29" s="559"/>
      <c r="AY29" s="559"/>
      <c r="AZ29" s="559"/>
      <c r="BA29" s="559"/>
      <c r="BB29" s="604"/>
      <c r="BC29" s="9"/>
    </row>
    <row r="30" spans="1:55" ht="15.75" x14ac:dyDescent="0.25">
      <c r="A30" s="12"/>
      <c r="B30" s="575"/>
      <c r="C30" s="576"/>
      <c r="D30" s="576"/>
      <c r="E30" s="576"/>
      <c r="F30" s="576"/>
      <c r="G30" s="576"/>
      <c r="H30" s="611"/>
      <c r="I30" s="612"/>
      <c r="J30" s="576"/>
      <c r="K30" s="577"/>
      <c r="L30" s="577"/>
      <c r="M30" s="577"/>
      <c r="N30" s="577"/>
      <c r="O30" s="576"/>
      <c r="P30" s="576"/>
      <c r="Q30" s="576"/>
      <c r="R30" s="578"/>
      <c r="S30" s="559"/>
      <c r="T30" s="559"/>
      <c r="W30" s="559"/>
      <c r="X30" s="559"/>
      <c r="Y30" s="559"/>
      <c r="Z30" s="559"/>
      <c r="AA30" s="615"/>
      <c r="AB30" s="615"/>
      <c r="AC30" s="615"/>
      <c r="AD30" s="615"/>
      <c r="AE30" s="559"/>
      <c r="AF30" s="559"/>
      <c r="AG30" s="559"/>
      <c r="AH30" s="559"/>
      <c r="AI30" s="559"/>
      <c r="AJ30" s="559"/>
      <c r="AK30" s="559"/>
      <c r="AL30" s="9"/>
      <c r="AN30" s="559"/>
      <c r="AO30" s="559"/>
      <c r="AP30" s="559"/>
      <c r="AQ30" s="559"/>
      <c r="AR30" s="559"/>
      <c r="AS30" s="559"/>
      <c r="AT30" s="559"/>
      <c r="AU30" s="559"/>
      <c r="AV30" s="559"/>
      <c r="AW30" s="559"/>
      <c r="AX30" s="559"/>
      <c r="AY30" s="559"/>
      <c r="AZ30" s="559"/>
      <c r="BA30" s="559"/>
      <c r="BB30" s="604"/>
      <c r="BC30" s="9"/>
    </row>
    <row r="31" spans="1:55" ht="16.5" thickBot="1" x14ac:dyDescent="0.3">
      <c r="A31" s="12"/>
      <c r="B31" s="578"/>
      <c r="C31" s="559"/>
      <c r="D31" s="559"/>
      <c r="E31" s="559"/>
      <c r="F31" s="559"/>
      <c r="G31" s="559"/>
      <c r="H31" s="613"/>
      <c r="I31" s="614"/>
      <c r="J31" s="559"/>
      <c r="K31" s="559"/>
      <c r="L31" s="559"/>
      <c r="M31" s="559"/>
      <c r="N31" s="559"/>
      <c r="O31" s="559"/>
      <c r="P31" s="559"/>
      <c r="Q31" s="559"/>
      <c r="R31" s="578"/>
      <c r="S31" s="559"/>
      <c r="T31" s="559"/>
      <c r="W31" s="559"/>
      <c r="X31" s="559"/>
      <c r="Y31" s="559"/>
      <c r="Z31" s="559"/>
      <c r="AA31" s="593"/>
      <c r="AB31" s="593"/>
      <c r="AC31" s="593"/>
      <c r="AD31" s="593"/>
      <c r="AE31" s="559"/>
      <c r="AF31" s="559"/>
      <c r="AG31" s="559"/>
      <c r="AH31" s="559"/>
      <c r="AI31" s="559"/>
      <c r="AJ31" s="559"/>
      <c r="AK31" s="559"/>
      <c r="AL31" s="9"/>
      <c r="AN31" s="559"/>
      <c r="AO31" s="559"/>
      <c r="AP31" s="559"/>
      <c r="AQ31" s="559"/>
      <c r="AR31" s="559"/>
      <c r="AS31" s="559"/>
      <c r="AT31" s="559"/>
      <c r="AU31" s="559"/>
      <c r="AV31" s="559"/>
      <c r="AW31" s="559"/>
      <c r="AX31" s="559"/>
      <c r="AY31" s="559"/>
      <c r="AZ31" s="559"/>
      <c r="BA31" s="559"/>
      <c r="BB31" s="604"/>
      <c r="BC31" s="9"/>
    </row>
    <row r="32" spans="1:55" ht="18.75" x14ac:dyDescent="0.25">
      <c r="A32" s="27"/>
      <c r="B32" s="53"/>
      <c r="C32" s="22"/>
      <c r="D32" s="22"/>
      <c r="E32" s="22"/>
      <c r="F32" s="22"/>
      <c r="G32" s="22"/>
      <c r="Q32" s="22"/>
      <c r="R32" s="9"/>
      <c r="W32" s="559"/>
      <c r="X32" s="559"/>
      <c r="Y32" s="559"/>
      <c r="Z32" s="594"/>
      <c r="AA32" s="595"/>
      <c r="AB32" s="595"/>
      <c r="AC32" s="595"/>
      <c r="AD32" s="595"/>
      <c r="AE32" s="559"/>
      <c r="AF32" s="559"/>
      <c r="AG32" s="559"/>
      <c r="AH32" s="559"/>
      <c r="AI32" s="559"/>
      <c r="AJ32" s="559"/>
      <c r="AK32" s="559"/>
      <c r="AL32" s="9"/>
      <c r="AN32" s="615"/>
      <c r="AO32" s="615"/>
      <c r="AP32" s="615"/>
      <c r="AQ32" s="615"/>
      <c r="AR32" s="615"/>
      <c r="AS32" s="559"/>
      <c r="AT32" s="559"/>
      <c r="AU32" s="559"/>
      <c r="AV32" s="559"/>
      <c r="AW32" s="559"/>
      <c r="AX32" s="559"/>
      <c r="AY32" s="559"/>
      <c r="AZ32" s="559"/>
      <c r="BA32" s="559"/>
      <c r="BB32" s="604"/>
      <c r="BC32" s="9"/>
    </row>
    <row r="33" spans="1:55" ht="21" x14ac:dyDescent="0.25">
      <c r="A33" s="27"/>
      <c r="B33" s="55"/>
      <c r="C33" s="22"/>
      <c r="D33" s="22"/>
      <c r="E33" s="56"/>
      <c r="F33" s="56"/>
      <c r="G33" s="22"/>
      <c r="K33" s="559"/>
      <c r="L33" s="559"/>
      <c r="M33" s="559"/>
      <c r="N33" s="559"/>
      <c r="O33" s="559"/>
      <c r="P33" s="559"/>
      <c r="Q33" s="579"/>
      <c r="R33" s="571"/>
      <c r="S33" s="559"/>
      <c r="W33" s="559"/>
      <c r="X33" s="559"/>
      <c r="Y33" s="559"/>
      <c r="Z33" s="596"/>
      <c r="AA33" s="597"/>
      <c r="AB33" s="597"/>
      <c r="AC33" s="597"/>
      <c r="AD33" s="597"/>
      <c r="AE33" s="596"/>
      <c r="AF33" s="559"/>
      <c r="AG33" s="559"/>
      <c r="AH33" s="559"/>
      <c r="AI33" s="559"/>
      <c r="AJ33" s="559"/>
      <c r="AK33" s="559"/>
      <c r="AL33" s="9"/>
      <c r="AN33" s="559"/>
      <c r="AO33" s="559"/>
      <c r="AP33" s="559"/>
      <c r="AQ33" s="608"/>
      <c r="AR33" s="608"/>
      <c r="AS33" s="603"/>
      <c r="AT33" s="559"/>
      <c r="AU33" s="566"/>
      <c r="AV33" s="559"/>
      <c r="AW33" s="559"/>
      <c r="AX33" s="559"/>
      <c r="AY33" s="559"/>
      <c r="AZ33" s="559"/>
      <c r="BA33" s="559"/>
      <c r="BB33" s="604"/>
      <c r="BC33" s="9"/>
    </row>
    <row r="34" spans="1:55" ht="23.25" x14ac:dyDescent="0.25">
      <c r="A34" s="27"/>
      <c r="B34" s="55"/>
      <c r="C34" s="22"/>
      <c r="D34" s="22"/>
      <c r="E34" s="61"/>
      <c r="F34" s="61"/>
      <c r="G34" s="22"/>
      <c r="K34" s="559"/>
      <c r="L34" s="559"/>
      <c r="M34" s="559"/>
      <c r="N34" s="559"/>
      <c r="O34" s="566"/>
      <c r="P34" s="579"/>
      <c r="Q34" s="571"/>
      <c r="R34" s="559"/>
      <c r="S34" s="559"/>
      <c r="W34" s="559"/>
      <c r="X34" s="559"/>
      <c r="Y34" s="559"/>
      <c r="Z34" s="596"/>
      <c r="AA34" s="597"/>
      <c r="AB34" s="597"/>
      <c r="AC34" s="597"/>
      <c r="AD34" s="597"/>
      <c r="AE34" s="596"/>
      <c r="AF34" s="559"/>
      <c r="AG34" s="559"/>
      <c r="AH34" s="559"/>
      <c r="AI34" s="559"/>
      <c r="AJ34" s="559"/>
      <c r="AK34" s="559"/>
      <c r="AL34" s="9"/>
      <c r="AN34" s="559"/>
      <c r="AO34" s="606"/>
      <c r="AP34" s="609"/>
      <c r="AQ34" s="597"/>
      <c r="AR34" s="597"/>
      <c r="AS34" s="609"/>
      <c r="AT34" s="607"/>
      <c r="AU34" s="564"/>
      <c r="AV34" s="564"/>
      <c r="AW34" s="559"/>
      <c r="AX34" s="559"/>
      <c r="AY34" s="559"/>
      <c r="AZ34" s="559"/>
      <c r="BA34" s="559"/>
      <c r="BB34" s="604"/>
      <c r="BC34" s="9"/>
    </row>
    <row r="35" spans="1:55" ht="23.25" x14ac:dyDescent="0.25">
      <c r="A35" s="27"/>
      <c r="B35" s="1">
        <v>25</v>
      </c>
      <c r="C35" s="4">
        <v>25</v>
      </c>
      <c r="D35" s="2">
        <v>25</v>
      </c>
      <c r="E35" s="3">
        <v>25</v>
      </c>
      <c r="F35" s="5">
        <v>25</v>
      </c>
      <c r="G35" s="6">
        <v>25</v>
      </c>
      <c r="H35" s="6">
        <v>25</v>
      </c>
      <c r="I35" s="6">
        <v>25</v>
      </c>
      <c r="J35" s="64"/>
      <c r="K35" s="559"/>
      <c r="L35" s="559"/>
      <c r="M35" s="559"/>
      <c r="N35" s="559"/>
      <c r="O35" s="579"/>
      <c r="P35" s="571"/>
      <c r="Q35" s="559"/>
      <c r="R35" s="559"/>
      <c r="S35" s="559"/>
      <c r="V35" s="559"/>
      <c r="W35" s="559"/>
      <c r="X35" s="559"/>
      <c r="Y35" s="559"/>
      <c r="Z35" s="594"/>
      <c r="AA35" s="595"/>
      <c r="AB35" s="595"/>
      <c r="AC35" s="595"/>
      <c r="AD35" s="595"/>
      <c r="AE35" s="559"/>
      <c r="AF35" s="559"/>
      <c r="AG35" s="559"/>
      <c r="AH35" s="559"/>
      <c r="AI35" s="559"/>
      <c r="AJ35" s="559"/>
      <c r="AK35" s="559"/>
      <c r="AL35" s="9"/>
      <c r="AN35" s="606"/>
      <c r="AO35" s="609"/>
      <c r="AP35" s="597"/>
      <c r="AQ35" s="597"/>
      <c r="AR35" s="609"/>
      <c r="AS35" s="607"/>
      <c r="AT35" s="559"/>
      <c r="AU35" s="559"/>
      <c r="AV35" s="564"/>
      <c r="AW35" s="564"/>
      <c r="AX35" s="559"/>
      <c r="AY35" s="559"/>
      <c r="AZ35" s="559"/>
      <c r="BA35" s="559"/>
      <c r="BB35" s="604"/>
      <c r="BC35" s="9"/>
    </row>
    <row r="36" spans="1:55" ht="23.25" x14ac:dyDescent="0.25">
      <c r="A36" s="27"/>
      <c r="B36" s="64" t="s">
        <v>192</v>
      </c>
      <c r="C36" s="64" t="s">
        <v>192</v>
      </c>
      <c r="D36" s="64" t="s">
        <v>192</v>
      </c>
      <c r="E36" s="64" t="s">
        <v>192</v>
      </c>
      <c r="F36" s="64" t="s">
        <v>192</v>
      </c>
      <c r="G36" s="64" t="s">
        <v>192</v>
      </c>
      <c r="H36" s="64" t="s">
        <v>192</v>
      </c>
      <c r="I36" s="64" t="s">
        <v>192</v>
      </c>
      <c r="J36" s="66"/>
      <c r="K36" s="559"/>
      <c r="L36" s="559"/>
      <c r="M36" s="566"/>
      <c r="N36" s="579"/>
      <c r="O36" s="571"/>
      <c r="P36" s="559"/>
      <c r="Q36" s="559"/>
      <c r="R36" s="559"/>
      <c r="S36" s="559"/>
      <c r="V36" s="559"/>
      <c r="W36" s="559"/>
      <c r="X36" s="559"/>
      <c r="Y36" s="559"/>
      <c r="Z36" s="559"/>
      <c r="AA36" s="593"/>
      <c r="AB36" s="593"/>
      <c r="AC36" s="593"/>
      <c r="AD36" s="593"/>
      <c r="AE36" s="559"/>
      <c r="AF36" s="559"/>
      <c r="AG36" s="559"/>
      <c r="AH36" s="559"/>
      <c r="AI36" s="559"/>
      <c r="AJ36" s="559"/>
      <c r="AK36" s="559"/>
      <c r="AL36" s="9"/>
      <c r="AM36" s="36"/>
      <c r="AN36" s="609"/>
      <c r="AO36" s="597"/>
      <c r="AP36" s="597"/>
      <c r="AQ36" s="609"/>
      <c r="AR36" s="607"/>
      <c r="AS36" s="559"/>
      <c r="AT36" s="566"/>
      <c r="AU36" s="559"/>
      <c r="AV36" s="559"/>
      <c r="AW36" s="564"/>
      <c r="AX36" s="564"/>
      <c r="AY36" s="559"/>
      <c r="AZ36" s="559"/>
      <c r="BA36" s="559"/>
      <c r="BB36" s="604"/>
      <c r="BC36" s="9"/>
    </row>
    <row r="37" spans="1:55" ht="23.25" x14ac:dyDescent="0.25">
      <c r="A37" s="27"/>
      <c r="B37" s="67">
        <v>1</v>
      </c>
      <c r="C37" s="67">
        <v>2</v>
      </c>
      <c r="D37" s="67">
        <v>3</v>
      </c>
      <c r="E37" s="67">
        <v>4</v>
      </c>
      <c r="F37" s="67">
        <v>5</v>
      </c>
      <c r="G37" s="67">
        <v>6</v>
      </c>
      <c r="H37" s="67">
        <v>7</v>
      </c>
      <c r="I37" s="67">
        <v>8</v>
      </c>
      <c r="J37" s="68" t="s">
        <v>188</v>
      </c>
      <c r="K37" s="566"/>
      <c r="L37" s="559"/>
      <c r="M37" s="579"/>
      <c r="N37" s="571"/>
      <c r="O37" s="559"/>
      <c r="P37" s="559"/>
      <c r="Q37" s="559"/>
      <c r="R37" s="559"/>
      <c r="S37" s="559"/>
      <c r="U37" s="22"/>
      <c r="V37" s="566"/>
      <c r="W37" s="566"/>
      <c r="X37" s="566"/>
      <c r="Y37" s="566"/>
      <c r="Z37" s="559"/>
      <c r="AA37" s="615"/>
      <c r="AB37" s="615"/>
      <c r="AC37" s="615"/>
      <c r="AD37" s="615"/>
      <c r="AE37" s="559"/>
      <c r="AF37" s="559"/>
      <c r="AG37" s="559"/>
      <c r="AH37" s="559"/>
      <c r="AI37" s="559"/>
      <c r="AJ37" s="559"/>
      <c r="AK37" s="598"/>
      <c r="AL37" s="36"/>
      <c r="AM37" s="63"/>
      <c r="AN37" s="597"/>
      <c r="AO37" s="597"/>
      <c r="AP37" s="609"/>
      <c r="AQ37" s="607"/>
      <c r="AR37" s="559"/>
      <c r="AS37" s="610"/>
      <c r="AT37" s="610"/>
      <c r="AU37" s="559"/>
      <c r="AV37" s="559"/>
      <c r="AW37" s="559"/>
      <c r="AX37" s="564"/>
      <c r="AY37" s="564"/>
      <c r="AZ37" s="559"/>
      <c r="BA37" s="559"/>
      <c r="BB37" s="564"/>
      <c r="BC37" s="9"/>
    </row>
    <row r="38" spans="1:55" ht="15.75" x14ac:dyDescent="0.25">
      <c r="A38" s="27"/>
      <c r="B38" s="53"/>
      <c r="C38" s="22"/>
      <c r="D38" s="22"/>
      <c r="E38" s="21"/>
      <c r="F38" s="21"/>
      <c r="G38" s="22"/>
      <c r="K38" s="566"/>
      <c r="L38" s="579"/>
      <c r="M38" s="571"/>
      <c r="N38" s="559"/>
      <c r="O38" s="559"/>
      <c r="P38" s="566"/>
      <c r="Q38" s="573"/>
      <c r="R38" s="573"/>
      <c r="S38" s="573"/>
      <c r="U38" s="21"/>
      <c r="V38" s="582"/>
      <c r="W38" s="582"/>
      <c r="X38" s="582"/>
      <c r="Y38" s="582"/>
      <c r="Z38" s="559"/>
      <c r="AA38" s="559"/>
      <c r="AB38" s="559"/>
      <c r="AC38" s="559"/>
      <c r="AD38" s="559"/>
      <c r="AE38" s="559"/>
      <c r="AF38" s="559"/>
      <c r="AG38" s="559"/>
      <c r="AH38" s="559"/>
      <c r="AI38" s="559"/>
      <c r="AJ38" s="559"/>
      <c r="AK38" s="559"/>
      <c r="AL38" s="9"/>
      <c r="AM38" s="44"/>
      <c r="AN38" s="608"/>
      <c r="AO38" s="608"/>
      <c r="AP38" s="559"/>
      <c r="AQ38" s="559"/>
      <c r="AR38" s="559"/>
      <c r="AS38" s="610"/>
      <c r="AT38" s="610"/>
      <c r="AU38" s="559"/>
      <c r="AV38" s="559"/>
      <c r="AW38" s="559"/>
      <c r="AX38" s="559"/>
      <c r="AY38" s="559"/>
      <c r="AZ38" s="559"/>
      <c r="BA38" s="559"/>
      <c r="BB38" s="564"/>
      <c r="BC38" s="9"/>
    </row>
    <row r="39" spans="1:55" ht="15.75" x14ac:dyDescent="0.25">
      <c r="A39" s="27"/>
      <c r="B39" s="71"/>
      <c r="C39" s="22"/>
      <c r="D39" s="22"/>
      <c r="E39" s="21"/>
      <c r="F39" s="21"/>
      <c r="G39" s="22"/>
      <c r="J39" s="72"/>
      <c r="K39" s="580"/>
      <c r="L39" s="571"/>
      <c r="M39" s="559"/>
      <c r="N39" s="559"/>
      <c r="O39" s="559"/>
      <c r="P39" s="566"/>
      <c r="Q39" s="573"/>
      <c r="R39" s="573"/>
      <c r="S39" s="573"/>
      <c r="U39" s="22"/>
      <c r="V39" s="582"/>
      <c r="W39" s="582"/>
      <c r="X39" s="582"/>
      <c r="Y39" s="582"/>
      <c r="Z39" s="559"/>
      <c r="AA39" s="559"/>
      <c r="AB39" s="559"/>
      <c r="AC39" s="559"/>
      <c r="AD39" s="559"/>
      <c r="AE39" s="559"/>
      <c r="AF39" s="559"/>
      <c r="AG39" s="599"/>
      <c r="AH39" s="600"/>
      <c r="AI39" s="601"/>
      <c r="AJ39" s="601"/>
      <c r="AK39" s="601"/>
      <c r="AL39" s="9"/>
      <c r="AN39" s="559"/>
      <c r="AO39" s="559"/>
      <c r="AP39" s="559"/>
      <c r="AQ39" s="559"/>
      <c r="AR39" s="559"/>
      <c r="AS39" s="559"/>
      <c r="AT39" s="559"/>
      <c r="AU39" s="559"/>
      <c r="AV39" s="559"/>
      <c r="AW39" s="559"/>
      <c r="AX39" s="559"/>
      <c r="AY39" s="559"/>
      <c r="AZ39" s="559"/>
      <c r="BA39" s="559"/>
      <c r="BB39" s="564"/>
      <c r="BC39" s="9"/>
    </row>
    <row r="40" spans="1:55" ht="15.75" x14ac:dyDescent="0.25">
      <c r="A40" s="27"/>
      <c r="B40" s="53"/>
      <c r="C40" s="22"/>
      <c r="D40" s="22"/>
      <c r="E40" s="21"/>
      <c r="F40" s="21"/>
      <c r="G40" s="22"/>
      <c r="J40" s="77"/>
      <c r="K40" s="571"/>
      <c r="L40" s="559"/>
      <c r="M40" s="559"/>
      <c r="N40" s="559"/>
      <c r="O40" s="559"/>
      <c r="P40" s="566"/>
      <c r="Q40" s="581"/>
      <c r="R40" s="581"/>
      <c r="S40" s="566"/>
      <c r="U40" s="22"/>
      <c r="V40" s="566"/>
      <c r="W40" s="569"/>
      <c r="X40" s="569"/>
      <c r="Y40" s="566"/>
      <c r="Z40" s="559"/>
      <c r="AA40" s="559"/>
      <c r="AB40" s="559"/>
      <c r="AC40" s="559"/>
      <c r="AD40" s="559"/>
      <c r="AE40" s="559"/>
      <c r="AF40" s="559"/>
      <c r="AG40" s="599"/>
      <c r="AH40" s="600"/>
      <c r="AI40" s="589"/>
      <c r="AJ40" s="589"/>
      <c r="AK40" s="589"/>
      <c r="AL40" s="9"/>
      <c r="AN40" s="559"/>
      <c r="AO40" s="559"/>
      <c r="AP40" s="559"/>
      <c r="AQ40" s="559"/>
      <c r="AR40" s="559"/>
      <c r="AS40" s="559"/>
      <c r="AT40" s="559"/>
      <c r="AU40" s="559"/>
      <c r="AV40" s="559"/>
      <c r="AW40" s="559"/>
      <c r="AX40" s="559"/>
      <c r="AY40" s="559"/>
      <c r="AZ40" s="559"/>
      <c r="BA40" s="559"/>
      <c r="BB40" s="564"/>
      <c r="BC40" s="9"/>
    </row>
    <row r="41" spans="1:55" ht="15.75" x14ac:dyDescent="0.25">
      <c r="A41" s="27"/>
      <c r="B41" s="55"/>
      <c r="C41" s="22"/>
      <c r="D41" s="22"/>
      <c r="E41" s="21"/>
      <c r="F41" s="21"/>
      <c r="G41" s="22"/>
      <c r="J41" s="72"/>
      <c r="K41" s="559"/>
      <c r="L41" s="559"/>
      <c r="M41" s="559"/>
      <c r="N41" s="559"/>
      <c r="O41" s="559"/>
      <c r="P41" s="581"/>
      <c r="Q41" s="581"/>
      <c r="R41" s="566"/>
      <c r="S41" s="566"/>
      <c r="U41" s="22"/>
      <c r="V41" s="566"/>
      <c r="W41" s="566"/>
      <c r="X41" s="569"/>
      <c r="Y41" s="569"/>
      <c r="Z41" s="559"/>
      <c r="AA41" s="559"/>
      <c r="AB41" s="559"/>
      <c r="AC41" s="559"/>
      <c r="AD41" s="559"/>
      <c r="AE41" s="559"/>
      <c r="AF41" s="559"/>
      <c r="AG41" s="559"/>
      <c r="AH41" s="559"/>
      <c r="AI41" s="559"/>
      <c r="AJ41" s="559"/>
      <c r="AK41" s="559"/>
      <c r="AL41" s="9"/>
      <c r="AN41" s="559"/>
      <c r="AO41" s="559"/>
      <c r="AP41" s="559"/>
      <c r="AQ41" s="572"/>
      <c r="AR41" s="572"/>
      <c r="AS41" s="559"/>
      <c r="AT41" s="559"/>
      <c r="AU41" s="564"/>
      <c r="AV41" s="559"/>
      <c r="AW41" s="559"/>
      <c r="AX41" s="559"/>
      <c r="AY41" s="559"/>
      <c r="AZ41" s="559"/>
      <c r="BA41" s="559"/>
      <c r="BB41" s="559"/>
      <c r="BC41" s="9"/>
    </row>
    <row r="42" spans="1:55" ht="15.75" x14ac:dyDescent="0.25">
      <c r="A42" s="27"/>
      <c r="B42" s="53"/>
      <c r="C42" s="22"/>
      <c r="D42" s="22"/>
      <c r="E42" s="22"/>
      <c r="F42" s="22"/>
      <c r="G42" s="22"/>
      <c r="J42" s="72"/>
      <c r="W42" s="559"/>
      <c r="X42" s="559"/>
      <c r="Y42" s="559"/>
      <c r="Z42" s="559"/>
      <c r="AA42" s="559"/>
      <c r="AB42" s="559"/>
      <c r="AC42" s="559"/>
      <c r="AD42" s="559"/>
      <c r="AE42" s="559"/>
      <c r="AF42" s="559"/>
      <c r="AG42" s="559"/>
      <c r="AH42" s="559"/>
      <c r="AI42" s="559"/>
      <c r="AJ42" s="559"/>
      <c r="AK42" s="559"/>
      <c r="AL42" s="9"/>
      <c r="AN42" s="559"/>
      <c r="AO42" s="559"/>
      <c r="AP42" s="572"/>
      <c r="AQ42" s="572"/>
      <c r="AR42" s="559"/>
      <c r="AS42" s="559"/>
      <c r="AT42" s="559"/>
      <c r="AU42" s="564"/>
      <c r="AV42" s="564"/>
      <c r="AW42" s="559"/>
      <c r="AX42" s="559"/>
      <c r="AY42" s="559"/>
      <c r="AZ42" s="559"/>
      <c r="BA42" s="559"/>
      <c r="BB42" s="559"/>
      <c r="BC42" s="9"/>
    </row>
    <row r="43" spans="1:55" ht="15.75" x14ac:dyDescent="0.25">
      <c r="A43" s="27"/>
      <c r="B43" s="55"/>
      <c r="C43" s="22"/>
      <c r="D43" s="22"/>
      <c r="E43" s="22"/>
      <c r="F43" s="22"/>
      <c r="G43" s="22"/>
      <c r="J43" s="77"/>
      <c r="W43" s="559"/>
      <c r="X43" s="559"/>
      <c r="Y43" s="559"/>
      <c r="Z43" s="559"/>
      <c r="AA43" s="559"/>
      <c r="AB43" s="559"/>
      <c r="AC43" s="559"/>
      <c r="AD43" s="559"/>
      <c r="AE43" s="559"/>
      <c r="AF43" s="559"/>
      <c r="AG43" s="559"/>
      <c r="AH43" s="559"/>
      <c r="AI43" s="559"/>
      <c r="AJ43" s="559"/>
      <c r="AK43" s="559"/>
      <c r="AL43" s="9"/>
      <c r="AN43" s="559"/>
      <c r="AO43" s="572"/>
      <c r="AP43" s="572"/>
      <c r="AQ43" s="559"/>
      <c r="AR43" s="559"/>
      <c r="AS43" s="559"/>
      <c r="AT43" s="559"/>
      <c r="AU43" s="559"/>
      <c r="AV43" s="564"/>
      <c r="AW43" s="564"/>
      <c r="AX43" s="559"/>
      <c r="AY43" s="559"/>
      <c r="AZ43" s="559"/>
      <c r="BA43" s="559"/>
      <c r="BB43" s="559"/>
      <c r="BC43" s="9"/>
    </row>
    <row r="44" spans="1:55" ht="15.75" x14ac:dyDescent="0.25">
      <c r="A44" s="27"/>
      <c r="B44" s="53"/>
      <c r="C44" s="22"/>
      <c r="D44" s="22"/>
      <c r="E44" s="79"/>
      <c r="F44" s="79"/>
      <c r="G44" s="22"/>
      <c r="J44" s="72"/>
      <c r="L44" s="559"/>
      <c r="M44" s="559"/>
      <c r="N44" s="559"/>
      <c r="O44" s="559"/>
      <c r="P44" s="559"/>
      <c r="Q44" s="559"/>
      <c r="R44" s="559"/>
      <c r="S44" s="559"/>
      <c r="T44" s="559"/>
      <c r="W44" s="559"/>
      <c r="X44" s="559"/>
      <c r="Y44" s="559"/>
      <c r="Z44" s="559"/>
      <c r="AA44" s="559"/>
      <c r="AB44" s="559"/>
      <c r="AC44" s="559"/>
      <c r="AD44" s="559"/>
      <c r="AE44" s="559"/>
      <c r="AF44" s="559"/>
      <c r="AG44" s="559"/>
      <c r="AH44" s="559"/>
      <c r="AI44" s="559"/>
      <c r="AJ44" s="559"/>
      <c r="AK44" s="559"/>
      <c r="AL44" s="9"/>
      <c r="AN44" s="572"/>
      <c r="AO44" s="572"/>
      <c r="AP44" s="559"/>
      <c r="AQ44" s="559"/>
      <c r="AR44" s="559"/>
      <c r="AS44" s="559"/>
      <c r="AT44" s="559"/>
      <c r="AU44" s="559"/>
      <c r="AV44" s="559"/>
      <c r="AW44" s="564"/>
      <c r="AX44" s="564"/>
      <c r="AY44" s="559"/>
      <c r="AZ44" s="559"/>
      <c r="BA44" s="559"/>
      <c r="BB44" s="559"/>
      <c r="BC44" s="9"/>
    </row>
    <row r="45" spans="1:55" ht="15.75" x14ac:dyDescent="0.25">
      <c r="A45" s="27"/>
      <c r="B45" s="55"/>
      <c r="C45" s="22"/>
      <c r="D45" s="22"/>
      <c r="E45" s="79"/>
      <c r="F45" s="79"/>
      <c r="G45" s="22"/>
      <c r="J45" s="72"/>
      <c r="L45" s="559"/>
      <c r="M45" s="559"/>
      <c r="N45" s="559"/>
      <c r="O45" s="559"/>
      <c r="P45" s="559"/>
      <c r="Q45" s="559"/>
      <c r="R45" s="559"/>
      <c r="S45" s="559"/>
      <c r="T45" s="559"/>
      <c r="W45" s="559"/>
      <c r="X45" s="559"/>
      <c r="Y45" s="602"/>
      <c r="Z45" s="559"/>
      <c r="AA45" s="559"/>
      <c r="AB45" s="559"/>
      <c r="AC45" s="559"/>
      <c r="AD45" s="559"/>
      <c r="AE45" s="559"/>
      <c r="AF45" s="559"/>
      <c r="AG45" s="559"/>
      <c r="AH45" s="559"/>
      <c r="AI45" s="559"/>
      <c r="AJ45" s="559"/>
      <c r="AK45" s="559"/>
      <c r="AN45" s="566"/>
      <c r="AO45" s="559"/>
      <c r="AP45" s="559"/>
      <c r="AQ45" s="559"/>
      <c r="AR45" s="559"/>
      <c r="AS45" s="559"/>
      <c r="AT45" s="559"/>
      <c r="AU45" s="559"/>
      <c r="AV45" s="559"/>
      <c r="AW45" s="559"/>
      <c r="AX45" s="564"/>
      <c r="AY45" s="559"/>
      <c r="AZ45" s="559"/>
      <c r="BA45" s="559"/>
      <c r="BB45" s="559"/>
      <c r="BC45" s="9"/>
    </row>
    <row r="46" spans="1:55" ht="15.75" x14ac:dyDescent="0.25">
      <c r="A46" s="27"/>
      <c r="B46" s="53"/>
      <c r="C46" s="22"/>
      <c r="D46" s="22"/>
      <c r="E46" s="79"/>
      <c r="F46" s="79"/>
      <c r="G46" s="22"/>
      <c r="J46" s="77"/>
      <c r="L46" s="559"/>
      <c r="M46" s="559"/>
      <c r="N46" s="559"/>
      <c r="O46" s="559"/>
      <c r="P46" s="559"/>
      <c r="Q46" s="559"/>
      <c r="R46" s="559"/>
      <c r="S46" s="559"/>
      <c r="T46" s="559"/>
      <c r="W46" s="559"/>
      <c r="X46" s="602"/>
      <c r="Y46" s="559"/>
      <c r="Z46" s="559"/>
      <c r="AA46" s="559"/>
      <c r="AB46" s="559"/>
      <c r="AC46" s="559"/>
      <c r="AD46" s="559"/>
      <c r="AE46" s="559"/>
      <c r="AF46" s="559"/>
      <c r="AG46" s="559"/>
      <c r="AH46" s="559"/>
      <c r="AI46" s="559"/>
      <c r="AJ46" s="559"/>
      <c r="AK46" s="559"/>
      <c r="AN46" s="559"/>
      <c r="AO46" s="559"/>
      <c r="AP46" s="559"/>
      <c r="AQ46" s="559"/>
      <c r="AR46" s="559"/>
      <c r="AS46" s="559"/>
      <c r="AT46" s="559"/>
      <c r="AU46" s="559"/>
      <c r="AV46" s="559"/>
      <c r="AW46" s="559"/>
      <c r="AX46" s="559"/>
      <c r="AY46" s="559"/>
      <c r="AZ46" s="559"/>
      <c r="BA46" s="559"/>
      <c r="BB46" s="559"/>
      <c r="BC46" s="9"/>
    </row>
    <row r="47" spans="1:55" ht="16.5" thickBot="1" x14ac:dyDescent="0.3">
      <c r="A47" s="27"/>
      <c r="B47" s="53"/>
      <c r="C47" s="22"/>
      <c r="D47" s="22"/>
      <c r="E47" s="22"/>
      <c r="F47" s="22"/>
      <c r="G47" s="22"/>
      <c r="J47" s="72"/>
      <c r="L47" s="582"/>
      <c r="M47" s="582"/>
      <c r="N47" s="582"/>
      <c r="O47" s="582"/>
      <c r="P47" s="582"/>
      <c r="Q47" s="582"/>
      <c r="R47" s="582"/>
      <c r="S47" s="582"/>
      <c r="T47" s="559"/>
      <c r="W47" s="80"/>
      <c r="AN47" s="559"/>
      <c r="AO47" s="559"/>
      <c r="AP47" s="559"/>
      <c r="AQ47" s="559"/>
      <c r="AR47" s="559"/>
      <c r="AS47" s="559"/>
      <c r="AT47" s="559"/>
      <c r="AU47" s="559"/>
      <c r="AV47" s="559"/>
      <c r="AW47" s="559"/>
      <c r="AX47" s="559"/>
      <c r="AY47" s="559"/>
      <c r="AZ47" s="559"/>
      <c r="BA47" s="559"/>
      <c r="BB47" s="559"/>
      <c r="BC47" s="9"/>
    </row>
    <row r="48" spans="1:55" x14ac:dyDescent="0.25">
      <c r="A48" s="27"/>
      <c r="B48" s="53"/>
      <c r="C48" s="81"/>
      <c r="D48" s="22"/>
      <c r="E48" s="22"/>
      <c r="F48" s="22"/>
      <c r="G48" s="22"/>
      <c r="J48" s="72"/>
      <c r="K48" s="50"/>
      <c r="L48" s="576"/>
      <c r="M48" s="576"/>
      <c r="N48" s="576"/>
      <c r="O48" s="576"/>
      <c r="P48" s="576"/>
      <c r="Q48" s="576"/>
      <c r="R48" s="576"/>
      <c r="S48" s="576"/>
      <c r="T48" s="576"/>
      <c r="U48" s="50"/>
      <c r="V48" s="50"/>
      <c r="AN48" s="559"/>
      <c r="AO48" s="559"/>
      <c r="AP48" s="559"/>
      <c r="AQ48" s="559"/>
      <c r="AR48" s="559"/>
      <c r="AS48" s="559"/>
      <c r="AT48" s="559"/>
      <c r="AU48" s="559"/>
      <c r="AV48" s="559"/>
      <c r="AW48" s="559"/>
      <c r="AX48" s="559"/>
      <c r="AY48" s="559"/>
      <c r="AZ48" s="559"/>
      <c r="BA48" s="559"/>
      <c r="BB48" s="559"/>
      <c r="BC48" s="9"/>
    </row>
    <row r="49" spans="1:55" ht="18.75" x14ac:dyDescent="0.25">
      <c r="A49" s="12"/>
      <c r="C49" s="82"/>
      <c r="D49" s="83"/>
      <c r="J49" s="77"/>
      <c r="AN49" s="559"/>
      <c r="AO49" s="559"/>
      <c r="AP49" s="559"/>
      <c r="AQ49" s="559"/>
      <c r="AR49" s="559"/>
      <c r="AS49" s="559"/>
      <c r="AT49" s="559"/>
      <c r="AU49" s="559"/>
      <c r="AV49" s="559"/>
      <c r="AW49" s="559"/>
      <c r="AX49" s="559"/>
      <c r="AY49" s="559"/>
      <c r="AZ49" s="559"/>
      <c r="BA49" s="559"/>
      <c r="BB49" s="559"/>
      <c r="BC49" s="9"/>
    </row>
    <row r="50" spans="1:55" ht="15.75" thickBot="1" x14ac:dyDescent="0.3">
      <c r="A50" s="12"/>
      <c r="J50" s="72"/>
      <c r="BC50" s="9"/>
    </row>
    <row r="51" spans="1:55" x14ac:dyDescent="0.25">
      <c r="A51" s="12"/>
      <c r="B51" s="50"/>
      <c r="C51" s="50"/>
      <c r="D51" s="50"/>
      <c r="E51" s="50"/>
      <c r="F51" s="50"/>
      <c r="G51" s="50"/>
      <c r="H51" s="50"/>
      <c r="I51" s="50"/>
      <c r="Y51" s="80"/>
      <c r="Z51" s="616"/>
      <c r="AA51" s="617"/>
      <c r="AB51" s="617"/>
      <c r="AC51" s="617"/>
      <c r="AD51" s="617"/>
      <c r="AE51" s="617"/>
      <c r="AF51" s="618"/>
      <c r="AG51" s="559"/>
      <c r="AH51" s="559"/>
      <c r="AI51" s="559"/>
      <c r="AJ51" s="559"/>
      <c r="AK51" s="559"/>
      <c r="AL51" s="559"/>
      <c r="BC51" s="9"/>
    </row>
    <row r="52" spans="1:55" x14ac:dyDescent="0.25">
      <c r="A52" s="12"/>
      <c r="X52" s="80"/>
      <c r="Z52" s="619"/>
      <c r="AA52" s="620"/>
      <c r="AB52" s="620"/>
      <c r="AC52" s="620"/>
      <c r="AD52" s="620"/>
      <c r="AE52" s="620"/>
      <c r="AF52" s="621"/>
      <c r="AG52" s="559"/>
      <c r="AH52" s="559"/>
      <c r="AI52" s="559"/>
      <c r="AJ52" s="559"/>
      <c r="AK52" s="559"/>
      <c r="AL52" s="559"/>
      <c r="BC52" s="9"/>
    </row>
    <row r="53" spans="1:55" ht="16.5" thickBot="1" x14ac:dyDescent="0.3">
      <c r="A53" s="12"/>
      <c r="W53" s="80"/>
      <c r="Z53" s="622"/>
      <c r="AA53" s="623"/>
      <c r="AB53" s="623"/>
      <c r="AC53" s="623"/>
      <c r="AD53" s="623"/>
      <c r="AE53" s="623"/>
      <c r="AF53" s="624"/>
      <c r="AG53" s="559"/>
      <c r="AH53" s="592"/>
      <c r="AI53" s="592"/>
      <c r="AJ53" s="592"/>
      <c r="AK53" s="592"/>
      <c r="AL53" s="559"/>
      <c r="BC53" s="9"/>
    </row>
    <row r="54" spans="1:55" x14ac:dyDescent="0.25"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</row>
  </sheetData>
  <mergeCells count="12">
    <mergeCell ref="W14:Y20"/>
    <mergeCell ref="AU17:AY17"/>
    <mergeCell ref="A1:BC1"/>
    <mergeCell ref="B3:F6"/>
    <mergeCell ref="AB3:AF6"/>
    <mergeCell ref="AL3:BB8"/>
    <mergeCell ref="E9:F9"/>
    <mergeCell ref="H30:I31"/>
    <mergeCell ref="AA30:AD30"/>
    <mergeCell ref="AN32:AR32"/>
    <mergeCell ref="AA37:AD37"/>
    <mergeCell ref="Z51:AF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BC54"/>
  <sheetViews>
    <sheetView zoomScale="60" zoomScaleNormal="60" workbookViewId="0">
      <selection activeCell="B35" sqref="B35:I35"/>
    </sheetView>
  </sheetViews>
  <sheetFormatPr baseColWidth="10" defaultColWidth="16" defaultRowHeight="15" x14ac:dyDescent="0.25"/>
  <cols>
    <col min="1" max="13" width="16" style="7"/>
    <col min="14" max="40" width="1.7109375" style="7" customWidth="1"/>
    <col min="41" max="53" width="2.7109375" style="7" customWidth="1"/>
    <col min="54" max="16384" width="16" style="7"/>
  </cols>
  <sheetData>
    <row r="1" spans="1:55" ht="36.75" thickBot="1" x14ac:dyDescent="0.3">
      <c r="A1" s="632" t="s">
        <v>149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632"/>
      <c r="AU1" s="632"/>
      <c r="AV1" s="632"/>
      <c r="AW1" s="632"/>
      <c r="AX1" s="632"/>
      <c r="AY1" s="632"/>
      <c r="AZ1" s="632"/>
      <c r="BA1" s="632"/>
      <c r="BB1" s="632"/>
      <c r="BC1" s="633"/>
    </row>
    <row r="2" spans="1:55" ht="15.75" thickBot="1" x14ac:dyDescent="0.3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55" ht="15" customHeight="1" x14ac:dyDescent="0.25">
      <c r="B3" s="625"/>
      <c r="C3" s="634"/>
      <c r="D3" s="634"/>
      <c r="E3" s="634"/>
      <c r="F3" s="635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AB3" s="625"/>
      <c r="AC3" s="634"/>
      <c r="AD3" s="634"/>
      <c r="AE3" s="634"/>
      <c r="AF3" s="635"/>
      <c r="AL3" s="625"/>
      <c r="AM3" s="634"/>
      <c r="AN3" s="634"/>
      <c r="AO3" s="634"/>
      <c r="AP3" s="634"/>
      <c r="AQ3" s="634"/>
      <c r="AR3" s="634"/>
      <c r="AS3" s="634"/>
      <c r="AT3" s="634"/>
      <c r="AU3" s="634"/>
      <c r="AV3" s="634"/>
      <c r="AW3" s="634"/>
      <c r="AX3" s="634"/>
      <c r="AY3" s="634"/>
      <c r="AZ3" s="634"/>
      <c r="BA3" s="634"/>
      <c r="BB3" s="635"/>
    </row>
    <row r="4" spans="1:55" x14ac:dyDescent="0.25">
      <c r="B4" s="627"/>
      <c r="C4" s="626"/>
      <c r="D4" s="626"/>
      <c r="E4" s="626"/>
      <c r="F4" s="628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AB4" s="627"/>
      <c r="AC4" s="626"/>
      <c r="AD4" s="626"/>
      <c r="AE4" s="626"/>
      <c r="AF4" s="628"/>
      <c r="AL4" s="627"/>
      <c r="AM4" s="626"/>
      <c r="AN4" s="626"/>
      <c r="AO4" s="626"/>
      <c r="AP4" s="626"/>
      <c r="AQ4" s="626"/>
      <c r="AR4" s="626"/>
      <c r="AS4" s="626"/>
      <c r="AT4" s="626"/>
      <c r="AU4" s="626"/>
      <c r="AV4" s="626"/>
      <c r="AW4" s="626"/>
      <c r="AX4" s="626"/>
      <c r="AY4" s="626"/>
      <c r="AZ4" s="626"/>
      <c r="BA4" s="626"/>
      <c r="BB4" s="628"/>
    </row>
    <row r="5" spans="1:55" x14ac:dyDescent="0.25">
      <c r="B5" s="627"/>
      <c r="C5" s="626"/>
      <c r="D5" s="626"/>
      <c r="E5" s="626"/>
      <c r="F5" s="628"/>
      <c r="G5" s="559"/>
      <c r="H5" s="55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AB5" s="627"/>
      <c r="AC5" s="626"/>
      <c r="AD5" s="626"/>
      <c r="AE5" s="626"/>
      <c r="AF5" s="628"/>
      <c r="AL5" s="627"/>
      <c r="AM5" s="626"/>
      <c r="AN5" s="626"/>
      <c r="AO5" s="626"/>
      <c r="AP5" s="626"/>
      <c r="AQ5" s="626"/>
      <c r="AR5" s="626"/>
      <c r="AS5" s="626"/>
      <c r="AT5" s="626"/>
      <c r="AU5" s="626"/>
      <c r="AV5" s="626"/>
      <c r="AW5" s="626"/>
      <c r="AX5" s="626"/>
      <c r="AY5" s="626"/>
      <c r="AZ5" s="626"/>
      <c r="BA5" s="626"/>
      <c r="BB5" s="628"/>
      <c r="BC5" s="9"/>
    </row>
    <row r="6" spans="1:55" ht="15.75" thickBot="1" x14ac:dyDescent="0.3">
      <c r="B6" s="629"/>
      <c r="C6" s="630"/>
      <c r="D6" s="630"/>
      <c r="E6" s="630"/>
      <c r="F6" s="631"/>
      <c r="G6" s="560"/>
      <c r="H6" s="561"/>
      <c r="I6" s="561"/>
      <c r="J6" s="561"/>
      <c r="K6" s="561"/>
      <c r="L6" s="561"/>
      <c r="M6" s="561"/>
      <c r="N6" s="561"/>
      <c r="O6" s="561"/>
      <c r="P6" s="561"/>
      <c r="Q6" s="561"/>
      <c r="R6" s="559"/>
      <c r="S6" s="559"/>
      <c r="T6" s="559"/>
      <c r="V6" s="8"/>
      <c r="W6" s="8"/>
      <c r="X6" s="8"/>
      <c r="Y6" s="8"/>
      <c r="Z6" s="8"/>
      <c r="AA6" s="11"/>
      <c r="AB6" s="629"/>
      <c r="AC6" s="630"/>
      <c r="AD6" s="630"/>
      <c r="AE6" s="630"/>
      <c r="AF6" s="631"/>
      <c r="AL6" s="627"/>
      <c r="AM6" s="626"/>
      <c r="AN6" s="626"/>
      <c r="AO6" s="626"/>
      <c r="AP6" s="626"/>
      <c r="AQ6" s="626"/>
      <c r="AR6" s="626"/>
      <c r="AS6" s="626"/>
      <c r="AT6" s="626"/>
      <c r="AU6" s="626"/>
      <c r="AV6" s="626"/>
      <c r="AW6" s="626"/>
      <c r="AX6" s="626"/>
      <c r="AY6" s="626"/>
      <c r="AZ6" s="626"/>
      <c r="BA6" s="626"/>
      <c r="BB6" s="628"/>
      <c r="BC6" s="9"/>
    </row>
    <row r="7" spans="1:55" ht="15.75" x14ac:dyDescent="0.25">
      <c r="A7" s="12"/>
      <c r="B7" s="559"/>
      <c r="C7" s="559"/>
      <c r="D7" s="559"/>
      <c r="E7" s="559"/>
      <c r="F7" s="559"/>
      <c r="G7" s="559"/>
      <c r="H7" s="559"/>
      <c r="I7" s="559"/>
      <c r="J7" s="559"/>
      <c r="K7" s="559"/>
      <c r="L7" s="559"/>
      <c r="M7" s="559"/>
      <c r="N7" s="559"/>
      <c r="O7" s="559"/>
      <c r="P7" s="559"/>
      <c r="Q7" s="559"/>
      <c r="R7" s="562"/>
      <c r="S7" s="563"/>
      <c r="T7" s="562"/>
      <c r="U7" s="14"/>
      <c r="AL7" s="627"/>
      <c r="AM7" s="626"/>
      <c r="AN7" s="626"/>
      <c r="AO7" s="626"/>
      <c r="AP7" s="626"/>
      <c r="AQ7" s="626"/>
      <c r="AR7" s="626"/>
      <c r="AS7" s="626"/>
      <c r="AT7" s="626"/>
      <c r="AU7" s="626"/>
      <c r="AV7" s="626"/>
      <c r="AW7" s="626"/>
      <c r="AX7" s="626"/>
      <c r="AY7" s="626"/>
      <c r="AZ7" s="626"/>
      <c r="BA7" s="626"/>
      <c r="BB7" s="628"/>
      <c r="BC7" s="9"/>
    </row>
    <row r="8" spans="1:55" ht="15.75" thickBot="1" x14ac:dyDescent="0.3">
      <c r="A8" s="12"/>
      <c r="B8" s="559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AL8" s="629"/>
      <c r="AM8" s="630"/>
      <c r="AN8" s="630"/>
      <c r="AO8" s="630"/>
      <c r="AP8" s="630"/>
      <c r="AQ8" s="630"/>
      <c r="AR8" s="630"/>
      <c r="AS8" s="630"/>
      <c r="AT8" s="630"/>
      <c r="AU8" s="630"/>
      <c r="AV8" s="630"/>
      <c r="AW8" s="630"/>
      <c r="AX8" s="630"/>
      <c r="AY8" s="630"/>
      <c r="AZ8" s="630"/>
      <c r="BA8" s="630"/>
      <c r="BB8" s="631"/>
      <c r="BC8" s="9"/>
    </row>
    <row r="9" spans="1:55" ht="78.75" x14ac:dyDescent="0.25">
      <c r="A9" s="12"/>
      <c r="B9" s="564"/>
      <c r="C9" s="559"/>
      <c r="D9" s="559"/>
      <c r="E9" s="636"/>
      <c r="F9" s="636"/>
      <c r="G9" s="559"/>
      <c r="H9" s="559"/>
      <c r="I9" s="559"/>
      <c r="J9" s="559"/>
      <c r="K9" s="559"/>
      <c r="L9" s="559"/>
      <c r="M9" s="559"/>
      <c r="N9" s="559"/>
      <c r="O9" s="559"/>
      <c r="P9" s="559"/>
      <c r="Q9" s="559"/>
      <c r="R9" s="559"/>
      <c r="S9" s="559"/>
      <c r="T9" s="559"/>
      <c r="AD9" s="16" t="s">
        <v>155</v>
      </c>
      <c r="AE9" s="16" t="s">
        <v>155</v>
      </c>
      <c r="AL9" s="9"/>
      <c r="BC9" s="9"/>
    </row>
    <row r="10" spans="1:55" ht="15.75" x14ac:dyDescent="0.25">
      <c r="A10" s="12"/>
      <c r="B10" s="564"/>
      <c r="C10" s="559"/>
      <c r="D10" s="559"/>
      <c r="E10" s="565"/>
      <c r="F10" s="565"/>
      <c r="G10" s="559"/>
      <c r="H10" s="559"/>
      <c r="I10" s="559"/>
      <c r="J10" s="559"/>
      <c r="K10" s="559"/>
      <c r="L10" s="559"/>
      <c r="M10" s="559"/>
      <c r="N10" s="559"/>
      <c r="O10" s="559"/>
      <c r="P10" s="559"/>
      <c r="Q10" s="559"/>
      <c r="R10" s="559"/>
      <c r="S10" s="559"/>
      <c r="T10" s="559"/>
      <c r="AL10" s="9"/>
      <c r="AN10" s="559"/>
      <c r="AO10" s="559"/>
      <c r="AP10" s="559"/>
      <c r="AQ10" s="559"/>
      <c r="AR10" s="559"/>
      <c r="AS10" s="559"/>
      <c r="AT10" s="559"/>
      <c r="AU10" s="559"/>
      <c r="AV10" s="559"/>
      <c r="AW10" s="559"/>
      <c r="AX10" s="559"/>
      <c r="AY10" s="559"/>
      <c r="AZ10" s="559"/>
      <c r="BA10" s="559"/>
      <c r="BB10" s="559"/>
      <c r="BC10" s="9"/>
    </row>
    <row r="11" spans="1:55" ht="15.75" x14ac:dyDescent="0.25">
      <c r="A11" s="12"/>
      <c r="B11" s="564"/>
      <c r="C11" s="559"/>
      <c r="D11" s="559"/>
      <c r="E11" s="565"/>
      <c r="F11" s="565"/>
      <c r="G11" s="559"/>
      <c r="H11" s="559"/>
      <c r="I11" s="559"/>
      <c r="J11" s="566"/>
      <c r="K11" s="559"/>
      <c r="L11" s="559"/>
      <c r="M11" s="559"/>
      <c r="N11" s="559"/>
      <c r="O11" s="559"/>
      <c r="P11" s="559"/>
      <c r="Q11" s="559"/>
      <c r="R11" s="559"/>
      <c r="S11" s="559"/>
      <c r="T11" s="559"/>
      <c r="W11" s="559"/>
      <c r="X11" s="559"/>
      <c r="Y11" s="559"/>
      <c r="Z11" s="559"/>
      <c r="AA11" s="559"/>
      <c r="AB11" s="559"/>
      <c r="AC11" s="559"/>
      <c r="AD11" s="559"/>
      <c r="AE11" s="559"/>
      <c r="AF11" s="559"/>
      <c r="AG11" s="559"/>
      <c r="AH11" s="559"/>
      <c r="AI11" s="559"/>
      <c r="AJ11" s="559"/>
      <c r="AK11" s="559"/>
      <c r="AL11" s="9"/>
      <c r="AN11" s="559"/>
      <c r="AO11" s="559"/>
      <c r="AP11" s="559"/>
      <c r="AQ11" s="559"/>
      <c r="AR11" s="559"/>
      <c r="AS11" s="559"/>
      <c r="AT11" s="559"/>
      <c r="AU11" s="559"/>
      <c r="AV11" s="559"/>
      <c r="AW11" s="559"/>
      <c r="AX11" s="559"/>
      <c r="AY11" s="559"/>
      <c r="AZ11" s="559"/>
      <c r="BA11" s="559"/>
      <c r="BB11" s="559"/>
      <c r="BC11" s="9"/>
    </row>
    <row r="12" spans="1:55" ht="15.75" x14ac:dyDescent="0.25">
      <c r="A12" s="12"/>
      <c r="B12" s="567"/>
      <c r="C12" s="559"/>
      <c r="D12" s="559"/>
      <c r="E12" s="565"/>
      <c r="F12" s="565"/>
      <c r="G12" s="559"/>
      <c r="H12" s="559"/>
      <c r="I12" s="559"/>
      <c r="J12" s="568"/>
      <c r="K12" s="568"/>
      <c r="L12" s="568"/>
      <c r="M12" s="569"/>
      <c r="N12" s="559"/>
      <c r="O12" s="559"/>
      <c r="P12" s="559"/>
      <c r="Q12" s="564"/>
      <c r="R12" s="564"/>
      <c r="S12" s="564"/>
      <c r="T12" s="559"/>
      <c r="W12" s="559"/>
      <c r="X12" s="566"/>
      <c r="Y12" s="566"/>
      <c r="Z12" s="559"/>
      <c r="AA12" s="559"/>
      <c r="AB12" s="559"/>
      <c r="AC12" s="559"/>
      <c r="AD12" s="559"/>
      <c r="AE12" s="559"/>
      <c r="AF12" s="559"/>
      <c r="AG12" s="559"/>
      <c r="AH12" s="559"/>
      <c r="AI12" s="559"/>
      <c r="AJ12" s="559"/>
      <c r="AK12" s="559"/>
      <c r="AL12" s="9"/>
      <c r="AN12" s="564"/>
      <c r="AO12" s="564"/>
      <c r="AP12" s="559"/>
      <c r="AQ12" s="559"/>
      <c r="AR12" s="559"/>
      <c r="AS12" s="559"/>
      <c r="AT12" s="559"/>
      <c r="AU12" s="559"/>
      <c r="AV12" s="559"/>
      <c r="AW12" s="559"/>
      <c r="AX12" s="604"/>
      <c r="AY12" s="604"/>
      <c r="AZ12" s="559"/>
      <c r="BA12" s="559"/>
      <c r="BB12" s="559"/>
      <c r="BC12" s="9"/>
    </row>
    <row r="13" spans="1:55" ht="16.5" thickBot="1" x14ac:dyDescent="0.3">
      <c r="A13" s="12"/>
      <c r="B13" s="564"/>
      <c r="C13" s="559"/>
      <c r="D13" s="559"/>
      <c r="E13" s="565"/>
      <c r="F13" s="565"/>
      <c r="G13" s="559"/>
      <c r="H13" s="559"/>
      <c r="I13" s="559"/>
      <c r="J13" s="568"/>
      <c r="K13" s="568"/>
      <c r="L13" s="568"/>
      <c r="M13" s="569"/>
      <c r="N13" s="559"/>
      <c r="O13" s="559"/>
      <c r="P13" s="559"/>
      <c r="Q13" s="564"/>
      <c r="R13" s="564"/>
      <c r="S13" s="564"/>
      <c r="T13" s="559"/>
      <c r="W13" s="559"/>
      <c r="X13" s="583"/>
      <c r="Y13" s="584"/>
      <c r="Z13" s="566"/>
      <c r="AA13" s="559"/>
      <c r="AB13" s="559"/>
      <c r="AC13" s="559"/>
      <c r="AD13" s="559"/>
      <c r="AE13" s="559"/>
      <c r="AF13" s="559"/>
      <c r="AG13" s="559"/>
      <c r="AH13" s="559"/>
      <c r="AI13" s="559"/>
      <c r="AJ13" s="559"/>
      <c r="AK13" s="559"/>
      <c r="AL13" s="9"/>
      <c r="AN13" s="559"/>
      <c r="AO13" s="564"/>
      <c r="AP13" s="564"/>
      <c r="AQ13" s="559"/>
      <c r="AR13" s="559"/>
      <c r="AS13" s="559"/>
      <c r="AT13" s="559"/>
      <c r="AU13" s="559"/>
      <c r="AV13" s="559"/>
      <c r="AW13" s="604"/>
      <c r="AX13" s="604"/>
      <c r="AY13" s="559"/>
      <c r="AZ13" s="559"/>
      <c r="BA13" s="559"/>
      <c r="BB13" s="582"/>
      <c r="BC13" s="9"/>
    </row>
    <row r="14" spans="1:55" ht="15.75" x14ac:dyDescent="0.25">
      <c r="A14" s="12"/>
      <c r="B14" s="564"/>
      <c r="C14" s="559"/>
      <c r="D14" s="559"/>
      <c r="E14" s="559"/>
      <c r="F14" s="570"/>
      <c r="G14" s="559"/>
      <c r="H14" s="559"/>
      <c r="I14" s="559"/>
      <c r="J14" s="559"/>
      <c r="K14" s="559"/>
      <c r="L14" s="559"/>
      <c r="M14" s="559"/>
      <c r="N14" s="559"/>
      <c r="O14" s="559"/>
      <c r="P14" s="559"/>
      <c r="Q14" s="559"/>
      <c r="R14" s="559"/>
      <c r="S14" s="559"/>
      <c r="T14" s="559"/>
      <c r="W14" s="625"/>
      <c r="X14" s="626"/>
      <c r="Y14" s="626"/>
      <c r="Z14" s="585"/>
      <c r="AA14" s="559"/>
      <c r="AB14" s="559"/>
      <c r="AC14" s="559"/>
      <c r="AD14" s="559"/>
      <c r="AE14" s="559"/>
      <c r="AF14" s="559"/>
      <c r="AG14" s="559"/>
      <c r="AH14" s="559"/>
      <c r="AI14" s="559"/>
      <c r="AJ14" s="559"/>
      <c r="AK14" s="559"/>
      <c r="AL14" s="9"/>
      <c r="AN14" s="559"/>
      <c r="AO14" s="559"/>
      <c r="AP14" s="564"/>
      <c r="AQ14" s="564"/>
      <c r="AR14" s="559"/>
      <c r="AS14" s="559"/>
      <c r="AT14" s="559"/>
      <c r="AU14" s="559"/>
      <c r="AV14" s="604"/>
      <c r="AW14" s="604"/>
      <c r="AX14" s="559"/>
      <c r="AY14" s="559"/>
      <c r="AZ14" s="559"/>
      <c r="BA14" s="559"/>
      <c r="BB14" s="582"/>
      <c r="BC14" s="9"/>
    </row>
    <row r="15" spans="1:55" ht="15.75" x14ac:dyDescent="0.25">
      <c r="A15" s="12"/>
      <c r="B15" s="564"/>
      <c r="C15" s="559"/>
      <c r="D15" s="559"/>
      <c r="E15" s="559"/>
      <c r="F15" s="570"/>
      <c r="G15" s="559"/>
      <c r="H15" s="559"/>
      <c r="I15" s="559"/>
      <c r="J15" s="559"/>
      <c r="K15" s="559"/>
      <c r="L15" s="559"/>
      <c r="M15" s="559"/>
      <c r="N15" s="559"/>
      <c r="O15" s="559"/>
      <c r="P15" s="559"/>
      <c r="Q15" s="559"/>
      <c r="R15" s="559"/>
      <c r="S15" s="559"/>
      <c r="T15" s="559"/>
      <c r="W15" s="627"/>
      <c r="X15" s="626"/>
      <c r="Y15" s="626"/>
      <c r="Z15" s="585"/>
      <c r="AA15" s="559"/>
      <c r="AB15" s="559"/>
      <c r="AC15" s="559"/>
      <c r="AD15" s="559"/>
      <c r="AE15" s="559"/>
      <c r="AF15" s="559"/>
      <c r="AG15" s="559"/>
      <c r="AH15" s="559"/>
      <c r="AI15" s="559"/>
      <c r="AJ15" s="559"/>
      <c r="AK15" s="559"/>
      <c r="AL15" s="9"/>
      <c r="AN15" s="559"/>
      <c r="AO15" s="559"/>
      <c r="AP15" s="559"/>
      <c r="AQ15" s="564"/>
      <c r="AR15" s="564"/>
      <c r="AS15" s="559"/>
      <c r="AT15" s="559"/>
      <c r="AU15" s="604"/>
      <c r="AV15" s="604"/>
      <c r="AW15" s="559"/>
      <c r="AX15" s="559"/>
      <c r="AY15" s="559"/>
      <c r="AZ15" s="559"/>
      <c r="BA15" s="559"/>
      <c r="BB15" s="582"/>
      <c r="BC15" s="9"/>
    </row>
    <row r="16" spans="1:55" ht="15.75" x14ac:dyDescent="0.25">
      <c r="A16" s="12"/>
      <c r="B16" s="564"/>
      <c r="C16" s="559"/>
      <c r="D16" s="559"/>
      <c r="E16" s="565"/>
      <c r="F16" s="565"/>
      <c r="G16" s="559"/>
      <c r="H16" s="559"/>
      <c r="I16" s="559"/>
      <c r="J16" s="559"/>
      <c r="K16" s="559"/>
      <c r="L16" s="559"/>
      <c r="M16" s="559"/>
      <c r="N16" s="559"/>
      <c r="O16" s="559"/>
      <c r="P16" s="559"/>
      <c r="Q16" s="559"/>
      <c r="R16" s="559"/>
      <c r="S16" s="559"/>
      <c r="T16" s="559"/>
      <c r="W16" s="627"/>
      <c r="X16" s="626"/>
      <c r="Y16" s="628"/>
      <c r="Z16" s="586"/>
      <c r="AA16" s="559"/>
      <c r="AB16" s="559"/>
      <c r="AC16" s="559"/>
      <c r="AD16" s="559"/>
      <c r="AE16" s="559"/>
      <c r="AF16" s="559"/>
      <c r="AG16" s="559"/>
      <c r="AH16" s="559"/>
      <c r="AI16" s="559"/>
      <c r="AJ16" s="559"/>
      <c r="AK16" s="559"/>
      <c r="AL16" s="9"/>
      <c r="AN16" s="559"/>
      <c r="AO16" s="559"/>
      <c r="AP16" s="559"/>
      <c r="AQ16" s="559"/>
      <c r="AR16" s="559"/>
      <c r="AS16" s="559"/>
      <c r="AT16" s="559"/>
      <c r="AU16" s="559"/>
      <c r="AV16" s="559"/>
      <c r="AW16" s="559"/>
      <c r="AX16" s="559"/>
      <c r="AY16" s="559"/>
      <c r="AZ16" s="559"/>
      <c r="BA16" s="559"/>
      <c r="BB16" s="582"/>
      <c r="BC16" s="9"/>
    </row>
    <row r="17" spans="1:55" ht="15.75" x14ac:dyDescent="0.25">
      <c r="A17" s="12"/>
      <c r="B17" s="564"/>
      <c r="C17" s="559"/>
      <c r="D17" s="559"/>
      <c r="E17" s="565"/>
      <c r="F17" s="565"/>
      <c r="G17" s="559"/>
      <c r="H17" s="559"/>
      <c r="I17" s="559"/>
      <c r="J17" s="571"/>
      <c r="K17" s="571"/>
      <c r="L17" s="571"/>
      <c r="M17" s="571"/>
      <c r="N17" s="559"/>
      <c r="O17" s="559"/>
      <c r="P17" s="564"/>
      <c r="Q17" s="564"/>
      <c r="R17" s="564"/>
      <c r="S17" s="564"/>
      <c r="T17" s="559"/>
      <c r="W17" s="627"/>
      <c r="X17" s="626"/>
      <c r="Y17" s="628"/>
      <c r="Z17" s="586"/>
      <c r="AA17" s="559"/>
      <c r="AB17" s="559"/>
      <c r="AC17" s="559"/>
      <c r="AD17" s="559"/>
      <c r="AE17" s="559"/>
      <c r="AF17" s="559"/>
      <c r="AG17" s="559"/>
      <c r="AH17" s="559"/>
      <c r="AI17" s="559"/>
      <c r="AJ17" s="559"/>
      <c r="AK17" s="559"/>
      <c r="AL17" s="9"/>
      <c r="AN17" s="559"/>
      <c r="AO17" s="559"/>
      <c r="AP17" s="559"/>
      <c r="AQ17" s="559"/>
      <c r="AR17" s="559"/>
      <c r="AS17" s="559"/>
      <c r="AT17" s="559"/>
      <c r="AU17" s="615"/>
      <c r="AV17" s="615"/>
      <c r="AW17" s="615"/>
      <c r="AX17" s="615"/>
      <c r="AY17" s="615"/>
      <c r="AZ17" s="559"/>
      <c r="BA17" s="559"/>
      <c r="BB17" s="582"/>
      <c r="BC17" s="9"/>
    </row>
    <row r="18" spans="1:55" ht="15.75" x14ac:dyDescent="0.25">
      <c r="A18" s="12"/>
      <c r="B18" s="567"/>
      <c r="C18" s="559"/>
      <c r="D18" s="559"/>
      <c r="E18" s="565"/>
      <c r="F18" s="565"/>
      <c r="G18" s="559"/>
      <c r="H18" s="559"/>
      <c r="I18" s="559"/>
      <c r="J18" s="571"/>
      <c r="K18" s="571"/>
      <c r="L18" s="571"/>
      <c r="M18" s="571"/>
      <c r="N18" s="559"/>
      <c r="O18" s="559"/>
      <c r="P18" s="564"/>
      <c r="Q18" s="564"/>
      <c r="R18" s="564"/>
      <c r="S18" s="564"/>
      <c r="T18" s="559"/>
      <c r="W18" s="627"/>
      <c r="X18" s="626"/>
      <c r="Y18" s="628"/>
      <c r="Z18" s="586"/>
      <c r="AA18" s="559"/>
      <c r="AB18" s="559"/>
      <c r="AC18" s="559"/>
      <c r="AD18" s="559"/>
      <c r="AE18" s="559"/>
      <c r="AF18" s="559"/>
      <c r="AG18" s="559"/>
      <c r="AH18" s="559"/>
      <c r="AI18" s="559"/>
      <c r="AJ18" s="559"/>
      <c r="AK18" s="559"/>
      <c r="AL18" s="9"/>
      <c r="AN18" s="559"/>
      <c r="AO18" s="559"/>
      <c r="AP18" s="559"/>
      <c r="AQ18" s="559"/>
      <c r="AR18" s="559"/>
      <c r="AS18" s="559"/>
      <c r="AT18" s="559"/>
      <c r="AU18" s="559"/>
      <c r="AV18" s="559"/>
      <c r="AW18" s="559"/>
      <c r="AX18" s="559"/>
      <c r="AY18" s="559"/>
      <c r="AZ18" s="559"/>
      <c r="BA18" s="559"/>
      <c r="BB18" s="582"/>
      <c r="BC18" s="9"/>
    </row>
    <row r="19" spans="1:55" ht="18" x14ac:dyDescent="0.25">
      <c r="A19" s="12"/>
      <c r="B19" s="572"/>
      <c r="C19" s="559"/>
      <c r="D19" s="559"/>
      <c r="E19" s="565"/>
      <c r="F19" s="565"/>
      <c r="G19" s="559"/>
      <c r="H19" s="559"/>
      <c r="I19" s="559"/>
      <c r="J19" s="559"/>
      <c r="K19" s="559"/>
      <c r="L19" s="559"/>
      <c r="M19" s="559"/>
      <c r="N19" s="559"/>
      <c r="O19" s="559"/>
      <c r="P19" s="559"/>
      <c r="Q19" s="559"/>
      <c r="R19" s="559"/>
      <c r="S19" s="559"/>
      <c r="T19" s="559"/>
      <c r="W19" s="627"/>
      <c r="X19" s="626"/>
      <c r="Y19" s="628"/>
      <c r="Z19" s="586"/>
      <c r="AA19" s="559"/>
      <c r="AB19" s="559"/>
      <c r="AC19" s="559"/>
      <c r="AD19" s="559"/>
      <c r="AE19" s="559"/>
      <c r="AF19" s="559"/>
      <c r="AG19" s="559"/>
      <c r="AH19" s="559"/>
      <c r="AI19" s="559"/>
      <c r="AJ19" s="559"/>
      <c r="AK19" s="559"/>
      <c r="AL19" s="9"/>
      <c r="AN19" s="559"/>
      <c r="AO19" s="559"/>
      <c r="AP19" s="559"/>
      <c r="AQ19" s="559"/>
      <c r="AR19" s="559"/>
      <c r="AS19" s="559"/>
      <c r="AT19" s="559"/>
      <c r="AU19" s="559"/>
      <c r="AV19" s="559"/>
      <c r="AW19" s="559"/>
      <c r="AX19" s="605"/>
      <c r="AY19" s="605"/>
      <c r="AZ19" s="559"/>
      <c r="BA19" s="559"/>
      <c r="BB19" s="582"/>
      <c r="BC19" s="9"/>
    </row>
    <row r="20" spans="1:55" ht="18.75" thickBot="1" x14ac:dyDescent="0.3">
      <c r="A20" s="12"/>
      <c r="B20" s="572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W20" s="629"/>
      <c r="X20" s="630"/>
      <c r="Y20" s="631"/>
      <c r="Z20" s="559"/>
      <c r="AA20" s="559"/>
      <c r="AB20" s="559"/>
      <c r="AC20" s="559"/>
      <c r="AD20" s="559"/>
      <c r="AE20" s="559"/>
      <c r="AF20" s="559"/>
      <c r="AG20" s="587"/>
      <c r="AH20" s="588"/>
      <c r="AI20" s="587"/>
      <c r="AJ20" s="589"/>
      <c r="AK20" s="559"/>
      <c r="AL20" s="9"/>
      <c r="AN20" s="573"/>
      <c r="AO20" s="573"/>
      <c r="AP20" s="559"/>
      <c r="AQ20" s="559"/>
      <c r="AR20" s="559"/>
      <c r="AS20" s="559"/>
      <c r="AT20" s="559"/>
      <c r="AU20" s="559"/>
      <c r="AV20" s="606"/>
      <c r="AW20" s="605"/>
      <c r="AX20" s="597"/>
      <c r="AY20" s="597"/>
      <c r="AZ20" s="605"/>
      <c r="BA20" s="607"/>
      <c r="BB20" s="582"/>
      <c r="BC20" s="9"/>
    </row>
    <row r="21" spans="1:55" ht="18" x14ac:dyDescent="0.25">
      <c r="A21" s="12"/>
      <c r="B21" s="572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W21" s="559"/>
      <c r="X21" s="559"/>
      <c r="Y21" s="559"/>
      <c r="Z21" s="559"/>
      <c r="AA21" s="559"/>
      <c r="AB21" s="559"/>
      <c r="AC21" s="559"/>
      <c r="AD21" s="559"/>
      <c r="AE21" s="559"/>
      <c r="AF21" s="559"/>
      <c r="AG21" s="590"/>
      <c r="AH21" s="588"/>
      <c r="AI21" s="591"/>
      <c r="AJ21" s="589"/>
      <c r="AK21" s="559"/>
      <c r="AL21" s="9"/>
      <c r="AN21" s="559"/>
      <c r="AO21" s="573"/>
      <c r="AP21" s="573"/>
      <c r="AQ21" s="559"/>
      <c r="AR21" s="559"/>
      <c r="AS21" s="559"/>
      <c r="AT21" s="559"/>
      <c r="AU21" s="606"/>
      <c r="AV21" s="605"/>
      <c r="AW21" s="597"/>
      <c r="AX21" s="597"/>
      <c r="AY21" s="605"/>
      <c r="AZ21" s="607"/>
      <c r="BA21" s="559"/>
      <c r="BB21" s="582"/>
      <c r="BC21" s="9"/>
    </row>
    <row r="22" spans="1:55" ht="18" x14ac:dyDescent="0.25">
      <c r="A22" s="12"/>
      <c r="B22" s="572"/>
      <c r="C22" s="559"/>
      <c r="D22" s="559"/>
      <c r="E22" s="573"/>
      <c r="F22" s="573"/>
      <c r="G22" s="559"/>
      <c r="H22" s="559"/>
      <c r="I22" s="559"/>
      <c r="J22" s="559"/>
      <c r="K22" s="559"/>
      <c r="L22" s="559"/>
      <c r="M22" s="559"/>
      <c r="N22" s="559"/>
      <c r="O22" s="559"/>
      <c r="P22" s="559"/>
      <c r="Q22" s="559"/>
      <c r="R22" s="559"/>
      <c r="S22" s="559"/>
      <c r="T22" s="559"/>
      <c r="W22" s="559"/>
      <c r="X22" s="559"/>
      <c r="Y22" s="559"/>
      <c r="Z22" s="559"/>
      <c r="AA22" s="559"/>
      <c r="AB22" s="559"/>
      <c r="AC22" s="559"/>
      <c r="AD22" s="559"/>
      <c r="AE22" s="559"/>
      <c r="AF22" s="559"/>
      <c r="AG22" s="559"/>
      <c r="AH22" s="559"/>
      <c r="AI22" s="559"/>
      <c r="AJ22" s="559"/>
      <c r="AK22" s="559"/>
      <c r="AL22" s="9"/>
      <c r="AN22" s="559"/>
      <c r="AO22" s="559"/>
      <c r="AP22" s="573"/>
      <c r="AQ22" s="573"/>
      <c r="AR22" s="559"/>
      <c r="AS22" s="559"/>
      <c r="AT22" s="606"/>
      <c r="AU22" s="605"/>
      <c r="AV22" s="597"/>
      <c r="AW22" s="597"/>
      <c r="AX22" s="605"/>
      <c r="AY22" s="607"/>
      <c r="AZ22" s="559"/>
      <c r="BA22" s="559"/>
      <c r="BB22" s="582"/>
      <c r="BC22" s="9"/>
    </row>
    <row r="23" spans="1:55" ht="18" x14ac:dyDescent="0.25">
      <c r="A23" s="12"/>
      <c r="B23" s="572"/>
      <c r="C23" s="559"/>
      <c r="D23" s="559"/>
      <c r="E23" s="573"/>
      <c r="F23" s="573"/>
      <c r="G23" s="559"/>
      <c r="H23" s="559"/>
      <c r="I23" s="559"/>
      <c r="J23" s="572"/>
      <c r="K23" s="572"/>
      <c r="L23" s="572"/>
      <c r="M23" s="572"/>
      <c r="N23" s="559"/>
      <c r="O23" s="559"/>
      <c r="P23" s="564"/>
      <c r="Q23" s="564"/>
      <c r="R23" s="564"/>
      <c r="S23" s="564"/>
      <c r="T23" s="559"/>
      <c r="W23" s="559"/>
      <c r="X23" s="559"/>
      <c r="Y23" s="559"/>
      <c r="Z23" s="559"/>
      <c r="AA23" s="559"/>
      <c r="AB23" s="559"/>
      <c r="AC23" s="559"/>
      <c r="AD23" s="559"/>
      <c r="AE23" s="559"/>
      <c r="AF23" s="559"/>
      <c r="AG23" s="559"/>
      <c r="AH23" s="559"/>
      <c r="AI23" s="559"/>
      <c r="AJ23" s="559"/>
      <c r="AK23" s="559"/>
      <c r="AL23" s="9"/>
      <c r="AN23" s="559"/>
      <c r="AO23" s="559"/>
      <c r="AP23" s="559"/>
      <c r="AQ23" s="573"/>
      <c r="AR23" s="573"/>
      <c r="AS23" s="606"/>
      <c r="AT23" s="605"/>
      <c r="AU23" s="597"/>
      <c r="AV23" s="597"/>
      <c r="AW23" s="605"/>
      <c r="AX23" s="607"/>
      <c r="AY23" s="559"/>
      <c r="AZ23" s="559"/>
      <c r="BA23" s="559"/>
      <c r="BB23" s="582"/>
      <c r="BC23" s="9"/>
    </row>
    <row r="24" spans="1:55" ht="18" x14ac:dyDescent="0.25">
      <c r="A24" s="12"/>
      <c r="B24" s="572"/>
      <c r="C24" s="559"/>
      <c r="D24" s="559"/>
      <c r="E24" s="573"/>
      <c r="F24" s="573"/>
      <c r="G24" s="559"/>
      <c r="H24" s="559"/>
      <c r="I24" s="559"/>
      <c r="J24" s="572"/>
      <c r="K24" s="572"/>
      <c r="L24" s="572"/>
      <c r="M24" s="572"/>
      <c r="N24" s="559"/>
      <c r="O24" s="559"/>
      <c r="P24" s="564"/>
      <c r="Q24" s="564"/>
      <c r="R24" s="564"/>
      <c r="S24" s="564"/>
      <c r="T24" s="559"/>
      <c r="W24" s="559"/>
      <c r="X24" s="559"/>
      <c r="Y24" s="559"/>
      <c r="Z24" s="559"/>
      <c r="AA24" s="559"/>
      <c r="AB24" s="559"/>
      <c r="AC24" s="559"/>
      <c r="AD24" s="559"/>
      <c r="AE24" s="559"/>
      <c r="AF24" s="559"/>
      <c r="AG24" s="559"/>
      <c r="AH24" s="559"/>
      <c r="AI24" s="559"/>
      <c r="AJ24" s="559"/>
      <c r="AK24" s="559"/>
      <c r="AO24" s="559"/>
      <c r="AP24" s="559"/>
      <c r="AQ24" s="559"/>
      <c r="AR24" s="559"/>
      <c r="AS24" s="559"/>
      <c r="AT24" s="594"/>
      <c r="AU24" s="605"/>
      <c r="AV24" s="605"/>
      <c r="AW24" s="559"/>
      <c r="AX24" s="559"/>
      <c r="AY24" s="559"/>
      <c r="AZ24" s="559"/>
      <c r="BA24" s="559"/>
      <c r="BB24" s="582"/>
      <c r="BC24" s="9"/>
    </row>
    <row r="25" spans="1:55" ht="15.75" x14ac:dyDescent="0.25">
      <c r="A25" s="12"/>
      <c r="B25" s="559"/>
      <c r="C25" s="559"/>
      <c r="D25" s="559"/>
      <c r="E25" s="573"/>
      <c r="F25" s="573"/>
      <c r="G25" s="559"/>
      <c r="H25" s="559"/>
      <c r="I25" s="559"/>
      <c r="J25" s="559"/>
      <c r="K25" s="559"/>
      <c r="L25" s="559"/>
      <c r="M25" s="559"/>
      <c r="N25" s="559"/>
      <c r="O25" s="559"/>
      <c r="P25" s="559"/>
      <c r="Q25" s="559"/>
      <c r="R25" s="559"/>
      <c r="S25" s="559"/>
      <c r="T25" s="559"/>
      <c r="W25" s="559"/>
      <c r="X25" s="559"/>
      <c r="Y25" s="559"/>
      <c r="Z25" s="559"/>
      <c r="AA25" s="559"/>
      <c r="AB25" s="559"/>
      <c r="AC25" s="559"/>
      <c r="AD25" s="559"/>
      <c r="AE25" s="559"/>
      <c r="AF25" s="559"/>
      <c r="AG25" s="592"/>
      <c r="AH25" s="592"/>
      <c r="AI25" s="592"/>
      <c r="AJ25" s="592"/>
      <c r="AK25" s="559"/>
      <c r="AO25" s="559"/>
      <c r="AP25" s="559"/>
      <c r="AQ25" s="559"/>
      <c r="AR25" s="559"/>
      <c r="AS25" s="559"/>
      <c r="AT25" s="559"/>
      <c r="AU25" s="559"/>
      <c r="AV25" s="559"/>
      <c r="AW25" s="559"/>
      <c r="AX25" s="559"/>
      <c r="AY25" s="559"/>
      <c r="AZ25" s="559"/>
      <c r="BA25" s="559"/>
      <c r="BB25" s="604"/>
      <c r="BC25" s="9"/>
    </row>
    <row r="26" spans="1:55" ht="15.75" x14ac:dyDescent="0.25">
      <c r="A26" s="12"/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W26" s="559"/>
      <c r="X26" s="559"/>
      <c r="Y26" s="559"/>
      <c r="Z26" s="559"/>
      <c r="AA26" s="559"/>
      <c r="AB26" s="559"/>
      <c r="AC26" s="559"/>
      <c r="AD26" s="559"/>
      <c r="AE26" s="559"/>
      <c r="AF26" s="559"/>
      <c r="AG26" s="592"/>
      <c r="AH26" s="592"/>
      <c r="AI26" s="592"/>
      <c r="AJ26" s="592"/>
      <c r="AK26" s="559"/>
      <c r="AL26" s="9"/>
      <c r="AN26" s="559"/>
      <c r="AO26" s="559"/>
      <c r="AP26" s="559"/>
      <c r="AQ26" s="559"/>
      <c r="AR26" s="559"/>
      <c r="AS26" s="559"/>
      <c r="AT26" s="559"/>
      <c r="AU26" s="559"/>
      <c r="AV26" s="559"/>
      <c r="AW26" s="559"/>
      <c r="AX26" s="559"/>
      <c r="AY26" s="559"/>
      <c r="AZ26" s="559"/>
      <c r="BA26" s="559"/>
      <c r="BB26" s="604"/>
      <c r="BC26" s="9"/>
    </row>
    <row r="27" spans="1:55" ht="15.75" x14ac:dyDescent="0.25">
      <c r="A27" s="12"/>
      <c r="B27" s="559"/>
      <c r="C27" s="559"/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59"/>
      <c r="Q27" s="559"/>
      <c r="R27" s="559"/>
      <c r="S27" s="559"/>
      <c r="T27" s="559"/>
      <c r="W27" s="559"/>
      <c r="X27" s="559"/>
      <c r="Y27" s="559"/>
      <c r="Z27" s="559"/>
      <c r="AA27" s="559"/>
      <c r="AB27" s="559"/>
      <c r="AC27" s="559"/>
      <c r="AD27" s="559"/>
      <c r="AE27" s="559"/>
      <c r="AF27" s="559"/>
      <c r="AG27" s="559"/>
      <c r="AH27" s="559"/>
      <c r="AI27" s="559"/>
      <c r="AJ27" s="559"/>
      <c r="AK27" s="559"/>
      <c r="AL27" s="9"/>
      <c r="AN27" s="559"/>
      <c r="AO27" s="559"/>
      <c r="AP27" s="559"/>
      <c r="AQ27" s="559"/>
      <c r="AR27" s="559"/>
      <c r="AS27" s="559"/>
      <c r="AT27" s="559"/>
      <c r="AU27" s="559"/>
      <c r="AV27" s="559"/>
      <c r="AW27" s="559"/>
      <c r="AX27" s="559"/>
      <c r="AY27" s="559"/>
      <c r="AZ27" s="559"/>
      <c r="BA27" s="559"/>
      <c r="BB27" s="604"/>
      <c r="BC27" s="9"/>
    </row>
    <row r="28" spans="1:55" ht="15.75" x14ac:dyDescent="0.25">
      <c r="A28" s="12"/>
      <c r="B28" s="559"/>
      <c r="C28" s="559"/>
      <c r="D28" s="559"/>
      <c r="E28" s="559"/>
      <c r="F28" s="559"/>
      <c r="G28" s="559"/>
      <c r="H28" s="559"/>
      <c r="I28" s="559"/>
      <c r="J28" s="559"/>
      <c r="K28" s="559"/>
      <c r="L28" s="559"/>
      <c r="M28" s="559"/>
      <c r="N28" s="559"/>
      <c r="O28" s="559"/>
      <c r="P28" s="559"/>
      <c r="Q28" s="559"/>
      <c r="R28" s="559"/>
      <c r="S28" s="559"/>
      <c r="T28" s="559"/>
      <c r="W28" s="559"/>
      <c r="X28" s="559"/>
      <c r="Y28" s="559"/>
      <c r="Z28" s="559"/>
      <c r="AA28" s="559"/>
      <c r="AB28" s="559"/>
      <c r="AC28" s="559"/>
      <c r="AD28" s="559"/>
      <c r="AE28" s="559"/>
      <c r="AF28" s="559"/>
      <c r="AG28" s="559"/>
      <c r="AH28" s="559"/>
      <c r="AI28" s="559"/>
      <c r="AJ28" s="559"/>
      <c r="AK28" s="559"/>
      <c r="AL28" s="9"/>
      <c r="AN28" s="559"/>
      <c r="AO28" s="559"/>
      <c r="AP28" s="559"/>
      <c r="AQ28" s="559"/>
      <c r="AR28" s="559"/>
      <c r="AS28" s="564"/>
      <c r="AT28" s="564"/>
      <c r="AU28" s="559"/>
      <c r="AV28" s="559"/>
      <c r="AW28" s="559"/>
      <c r="AX28" s="559"/>
      <c r="AY28" s="559"/>
      <c r="AZ28" s="559"/>
      <c r="BA28" s="559"/>
      <c r="BB28" s="604"/>
      <c r="BC28" s="9"/>
    </row>
    <row r="29" spans="1:55" ht="16.5" thickBot="1" x14ac:dyDescent="0.3">
      <c r="A29" s="12"/>
      <c r="B29" s="559"/>
      <c r="C29" s="559"/>
      <c r="D29" s="559"/>
      <c r="E29" s="559"/>
      <c r="F29" s="559"/>
      <c r="G29" s="559"/>
      <c r="H29" s="559"/>
      <c r="I29" s="559"/>
      <c r="J29" s="564"/>
      <c r="K29" s="574"/>
      <c r="L29" s="574"/>
      <c r="M29" s="574"/>
      <c r="N29" s="574"/>
      <c r="O29" s="564"/>
      <c r="P29" s="559"/>
      <c r="Q29" s="559"/>
      <c r="R29" s="559"/>
      <c r="S29" s="559"/>
      <c r="T29" s="559"/>
      <c r="W29" s="559"/>
      <c r="X29" s="559"/>
      <c r="Y29" s="559"/>
      <c r="Z29" s="559"/>
      <c r="AA29" s="559"/>
      <c r="AB29" s="559"/>
      <c r="AC29" s="559"/>
      <c r="AD29" s="559"/>
      <c r="AE29" s="559"/>
      <c r="AF29" s="559"/>
      <c r="AG29" s="559"/>
      <c r="AH29" s="559"/>
      <c r="AI29" s="559"/>
      <c r="AJ29" s="559"/>
      <c r="AK29" s="559"/>
      <c r="AL29" s="9"/>
      <c r="AN29" s="559"/>
      <c r="AO29" s="559"/>
      <c r="AP29" s="559"/>
      <c r="AQ29" s="559"/>
      <c r="AR29" s="559"/>
      <c r="AS29" s="564"/>
      <c r="AT29" s="564"/>
      <c r="AU29" s="559"/>
      <c r="AV29" s="559"/>
      <c r="AW29" s="559"/>
      <c r="AX29" s="559"/>
      <c r="AY29" s="559"/>
      <c r="AZ29" s="559"/>
      <c r="BA29" s="559"/>
      <c r="BB29" s="604"/>
      <c r="BC29" s="9"/>
    </row>
    <row r="30" spans="1:55" ht="15.75" x14ac:dyDescent="0.25">
      <c r="A30" s="12"/>
      <c r="B30" s="575"/>
      <c r="C30" s="576"/>
      <c r="D30" s="576"/>
      <c r="E30" s="576"/>
      <c r="F30" s="576"/>
      <c r="G30" s="576"/>
      <c r="H30" s="611"/>
      <c r="I30" s="612"/>
      <c r="J30" s="576"/>
      <c r="K30" s="577"/>
      <c r="L30" s="577"/>
      <c r="M30" s="577"/>
      <c r="N30" s="577"/>
      <c r="O30" s="576"/>
      <c r="P30" s="576"/>
      <c r="Q30" s="576"/>
      <c r="R30" s="578"/>
      <c r="S30" s="559"/>
      <c r="T30" s="559"/>
      <c r="W30" s="559"/>
      <c r="X30" s="559"/>
      <c r="Y30" s="559"/>
      <c r="Z30" s="559"/>
      <c r="AA30" s="615"/>
      <c r="AB30" s="615"/>
      <c r="AC30" s="615"/>
      <c r="AD30" s="615"/>
      <c r="AE30" s="559"/>
      <c r="AF30" s="559"/>
      <c r="AG30" s="559"/>
      <c r="AH30" s="559"/>
      <c r="AI30" s="559"/>
      <c r="AJ30" s="559"/>
      <c r="AK30" s="559"/>
      <c r="AL30" s="9"/>
      <c r="AN30" s="559"/>
      <c r="AO30" s="559"/>
      <c r="AP30" s="559"/>
      <c r="AQ30" s="559"/>
      <c r="AR30" s="559"/>
      <c r="AS30" s="559"/>
      <c r="AT30" s="559"/>
      <c r="AU30" s="559"/>
      <c r="AV30" s="559"/>
      <c r="AW30" s="559"/>
      <c r="AX30" s="559"/>
      <c r="AY30" s="559"/>
      <c r="AZ30" s="559"/>
      <c r="BA30" s="559"/>
      <c r="BB30" s="604"/>
      <c r="BC30" s="9"/>
    </row>
    <row r="31" spans="1:55" ht="16.5" thickBot="1" x14ac:dyDescent="0.3">
      <c r="A31" s="12"/>
      <c r="B31" s="578"/>
      <c r="C31" s="559"/>
      <c r="D31" s="559"/>
      <c r="E31" s="559"/>
      <c r="F31" s="559"/>
      <c r="G31" s="559"/>
      <c r="H31" s="613"/>
      <c r="I31" s="614"/>
      <c r="J31" s="559"/>
      <c r="K31" s="559"/>
      <c r="L31" s="559"/>
      <c r="M31" s="559"/>
      <c r="N31" s="559"/>
      <c r="O31" s="559"/>
      <c r="P31" s="559"/>
      <c r="Q31" s="559"/>
      <c r="R31" s="578"/>
      <c r="S31" s="559"/>
      <c r="T31" s="559"/>
      <c r="W31" s="559"/>
      <c r="X31" s="559"/>
      <c r="Y31" s="559"/>
      <c r="Z31" s="559"/>
      <c r="AA31" s="593"/>
      <c r="AB31" s="593"/>
      <c r="AC31" s="593"/>
      <c r="AD31" s="593"/>
      <c r="AE31" s="559"/>
      <c r="AF31" s="559"/>
      <c r="AG31" s="559"/>
      <c r="AH31" s="559"/>
      <c r="AI31" s="559"/>
      <c r="AJ31" s="559"/>
      <c r="AK31" s="559"/>
      <c r="AL31" s="9"/>
      <c r="AN31" s="559"/>
      <c r="AO31" s="559"/>
      <c r="AP31" s="559"/>
      <c r="AQ31" s="559"/>
      <c r="AR31" s="559"/>
      <c r="AS31" s="559"/>
      <c r="AT31" s="559"/>
      <c r="AU31" s="559"/>
      <c r="AV31" s="559"/>
      <c r="AW31" s="559"/>
      <c r="AX31" s="559"/>
      <c r="AY31" s="559"/>
      <c r="AZ31" s="559"/>
      <c r="BA31" s="559"/>
      <c r="BB31" s="604"/>
      <c r="BC31" s="9"/>
    </row>
    <row r="32" spans="1:55" ht="18.75" x14ac:dyDescent="0.25">
      <c r="A32" s="27"/>
      <c r="B32" s="53"/>
      <c r="C32" s="22"/>
      <c r="D32" s="22"/>
      <c r="E32" s="22"/>
      <c r="F32" s="22"/>
      <c r="G32" s="22"/>
      <c r="Q32" s="22"/>
      <c r="R32" s="9"/>
      <c r="W32" s="559"/>
      <c r="X32" s="559"/>
      <c r="Y32" s="559"/>
      <c r="Z32" s="594"/>
      <c r="AA32" s="595"/>
      <c r="AB32" s="595"/>
      <c r="AC32" s="595"/>
      <c r="AD32" s="595"/>
      <c r="AE32" s="559"/>
      <c r="AF32" s="559"/>
      <c r="AG32" s="559"/>
      <c r="AH32" s="559"/>
      <c r="AI32" s="559"/>
      <c r="AJ32" s="559"/>
      <c r="AK32" s="559"/>
      <c r="AL32" s="9"/>
      <c r="AN32" s="615"/>
      <c r="AO32" s="615"/>
      <c r="AP32" s="615"/>
      <c r="AQ32" s="615"/>
      <c r="AR32" s="615"/>
      <c r="AS32" s="559"/>
      <c r="AT32" s="559"/>
      <c r="AU32" s="559"/>
      <c r="AV32" s="559"/>
      <c r="AW32" s="559"/>
      <c r="AX32" s="559"/>
      <c r="AY32" s="559"/>
      <c r="AZ32" s="559"/>
      <c r="BA32" s="559"/>
      <c r="BB32" s="604"/>
      <c r="BC32" s="9"/>
    </row>
    <row r="33" spans="1:55" ht="21" x14ac:dyDescent="0.25">
      <c r="A33" s="27"/>
      <c r="B33" s="55"/>
      <c r="C33" s="22"/>
      <c r="D33" s="22"/>
      <c r="E33" s="56"/>
      <c r="F33" s="56"/>
      <c r="G33" s="22"/>
      <c r="K33" s="559"/>
      <c r="L33" s="559"/>
      <c r="M33" s="559"/>
      <c r="N33" s="559"/>
      <c r="O33" s="559"/>
      <c r="P33" s="559"/>
      <c r="Q33" s="579"/>
      <c r="R33" s="571"/>
      <c r="S33" s="559"/>
      <c r="W33" s="559"/>
      <c r="X33" s="559"/>
      <c r="Y33" s="559"/>
      <c r="Z33" s="596"/>
      <c r="AA33" s="597"/>
      <c r="AB33" s="597"/>
      <c r="AC33" s="597"/>
      <c r="AD33" s="597"/>
      <c r="AE33" s="596"/>
      <c r="AF33" s="559"/>
      <c r="AG33" s="559"/>
      <c r="AH33" s="559"/>
      <c r="AI33" s="559"/>
      <c r="AJ33" s="559"/>
      <c r="AK33" s="559"/>
      <c r="AL33" s="9"/>
      <c r="AN33" s="559"/>
      <c r="AO33" s="559"/>
      <c r="AP33" s="559"/>
      <c r="AQ33" s="608"/>
      <c r="AR33" s="608"/>
      <c r="AS33" s="603"/>
      <c r="AT33" s="559"/>
      <c r="AU33" s="566"/>
      <c r="AV33" s="559"/>
      <c r="AW33" s="559"/>
      <c r="AX33" s="559"/>
      <c r="AY33" s="559"/>
      <c r="AZ33" s="559"/>
      <c r="BA33" s="559"/>
      <c r="BB33" s="604"/>
      <c r="BC33" s="9"/>
    </row>
    <row r="34" spans="1:55" ht="23.25" x14ac:dyDescent="0.25">
      <c r="A34" s="27"/>
      <c r="B34" s="55"/>
      <c r="C34" s="22"/>
      <c r="D34" s="22"/>
      <c r="E34" s="61"/>
      <c r="F34" s="61"/>
      <c r="G34" s="22"/>
      <c r="K34" s="559"/>
      <c r="L34" s="559"/>
      <c r="M34" s="559"/>
      <c r="N34" s="559"/>
      <c r="O34" s="566"/>
      <c r="P34" s="579"/>
      <c r="Q34" s="571"/>
      <c r="R34" s="559"/>
      <c r="S34" s="559"/>
      <c r="W34" s="559"/>
      <c r="X34" s="559"/>
      <c r="Y34" s="559"/>
      <c r="Z34" s="596"/>
      <c r="AA34" s="597"/>
      <c r="AB34" s="597"/>
      <c r="AC34" s="597"/>
      <c r="AD34" s="597"/>
      <c r="AE34" s="596"/>
      <c r="AF34" s="559"/>
      <c r="AG34" s="559"/>
      <c r="AH34" s="559"/>
      <c r="AI34" s="559"/>
      <c r="AJ34" s="559"/>
      <c r="AK34" s="559"/>
      <c r="AL34" s="9"/>
      <c r="AN34" s="559"/>
      <c r="AO34" s="606"/>
      <c r="AP34" s="609"/>
      <c r="AQ34" s="597"/>
      <c r="AR34" s="597"/>
      <c r="AS34" s="609"/>
      <c r="AT34" s="607"/>
      <c r="AU34" s="564"/>
      <c r="AV34" s="564"/>
      <c r="AW34" s="559"/>
      <c r="AX34" s="559"/>
      <c r="AY34" s="559"/>
      <c r="AZ34" s="559"/>
      <c r="BA34" s="559"/>
      <c r="BB34" s="604"/>
      <c r="BC34" s="9"/>
    </row>
    <row r="35" spans="1:55" ht="23.25" x14ac:dyDescent="0.25">
      <c r="A35" s="27"/>
      <c r="B35" s="1">
        <v>100</v>
      </c>
      <c r="C35" s="4">
        <v>100</v>
      </c>
      <c r="D35" s="2">
        <v>100</v>
      </c>
      <c r="E35" s="3">
        <v>100</v>
      </c>
      <c r="F35" s="5">
        <v>100</v>
      </c>
      <c r="G35" s="6">
        <v>100</v>
      </c>
      <c r="H35" s="6">
        <v>100</v>
      </c>
      <c r="I35" s="6">
        <v>100</v>
      </c>
      <c r="J35" s="64"/>
      <c r="K35" s="559"/>
      <c r="L35" s="559"/>
      <c r="M35" s="559"/>
      <c r="N35" s="559"/>
      <c r="O35" s="579"/>
      <c r="P35" s="571"/>
      <c r="Q35" s="559"/>
      <c r="R35" s="559"/>
      <c r="S35" s="559"/>
      <c r="V35" s="559"/>
      <c r="W35" s="559"/>
      <c r="X35" s="559"/>
      <c r="Y35" s="559"/>
      <c r="Z35" s="594"/>
      <c r="AA35" s="595"/>
      <c r="AB35" s="595"/>
      <c r="AC35" s="595"/>
      <c r="AD35" s="595"/>
      <c r="AE35" s="559"/>
      <c r="AF35" s="559"/>
      <c r="AG35" s="559"/>
      <c r="AH35" s="559"/>
      <c r="AI35" s="559"/>
      <c r="AJ35" s="559"/>
      <c r="AK35" s="559"/>
      <c r="AL35" s="9"/>
      <c r="AN35" s="606"/>
      <c r="AO35" s="609"/>
      <c r="AP35" s="597"/>
      <c r="AQ35" s="597"/>
      <c r="AR35" s="609"/>
      <c r="AS35" s="607"/>
      <c r="AT35" s="559"/>
      <c r="AU35" s="559"/>
      <c r="AV35" s="564"/>
      <c r="AW35" s="564"/>
      <c r="AX35" s="559"/>
      <c r="AY35" s="559"/>
      <c r="AZ35" s="559"/>
      <c r="BA35" s="559"/>
      <c r="BB35" s="604"/>
      <c r="BC35" s="9"/>
    </row>
    <row r="36" spans="1:55" ht="23.25" x14ac:dyDescent="0.25">
      <c r="A36" s="27"/>
      <c r="B36" s="64" t="s">
        <v>192</v>
      </c>
      <c r="C36" s="64" t="s">
        <v>192</v>
      </c>
      <c r="D36" s="64" t="s">
        <v>192</v>
      </c>
      <c r="E36" s="64" t="s">
        <v>192</v>
      </c>
      <c r="F36" s="64" t="s">
        <v>192</v>
      </c>
      <c r="G36" s="64" t="s">
        <v>192</v>
      </c>
      <c r="H36" s="64" t="s">
        <v>192</v>
      </c>
      <c r="I36" s="64" t="s">
        <v>192</v>
      </c>
      <c r="J36" s="66"/>
      <c r="K36" s="559"/>
      <c r="L36" s="559"/>
      <c r="M36" s="566"/>
      <c r="N36" s="579"/>
      <c r="O36" s="571"/>
      <c r="P36" s="559"/>
      <c r="Q36" s="559"/>
      <c r="R36" s="559"/>
      <c r="S36" s="559"/>
      <c r="V36" s="559"/>
      <c r="W36" s="559"/>
      <c r="X36" s="559"/>
      <c r="Y36" s="559"/>
      <c r="Z36" s="559"/>
      <c r="AA36" s="593"/>
      <c r="AB36" s="593"/>
      <c r="AC36" s="593"/>
      <c r="AD36" s="593"/>
      <c r="AE36" s="559"/>
      <c r="AF36" s="559"/>
      <c r="AG36" s="559"/>
      <c r="AH36" s="559"/>
      <c r="AI36" s="559"/>
      <c r="AJ36" s="559"/>
      <c r="AK36" s="559"/>
      <c r="AL36" s="9"/>
      <c r="AM36" s="36"/>
      <c r="AN36" s="609"/>
      <c r="AO36" s="597"/>
      <c r="AP36" s="597"/>
      <c r="AQ36" s="609"/>
      <c r="AR36" s="607"/>
      <c r="AS36" s="559"/>
      <c r="AT36" s="566"/>
      <c r="AU36" s="559"/>
      <c r="AV36" s="559"/>
      <c r="AW36" s="564"/>
      <c r="AX36" s="564"/>
      <c r="AY36" s="559"/>
      <c r="AZ36" s="559"/>
      <c r="BA36" s="559"/>
      <c r="BB36" s="604"/>
      <c r="BC36" s="9"/>
    </row>
    <row r="37" spans="1:55" ht="23.25" x14ac:dyDescent="0.25">
      <c r="A37" s="27"/>
      <c r="B37" s="67">
        <v>1</v>
      </c>
      <c r="C37" s="67">
        <v>2</v>
      </c>
      <c r="D37" s="67">
        <v>3</v>
      </c>
      <c r="E37" s="67">
        <v>4</v>
      </c>
      <c r="F37" s="67">
        <v>5</v>
      </c>
      <c r="G37" s="67">
        <v>6</v>
      </c>
      <c r="H37" s="67">
        <v>7</v>
      </c>
      <c r="I37" s="67">
        <v>8</v>
      </c>
      <c r="J37" s="68" t="s">
        <v>188</v>
      </c>
      <c r="K37" s="566"/>
      <c r="L37" s="559"/>
      <c r="M37" s="579"/>
      <c r="N37" s="571"/>
      <c r="O37" s="559"/>
      <c r="P37" s="559"/>
      <c r="Q37" s="559"/>
      <c r="R37" s="559"/>
      <c r="S37" s="559"/>
      <c r="U37" s="22"/>
      <c r="V37" s="566"/>
      <c r="W37" s="566"/>
      <c r="X37" s="566"/>
      <c r="Y37" s="566"/>
      <c r="Z37" s="559"/>
      <c r="AA37" s="615"/>
      <c r="AB37" s="615"/>
      <c r="AC37" s="615"/>
      <c r="AD37" s="615"/>
      <c r="AE37" s="559"/>
      <c r="AF37" s="559"/>
      <c r="AG37" s="559"/>
      <c r="AH37" s="559"/>
      <c r="AI37" s="559"/>
      <c r="AJ37" s="559"/>
      <c r="AK37" s="598"/>
      <c r="AL37" s="36"/>
      <c r="AM37" s="63"/>
      <c r="AN37" s="597"/>
      <c r="AO37" s="597"/>
      <c r="AP37" s="609"/>
      <c r="AQ37" s="607"/>
      <c r="AR37" s="559"/>
      <c r="AS37" s="610"/>
      <c r="AT37" s="610"/>
      <c r="AU37" s="559"/>
      <c r="AV37" s="559"/>
      <c r="AW37" s="559"/>
      <c r="AX37" s="564"/>
      <c r="AY37" s="564"/>
      <c r="AZ37" s="559"/>
      <c r="BA37" s="559"/>
      <c r="BB37" s="564"/>
      <c r="BC37" s="9"/>
    </row>
    <row r="38" spans="1:55" ht="15.75" x14ac:dyDescent="0.25">
      <c r="A38" s="27"/>
      <c r="B38" s="53"/>
      <c r="C38" s="22"/>
      <c r="D38" s="22"/>
      <c r="E38" s="21"/>
      <c r="F38" s="21"/>
      <c r="G38" s="22"/>
      <c r="K38" s="566"/>
      <c r="L38" s="579"/>
      <c r="M38" s="571"/>
      <c r="N38" s="559"/>
      <c r="O38" s="559"/>
      <c r="P38" s="566"/>
      <c r="Q38" s="573"/>
      <c r="R38" s="573"/>
      <c r="S38" s="573"/>
      <c r="U38" s="21"/>
      <c r="V38" s="582"/>
      <c r="W38" s="582"/>
      <c r="X38" s="582"/>
      <c r="Y38" s="582"/>
      <c r="Z38" s="559"/>
      <c r="AA38" s="559"/>
      <c r="AB38" s="559"/>
      <c r="AC38" s="559"/>
      <c r="AD38" s="559"/>
      <c r="AE38" s="559"/>
      <c r="AF38" s="559"/>
      <c r="AG38" s="559"/>
      <c r="AH38" s="559"/>
      <c r="AI38" s="559"/>
      <c r="AJ38" s="559"/>
      <c r="AK38" s="559"/>
      <c r="AL38" s="9"/>
      <c r="AM38" s="44"/>
      <c r="AN38" s="608"/>
      <c r="AO38" s="608"/>
      <c r="AP38" s="559"/>
      <c r="AQ38" s="559"/>
      <c r="AR38" s="559"/>
      <c r="AS38" s="610"/>
      <c r="AT38" s="610"/>
      <c r="AU38" s="559"/>
      <c r="AV38" s="559"/>
      <c r="AW38" s="559"/>
      <c r="AX38" s="559"/>
      <c r="AY38" s="559"/>
      <c r="AZ38" s="559"/>
      <c r="BA38" s="559"/>
      <c r="BB38" s="564"/>
      <c r="BC38" s="9"/>
    </row>
    <row r="39" spans="1:55" ht="15.75" x14ac:dyDescent="0.25">
      <c r="A39" s="27"/>
      <c r="B39" s="71"/>
      <c r="C39" s="22"/>
      <c r="D39" s="22"/>
      <c r="E39" s="21"/>
      <c r="F39" s="21"/>
      <c r="G39" s="22"/>
      <c r="J39" s="72"/>
      <c r="K39" s="580"/>
      <c r="L39" s="571"/>
      <c r="M39" s="559"/>
      <c r="N39" s="559"/>
      <c r="O39" s="559"/>
      <c r="P39" s="566"/>
      <c r="Q39" s="573"/>
      <c r="R39" s="573"/>
      <c r="S39" s="573"/>
      <c r="U39" s="22"/>
      <c r="V39" s="582"/>
      <c r="W39" s="582"/>
      <c r="X39" s="582"/>
      <c r="Y39" s="582"/>
      <c r="Z39" s="559"/>
      <c r="AA39" s="559"/>
      <c r="AB39" s="559"/>
      <c r="AC39" s="559"/>
      <c r="AD39" s="559"/>
      <c r="AE39" s="559"/>
      <c r="AF39" s="559"/>
      <c r="AG39" s="599"/>
      <c r="AH39" s="600"/>
      <c r="AI39" s="601"/>
      <c r="AJ39" s="601"/>
      <c r="AK39" s="601"/>
      <c r="AL39" s="9"/>
      <c r="AN39" s="559"/>
      <c r="AO39" s="559"/>
      <c r="AP39" s="559"/>
      <c r="AQ39" s="559"/>
      <c r="AR39" s="559"/>
      <c r="AS39" s="559"/>
      <c r="AT39" s="559"/>
      <c r="AU39" s="559"/>
      <c r="AV39" s="559"/>
      <c r="AW39" s="559"/>
      <c r="AX39" s="559"/>
      <c r="AY39" s="559"/>
      <c r="AZ39" s="559"/>
      <c r="BA39" s="559"/>
      <c r="BB39" s="564"/>
      <c r="BC39" s="9"/>
    </row>
    <row r="40" spans="1:55" ht="15.75" x14ac:dyDescent="0.25">
      <c r="A40" s="27"/>
      <c r="B40" s="53"/>
      <c r="C40" s="22"/>
      <c r="D40" s="22"/>
      <c r="E40" s="21"/>
      <c r="F40" s="21"/>
      <c r="G40" s="22"/>
      <c r="J40" s="77"/>
      <c r="K40" s="571"/>
      <c r="L40" s="559"/>
      <c r="M40" s="559"/>
      <c r="N40" s="559"/>
      <c r="O40" s="559"/>
      <c r="P40" s="566"/>
      <c r="Q40" s="581"/>
      <c r="R40" s="581"/>
      <c r="S40" s="566"/>
      <c r="U40" s="22"/>
      <c r="V40" s="566"/>
      <c r="W40" s="569"/>
      <c r="X40" s="569"/>
      <c r="Y40" s="566"/>
      <c r="Z40" s="559"/>
      <c r="AA40" s="559"/>
      <c r="AB40" s="559"/>
      <c r="AC40" s="559"/>
      <c r="AD40" s="559"/>
      <c r="AE40" s="559"/>
      <c r="AF40" s="559"/>
      <c r="AG40" s="599"/>
      <c r="AH40" s="600"/>
      <c r="AI40" s="589"/>
      <c r="AJ40" s="589"/>
      <c r="AK40" s="589"/>
      <c r="AL40" s="9"/>
      <c r="AN40" s="559"/>
      <c r="AO40" s="559"/>
      <c r="AP40" s="559"/>
      <c r="AQ40" s="559"/>
      <c r="AR40" s="559"/>
      <c r="AS40" s="559"/>
      <c r="AT40" s="559"/>
      <c r="AU40" s="559"/>
      <c r="AV40" s="559"/>
      <c r="AW40" s="559"/>
      <c r="AX40" s="559"/>
      <c r="AY40" s="559"/>
      <c r="AZ40" s="559"/>
      <c r="BA40" s="559"/>
      <c r="BB40" s="564"/>
      <c r="BC40" s="9"/>
    </row>
    <row r="41" spans="1:55" ht="15.75" x14ac:dyDescent="0.25">
      <c r="A41" s="27"/>
      <c r="B41" s="55"/>
      <c r="C41" s="22"/>
      <c r="D41" s="22"/>
      <c r="E41" s="21"/>
      <c r="F41" s="21"/>
      <c r="G41" s="22"/>
      <c r="J41" s="72"/>
      <c r="K41" s="559"/>
      <c r="L41" s="559"/>
      <c r="M41" s="559"/>
      <c r="N41" s="559"/>
      <c r="O41" s="559"/>
      <c r="P41" s="581"/>
      <c r="Q41" s="581"/>
      <c r="R41" s="566"/>
      <c r="S41" s="566"/>
      <c r="U41" s="22"/>
      <c r="V41" s="566"/>
      <c r="W41" s="566"/>
      <c r="X41" s="569"/>
      <c r="Y41" s="569"/>
      <c r="Z41" s="559"/>
      <c r="AA41" s="559"/>
      <c r="AB41" s="559"/>
      <c r="AC41" s="559"/>
      <c r="AD41" s="559"/>
      <c r="AE41" s="559"/>
      <c r="AF41" s="559"/>
      <c r="AG41" s="559"/>
      <c r="AH41" s="559"/>
      <c r="AI41" s="559"/>
      <c r="AJ41" s="559"/>
      <c r="AK41" s="559"/>
      <c r="AL41" s="9"/>
      <c r="AN41" s="559"/>
      <c r="AO41" s="559"/>
      <c r="AP41" s="559"/>
      <c r="AQ41" s="572"/>
      <c r="AR41" s="572"/>
      <c r="AS41" s="559"/>
      <c r="AT41" s="559"/>
      <c r="AU41" s="564"/>
      <c r="AV41" s="559"/>
      <c r="AW41" s="559"/>
      <c r="AX41" s="559"/>
      <c r="AY41" s="559"/>
      <c r="AZ41" s="559"/>
      <c r="BA41" s="559"/>
      <c r="BB41" s="559"/>
      <c r="BC41" s="9"/>
    </row>
    <row r="42" spans="1:55" ht="15.75" x14ac:dyDescent="0.25">
      <c r="A42" s="27"/>
      <c r="B42" s="53"/>
      <c r="C42" s="22"/>
      <c r="D42" s="22"/>
      <c r="E42" s="22"/>
      <c r="F42" s="22"/>
      <c r="G42" s="22"/>
      <c r="J42" s="72"/>
      <c r="W42" s="559"/>
      <c r="X42" s="559"/>
      <c r="Y42" s="559"/>
      <c r="Z42" s="559"/>
      <c r="AA42" s="559"/>
      <c r="AB42" s="559"/>
      <c r="AC42" s="559"/>
      <c r="AD42" s="559"/>
      <c r="AE42" s="559"/>
      <c r="AF42" s="559"/>
      <c r="AG42" s="559"/>
      <c r="AH42" s="559"/>
      <c r="AI42" s="559"/>
      <c r="AJ42" s="559"/>
      <c r="AK42" s="559"/>
      <c r="AL42" s="9"/>
      <c r="AN42" s="559"/>
      <c r="AO42" s="559"/>
      <c r="AP42" s="572"/>
      <c r="AQ42" s="572"/>
      <c r="AR42" s="559"/>
      <c r="AS42" s="559"/>
      <c r="AT42" s="559"/>
      <c r="AU42" s="564"/>
      <c r="AV42" s="564"/>
      <c r="AW42" s="559"/>
      <c r="AX42" s="559"/>
      <c r="AY42" s="559"/>
      <c r="AZ42" s="559"/>
      <c r="BA42" s="559"/>
      <c r="BB42" s="559"/>
      <c r="BC42" s="9"/>
    </row>
    <row r="43" spans="1:55" ht="15.75" x14ac:dyDescent="0.25">
      <c r="A43" s="27"/>
      <c r="B43" s="55"/>
      <c r="C43" s="22"/>
      <c r="D43" s="22"/>
      <c r="E43" s="22"/>
      <c r="F43" s="22"/>
      <c r="G43" s="22"/>
      <c r="J43" s="77"/>
      <c r="W43" s="559"/>
      <c r="X43" s="559"/>
      <c r="Y43" s="559"/>
      <c r="Z43" s="559"/>
      <c r="AA43" s="559"/>
      <c r="AB43" s="559"/>
      <c r="AC43" s="559"/>
      <c r="AD43" s="559"/>
      <c r="AE43" s="559"/>
      <c r="AF43" s="559"/>
      <c r="AG43" s="559"/>
      <c r="AH43" s="559"/>
      <c r="AI43" s="559"/>
      <c r="AJ43" s="559"/>
      <c r="AK43" s="559"/>
      <c r="AL43" s="9"/>
      <c r="AN43" s="559"/>
      <c r="AO43" s="572"/>
      <c r="AP43" s="572"/>
      <c r="AQ43" s="559"/>
      <c r="AR43" s="559"/>
      <c r="AS43" s="559"/>
      <c r="AT43" s="559"/>
      <c r="AU43" s="559"/>
      <c r="AV43" s="564"/>
      <c r="AW43" s="564"/>
      <c r="AX43" s="559"/>
      <c r="AY43" s="559"/>
      <c r="AZ43" s="559"/>
      <c r="BA43" s="559"/>
      <c r="BB43" s="559"/>
      <c r="BC43" s="9"/>
    </row>
    <row r="44" spans="1:55" ht="15.75" x14ac:dyDescent="0.25">
      <c r="A44" s="27"/>
      <c r="B44" s="53"/>
      <c r="C44" s="22"/>
      <c r="D44" s="22"/>
      <c r="E44" s="79"/>
      <c r="F44" s="79"/>
      <c r="G44" s="22"/>
      <c r="J44" s="72"/>
      <c r="L44" s="559"/>
      <c r="M44" s="559"/>
      <c r="N44" s="559"/>
      <c r="O44" s="559"/>
      <c r="P44" s="559"/>
      <c r="Q44" s="559"/>
      <c r="R44" s="559"/>
      <c r="S44" s="559"/>
      <c r="T44" s="559"/>
      <c r="W44" s="559"/>
      <c r="X44" s="559"/>
      <c r="Y44" s="559"/>
      <c r="Z44" s="559"/>
      <c r="AA44" s="559"/>
      <c r="AB44" s="559"/>
      <c r="AC44" s="559"/>
      <c r="AD44" s="559"/>
      <c r="AE44" s="559"/>
      <c r="AF44" s="559"/>
      <c r="AG44" s="559"/>
      <c r="AH44" s="559"/>
      <c r="AI44" s="559"/>
      <c r="AJ44" s="559"/>
      <c r="AK44" s="559"/>
      <c r="AL44" s="9"/>
      <c r="AN44" s="572"/>
      <c r="AO44" s="572"/>
      <c r="AP44" s="559"/>
      <c r="AQ44" s="559"/>
      <c r="AR44" s="559"/>
      <c r="AS44" s="559"/>
      <c r="AT44" s="559"/>
      <c r="AU44" s="559"/>
      <c r="AV44" s="559"/>
      <c r="AW44" s="564"/>
      <c r="AX44" s="564"/>
      <c r="AY44" s="559"/>
      <c r="AZ44" s="559"/>
      <c r="BA44" s="559"/>
      <c r="BB44" s="559"/>
      <c r="BC44" s="9"/>
    </row>
    <row r="45" spans="1:55" ht="15.75" x14ac:dyDescent="0.25">
      <c r="A45" s="27"/>
      <c r="B45" s="55"/>
      <c r="C45" s="22"/>
      <c r="D45" s="22"/>
      <c r="E45" s="79"/>
      <c r="F45" s="79"/>
      <c r="G45" s="22"/>
      <c r="J45" s="72"/>
      <c r="L45" s="559"/>
      <c r="M45" s="559"/>
      <c r="N45" s="559"/>
      <c r="O45" s="559"/>
      <c r="P45" s="559"/>
      <c r="Q45" s="559"/>
      <c r="R45" s="559"/>
      <c r="S45" s="559"/>
      <c r="T45" s="559"/>
      <c r="W45" s="559"/>
      <c r="X45" s="559"/>
      <c r="Y45" s="602"/>
      <c r="Z45" s="559"/>
      <c r="AA45" s="559"/>
      <c r="AB45" s="559"/>
      <c r="AC45" s="559"/>
      <c r="AD45" s="559"/>
      <c r="AE45" s="559"/>
      <c r="AF45" s="559"/>
      <c r="AG45" s="559"/>
      <c r="AH45" s="559"/>
      <c r="AI45" s="559"/>
      <c r="AJ45" s="559"/>
      <c r="AK45" s="559"/>
      <c r="AN45" s="566"/>
      <c r="AO45" s="559"/>
      <c r="AP45" s="559"/>
      <c r="AQ45" s="559"/>
      <c r="AR45" s="559"/>
      <c r="AS45" s="559"/>
      <c r="AT45" s="559"/>
      <c r="AU45" s="559"/>
      <c r="AV45" s="559"/>
      <c r="AW45" s="559"/>
      <c r="AX45" s="564"/>
      <c r="AY45" s="559"/>
      <c r="AZ45" s="559"/>
      <c r="BA45" s="559"/>
      <c r="BB45" s="559"/>
      <c r="BC45" s="9"/>
    </row>
    <row r="46" spans="1:55" ht="15.75" x14ac:dyDescent="0.25">
      <c r="A46" s="27"/>
      <c r="B46" s="53"/>
      <c r="C46" s="22"/>
      <c r="D46" s="22"/>
      <c r="E46" s="79"/>
      <c r="F46" s="79"/>
      <c r="G46" s="22"/>
      <c r="J46" s="77"/>
      <c r="L46" s="559"/>
      <c r="M46" s="559"/>
      <c r="N46" s="559"/>
      <c r="O46" s="559"/>
      <c r="P46" s="559"/>
      <c r="Q46" s="559"/>
      <c r="R46" s="559"/>
      <c r="S46" s="559"/>
      <c r="T46" s="559"/>
      <c r="W46" s="559"/>
      <c r="X46" s="602"/>
      <c r="Y46" s="559"/>
      <c r="Z46" s="559"/>
      <c r="AA46" s="559"/>
      <c r="AB46" s="559"/>
      <c r="AC46" s="559"/>
      <c r="AD46" s="559"/>
      <c r="AE46" s="559"/>
      <c r="AF46" s="559"/>
      <c r="AG46" s="559"/>
      <c r="AH46" s="559"/>
      <c r="AI46" s="559"/>
      <c r="AJ46" s="559"/>
      <c r="AK46" s="559"/>
      <c r="AN46" s="559"/>
      <c r="AO46" s="559"/>
      <c r="AP46" s="559"/>
      <c r="AQ46" s="559"/>
      <c r="AR46" s="559"/>
      <c r="AS46" s="559"/>
      <c r="AT46" s="559"/>
      <c r="AU46" s="559"/>
      <c r="AV46" s="559"/>
      <c r="AW46" s="559"/>
      <c r="AX46" s="559"/>
      <c r="AY46" s="559"/>
      <c r="AZ46" s="559"/>
      <c r="BA46" s="559"/>
      <c r="BB46" s="559"/>
      <c r="BC46" s="9"/>
    </row>
    <row r="47" spans="1:55" ht="16.5" thickBot="1" x14ac:dyDescent="0.3">
      <c r="A47" s="27"/>
      <c r="B47" s="53"/>
      <c r="C47" s="22"/>
      <c r="D47" s="22"/>
      <c r="E47" s="22"/>
      <c r="F47" s="22"/>
      <c r="G47" s="22"/>
      <c r="J47" s="72"/>
      <c r="L47" s="582"/>
      <c r="M47" s="582"/>
      <c r="N47" s="582"/>
      <c r="O47" s="582"/>
      <c r="P47" s="582"/>
      <c r="Q47" s="582"/>
      <c r="R47" s="582"/>
      <c r="S47" s="582"/>
      <c r="T47" s="559"/>
      <c r="W47" s="80"/>
      <c r="AN47" s="559"/>
      <c r="AO47" s="559"/>
      <c r="AP47" s="559"/>
      <c r="AQ47" s="559"/>
      <c r="AR47" s="559"/>
      <c r="AS47" s="559"/>
      <c r="AT47" s="559"/>
      <c r="AU47" s="559"/>
      <c r="AV47" s="559"/>
      <c r="AW47" s="559"/>
      <c r="AX47" s="559"/>
      <c r="AY47" s="559"/>
      <c r="AZ47" s="559"/>
      <c r="BA47" s="559"/>
      <c r="BB47" s="559"/>
      <c r="BC47" s="9"/>
    </row>
    <row r="48" spans="1:55" x14ac:dyDescent="0.25">
      <c r="A48" s="27"/>
      <c r="B48" s="53"/>
      <c r="C48" s="81"/>
      <c r="D48" s="22"/>
      <c r="E48" s="22"/>
      <c r="F48" s="22"/>
      <c r="G48" s="22"/>
      <c r="J48" s="72"/>
      <c r="K48" s="50"/>
      <c r="L48" s="576"/>
      <c r="M48" s="576"/>
      <c r="N48" s="576"/>
      <c r="O48" s="576"/>
      <c r="P48" s="576"/>
      <c r="Q48" s="576"/>
      <c r="R48" s="576"/>
      <c r="S48" s="576"/>
      <c r="T48" s="576"/>
      <c r="U48" s="50"/>
      <c r="V48" s="50"/>
      <c r="AN48" s="559"/>
      <c r="AO48" s="559"/>
      <c r="AP48" s="559"/>
      <c r="AQ48" s="559"/>
      <c r="AR48" s="559"/>
      <c r="AS48" s="559"/>
      <c r="AT48" s="559"/>
      <c r="AU48" s="559"/>
      <c r="AV48" s="559"/>
      <c r="AW48" s="559"/>
      <c r="AX48" s="559"/>
      <c r="AY48" s="559"/>
      <c r="AZ48" s="559"/>
      <c r="BA48" s="559"/>
      <c r="BB48" s="559"/>
      <c r="BC48" s="9"/>
    </row>
    <row r="49" spans="1:55" ht="18.75" x14ac:dyDescent="0.25">
      <c r="A49" s="12"/>
      <c r="C49" s="82"/>
      <c r="D49" s="83"/>
      <c r="J49" s="77"/>
      <c r="AN49" s="559"/>
      <c r="AO49" s="559"/>
      <c r="AP49" s="559"/>
      <c r="AQ49" s="559"/>
      <c r="AR49" s="559"/>
      <c r="AS49" s="559"/>
      <c r="AT49" s="559"/>
      <c r="AU49" s="559"/>
      <c r="AV49" s="559"/>
      <c r="AW49" s="559"/>
      <c r="AX49" s="559"/>
      <c r="AY49" s="559"/>
      <c r="AZ49" s="559"/>
      <c r="BA49" s="559"/>
      <c r="BB49" s="559"/>
      <c r="BC49" s="9"/>
    </row>
    <row r="50" spans="1:55" ht="15.75" thickBot="1" x14ac:dyDescent="0.3">
      <c r="A50" s="12"/>
      <c r="J50" s="72"/>
      <c r="BC50" s="9"/>
    </row>
    <row r="51" spans="1:55" x14ac:dyDescent="0.25">
      <c r="A51" s="12"/>
      <c r="B51" s="50"/>
      <c r="C51" s="50"/>
      <c r="D51" s="50"/>
      <c r="E51" s="50"/>
      <c r="F51" s="50"/>
      <c r="G51" s="50"/>
      <c r="H51" s="50"/>
      <c r="I51" s="50"/>
      <c r="Y51" s="80"/>
      <c r="Z51" s="616"/>
      <c r="AA51" s="617"/>
      <c r="AB51" s="617"/>
      <c r="AC51" s="617"/>
      <c r="AD51" s="617"/>
      <c r="AE51" s="617"/>
      <c r="AF51" s="618"/>
      <c r="AG51" s="559"/>
      <c r="AH51" s="559"/>
      <c r="AI51" s="559"/>
      <c r="AJ51" s="559"/>
      <c r="AK51" s="559"/>
      <c r="AL51" s="559"/>
      <c r="BC51" s="9"/>
    </row>
    <row r="52" spans="1:55" x14ac:dyDescent="0.25">
      <c r="A52" s="12"/>
      <c r="X52" s="80"/>
      <c r="Z52" s="619"/>
      <c r="AA52" s="620"/>
      <c r="AB52" s="620"/>
      <c r="AC52" s="620"/>
      <c r="AD52" s="620"/>
      <c r="AE52" s="620"/>
      <c r="AF52" s="621"/>
      <c r="AG52" s="559"/>
      <c r="AH52" s="559"/>
      <c r="AI52" s="559"/>
      <c r="AJ52" s="559"/>
      <c r="AK52" s="559"/>
      <c r="AL52" s="559"/>
      <c r="BC52" s="9"/>
    </row>
    <row r="53" spans="1:55" ht="16.5" thickBot="1" x14ac:dyDescent="0.3">
      <c r="A53" s="12"/>
      <c r="W53" s="80"/>
      <c r="Z53" s="622"/>
      <c r="AA53" s="623"/>
      <c r="AB53" s="623"/>
      <c r="AC53" s="623"/>
      <c r="AD53" s="623"/>
      <c r="AE53" s="623"/>
      <c r="AF53" s="624"/>
      <c r="AG53" s="559"/>
      <c r="AH53" s="592"/>
      <c r="AI53" s="592"/>
      <c r="AJ53" s="592"/>
      <c r="AK53" s="592"/>
      <c r="AL53" s="559"/>
      <c r="BC53" s="9"/>
    </row>
    <row r="54" spans="1:55" x14ac:dyDescent="0.25"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</row>
  </sheetData>
  <mergeCells count="12">
    <mergeCell ref="W14:Y20"/>
    <mergeCell ref="AU17:AY17"/>
    <mergeCell ref="A1:BC1"/>
    <mergeCell ref="B3:F6"/>
    <mergeCell ref="AB3:AF6"/>
    <mergeCell ref="AL3:BB8"/>
    <mergeCell ref="E9:F9"/>
    <mergeCell ref="H30:I31"/>
    <mergeCell ref="AA30:AD30"/>
    <mergeCell ref="AN32:AR32"/>
    <mergeCell ref="AA37:AD37"/>
    <mergeCell ref="Z51:AF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2025-10-28T19:22:46Z</dcterms:modified>
</cp:coreProperties>
</file>