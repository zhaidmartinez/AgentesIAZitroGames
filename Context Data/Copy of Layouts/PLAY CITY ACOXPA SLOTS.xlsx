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9E2B94E2-8601-4CD3-AAD6-7F5A29C0987C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3" i="51" l="1"/>
  <c r="E493" i="51"/>
  <c r="N492" i="51"/>
  <c r="E492" i="51"/>
  <c r="N491" i="51"/>
  <c r="E491" i="51"/>
  <c r="N488" i="51"/>
  <c r="N489" i="51" s="1"/>
  <c r="E488" i="51"/>
  <c r="E489" i="51" s="1"/>
  <c r="N487" i="51"/>
  <c r="E487" i="51"/>
  <c r="N486" i="51"/>
  <c r="E486" i="51"/>
  <c r="N485" i="51"/>
  <c r="E485" i="51"/>
  <c r="N484" i="51"/>
  <c r="E484" i="51"/>
  <c r="N483" i="51"/>
  <c r="E483" i="51"/>
  <c r="N482" i="51"/>
  <c r="E482" i="51"/>
  <c r="N481" i="51"/>
  <c r="E481" i="51"/>
  <c r="N480" i="51"/>
  <c r="E480" i="51"/>
  <c r="N479" i="51"/>
  <c r="E479" i="51"/>
  <c r="N478" i="51"/>
  <c r="E478" i="51"/>
  <c r="N477" i="51"/>
  <c r="E477" i="51"/>
  <c r="N474" i="51"/>
  <c r="E474" i="51"/>
  <c r="N473" i="51"/>
  <c r="E473" i="51"/>
  <c r="N472" i="51"/>
  <c r="E472" i="51"/>
  <c r="N471" i="51"/>
  <c r="E471" i="51"/>
  <c r="N468" i="51"/>
  <c r="E468" i="51"/>
  <c r="N467" i="51"/>
  <c r="E467" i="51"/>
  <c r="N466" i="51"/>
  <c r="E466" i="51"/>
  <c r="N465" i="51"/>
  <c r="E465" i="51"/>
  <c r="N464" i="51"/>
  <c r="E464" i="51"/>
  <c r="N463" i="51"/>
  <c r="E463" i="51"/>
  <c r="E469" i="51" s="1"/>
  <c r="N460" i="51"/>
  <c r="E460" i="5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N453" i="51"/>
  <c r="E453" i="51"/>
  <c r="N452" i="51"/>
  <c r="E452" i="5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40" i="51"/>
  <c r="E440" i="51"/>
  <c r="N439" i="51"/>
  <c r="E439" i="51"/>
  <c r="N438" i="51"/>
  <c r="E438" i="51"/>
  <c r="N437" i="51"/>
  <c r="E437" i="51"/>
  <c r="N436" i="51"/>
  <c r="E436" i="51"/>
  <c r="N435" i="51"/>
  <c r="E435" i="51"/>
  <c r="N434" i="51"/>
  <c r="N461" i="51" s="1"/>
  <c r="E434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E321" i="51"/>
  <c r="M307" i="51"/>
  <c r="D307" i="51"/>
  <c r="M306" i="51"/>
  <c r="D306" i="51"/>
  <c r="P306" i="51" s="1"/>
  <c r="Q306" i="51" s="1"/>
  <c r="M305" i="51"/>
  <c r="D305" i="51"/>
  <c r="M304" i="51"/>
  <c r="D304" i="51"/>
  <c r="M303" i="51"/>
  <c r="D303" i="51"/>
  <c r="M302" i="51"/>
  <c r="D302" i="51"/>
  <c r="P302" i="51" s="1"/>
  <c r="Q302" i="51" s="1"/>
  <c r="M301" i="51"/>
  <c r="D301" i="51"/>
  <c r="M300" i="51"/>
  <c r="D300" i="51"/>
  <c r="M299" i="51"/>
  <c r="D299" i="51"/>
  <c r="M298" i="51"/>
  <c r="D298" i="51"/>
  <c r="P298" i="51" s="1"/>
  <c r="Q298" i="51" s="1"/>
  <c r="M297" i="51"/>
  <c r="D297" i="51"/>
  <c r="M296" i="51"/>
  <c r="D296" i="51"/>
  <c r="M295" i="51"/>
  <c r="D295" i="51"/>
  <c r="M294" i="51"/>
  <c r="D294" i="51"/>
  <c r="P294" i="51" s="1"/>
  <c r="Q294" i="51" s="1"/>
  <c r="M293" i="51"/>
  <c r="D293" i="51"/>
  <c r="M292" i="51"/>
  <c r="D292" i="51"/>
  <c r="M291" i="51"/>
  <c r="D291" i="51"/>
  <c r="M290" i="51"/>
  <c r="D290" i="51"/>
  <c r="P290" i="51" s="1"/>
  <c r="Q290" i="51" s="1"/>
  <c r="M289" i="51"/>
  <c r="D289" i="51"/>
  <c r="M288" i="51"/>
  <c r="D288" i="51"/>
  <c r="M287" i="51"/>
  <c r="D287" i="51"/>
  <c r="M286" i="51"/>
  <c r="D286" i="51"/>
  <c r="P286" i="51" s="1"/>
  <c r="Q286" i="51" s="1"/>
  <c r="M285" i="51"/>
  <c r="D285" i="51"/>
  <c r="M284" i="51"/>
  <c r="D284" i="51"/>
  <c r="M283" i="51"/>
  <c r="D283" i="51"/>
  <c r="M282" i="51"/>
  <c r="D282" i="51"/>
  <c r="P282" i="51" s="1"/>
  <c r="Q282" i="51" s="1"/>
  <c r="M281" i="51"/>
  <c r="D281" i="51"/>
  <c r="M280" i="51"/>
  <c r="D280" i="51"/>
  <c r="M279" i="51"/>
  <c r="D279" i="51"/>
  <c r="M278" i="51"/>
  <c r="D278" i="51"/>
  <c r="P278" i="51" s="1"/>
  <c r="Q278" i="51" s="1"/>
  <c r="M277" i="51"/>
  <c r="D277" i="51"/>
  <c r="M276" i="51"/>
  <c r="D276" i="51"/>
  <c r="M275" i="51"/>
  <c r="D275" i="51"/>
  <c r="M274" i="51"/>
  <c r="D274" i="51"/>
  <c r="P274" i="51" s="1"/>
  <c r="Q274" i="51" s="1"/>
  <c r="M273" i="51"/>
  <c r="D273" i="51"/>
  <c r="M272" i="51"/>
  <c r="D272" i="51"/>
  <c r="M271" i="51"/>
  <c r="D271" i="51"/>
  <c r="M270" i="51"/>
  <c r="D270" i="51"/>
  <c r="P270" i="51" s="1"/>
  <c r="Q270" i="51" s="1"/>
  <c r="M269" i="51"/>
  <c r="D269" i="51"/>
  <c r="M268" i="51"/>
  <c r="D268" i="51"/>
  <c r="M267" i="51"/>
  <c r="D267" i="51"/>
  <c r="M266" i="51"/>
  <c r="D266" i="51"/>
  <c r="P266" i="51" s="1"/>
  <c r="Q266" i="51" s="1"/>
  <c r="M265" i="51"/>
  <c r="D265" i="51"/>
  <c r="M264" i="51"/>
  <c r="D264" i="51"/>
  <c r="M263" i="51"/>
  <c r="D263" i="51"/>
  <c r="M262" i="51"/>
  <c r="D262" i="51"/>
  <c r="M261" i="51"/>
  <c r="D261" i="51"/>
  <c r="M260" i="51"/>
  <c r="D260" i="51"/>
  <c r="M259" i="51"/>
  <c r="D259" i="51"/>
  <c r="M258" i="51"/>
  <c r="D258" i="51"/>
  <c r="P258" i="51" s="1"/>
  <c r="Q258" i="51" s="1"/>
  <c r="M257" i="51"/>
  <c r="D257" i="51"/>
  <c r="M256" i="51"/>
  <c r="D256" i="51"/>
  <c r="M255" i="51"/>
  <c r="D255" i="51"/>
  <c r="M254" i="51"/>
  <c r="D254" i="51"/>
  <c r="P254" i="51" s="1"/>
  <c r="Q254" i="51" s="1"/>
  <c r="M253" i="51"/>
  <c r="D253" i="51"/>
  <c r="M252" i="51"/>
  <c r="D252" i="51"/>
  <c r="M251" i="51"/>
  <c r="D251" i="51"/>
  <c r="M250" i="51"/>
  <c r="D250" i="51"/>
  <c r="P250" i="51" s="1"/>
  <c r="Q250" i="51" s="1"/>
  <c r="P249" i="51"/>
  <c r="M249" i="51"/>
  <c r="D249" i="51"/>
  <c r="M248" i="51"/>
  <c r="P248" i="51" s="1"/>
  <c r="Q248" i="51" s="1"/>
  <c r="D248" i="51"/>
  <c r="M247" i="51"/>
  <c r="D247" i="51"/>
  <c r="P247" i="51" s="1"/>
  <c r="Q247" i="51" s="1"/>
  <c r="M246" i="51"/>
  <c r="D246" i="51"/>
  <c r="P246" i="51" s="1"/>
  <c r="Q246" i="51" s="1"/>
  <c r="M245" i="51"/>
  <c r="D245" i="51"/>
  <c r="P245" i="51" s="1"/>
  <c r="Q245" i="51" s="1"/>
  <c r="P244" i="51"/>
  <c r="Q244" i="51" s="1"/>
  <c r="M244" i="51"/>
  <c r="D244" i="51"/>
  <c r="P243" i="51"/>
  <c r="Q243" i="51" s="1"/>
  <c r="M243" i="51"/>
  <c r="D243" i="51"/>
  <c r="M242" i="51"/>
  <c r="D242" i="51"/>
  <c r="P242" i="51" s="1"/>
  <c r="Q242" i="51" s="1"/>
  <c r="P241" i="51"/>
  <c r="Q241" i="51" s="1"/>
  <c r="M241" i="51"/>
  <c r="D241" i="51"/>
  <c r="M240" i="51"/>
  <c r="P240" i="51" s="1"/>
  <c r="Q240" i="51" s="1"/>
  <c r="D240" i="51"/>
  <c r="M239" i="51"/>
  <c r="D239" i="51"/>
  <c r="P239" i="51" s="1"/>
  <c r="Q239" i="51" s="1"/>
  <c r="M238" i="51"/>
  <c r="D238" i="51"/>
  <c r="P238" i="51" s="1"/>
  <c r="Q238" i="51" s="1"/>
  <c r="M237" i="51"/>
  <c r="D237" i="51"/>
  <c r="E235" i="51" s="1"/>
  <c r="P236" i="51"/>
  <c r="Q236" i="51" s="1"/>
  <c r="M236" i="51"/>
  <c r="N235" i="51" s="1"/>
  <c r="D236" i="51"/>
  <c r="M234" i="51"/>
  <c r="D234" i="51"/>
  <c r="M233" i="51"/>
  <c r="D233" i="51"/>
  <c r="P233" i="51" s="1"/>
  <c r="Q233" i="51" s="1"/>
  <c r="M232" i="51"/>
  <c r="D232" i="51"/>
  <c r="M231" i="51"/>
  <c r="D231" i="51"/>
  <c r="M230" i="51"/>
  <c r="D230" i="51"/>
  <c r="M229" i="51"/>
  <c r="D229" i="51"/>
  <c r="P229" i="51" s="1"/>
  <c r="Q229" i="51" s="1"/>
  <c r="M228" i="51"/>
  <c r="D228" i="51"/>
  <c r="M227" i="51"/>
  <c r="D227" i="51"/>
  <c r="M226" i="51"/>
  <c r="D226" i="51"/>
  <c r="M225" i="51"/>
  <c r="D225" i="51"/>
  <c r="P225" i="51" s="1"/>
  <c r="Q225" i="51" s="1"/>
  <c r="M224" i="51"/>
  <c r="D224" i="51"/>
  <c r="M223" i="51"/>
  <c r="D223" i="51"/>
  <c r="M222" i="51"/>
  <c r="D222" i="51"/>
  <c r="M221" i="51"/>
  <c r="D221" i="51"/>
  <c r="P221" i="51" s="1"/>
  <c r="Q221" i="51" s="1"/>
  <c r="M220" i="51"/>
  <c r="D220" i="51"/>
  <c r="M219" i="51"/>
  <c r="D219" i="51"/>
  <c r="M218" i="51"/>
  <c r="D218" i="51"/>
  <c r="M217" i="51"/>
  <c r="D217" i="51"/>
  <c r="P217" i="51" s="1"/>
  <c r="Q217" i="51" s="1"/>
  <c r="M216" i="51"/>
  <c r="D216" i="51"/>
  <c r="M215" i="51"/>
  <c r="D215" i="51"/>
  <c r="M214" i="51"/>
  <c r="D214" i="51"/>
  <c r="M213" i="51"/>
  <c r="D213" i="51"/>
  <c r="P213" i="51" s="1"/>
  <c r="Q213" i="51" s="1"/>
  <c r="M212" i="51"/>
  <c r="D212" i="51"/>
  <c r="M211" i="51"/>
  <c r="D211" i="51"/>
  <c r="P189" i="51"/>
  <c r="G189" i="51"/>
  <c r="Q189" i="51" s="1"/>
  <c r="P188" i="51"/>
  <c r="Q188" i="51" s="1"/>
  <c r="G188" i="51"/>
  <c r="P187" i="51"/>
  <c r="G187" i="51"/>
  <c r="P186" i="51"/>
  <c r="G186" i="51"/>
  <c r="P185" i="51"/>
  <c r="G185" i="51"/>
  <c r="Q185" i="51" s="1"/>
  <c r="P184" i="51"/>
  <c r="G184" i="51"/>
  <c r="P183" i="51"/>
  <c r="G183" i="51"/>
  <c r="Q183" i="51" s="1"/>
  <c r="P182" i="51"/>
  <c r="G182" i="51"/>
  <c r="Q182" i="51" s="1"/>
  <c r="Q181" i="51"/>
  <c r="P181" i="51"/>
  <c r="G181" i="51"/>
  <c r="P180" i="51"/>
  <c r="Q180" i="51" s="1"/>
  <c r="G180" i="51"/>
  <c r="P179" i="51"/>
  <c r="G179" i="51"/>
  <c r="P178" i="51"/>
  <c r="G178" i="51"/>
  <c r="Q178" i="51" s="1"/>
  <c r="P177" i="51"/>
  <c r="G177" i="51"/>
  <c r="Q177" i="51" s="1"/>
  <c r="P176" i="51"/>
  <c r="G176" i="51"/>
  <c r="P175" i="51"/>
  <c r="G175" i="51"/>
  <c r="Q175" i="51" s="1"/>
  <c r="P174" i="51"/>
  <c r="G174" i="51"/>
  <c r="P173" i="51"/>
  <c r="G173" i="51"/>
  <c r="Q173" i="51" s="1"/>
  <c r="P172" i="51"/>
  <c r="Q172" i="51" s="1"/>
  <c r="G172" i="51"/>
  <c r="P171" i="51"/>
  <c r="G171" i="51"/>
  <c r="Q171" i="51" s="1"/>
  <c r="P170" i="51"/>
  <c r="G170" i="51"/>
  <c r="Q169" i="51"/>
  <c r="P169" i="51"/>
  <c r="G169" i="51"/>
  <c r="P168" i="51"/>
  <c r="G168" i="51"/>
  <c r="P167" i="51"/>
  <c r="G167" i="51"/>
  <c r="P166" i="51"/>
  <c r="G166" i="51"/>
  <c r="Q166" i="51" s="1"/>
  <c r="P165" i="51"/>
  <c r="Q165" i="51" s="1"/>
  <c r="G165" i="51"/>
  <c r="P164" i="51"/>
  <c r="G164" i="51"/>
  <c r="P163" i="51"/>
  <c r="G163" i="51"/>
  <c r="P162" i="51"/>
  <c r="G162" i="51"/>
  <c r="P161" i="51"/>
  <c r="G161" i="51"/>
  <c r="Q161" i="51" s="1"/>
  <c r="P160" i="51"/>
  <c r="Q160" i="51" s="1"/>
  <c r="G160" i="51"/>
  <c r="P159" i="51"/>
  <c r="G159" i="51"/>
  <c r="Q159" i="51" s="1"/>
  <c r="P158" i="51"/>
  <c r="G158" i="51"/>
  <c r="Q158" i="51" s="1"/>
  <c r="P157" i="51"/>
  <c r="G157" i="51"/>
  <c r="Q157" i="51" s="1"/>
  <c r="P156" i="51"/>
  <c r="Q156" i="51" s="1"/>
  <c r="G156" i="51"/>
  <c r="P155" i="51"/>
  <c r="G155" i="51"/>
  <c r="P154" i="51"/>
  <c r="G154" i="51"/>
  <c r="P153" i="51"/>
  <c r="G153" i="51"/>
  <c r="Q153" i="51" s="1"/>
  <c r="P152" i="51"/>
  <c r="G152" i="51"/>
  <c r="P151" i="51"/>
  <c r="G151" i="51"/>
  <c r="Q151" i="51" s="1"/>
  <c r="P149" i="51"/>
  <c r="G149" i="51"/>
  <c r="Q149" i="51" s="1"/>
  <c r="Q148" i="51"/>
  <c r="P148" i="51"/>
  <c r="G148" i="51"/>
  <c r="P147" i="51"/>
  <c r="Q147" i="51" s="1"/>
  <c r="G147" i="51"/>
  <c r="P146" i="51"/>
  <c r="G146" i="51"/>
  <c r="P145" i="51"/>
  <c r="G145" i="51"/>
  <c r="Q145" i="51" s="1"/>
  <c r="P143" i="51"/>
  <c r="G143" i="51"/>
  <c r="Q143" i="51" s="1"/>
  <c r="P142" i="51"/>
  <c r="G142" i="51"/>
  <c r="P141" i="51"/>
  <c r="G141" i="51"/>
  <c r="Q141" i="51" s="1"/>
  <c r="P140" i="51"/>
  <c r="G140" i="51"/>
  <c r="P139" i="51"/>
  <c r="G139" i="51"/>
  <c r="Q139" i="51" s="1"/>
  <c r="P138" i="51"/>
  <c r="Q138" i="51" s="1"/>
  <c r="G138" i="51"/>
  <c r="P137" i="51"/>
  <c r="G137" i="51"/>
  <c r="Q137" i="51" s="1"/>
  <c r="P136" i="51"/>
  <c r="G136" i="51"/>
  <c r="Q135" i="51"/>
  <c r="P135" i="51"/>
  <c r="G135" i="51"/>
  <c r="P134" i="51"/>
  <c r="G134" i="51"/>
  <c r="P132" i="51"/>
  <c r="G132" i="51"/>
  <c r="P131" i="51"/>
  <c r="G131" i="51"/>
  <c r="Q131" i="51" s="1"/>
  <c r="P129" i="51"/>
  <c r="Q129" i="51" s="1"/>
  <c r="G129" i="51"/>
  <c r="P128" i="51"/>
  <c r="G128" i="51"/>
  <c r="P127" i="51"/>
  <c r="G127" i="51"/>
  <c r="P126" i="51"/>
  <c r="G126" i="51"/>
  <c r="Q125" i="51"/>
  <c r="P125" i="51"/>
  <c r="G125" i="51"/>
  <c r="P124" i="51"/>
  <c r="Q124" i="51" s="1"/>
  <c r="G124" i="51"/>
  <c r="P123" i="51"/>
  <c r="G123" i="51"/>
  <c r="Q123" i="51" s="1"/>
  <c r="P122" i="51"/>
  <c r="G122" i="51"/>
  <c r="Q122" i="51" s="1"/>
  <c r="P121" i="51"/>
  <c r="G121" i="51"/>
  <c r="Q121" i="51" s="1"/>
  <c r="P120" i="51"/>
  <c r="Q120" i="51" s="1"/>
  <c r="G120" i="51"/>
  <c r="P119" i="51"/>
  <c r="G119" i="51"/>
  <c r="P118" i="51"/>
  <c r="G118" i="51"/>
  <c r="P117" i="51"/>
  <c r="G117" i="51"/>
  <c r="Q117" i="51" s="1"/>
  <c r="P116" i="51"/>
  <c r="G116" i="51"/>
  <c r="Q116" i="51" s="1"/>
  <c r="P115" i="51"/>
  <c r="G115" i="51"/>
  <c r="Q115" i="51" s="1"/>
  <c r="P113" i="51"/>
  <c r="G113" i="51"/>
  <c r="Q113" i="51" s="1"/>
  <c r="Q112" i="51"/>
  <c r="P112" i="51"/>
  <c r="G112" i="51"/>
  <c r="P111" i="51"/>
  <c r="Q111" i="51" s="1"/>
  <c r="G111" i="51"/>
  <c r="P110" i="51"/>
  <c r="G110" i="51"/>
  <c r="P108" i="51"/>
  <c r="G108" i="51"/>
  <c r="Q108" i="51" s="1"/>
  <c r="P107" i="51"/>
  <c r="G107" i="51"/>
  <c r="Q107" i="51" s="1"/>
  <c r="P106" i="51"/>
  <c r="G106" i="51"/>
  <c r="Q106" i="51" s="1"/>
  <c r="P104" i="51"/>
  <c r="G104" i="51"/>
  <c r="Q104" i="51" s="1"/>
  <c r="P103" i="51"/>
  <c r="G103" i="51"/>
  <c r="P102" i="51"/>
  <c r="G102" i="51"/>
  <c r="P101" i="51"/>
  <c r="Q101" i="51" s="1"/>
  <c r="G101" i="51"/>
  <c r="AA98" i="51"/>
  <c r="U98" i="51"/>
  <c r="AA97" i="51"/>
  <c r="U97" i="51"/>
  <c r="AA96" i="51"/>
  <c r="U96" i="51"/>
  <c r="AA95" i="51"/>
  <c r="U95" i="51"/>
  <c r="AA94" i="51"/>
  <c r="U94" i="51"/>
  <c r="AA93" i="51"/>
  <c r="U93" i="51"/>
  <c r="AA92" i="51"/>
  <c r="U92" i="51"/>
  <c r="Q103" i="51" l="1"/>
  <c r="Q132" i="51"/>
  <c r="Q140" i="51"/>
  <c r="Q167" i="51"/>
  <c r="Q174" i="51"/>
  <c r="F205" i="51"/>
  <c r="E475" i="51"/>
  <c r="Q128" i="51"/>
  <c r="Q164" i="51"/>
  <c r="N475" i="51"/>
  <c r="Q110" i="51"/>
  <c r="Q118" i="51"/>
  <c r="Q134" i="51"/>
  <c r="Q146" i="51"/>
  <c r="Q154" i="51"/>
  <c r="Q168" i="51"/>
  <c r="Q179" i="51"/>
  <c r="Q186" i="51"/>
  <c r="P214" i="51"/>
  <c r="Q214" i="51" s="1"/>
  <c r="P218" i="51"/>
  <c r="Q218" i="51" s="1"/>
  <c r="P222" i="51"/>
  <c r="Q222" i="51" s="1"/>
  <c r="P226" i="51"/>
  <c r="Q226" i="51" s="1"/>
  <c r="P230" i="51"/>
  <c r="Q230" i="51" s="1"/>
  <c r="P234" i="51"/>
  <c r="Q234" i="51" s="1"/>
  <c r="P251" i="51"/>
  <c r="Q251" i="51" s="1"/>
  <c r="P255" i="51"/>
  <c r="Q255" i="51" s="1"/>
  <c r="P259" i="51"/>
  <c r="Q259" i="51" s="1"/>
  <c r="P263" i="51"/>
  <c r="Q263" i="51" s="1"/>
  <c r="P267" i="51"/>
  <c r="Q267" i="51" s="1"/>
  <c r="P271" i="51"/>
  <c r="Q271" i="51" s="1"/>
  <c r="P275" i="51"/>
  <c r="Q275" i="51" s="1"/>
  <c r="P279" i="51"/>
  <c r="Q279" i="51" s="1"/>
  <c r="P283" i="51"/>
  <c r="Q283" i="51" s="1"/>
  <c r="P287" i="51"/>
  <c r="Q287" i="51" s="1"/>
  <c r="P291" i="51"/>
  <c r="Q291" i="51" s="1"/>
  <c r="P295" i="51"/>
  <c r="Q295" i="51" s="1"/>
  <c r="P299" i="51"/>
  <c r="Q299" i="51" s="1"/>
  <c r="P303" i="51"/>
  <c r="Q303" i="51" s="1"/>
  <c r="P307" i="51"/>
  <c r="Q307" i="51" s="1"/>
  <c r="O205" i="51"/>
  <c r="P237" i="51"/>
  <c r="Q237" i="51" s="1"/>
  <c r="G190" i="51"/>
  <c r="F96" i="51" s="1"/>
  <c r="Q119" i="51"/>
  <c r="Q126" i="51"/>
  <c r="Q142" i="51"/>
  <c r="Q155" i="51"/>
  <c r="Q162" i="51"/>
  <c r="Q176" i="51"/>
  <c r="Q187" i="51"/>
  <c r="E210" i="51"/>
  <c r="P215" i="51"/>
  <c r="Q215" i="51" s="1"/>
  <c r="P219" i="51"/>
  <c r="Q219" i="51" s="1"/>
  <c r="P223" i="51"/>
  <c r="Q223" i="51" s="1"/>
  <c r="P227" i="51"/>
  <c r="Q227" i="51" s="1"/>
  <c r="P231" i="51"/>
  <c r="Q231" i="51" s="1"/>
  <c r="P252" i="51"/>
  <c r="Q252" i="51" s="1"/>
  <c r="P256" i="51"/>
  <c r="Q256" i="51" s="1"/>
  <c r="P260" i="51"/>
  <c r="Q260" i="51" s="1"/>
  <c r="P264" i="51"/>
  <c r="Q264" i="51" s="1"/>
  <c r="P268" i="51"/>
  <c r="Q268" i="51" s="1"/>
  <c r="P272" i="51"/>
  <c r="Q272" i="51" s="1"/>
  <c r="P276" i="51"/>
  <c r="Q276" i="51" s="1"/>
  <c r="P280" i="51"/>
  <c r="Q280" i="51" s="1"/>
  <c r="P284" i="51"/>
  <c r="Q284" i="51" s="1"/>
  <c r="P288" i="51"/>
  <c r="Q288" i="51" s="1"/>
  <c r="P292" i="51"/>
  <c r="Q292" i="51" s="1"/>
  <c r="P296" i="51"/>
  <c r="Q296" i="51" s="1"/>
  <c r="P300" i="51"/>
  <c r="Q300" i="51" s="1"/>
  <c r="P304" i="51"/>
  <c r="Q304" i="51" s="1"/>
  <c r="E349" i="51"/>
  <c r="E432" i="51"/>
  <c r="N210" i="51"/>
  <c r="N349" i="51"/>
  <c r="O318" i="51" s="1"/>
  <c r="N432" i="51"/>
  <c r="N469" i="51"/>
  <c r="Q102" i="51"/>
  <c r="Q190" i="51" s="1"/>
  <c r="Q127" i="51"/>
  <c r="Q136" i="51"/>
  <c r="Q152" i="51"/>
  <c r="Q163" i="51"/>
  <c r="Q170" i="51"/>
  <c r="Q184" i="51"/>
  <c r="P212" i="51"/>
  <c r="Q212" i="51" s="1"/>
  <c r="P216" i="51"/>
  <c r="Q216" i="51" s="1"/>
  <c r="P220" i="51"/>
  <c r="Q220" i="51" s="1"/>
  <c r="P224" i="51"/>
  <c r="Q224" i="51" s="1"/>
  <c r="P228" i="51"/>
  <c r="Q228" i="51" s="1"/>
  <c r="P232" i="51"/>
  <c r="Q232" i="51" s="1"/>
  <c r="P253" i="51"/>
  <c r="Q253" i="51" s="1"/>
  <c r="P257" i="51"/>
  <c r="Q257" i="51" s="1"/>
  <c r="P261" i="51"/>
  <c r="P265" i="51"/>
  <c r="Q265" i="51" s="1"/>
  <c r="P269" i="51"/>
  <c r="Q269" i="51" s="1"/>
  <c r="P273" i="51"/>
  <c r="Q273" i="51" s="1"/>
  <c r="P277" i="51"/>
  <c r="Q277" i="51" s="1"/>
  <c r="P281" i="51"/>
  <c r="Q281" i="51" s="1"/>
  <c r="P285" i="51"/>
  <c r="Q285" i="51" s="1"/>
  <c r="P289" i="51"/>
  <c r="Q289" i="51" s="1"/>
  <c r="P293" i="51"/>
  <c r="Q293" i="51" s="1"/>
  <c r="P297" i="51"/>
  <c r="Q297" i="51" s="1"/>
  <c r="P301" i="51"/>
  <c r="Q301" i="51" s="1"/>
  <c r="P305" i="51"/>
  <c r="Q305" i="51" s="1"/>
  <c r="E461" i="51"/>
  <c r="F318" i="51"/>
  <c r="F203" i="51"/>
  <c r="F201" i="51" s="1"/>
  <c r="P211" i="51"/>
  <c r="Q211" i="51" s="1"/>
  <c r="P262" i="51"/>
  <c r="Q262" i="51" s="1"/>
  <c r="O203" i="51"/>
  <c r="P190" i="51"/>
  <c r="O96" i="51" s="1"/>
  <c r="E316" i="51" l="1"/>
  <c r="O201" i="51"/>
  <c r="J88" i="51" s="1"/>
  <c r="J94" i="51"/>
</calcChain>
</file>

<file path=xl/sharedStrings.xml><?xml version="1.0" encoding="utf-8"?>
<sst xmlns="http://schemas.openxmlformats.org/spreadsheetml/2006/main" count="2938" uniqueCount="771">
  <si>
    <t>PICK&amp;WIN3</t>
  </si>
  <si>
    <t>PICK AND WIN 3</t>
  </si>
  <si>
    <t>BRYKE</t>
  </si>
  <si>
    <t>SLEIC</t>
  </si>
  <si>
    <t>88 LINK LUCKY CHARMS</t>
  </si>
  <si>
    <t>88LKLCH</t>
  </si>
  <si>
    <t>88 LINK MULTIPLIER</t>
  </si>
  <si>
    <t>88LKMULTI</t>
  </si>
  <si>
    <t>88 LINK WILD DUELS</t>
  </si>
  <si>
    <t>88LKWDLS</t>
  </si>
  <si>
    <t>BASHIBA</t>
  </si>
  <si>
    <t>BSHIBA</t>
  </si>
  <si>
    <t>BASHIBA ALLURE</t>
  </si>
  <si>
    <t>BSHIBAAALL</t>
  </si>
  <si>
    <t>BASHIBA EGYPTIAN</t>
  </si>
  <si>
    <t>BSHIBAEGYP</t>
  </si>
  <si>
    <t>88 LINK SHOCK</t>
  </si>
  <si>
    <t>88LKSHK</t>
  </si>
  <si>
    <t>88 MULTI SHOCK</t>
  </si>
  <si>
    <t>88MULTISHK</t>
  </si>
  <si>
    <t>LINK ME SHOCK</t>
  </si>
  <si>
    <t>LKMSHK</t>
  </si>
  <si>
    <t>LINK SHOCK</t>
  </si>
  <si>
    <t>LSHK</t>
  </si>
  <si>
    <t>LINK SHOCK II</t>
  </si>
  <si>
    <t>LSHKII</t>
  </si>
  <si>
    <t>5 TO WIN</t>
  </si>
  <si>
    <t>5WIN</t>
  </si>
  <si>
    <t>88 MULTI</t>
  </si>
  <si>
    <t>88MULTI</t>
  </si>
  <si>
    <t>BLAZING PEARLS</t>
  </si>
  <si>
    <t>BLZPRLS</t>
  </si>
  <si>
    <t>BLAZING PEARLS II</t>
  </si>
  <si>
    <t>BLZPRLSII</t>
  </si>
  <si>
    <t>DOUBLE LINK</t>
  </si>
  <si>
    <t>DBLK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</si>
  <si>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</si>
  <si>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</si>
  <si>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</si>
  <si>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</si>
  <si>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</si>
  <si>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</si>
  <si>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</si>
  <si>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</si>
  <si>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HOT DEAL</t>
  </si>
  <si>
    <t>HDEAL</t>
  </si>
  <si>
    <t>HOT DEAL II</t>
  </si>
  <si>
    <t>HDEALII</t>
  </si>
  <si>
    <t>LIKE IT</t>
  </si>
  <si>
    <t>LKIT</t>
  </si>
  <si>
    <t>LINK KING</t>
  </si>
  <si>
    <t>KING</t>
  </si>
  <si>
    <t>LINK KING II</t>
  </si>
  <si>
    <t>KINGII</t>
  </si>
  <si>
    <t>LINK ME</t>
  </si>
  <si>
    <t>LKM</t>
  </si>
  <si>
    <t>LINK ME II</t>
  </si>
  <si>
    <t>LKMII</t>
  </si>
  <si>
    <t>LINK UP</t>
  </si>
  <si>
    <t>LKUP</t>
  </si>
  <si>
    <t>PICK AND WIN 1</t>
  </si>
  <si>
    <t>PICK&amp;WIN1</t>
  </si>
  <si>
    <t>PICK AND WIN 2</t>
  </si>
  <si>
    <t>PICK&amp;WIN2</t>
  </si>
  <si>
    <t>PICK AND WIN 24</t>
  </si>
  <si>
    <t>P&amp;W24</t>
  </si>
  <si>
    <t>24HDEAL</t>
  </si>
  <si>
    <t>24HIT</t>
  </si>
  <si>
    <t>PICK AND WIN SE</t>
  </si>
  <si>
    <t>PICK&amp;WINSE</t>
  </si>
  <si>
    <t>SMART SPINS</t>
  </si>
  <si>
    <t>SSPINS</t>
  </si>
  <si>
    <t>SMART SPINS II</t>
  </si>
  <si>
    <t>SSPINSII</t>
  </si>
  <si>
    <t>SPIN HIT</t>
  </si>
  <si>
    <t>HIT</t>
  </si>
  <si>
    <t>F10HL</t>
  </si>
  <si>
    <t>LONG WANG DRAGON</t>
  </si>
  <si>
    <t>F10LWDR</t>
  </si>
  <si>
    <t>BLAST DYNASTY</t>
  </si>
  <si>
    <t>BLSTD</t>
  </si>
  <si>
    <t>MEI SHI MEI KE</t>
  </si>
  <si>
    <t>MEISHK</t>
  </si>
  <si>
    <t>WHEEL OF LEGENDS</t>
  </si>
  <si>
    <t>WLEG</t>
  </si>
  <si>
    <t>DOUBLE LINK MULTIPLIER WARRIORS</t>
  </si>
  <si>
    <t>DBLKMW</t>
  </si>
  <si>
    <t>88 LINK MS</t>
  </si>
  <si>
    <t>88LKMS</t>
  </si>
  <si>
    <t>BASHIBA LUXOR MS</t>
  </si>
  <si>
    <t>BSHIBALUXMS</t>
  </si>
  <si>
    <t>LINK KING 2 MS</t>
  </si>
  <si>
    <t>KING2MS</t>
  </si>
  <si>
    <t>LINK KING 3 MS</t>
  </si>
  <si>
    <t>KING3MS</t>
  </si>
  <si>
    <t>LINK KING 4 MS</t>
  </si>
  <si>
    <t>KING4MS</t>
  </si>
  <si>
    <t>LINK ME 2 MS</t>
  </si>
  <si>
    <t>LKM2MS</t>
  </si>
  <si>
    <t>PICK AND WIN 24 / HOT DEAL</t>
  </si>
  <si>
    <t>PICK AND WIN 24 / SPIN HIT</t>
  </si>
  <si>
    <t>DOUBLE LINK MULTIPLIER WARRIOS MS</t>
  </si>
  <si>
    <t>DLMWMS</t>
  </si>
  <si>
    <t>MEGA KING</t>
  </si>
  <si>
    <t>MKING</t>
  </si>
  <si>
    <t>MAGIC ROOTS</t>
  </si>
  <si>
    <t>MROOTS</t>
  </si>
  <si>
    <t>LIGHT TEMPLE</t>
  </si>
  <si>
    <t>LTMPL</t>
  </si>
  <si>
    <t>ROYAL TWIST</t>
  </si>
  <si>
    <t>RTWIST</t>
  </si>
  <si>
    <t>MIGHTY HAMMER</t>
  </si>
  <si>
    <t>MHAM</t>
  </si>
  <si>
    <t>FUSHOU</t>
  </si>
  <si>
    <t>CHSTS</t>
  </si>
  <si>
    <t>COLOSSUS FIRE</t>
  </si>
  <si>
    <t>COLFIRE</t>
  </si>
  <si>
    <t>LINK KING BOOST</t>
  </si>
  <si>
    <t>KINGB</t>
  </si>
  <si>
    <t>LINK ME BOOST</t>
  </si>
  <si>
    <t>LKMB</t>
  </si>
  <si>
    <t>EPIC KINGDOM</t>
  </si>
  <si>
    <t>EPKNG</t>
  </si>
  <si>
    <t>MAGIC ROOTS v2</t>
  </si>
  <si>
    <t>MROOTSv2</t>
  </si>
  <si>
    <t>BISMUS</t>
  </si>
  <si>
    <t>LKWLD</t>
  </si>
  <si>
    <t>F10MG</t>
  </si>
  <si>
    <t>FRWLK</t>
  </si>
  <si>
    <t>FRWLKWM</t>
  </si>
  <si>
    <t>SPIGUA</t>
  </si>
  <si>
    <t>BKWLD</t>
  </si>
  <si>
    <t>LTMPLv2</t>
  </si>
  <si>
    <t>HIGH LIFE</t>
  </si>
  <si>
    <t>FORTUNE 10 MULTIGAME</t>
  </si>
  <si>
    <t>BISON MUSTANG</t>
  </si>
  <si>
    <t>FAR WEST LINK</t>
  </si>
  <si>
    <t>FAR WEST LINK WOLF MUSTANG</t>
  </si>
  <si>
    <t>WILD LINK</t>
  </si>
  <si>
    <t>BACK TO THE WILD</t>
  </si>
  <si>
    <t>LIGHT TEMPLE v2</t>
  </si>
  <si>
    <t>MIGHTY HAMMER ULTIMATE</t>
  </si>
  <si>
    <t>MHAMU</t>
  </si>
  <si>
    <t>VS</t>
  </si>
  <si>
    <t>SPIN GUARDIANS</t>
  </si>
  <si>
    <t>MIGHTY HAMMER LINK UP</t>
  </si>
  <si>
    <t>BINGO</t>
  </si>
  <si>
    <t>SEVEN CHESTS</t>
  </si>
  <si>
    <t>FUPTS</t>
  </si>
  <si>
    <t>FUSHLK</t>
  </si>
  <si>
    <t>FU FROG</t>
  </si>
  <si>
    <t>FUFRG</t>
  </si>
  <si>
    <t>ENERGY LINK RODILLOS</t>
  </si>
  <si>
    <t>ELINKR</t>
  </si>
  <si>
    <t>FU SHOU LINK</t>
  </si>
  <si>
    <t>FU POTS</t>
  </si>
  <si>
    <t>FORTK</t>
  </si>
  <si>
    <t>RMON</t>
  </si>
  <si>
    <t>LPANDU</t>
  </si>
  <si>
    <t>LUN PAN DU</t>
  </si>
  <si>
    <t>FORTUNE KEEPERS</t>
  </si>
  <si>
    <t>88 LINK SHIRO</t>
  </si>
  <si>
    <t>88LKSHI</t>
  </si>
  <si>
    <t>BILLY THE PIG</t>
  </si>
  <si>
    <t>BPIG</t>
  </si>
  <si>
    <t>ID  6 1 8 2 - P L A Y   C I T Y - P L A Y   C I T Y   A C O X P A</t>
  </si>
  <si>
    <t>Acoxpa 430 Colonia Ex hacienda Coapa Delegacion Tlalpan</t>
  </si>
  <si>
    <t>SALIDA DE MERGENCIA</t>
  </si>
  <si>
    <t>ISLA 12</t>
  </si>
  <si>
    <t>5C</t>
  </si>
  <si>
    <t>ESCENARIO</t>
  </si>
  <si>
    <t>TIRADA MIN $ 3.40</t>
  </si>
  <si>
    <t>Z051</t>
  </si>
  <si>
    <t>RESTAURANTE</t>
  </si>
  <si>
    <t>ISLA 1</t>
  </si>
  <si>
    <t>SIGN LK/ LSHOCK-2</t>
  </si>
  <si>
    <t>ISLA 3</t>
  </si>
  <si>
    <t>TIRADA MIN $ 2.50</t>
  </si>
  <si>
    <t>BSHBA TIRADA MIN  $ 3.40</t>
  </si>
  <si>
    <t>ISLA 5</t>
  </si>
  <si>
    <t>SIGN LK-2</t>
  </si>
  <si>
    <t>TIRADA MIN $ 3.00</t>
  </si>
  <si>
    <t>TIRADA MIN $2.50</t>
  </si>
  <si>
    <t>SIGN COLF-2</t>
  </si>
  <si>
    <t>5c</t>
  </si>
  <si>
    <t>ISLA 13</t>
  </si>
  <si>
    <t>ACCESO FUMAR</t>
  </si>
  <si>
    <t>Z038</t>
  </si>
  <si>
    <t>ISLA 7</t>
  </si>
  <si>
    <t>SIGN MHAM-2</t>
  </si>
  <si>
    <t>ISLA 9</t>
  </si>
  <si>
    <t>SIGN LM-2</t>
  </si>
  <si>
    <t>TIRADA MIN  $ 2.50</t>
  </si>
  <si>
    <t>GUARDA ROPA</t>
  </si>
  <si>
    <t>RECEPCION</t>
  </si>
  <si>
    <t>ISLA 2</t>
  </si>
  <si>
    <t>SIGN MKING-2</t>
  </si>
  <si>
    <t>MIN JUG $2.50</t>
  </si>
  <si>
    <t>MIN JUG $3.75</t>
  </si>
  <si>
    <t>ISLA 23</t>
  </si>
  <si>
    <t>ISLA 17</t>
  </si>
  <si>
    <t>SIGN LKB/LMB-2</t>
  </si>
  <si>
    <t>VESTIBULO DE ACCESO PRINCIPAL</t>
  </si>
  <si>
    <t>TIRADA MIN $3.40</t>
  </si>
  <si>
    <t>Z036</t>
  </si>
  <si>
    <t>isla19</t>
  </si>
  <si>
    <t>MINJ JUG 3.40</t>
  </si>
  <si>
    <t>ISLA 21</t>
  </si>
  <si>
    <t>APEX</t>
  </si>
  <si>
    <t>EGT</t>
  </si>
  <si>
    <t>EXTINTOR</t>
  </si>
  <si>
    <t>MER</t>
  </si>
  <si>
    <t>AFI</t>
  </si>
  <si>
    <t>AW</t>
  </si>
  <si>
    <t>AR</t>
  </si>
  <si>
    <t>ARU</t>
  </si>
  <si>
    <t>8                   1</t>
  </si>
  <si>
    <t>7                  2</t>
  </si>
  <si>
    <t>EIBE</t>
  </si>
  <si>
    <t>6                 3</t>
  </si>
  <si>
    <t>Zi</t>
  </si>
  <si>
    <t>E-GAM</t>
  </si>
  <si>
    <t>CLOVER LINK</t>
  </si>
  <si>
    <t>IGT</t>
  </si>
  <si>
    <t>LINK HIT</t>
  </si>
  <si>
    <t>WINPOTSL</t>
  </si>
  <si>
    <t>FBMRO</t>
  </si>
  <si>
    <t xml:space="preserve">PROSPERITY LINK </t>
  </si>
  <si>
    <t xml:space="preserve">CLOVER LINK </t>
  </si>
  <si>
    <t>E gyptian link min$3.75</t>
  </si>
  <si>
    <t>KN</t>
  </si>
  <si>
    <t>MIIN JUG $5.00</t>
  </si>
  <si>
    <t>SIGN EL</t>
  </si>
  <si>
    <t>AGS</t>
  </si>
  <si>
    <t>sing</t>
  </si>
  <si>
    <t>4                   1</t>
  </si>
  <si>
    <t>3                   2</t>
  </si>
  <si>
    <t>WS</t>
  </si>
  <si>
    <t>ISLA 18</t>
  </si>
  <si>
    <t>LUD/IGT B</t>
  </si>
  <si>
    <t>COIN FU</t>
  </si>
  <si>
    <t>MIN JUG $4.00 / $1</t>
  </si>
  <si>
    <t>SIGN DW</t>
  </si>
  <si>
    <t>25C</t>
  </si>
  <si>
    <t>50C</t>
  </si>
  <si>
    <t>MIN JUG $2.00</t>
  </si>
  <si>
    <t>Z034</t>
  </si>
  <si>
    <t>ISLA 15</t>
  </si>
  <si>
    <t>50c</t>
  </si>
  <si>
    <t>TOTAL SALA</t>
  </si>
  <si>
    <t>ANTERIOR THERMO ENTREGADO</t>
  </si>
  <si>
    <t>THERMO ACTUAL</t>
  </si>
  <si>
    <t>2308-17</t>
  </si>
  <si>
    <t>FECHA</t>
  </si>
  <si>
    <t>SEMANA</t>
  </si>
  <si>
    <t>TOTAL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</si>
  <si>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</si>
  <si>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</si>
  <si>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</si>
  <si>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</si>
  <si>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</si>
  <si>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</si>
  <si>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</si>
  <si>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</si>
  <si>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</si>
  <si>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</si>
  <si>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</si>
  <si>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</si>
  <si>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</si>
  <si>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</si>
  <si>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</si>
  <si>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</si>
  <si>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</si>
  <si>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</si>
  <si>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FU SHOU QI TIAN LINK</t>
  </si>
  <si>
    <t>RAINING MONEY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</si>
  <si>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</si>
  <si>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</si>
  <si>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</si>
  <si>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</si>
  <si>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</si>
  <si>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</si>
  <si>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</si>
  <si>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</si>
  <si>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</si>
  <si>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</si>
  <si>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</si>
  <si>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</si>
  <si>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</si>
  <si>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</si>
  <si>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ZITRO</t>
  </si>
  <si>
    <t>AMBRA GAMING</t>
  </si>
  <si>
    <t>AMBRA</t>
  </si>
  <si>
    <t>METRONIA / BEMEX</t>
  </si>
  <si>
    <t>MET</t>
  </si>
  <si>
    <t>SABIA</t>
  </si>
  <si>
    <t>SAB</t>
  </si>
  <si>
    <t>FBM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</si>
  <si>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</si>
  <si>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</si>
  <si>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</si>
  <si>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</si>
  <si>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</si>
  <si>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</si>
  <si>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</si>
  <si>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</si>
  <si>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</si>
  <si>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</si>
  <si>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</si>
  <si>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</si>
  <si>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</si>
  <si>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</si>
  <si>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</si>
  <si>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</si>
  <si>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</si>
  <si>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</si>
  <si>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</si>
  <si>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</si>
  <si>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</si>
  <si>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</si>
  <si>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</si>
  <si>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</si>
  <si>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</si>
  <si>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</si>
  <si>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</si>
  <si>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</si>
  <si>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</si>
  <si>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</si>
  <si>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</si>
  <si>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</si>
  <si>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</si>
  <si>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</si>
  <si>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</si>
  <si>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</si>
  <si>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</si>
  <si>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</si>
  <si>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</si>
  <si>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</si>
  <si>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</si>
  <si>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</si>
  <si>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</si>
  <si>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</si>
  <si>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</si>
  <si>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</si>
  <si>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ARISTOCRAT</t>
  </si>
  <si>
    <t>ARUZE</t>
  </si>
  <si>
    <t>ASTRO</t>
  </si>
  <si>
    <t>ATRONIC</t>
  </si>
  <si>
    <t>AT</t>
  </si>
  <si>
    <t>AURIFY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</si>
  <si>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</si>
  <si>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</si>
  <si>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</si>
  <si>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</si>
  <si>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</si>
  <si>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</si>
  <si>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</si>
  <si>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</si>
  <si>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</si>
  <si>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</si>
  <si>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</si>
  <si>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</si>
  <si>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</si>
  <si>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</si>
  <si>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</si>
  <si>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</si>
  <si>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</si>
  <si>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</si>
  <si>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</si>
  <si>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</si>
  <si>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</si>
  <si>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</si>
  <si>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</si>
  <si>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</si>
  <si>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</si>
  <si>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</si>
  <si>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</si>
  <si>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</si>
  <si>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</si>
  <si>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</si>
  <si>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</si>
  <si>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</si>
  <si>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</si>
  <si>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</si>
  <si>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</si>
  <si>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</si>
  <si>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</si>
  <si>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</si>
  <si>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</si>
  <si>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</si>
  <si>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</si>
  <si>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</si>
  <si>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</si>
  <si>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</si>
  <si>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</si>
  <si>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</si>
  <si>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</si>
  <si>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</si>
  <si>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</si>
  <si>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</si>
  <si>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</si>
  <si>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</si>
  <si>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</si>
  <si>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</si>
  <si>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</si>
  <si>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</si>
  <si>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</si>
  <si>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</si>
  <si>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</si>
  <si>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</si>
  <si>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</si>
  <si>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LEGENDARY GAMING/BAUM GAMES</t>
  </si>
  <si>
    <t>BAUM</t>
  </si>
  <si>
    <t>MERKUR</t>
  </si>
  <si>
    <t>MULTI MEDIA GAMES</t>
  </si>
  <si>
    <t>MMG</t>
  </si>
  <si>
    <t>NOVOMATIC</t>
  </si>
  <si>
    <t>NOV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</si>
  <si>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</si>
  <si>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</si>
  <si>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</si>
  <si>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</si>
  <si>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</si>
  <si>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</si>
  <si>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</si>
  <si>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</si>
  <si>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</si>
  <si>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</si>
  <si>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</si>
  <si>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</si>
  <si>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SCIGA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</si>
  <si>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</si>
  <si>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</si>
  <si>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</si>
  <si>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</si>
  <si>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</si>
  <si>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</si>
  <si>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</si>
  <si>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</si>
  <si>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</si>
  <si>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</si>
  <si>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</si>
  <si>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</si>
  <si>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</si>
  <si>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</si>
  <si>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</si>
  <si>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</si>
  <si>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 SYSTEM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</si>
  <si>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</si>
  <si>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</si>
  <si>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</si>
  <si>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</si>
  <si>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</si>
  <si>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</si>
  <si>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</si>
  <si>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</si>
  <si>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</si>
  <si>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</si>
  <si>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</si>
  <si>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</si>
  <si>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</si>
  <si>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</si>
  <si>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</si>
  <si>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</si>
  <si>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</si>
  <si>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</si>
  <si>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</si>
  <si>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</si>
  <si>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</si>
  <si>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</si>
  <si>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</si>
  <si>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</si>
  <si>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</si>
  <si>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</si>
  <si>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</si>
  <si>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</si>
  <si>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</si>
  <si>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</si>
  <si>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</si>
  <si>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</si>
  <si>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</si>
  <si>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</si>
  <si>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</si>
  <si>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</si>
  <si>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</si>
  <si>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</si>
  <si>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</si>
  <si>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</si>
  <si>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</si>
  <si>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</si>
  <si>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</si>
  <si>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</si>
  <si>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</si>
  <si>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</si>
  <si>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</si>
  <si>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</si>
  <si>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</si>
  <si>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</si>
  <si>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</si>
  <si>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</si>
  <si>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</si>
  <si>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</si>
  <si>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</si>
  <si>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</si>
  <si>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</si>
  <si>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</si>
  <si>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</si>
  <si>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</si>
  <si>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</si>
  <si>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</si>
  <si>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</si>
  <si>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</si>
  <si>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</si>
  <si>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</si>
  <si>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</si>
  <si>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</si>
  <si>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</si>
  <si>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</si>
  <si>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</si>
  <si>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</si>
  <si>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</si>
  <si>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</si>
  <si>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</si>
  <si>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</si>
  <si>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</si>
  <si>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DOUBLE LINK 2 CARAS</t>
  </si>
  <si>
    <t>SIGN DBLK-2</t>
  </si>
  <si>
    <t>ENERGY LINK RODILLOS 2 CARAS</t>
  </si>
  <si>
    <t>SIGN ELINKR-2</t>
  </si>
  <si>
    <t>FU FROG 2 CARAS</t>
  </si>
  <si>
    <t>SIGN FUFRG-2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</si>
  <si>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</si>
  <si>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</si>
  <si>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</si>
  <si>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</si>
  <si>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</si>
  <si>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</si>
  <si>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</si>
  <si>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</si>
  <si>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</si>
  <si>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</si>
  <si>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</si>
  <si>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</si>
  <si>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</si>
  <si>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LINK KING II MEGA SHARE 2 CARAS</t>
  </si>
  <si>
    <t>SIGN LK2MS-2</t>
  </si>
  <si>
    <t>LINK KING BOOST 2 CARAS</t>
  </si>
  <si>
    <t>SIGN LKB-2</t>
  </si>
  <si>
    <t>LINK ME 2 CARAS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</si>
  <si>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</si>
  <si>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</si>
  <si>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</si>
  <si>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</si>
  <si>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</si>
  <si>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</si>
  <si>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</si>
  <si>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</si>
  <si>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</si>
  <si>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</si>
  <si>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</si>
  <si>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</si>
  <si>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</si>
  <si>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</si>
  <si>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</si>
  <si>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</si>
  <si>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</si>
  <si>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</si>
  <si>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</si>
  <si>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</si>
  <si>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</si>
  <si>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</si>
  <si>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</si>
  <si>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</si>
  <si>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</si>
  <si>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</si>
  <si>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</si>
  <si>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</si>
  <si>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</si>
  <si>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</si>
  <si>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</si>
  <si>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</si>
  <si>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</si>
  <si>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</si>
  <si>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</si>
  <si>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</si>
  <si>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</si>
  <si>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</si>
  <si>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</si>
  <si>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</si>
  <si>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</si>
  <si>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</si>
  <si>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</si>
  <si>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</si>
  <si>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</si>
  <si>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</si>
  <si>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</si>
  <si>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</si>
  <si>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</si>
  <si>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</si>
  <si>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</si>
  <si>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</si>
  <si>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</si>
  <si>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</si>
  <si>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</si>
  <si>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</si>
  <si>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</si>
  <si>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</si>
  <si>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</si>
  <si>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</si>
  <si>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</si>
  <si>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</si>
  <si>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</si>
  <si>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</si>
  <si>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</si>
  <si>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</si>
  <si>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</si>
  <si>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</si>
  <si>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</si>
  <si>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</si>
  <si>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</si>
  <si>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</si>
  <si>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</si>
  <si>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</si>
  <si>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</si>
  <si>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</si>
  <si>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</si>
  <si>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</si>
  <si>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</si>
  <si>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</si>
  <si>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</si>
  <si>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</si>
  <si>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</si>
  <si>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</si>
  <si>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</si>
  <si>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</si>
  <si>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</si>
  <si>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</si>
  <si>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</si>
  <si>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</si>
  <si>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</si>
  <si>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</si>
  <si>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</si>
  <si>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</si>
  <si>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</si>
  <si>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</si>
  <si>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</si>
  <si>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</si>
  <si>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</si>
  <si>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</si>
  <si>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</si>
  <si>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</si>
  <si>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</si>
  <si>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</si>
  <si>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</si>
  <si>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</si>
  <si>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</si>
  <si>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</si>
  <si>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</si>
  <si>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</si>
  <si>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</si>
  <si>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</si>
  <si>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</si>
  <si>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</si>
  <si>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</si>
  <si>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</si>
  <si>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</si>
  <si>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</si>
  <si>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</si>
  <si>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</si>
  <si>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</si>
  <si>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</si>
  <si>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</si>
  <si>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</si>
  <si>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</si>
  <si>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</si>
  <si>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</si>
  <si>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</si>
  <si>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</si>
  <si>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</si>
  <si>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</si>
  <si>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</si>
  <si>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</si>
  <si>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</si>
  <si>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</si>
  <si>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</si>
  <si>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</si>
  <si>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</si>
  <si>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</si>
  <si>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</si>
  <si>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</si>
  <si>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</si>
  <si>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</si>
  <si>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</si>
  <si>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</si>
  <si>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</si>
  <si>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</si>
  <si>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</si>
  <si>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</si>
  <si>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</si>
  <si>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</si>
  <si>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</si>
  <si>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</si>
  <si>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</si>
  <si>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</si>
  <si>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</si>
  <si>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</si>
  <si>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</si>
  <si>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</si>
  <si>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</si>
  <si>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</si>
  <si>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</si>
  <si>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</si>
  <si>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</si>
  <si>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</si>
  <si>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</si>
  <si>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</si>
  <si>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</si>
  <si>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</si>
  <si>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</si>
  <si>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</si>
  <si>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</si>
  <si>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</si>
  <si>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</si>
  <si>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</si>
  <si>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</si>
  <si>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</si>
  <si>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</si>
  <si>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</si>
  <si>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</si>
  <si>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</si>
  <si>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</si>
  <si>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</si>
  <si>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</si>
  <si>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</si>
  <si>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LIMITAZO</t>
  </si>
  <si>
    <t>CAJA</t>
  </si>
  <si>
    <t>clover link</t>
  </si>
  <si>
    <t>ultra lucky link</t>
  </si>
  <si>
    <t>ligthning  2.50</t>
  </si>
  <si>
    <t>TIRADA MIN $ 3.75</t>
  </si>
  <si>
    <t>SIGN BPIG-2</t>
  </si>
  <si>
    <t xml:space="preserve">ultra lucky link </t>
  </si>
  <si>
    <t>bell link</t>
  </si>
  <si>
    <t>Bell Link</t>
  </si>
  <si>
    <t>lucky coin link</t>
  </si>
  <si>
    <t>welcome to jackpot</t>
  </si>
  <si>
    <t>S52 a S1</t>
  </si>
  <si>
    <t>S33 a S44</t>
  </si>
  <si>
    <t>128 MAQ.</t>
  </si>
  <si>
    <t>126 MAQ.</t>
  </si>
  <si>
    <t>GONG GAMES</t>
  </si>
  <si>
    <t>GONG</t>
  </si>
  <si>
    <t>FU FROG / 88 LINK 2 CARAS</t>
  </si>
  <si>
    <t>SIGN FUFRG/88LINK-2</t>
  </si>
  <si>
    <t>FU POTS / 88 LINK 2 CARAS</t>
  </si>
  <si>
    <t>SIGN FUPTS/88LINK-2</t>
  </si>
  <si>
    <t>LINK ME / PICK &amp; WIN 2 CARAS</t>
  </si>
  <si>
    <t>SIGN LM/P&amp;W-2</t>
  </si>
  <si>
    <t>LINK KING / PICK &amp; WIN 2 CARAS</t>
  </si>
  <si>
    <t>SIGN LK/P&amp;W-2</t>
  </si>
  <si>
    <t>DOUBLE LINK / BASHIBA 2 CARAS</t>
  </si>
  <si>
    <t>SIGN DBLK/BASHIBA-2</t>
  </si>
  <si>
    <t>SIGN MROOTSV2/LM-2</t>
  </si>
  <si>
    <t>SIGN CRLED-FUFRG</t>
  </si>
  <si>
    <t>FU FROG CON ACUMULADO</t>
  </si>
  <si>
    <t>SIGN CRLEDA-FUFRG</t>
  </si>
  <si>
    <t>SIGN CRLED-FUPTS</t>
  </si>
  <si>
    <t>FU POTS CON ACUMULADO</t>
  </si>
  <si>
    <t>SIGN CRLEDA-FUPTS</t>
  </si>
  <si>
    <t>SIGN LK LSHOCK-2</t>
  </si>
  <si>
    <t>SIGN LKBLMB-2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</si>
</sst>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.00_);[Red]\(&quot;$&quot;#,##0.00\)"/>
    <numFmt numFmtId="171" formatCode="_(* #,##0_);_(* \(#,##0\);_(* &quot;-&quot;_);_(@_)"/>
    <numFmt numFmtId="172" formatCode="_-* #,##0\ _€_-;\-* #,##0\ _€_-;_-* &quot;-&quot;\ _€_-;_-@_-"/>
    <numFmt numFmtId="173" formatCode="h:mm;@"/>
    <numFmt numFmtId="174" formatCode="0000000"/>
  </numFmts>
  <fonts count="1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36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8"/>
      <color rgb="FFFFFF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494429"/>
      <name val="Calibri"/>
      <family val="2"/>
    </font>
    <font>
      <b/>
      <sz val="12"/>
      <color indexed="9"/>
      <name val="Arial"/>
      <family val="2"/>
    </font>
    <font>
      <b/>
      <sz val="14"/>
      <color rgb="FF568FD4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2"/>
      <color indexed="62"/>
      <name val="Arial"/>
      <family val="2"/>
    </font>
    <font>
      <b/>
      <sz val="10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b/>
      <sz val="12"/>
      <color theme="0"/>
      <name val="Arial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8"/>
      <color theme="3"/>
      <name val="Calibri"/>
      <family val="2"/>
      <scheme val="minor"/>
    </font>
    <font>
      <b/>
      <sz val="18"/>
      <color rgb="FF1F497D"/>
      <name val="Calibri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FFFF00"/>
      <name val="Calibri"/>
      <family val="2"/>
    </font>
    <font>
      <b/>
      <sz val="18"/>
      <color rgb="FFDDDDDD"/>
      <name val="Calibri"/>
      <family val="2"/>
    </font>
    <font>
      <b/>
      <sz val="14"/>
      <color indexed="8"/>
      <name val="Calibri"/>
      <family val="2"/>
    </font>
    <font>
      <b/>
      <sz val="16"/>
      <color rgb="FFFFFFFF"/>
      <name val="Calibri"/>
      <family val="2"/>
    </font>
    <font>
      <b/>
      <sz val="10"/>
      <color rgb="FF568FD4"/>
      <name val="Calibri"/>
      <family val="2"/>
    </font>
    <font>
      <b/>
      <sz val="18"/>
      <color rgb="FF1F4A7E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rgb="FFFF0000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6"/>
      <color rgb="FFFF0000"/>
      <name val="Calibri"/>
      <family val="2"/>
    </font>
    <font>
      <b/>
      <sz val="12"/>
      <name val="Arial"/>
      <family val="2"/>
    </font>
    <font>
      <b/>
      <sz val="18"/>
      <color theme="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0"/>
      <name val="Calibri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2"/>
      <name val="Arial"/>
      <family val="2"/>
    </font>
    <font>
      <b/>
      <sz val="18"/>
      <color theme="7" tint="-0.499984740745262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5" tint="0.79998168889431442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5" tint="0.3999755851924192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FF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rgb="FFFF0000"/>
      <name val="Arial"/>
      <family val="2"/>
    </font>
    <font>
      <b/>
      <sz val="12"/>
      <color theme="8" tint="0.79998168889431442"/>
      <name val="Arial"/>
      <family val="2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color rgb="FF92D050"/>
      <name val="Calibri"/>
      <family val="2"/>
      <scheme val="minor"/>
    </font>
  </fonts>
  <fills count="18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rgb="FF00B0F0"/>
        <bgColor auto="1"/>
      </patternFill>
    </fill>
    <fill>
      <patternFill patternType="solid">
        <fgColor rgb="FF92D050"/>
        <bgColor auto="1"/>
      </patternFill>
    </fill>
    <fill>
      <patternFill patternType="gray0625">
        <fgColor auto="1"/>
        <bgColor rgb="FFAB1D05"/>
      </patternFill>
    </fill>
    <fill>
      <patternFill patternType="gray125">
        <fgColor auto="1"/>
        <bgColor theme="9" tint="-0.499984740745262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74706"/>
        <bgColor rgb="FF974706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F61EA9"/>
        <bgColor auto="1"/>
      </patternFill>
    </fill>
    <fill>
      <patternFill patternType="gray0625">
        <fgColor auto="1"/>
        <bgColor rgb="FF00B050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gray125">
        <fgColor auto="1"/>
        <bgColor rgb="FFFFC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BC0D9"/>
        <bgColor rgb="FFCBC0D9"/>
      </patternFill>
    </fill>
    <fill>
      <patternFill patternType="solid">
        <fgColor rgb="FF9ABA58"/>
        <bgColor rgb="FF9ABA58"/>
      </patternFill>
    </fill>
    <fill>
      <patternFill patternType="solid">
        <fgColor theme="6" tint="0.39997558519241921"/>
        <bgColor rgb="FF00B050"/>
      </patternFill>
    </fill>
    <fill>
      <patternFill patternType="solid">
        <fgColor rgb="FFB9CCE4"/>
        <bgColor rgb="FFB9CCE4"/>
      </patternFill>
    </fill>
    <fill>
      <patternFill patternType="solid">
        <fgColor rgb="FF254061"/>
        <bgColor rgb="FF254061"/>
      </patternFill>
    </fill>
    <fill>
      <patternFill patternType="solid">
        <fgColor rgb="FF642523"/>
        <bgColor rgb="FF642523"/>
      </patternFill>
    </fill>
    <fill>
      <patternFill patternType="solid">
        <fgColor rgb="FFC2D69B"/>
        <bgColor rgb="FFC2D69B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568FD4"/>
        <bgColor rgb="FF568FD4"/>
      </patternFill>
    </fill>
    <fill>
      <patternFill patternType="solid">
        <fgColor theme="6" tint="-0.249977111117893"/>
        <bgColor rgb="FF642523"/>
      </patternFill>
    </fill>
    <fill>
      <patternFill patternType="solid">
        <fgColor theme="2" tint="-9.9978637043366805E-2"/>
        <bgColor indexed="64"/>
      </patternFill>
    </fill>
    <fill>
      <patternFill patternType="lightHorizontal"/>
    </fill>
    <fill>
      <patternFill patternType="solid">
        <fgColor rgb="FF9BBB59"/>
        <bgColor rgb="FF9BBB59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51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53734"/>
        <bgColor rgb="FF953734"/>
      </patternFill>
    </fill>
    <fill>
      <patternFill patternType="solid">
        <fgColor rgb="FF0070C0"/>
        <bgColor rgb="FF0066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9077A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4" tint="0.39997558519241921"/>
        <bgColor indexed="31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rgb="FFFF000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auto="1"/>
      </diagonal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auto="1"/>
      </diagonal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50505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25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4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10" fillId="0" borderId="0">
      <alignment vertical="top"/>
    </xf>
    <xf numFmtId="0" fontId="22" fillId="0" borderId="0">
      <protection locked="0"/>
    </xf>
  </cellStyleXfs>
  <cellXfs count="783">
    <xf numFmtId="0" fontId="0" fillId="0" borderId="0" xfId="0"/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2" fillId="0" borderId="24" xfId="0" applyFont="1" applyBorder="1"/>
    <xf numFmtId="0" fontId="22" fillId="0" borderId="0" xfId="0" applyFont="1"/>
    <xf numFmtId="0" fontId="45" fillId="86" borderId="0" xfId="118" applyFont="1" applyFill="1" applyAlignment="1">
      <alignment horizontal="center" vertical="center"/>
    </xf>
    <xf numFmtId="0" fontId="46" fillId="34" borderId="16" xfId="138" applyFont="1" applyFill="1" applyBorder="1" applyAlignment="1">
      <alignment horizontal="center" vertical="center" shrinkToFit="1"/>
    </xf>
    <xf numFmtId="0" fontId="47" fillId="0" borderId="2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21" xfId="0" applyFont="1" applyBorder="1" applyAlignment="1">
      <alignment horizontal="center"/>
    </xf>
    <xf numFmtId="0" fontId="51" fillId="0" borderId="1" xfId="138" applyFont="1" applyBorder="1" applyAlignment="1">
      <alignment horizontal="center" vertical="center" shrinkToFit="1"/>
    </xf>
    <xf numFmtId="0" fontId="22" fillId="0" borderId="35" xfId="0" applyFont="1" applyBorder="1"/>
    <xf numFmtId="0" fontId="52" fillId="0" borderId="0" xfId="0" applyFont="1" applyAlignment="1">
      <alignment horizontal="center" vertical="center"/>
    </xf>
    <xf numFmtId="0" fontId="53" fillId="120" borderId="0" xfId="0" applyFont="1" applyFill="1" applyAlignment="1">
      <alignment horizontal="center"/>
    </xf>
    <xf numFmtId="0" fontId="54" fillId="0" borderId="0" xfId="0" applyFont="1" applyAlignment="1">
      <alignment horizontal="center" vertical="center"/>
    </xf>
    <xf numFmtId="0" fontId="38" fillId="0" borderId="0" xfId="0" applyFont="1"/>
    <xf numFmtId="0" fontId="54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0" fontId="56" fillId="0" borderId="1" xfId="131" applyFont="1" applyBorder="1" applyAlignment="1">
      <alignment horizontal="center"/>
    </xf>
    <xf numFmtId="0" fontId="9" fillId="76" borderId="0" xfId="0" applyFont="1" applyFill="1"/>
    <xf numFmtId="0" fontId="48" fillId="0" borderId="1" xfId="131" applyFont="1" applyBorder="1" applyAlignment="1">
      <alignment horizontal="center"/>
    </xf>
    <xf numFmtId="0" fontId="58" fillId="8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2" fillId="121" borderId="0" xfId="0" applyFont="1" applyFill="1"/>
    <xf numFmtId="0" fontId="32" fillId="35" borderId="0" xfId="0" applyFont="1" applyFill="1" applyAlignment="1">
      <alignment horizontal="center" vertical="center"/>
    </xf>
    <xf numFmtId="0" fontId="60" fillId="84" borderId="0" xfId="0" applyFont="1" applyFill="1" applyAlignment="1">
      <alignment horizontal="center" vertical="center"/>
    </xf>
    <xf numFmtId="0" fontId="61" fillId="0" borderId="1" xfId="138" applyFont="1" applyBorder="1" applyAlignment="1">
      <alignment horizontal="center" vertical="center" shrinkToFit="1"/>
    </xf>
    <xf numFmtId="0" fontId="54" fillId="0" borderId="0" xfId="0" applyFont="1" applyAlignment="1">
      <alignment horizontal="right" vertical="center"/>
    </xf>
    <xf numFmtId="0" fontId="62" fillId="121" borderId="0" xfId="0" applyFont="1" applyFill="1" applyAlignment="1">
      <alignment horizontal="center" vertical="center"/>
    </xf>
    <xf numFmtId="0" fontId="63" fillId="122" borderId="21" xfId="0" applyFont="1" applyFill="1" applyBorder="1" applyAlignment="1">
      <alignment horizontal="center" vertical="center" shrinkToFit="1"/>
    </xf>
    <xf numFmtId="0" fontId="64" fillId="101" borderId="16" xfId="138" applyFont="1" applyFill="1" applyBorder="1" applyAlignment="1">
      <alignment horizontal="center" vertical="center" shrinkToFit="1"/>
    </xf>
    <xf numFmtId="0" fontId="65" fillId="84" borderId="21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170" fontId="40" fillId="0" borderId="0" xfId="0" applyNumberFormat="1" applyFont="1" applyAlignment="1">
      <alignment horizontal="center" vertical="center"/>
    </xf>
    <xf numFmtId="0" fontId="64" fillId="48" borderId="16" xfId="138" applyFont="1" applyFill="1" applyBorder="1" applyAlignment="1">
      <alignment horizontal="center" vertical="center" shrinkToFit="1"/>
    </xf>
    <xf numFmtId="0" fontId="60" fillId="123" borderId="0" xfId="0" applyFont="1" applyFill="1" applyAlignment="1">
      <alignment horizontal="center" vertical="center"/>
    </xf>
    <xf numFmtId="0" fontId="66" fillId="0" borderId="16" xfId="131" applyFont="1" applyBorder="1" applyAlignment="1">
      <alignment horizontal="center"/>
    </xf>
    <xf numFmtId="0" fontId="53" fillId="0" borderId="21" xfId="0" applyFont="1" applyBorder="1" applyAlignment="1">
      <alignment horizontal="center"/>
    </xf>
    <xf numFmtId="0" fontId="35" fillId="0" borderId="39" xfId="0" applyFont="1" applyBorder="1" applyAlignment="1">
      <alignment horizontal="center" vertical="center" shrinkToFit="1"/>
    </xf>
    <xf numFmtId="0" fontId="50" fillId="0" borderId="20" xfId="0" applyFont="1" applyBorder="1" applyAlignment="1">
      <alignment horizontal="center"/>
    </xf>
    <xf numFmtId="0" fontId="43" fillId="85" borderId="0" xfId="0" applyFont="1" applyFill="1" applyAlignment="1">
      <alignment vertical="center"/>
    </xf>
    <xf numFmtId="0" fontId="9" fillId="35" borderId="0" xfId="0" applyFont="1" applyFill="1"/>
    <xf numFmtId="0" fontId="50" fillId="0" borderId="41" xfId="0" applyFont="1" applyBorder="1" applyAlignment="1">
      <alignment horizontal="center"/>
    </xf>
    <xf numFmtId="0" fontId="62" fillId="124" borderId="0" xfId="0" applyFont="1" applyFill="1" applyAlignment="1">
      <alignment horizontal="center" vertical="center"/>
    </xf>
    <xf numFmtId="0" fontId="22" fillId="124" borderId="0" xfId="0" applyFont="1" applyFill="1"/>
    <xf numFmtId="0" fontId="55" fillId="0" borderId="2" xfId="131" applyFont="1" applyBorder="1" applyAlignment="1">
      <alignment horizontal="center"/>
    </xf>
    <xf numFmtId="0" fontId="67" fillId="0" borderId="0" xfId="0" applyFont="1" applyAlignment="1">
      <alignment horizontal="center" vertical="center"/>
    </xf>
    <xf numFmtId="0" fontId="68" fillId="82" borderId="21" xfId="0" applyFont="1" applyFill="1" applyBorder="1" applyAlignment="1">
      <alignment horizontal="center" vertical="center" shrinkToFit="1"/>
    </xf>
    <xf numFmtId="0" fontId="69" fillId="125" borderId="21" xfId="0" applyFont="1" applyFill="1" applyBorder="1" applyAlignment="1">
      <alignment horizontal="center" vertical="center" shrinkToFit="1"/>
    </xf>
    <xf numFmtId="0" fontId="37" fillId="0" borderId="0" xfId="0" applyFont="1" applyAlignment="1">
      <alignment horizontal="left" vertical="center"/>
    </xf>
    <xf numFmtId="0" fontId="70" fillId="0" borderId="0" xfId="0" applyFont="1" applyAlignment="1">
      <alignment horizontal="center"/>
    </xf>
    <xf numFmtId="0" fontId="66" fillId="0" borderId="1" xfId="0" applyFont="1" applyBorder="1" applyAlignment="1">
      <alignment horizontal="center"/>
    </xf>
    <xf numFmtId="0" fontId="71" fillId="126" borderId="0" xfId="0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127" borderId="21" xfId="0" applyFont="1" applyFill="1" applyBorder="1" applyAlignment="1">
      <alignment horizontal="center" vertical="center" shrinkToFit="1"/>
    </xf>
    <xf numFmtId="0" fontId="33" fillId="128" borderId="0" xfId="0" applyFont="1" applyFill="1"/>
    <xf numFmtId="0" fontId="69" fillId="81" borderId="21" xfId="0" applyFont="1" applyFill="1" applyBorder="1" applyAlignment="1">
      <alignment horizontal="center" vertical="center" shrinkToFit="1"/>
    </xf>
    <xf numFmtId="0" fontId="74" fillId="90" borderId="16" xfId="138" applyFont="1" applyFill="1" applyBorder="1" applyAlignment="1">
      <alignment horizontal="center" vertical="center" shrinkToFit="1"/>
    </xf>
    <xf numFmtId="0" fontId="68" fillId="88" borderId="17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center"/>
    </xf>
    <xf numFmtId="0" fontId="67" fillId="128" borderId="0" xfId="0" applyFont="1" applyFill="1" applyAlignment="1">
      <alignment horizontal="center" vertical="center"/>
    </xf>
    <xf numFmtId="0" fontId="75" fillId="77" borderId="16" xfId="138" applyFont="1" applyFill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49" fillId="0" borderId="0" xfId="0" applyFont="1"/>
    <xf numFmtId="0" fontId="63" fillId="129" borderId="21" xfId="0" applyFont="1" applyFill="1" applyBorder="1" applyAlignment="1">
      <alignment horizontal="center" vertical="center" shrinkToFit="1"/>
    </xf>
    <xf numFmtId="0" fontId="76" fillId="83" borderId="17" xfId="0" applyFont="1" applyFill="1" applyBorder="1" applyAlignment="1">
      <alignment horizontal="center" vertical="center" shrinkToFit="1"/>
    </xf>
    <xf numFmtId="0" fontId="40" fillId="76" borderId="0" xfId="0" applyFont="1" applyFill="1" applyAlignment="1">
      <alignment vertical="center" textRotation="90"/>
    </xf>
    <xf numFmtId="0" fontId="40" fillId="76" borderId="0" xfId="0" applyFont="1" applyFill="1" applyAlignment="1">
      <alignment horizontal="center" vertical="center" textRotation="90"/>
    </xf>
    <xf numFmtId="0" fontId="77" fillId="0" borderId="0" xfId="0" applyFont="1"/>
    <xf numFmtId="0" fontId="78" fillId="0" borderId="0" xfId="0" applyFont="1" applyAlignment="1">
      <alignment horizontal="center" vertical="center"/>
    </xf>
    <xf numFmtId="0" fontId="71" fillId="130" borderId="0" xfId="0" applyFont="1" applyFill="1" applyAlignment="1">
      <alignment horizontal="center" vertical="center"/>
    </xf>
    <xf numFmtId="0" fontId="64" fillId="41" borderId="1" xfId="138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79" fillId="131" borderId="0" xfId="135" applyFont="1" applyFill="1" applyAlignment="1">
      <alignment horizontal="center" vertical="center"/>
    </xf>
    <xf numFmtId="0" fontId="36" fillId="131" borderId="0" xfId="135" applyFont="1" applyFill="1" applyAlignment="1">
      <alignment horizontal="center" vertical="center"/>
    </xf>
    <xf numFmtId="0" fontId="46" fillId="73" borderId="16" xfId="138" applyFont="1" applyFill="1" applyBorder="1" applyAlignment="1">
      <alignment horizontal="center" vertical="center" shrinkToFit="1"/>
    </xf>
    <xf numFmtId="0" fontId="32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40" fillId="35" borderId="0" xfId="0" applyFont="1" applyFill="1" applyAlignment="1">
      <alignment horizontal="center" vertical="center"/>
    </xf>
    <xf numFmtId="0" fontId="22" fillId="0" borderId="0" xfId="0" applyFont="1" applyAlignment="1">
      <alignment horizontal="right"/>
    </xf>
    <xf numFmtId="0" fontId="55" fillId="35" borderId="0" xfId="0" applyFont="1" applyFill="1" applyAlignment="1">
      <alignment horizontal="right" vertical="center"/>
    </xf>
    <xf numFmtId="0" fontId="22" fillId="0" borderId="0" xfId="0" applyFont="1" applyAlignment="1">
      <alignment horizontal="left"/>
    </xf>
    <xf numFmtId="0" fontId="37" fillId="0" borderId="0" xfId="0" applyFont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0" fontId="84" fillId="78" borderId="16" xfId="138" applyFont="1" applyFill="1" applyBorder="1" applyAlignment="1">
      <alignment horizontal="center" vertical="center" shrinkToFit="1"/>
    </xf>
    <xf numFmtId="0" fontId="85" fillId="79" borderId="16" xfId="138" applyFont="1" applyFill="1" applyBorder="1" applyAlignment="1">
      <alignment horizontal="center" vertical="center" shrinkToFit="1"/>
    </xf>
    <xf numFmtId="0" fontId="47" fillId="0" borderId="0" xfId="0" applyFont="1" applyAlignment="1">
      <alignment horizontal="left" vertical="center"/>
    </xf>
    <xf numFmtId="0" fontId="0" fillId="0" borderId="48" xfId="0" applyBorder="1"/>
    <xf numFmtId="0" fontId="0" fillId="0" borderId="49" xfId="0" applyBorder="1"/>
    <xf numFmtId="0" fontId="86" fillId="67" borderId="1" xfId="138" applyFont="1" applyFill="1" applyBorder="1" applyAlignment="1">
      <alignment horizontal="center" vertical="center" shrinkToFit="1"/>
    </xf>
    <xf numFmtId="0" fontId="87" fillId="76" borderId="16" xfId="138" applyFont="1" applyFill="1" applyBorder="1" applyAlignment="1">
      <alignment horizontal="center" vertical="center" shrinkToFit="1"/>
    </xf>
    <xf numFmtId="0" fontId="87" fillId="115" borderId="16" xfId="138" applyFont="1" applyFill="1" applyBorder="1" applyAlignment="1">
      <alignment horizontal="center" vertical="center" shrinkToFit="1"/>
    </xf>
    <xf numFmtId="0" fontId="88" fillId="0" borderId="1" xfId="131" applyFont="1" applyBorder="1" applyAlignment="1">
      <alignment horizontal="center"/>
    </xf>
    <xf numFmtId="0" fontId="0" fillId="0" borderId="50" xfId="0" applyBorder="1"/>
    <xf numFmtId="0" fontId="0" fillId="0" borderId="53" xfId="0" applyBorder="1"/>
    <xf numFmtId="0" fontId="22" fillId="0" borderId="53" xfId="0" applyFont="1" applyBorder="1"/>
    <xf numFmtId="0" fontId="0" fillId="132" borderId="50" xfId="0" applyFill="1" applyBorder="1"/>
    <xf numFmtId="0" fontId="0" fillId="132" borderId="0" xfId="0" applyFill="1"/>
    <xf numFmtId="0" fontId="48" fillId="0" borderId="28" xfId="13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5" fillId="0" borderId="54" xfId="0" applyFont="1" applyBorder="1" applyAlignment="1">
      <alignment horizontal="center" vertical="center" shrinkToFit="1"/>
    </xf>
    <xf numFmtId="0" fontId="89" fillId="0" borderId="0" xfId="0" applyFont="1" applyAlignment="1">
      <alignment vertical="center"/>
    </xf>
    <xf numFmtId="0" fontId="37" fillId="0" borderId="5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0" xfId="120" applyFont="1" applyAlignment="1" applyProtection="1">
      <alignment vertical="center"/>
    </xf>
    <xf numFmtId="0" fontId="0" fillId="64" borderId="0" xfId="0" applyFill="1"/>
    <xf numFmtId="0" fontId="41" fillId="38" borderId="0" xfId="0" applyFont="1" applyFill="1" applyAlignment="1">
      <alignment horizontal="center" vertical="center"/>
    </xf>
    <xf numFmtId="0" fontId="87" fillId="43" borderId="16" xfId="138" applyFont="1" applyFill="1" applyBorder="1" applyAlignment="1">
      <alignment horizontal="center" vertical="center" shrinkToFit="1"/>
    </xf>
    <xf numFmtId="0" fontId="22" fillId="0" borderId="0" xfId="0" applyFont="1" applyAlignment="1">
      <alignment vertical="center"/>
    </xf>
    <xf numFmtId="0" fontId="45" fillId="80" borderId="0" xfId="118" applyFont="1" applyFill="1" applyAlignment="1">
      <alignment horizontal="center" vertical="center"/>
    </xf>
    <xf numFmtId="0" fontId="90" fillId="111" borderId="0" xfId="118" applyFont="1" applyFill="1" applyAlignment="1">
      <alignment horizontal="center" vertical="center"/>
    </xf>
    <xf numFmtId="0" fontId="0" fillId="0" borderId="59" xfId="0" applyBorder="1"/>
    <xf numFmtId="0" fontId="22" fillId="0" borderId="62" xfId="0" applyFont="1" applyBorder="1"/>
    <xf numFmtId="0" fontId="22" fillId="0" borderId="63" xfId="0" applyFont="1" applyBorder="1"/>
    <xf numFmtId="0" fontId="47" fillId="133" borderId="21" xfId="0" applyFont="1" applyFill="1" applyBorder="1" applyAlignment="1">
      <alignment horizontal="center"/>
    </xf>
    <xf numFmtId="0" fontId="48" fillId="134" borderId="1" xfId="0" applyFont="1" applyFill="1" applyBorder="1" applyAlignment="1">
      <alignment horizontal="center"/>
    </xf>
    <xf numFmtId="0" fontId="50" fillId="135" borderId="21" xfId="0" applyFont="1" applyFill="1" applyBorder="1" applyAlignment="1">
      <alignment horizontal="center"/>
    </xf>
    <xf numFmtId="0" fontId="51" fillId="136" borderId="1" xfId="138" applyFont="1" applyFill="1" applyBorder="1" applyAlignment="1">
      <alignment horizontal="center" vertical="center" shrinkToFit="1"/>
    </xf>
    <xf numFmtId="0" fontId="56" fillId="51" borderId="1" xfId="131" applyFont="1" applyFill="1" applyBorder="1" applyAlignment="1">
      <alignment horizontal="center"/>
    </xf>
    <xf numFmtId="0" fontId="48" fillId="45" borderId="1" xfId="131" applyFont="1" applyFill="1" applyBorder="1" applyAlignment="1">
      <alignment horizontal="center"/>
    </xf>
    <xf numFmtId="0" fontId="48" fillId="137" borderId="1" xfId="131" applyFont="1" applyFill="1" applyBorder="1" applyAlignment="1">
      <alignment horizontal="center"/>
    </xf>
    <xf numFmtId="0" fontId="61" fillId="138" borderId="1" xfId="138" applyFont="1" applyFill="1" applyBorder="1" applyAlignment="1">
      <alignment horizontal="center" vertical="center" shrinkToFit="1"/>
    </xf>
    <xf numFmtId="170" fontId="40" fillId="76" borderId="0" xfId="0" applyNumberFormat="1" applyFont="1" applyFill="1" applyAlignment="1">
      <alignment horizontal="center" vertical="center"/>
    </xf>
    <xf numFmtId="0" fontId="66" fillId="46" borderId="16" xfId="131" applyFont="1" applyFill="1" applyBorder="1" applyAlignment="1">
      <alignment horizontal="center"/>
    </xf>
    <xf numFmtId="0" fontId="53" fillId="139" borderId="21" xfId="0" applyFont="1" applyFill="1" applyBorder="1" applyAlignment="1">
      <alignment horizontal="center"/>
    </xf>
    <xf numFmtId="0" fontId="0" fillId="115" borderId="0" xfId="0" applyFill="1"/>
    <xf numFmtId="0" fontId="35" fillId="83" borderId="39" xfId="0" applyFont="1" applyFill="1" applyBorder="1" applyAlignment="1">
      <alignment horizontal="center" vertical="center" shrinkToFit="1"/>
    </xf>
    <xf numFmtId="0" fontId="61" fillId="140" borderId="1" xfId="138" applyFont="1" applyFill="1" applyBorder="1" applyAlignment="1">
      <alignment horizontal="center" vertical="center" shrinkToFit="1"/>
    </xf>
    <xf numFmtId="0" fontId="0" fillId="76" borderId="0" xfId="0" applyFill="1"/>
    <xf numFmtId="0" fontId="50" fillId="135" borderId="20" xfId="0" applyFont="1" applyFill="1" applyBorder="1" applyAlignment="1">
      <alignment horizontal="center"/>
    </xf>
    <xf numFmtId="0" fontId="50" fillId="135" borderId="41" xfId="0" applyFont="1" applyFill="1" applyBorder="1" applyAlignment="1">
      <alignment horizontal="center"/>
    </xf>
    <xf numFmtId="0" fontId="55" fillId="141" borderId="2" xfId="131" applyFont="1" applyFill="1" applyBorder="1" applyAlignment="1">
      <alignment horizontal="center"/>
    </xf>
    <xf numFmtId="0" fontId="70" fillId="142" borderId="0" xfId="0" applyFont="1" applyFill="1" applyAlignment="1">
      <alignment horizontal="center"/>
    </xf>
    <xf numFmtId="0" fontId="66" fillId="143" borderId="1" xfId="0" applyFont="1" applyFill="1" applyBorder="1" applyAlignment="1">
      <alignment horizontal="center"/>
    </xf>
    <xf numFmtId="0" fontId="66" fillId="38" borderId="16" xfId="131" applyFont="1" applyFill="1" applyBorder="1" applyAlignment="1">
      <alignment horizontal="center"/>
    </xf>
    <xf numFmtId="0" fontId="61" fillId="144" borderId="1" xfId="138" applyFont="1" applyFill="1" applyBorder="1" applyAlignment="1">
      <alignment horizontal="center" vertical="center" shrinkToFit="1"/>
    </xf>
    <xf numFmtId="0" fontId="50" fillId="76" borderId="0" xfId="0" applyFont="1" applyFill="1" applyAlignment="1">
      <alignment horizontal="center"/>
    </xf>
    <xf numFmtId="0" fontId="49" fillId="35" borderId="0" xfId="0" applyFont="1" applyFill="1"/>
    <xf numFmtId="0" fontId="78" fillId="35" borderId="0" xfId="0" applyFont="1" applyFill="1" applyAlignment="1">
      <alignment horizontal="center" vertical="center"/>
    </xf>
    <xf numFmtId="0" fontId="56" fillId="46" borderId="1" xfId="131" applyFont="1" applyFill="1" applyBorder="1" applyAlignment="1">
      <alignment horizontal="center"/>
    </xf>
    <xf numFmtId="0" fontId="32" fillId="76" borderId="0" xfId="0" applyFont="1" applyFill="1" applyAlignment="1">
      <alignment horizontal="center" vertical="center"/>
    </xf>
    <xf numFmtId="0" fontId="32" fillId="35" borderId="0" xfId="0" applyFont="1" applyFill="1" applyAlignment="1">
      <alignment vertical="center"/>
    </xf>
    <xf numFmtId="0" fontId="81" fillId="39" borderId="1" xfId="0" applyFont="1" applyFill="1" applyBorder="1" applyAlignment="1">
      <alignment horizontal="center"/>
    </xf>
    <xf numFmtId="0" fontId="37" fillId="64" borderId="0" xfId="0" applyFont="1" applyFill="1" applyAlignment="1">
      <alignment horizontal="center"/>
    </xf>
    <xf numFmtId="0" fontId="32" fillId="64" borderId="0" xfId="0" applyFont="1" applyFill="1" applyAlignment="1">
      <alignment horizontal="center" vertical="center"/>
    </xf>
    <xf numFmtId="0" fontId="83" fillId="51" borderId="1" xfId="138" applyFont="1" applyFill="1" applyBorder="1" applyAlignment="1">
      <alignment horizontal="center" vertical="center" shrinkToFit="1"/>
    </xf>
    <xf numFmtId="0" fontId="37" fillId="64" borderId="0" xfId="0" applyFont="1" applyFill="1" applyAlignment="1">
      <alignment horizontal="center" vertical="center"/>
    </xf>
    <xf numFmtId="0" fontId="37" fillId="64" borderId="47" xfId="0" applyFont="1" applyFill="1" applyBorder="1" applyAlignment="1">
      <alignment horizontal="center" vertical="center"/>
    </xf>
    <xf numFmtId="0" fontId="0" fillId="115" borderId="48" xfId="0" applyFill="1" applyBorder="1"/>
    <xf numFmtId="0" fontId="88" fillId="37" borderId="1" xfId="131" applyFont="1" applyFill="1" applyBorder="1" applyAlignment="1">
      <alignment horizontal="center"/>
    </xf>
    <xf numFmtId="0" fontId="70" fillId="145" borderId="0" xfId="0" applyFont="1" applyFill="1" applyAlignment="1">
      <alignment horizontal="center"/>
    </xf>
    <xf numFmtId="0" fontId="48" fillId="137" borderId="28" xfId="131" applyFont="1" applyFill="1" applyBorder="1" applyAlignment="1">
      <alignment horizontal="center"/>
    </xf>
    <xf numFmtId="0" fontId="32" fillId="64" borderId="0" xfId="0" applyFont="1" applyFill="1" applyAlignment="1">
      <alignment horizontal="center"/>
    </xf>
    <xf numFmtId="0" fontId="15" fillId="115" borderId="0" xfId="0" applyFont="1" applyFill="1" applyAlignment="1">
      <alignment horizontal="center"/>
    </xf>
    <xf numFmtId="0" fontId="35" fillId="83" borderId="54" xfId="0" applyFont="1" applyFill="1" applyBorder="1" applyAlignment="1">
      <alignment horizontal="center" vertical="center" shrinkToFit="1"/>
    </xf>
    <xf numFmtId="0" fontId="37" fillId="64" borderId="0" xfId="0" applyFont="1" applyFill="1" applyAlignment="1">
      <alignment horizontal="left" vertical="center"/>
    </xf>
    <xf numFmtId="0" fontId="31" fillId="64" borderId="0" xfId="0" applyFont="1" applyFill="1" applyAlignment="1">
      <alignment horizontal="center"/>
    </xf>
    <xf numFmtId="0" fontId="30" fillId="64" borderId="0" xfId="0" applyFont="1" applyFill="1" applyAlignment="1">
      <alignment horizontal="center"/>
    </xf>
    <xf numFmtId="0" fontId="0" fillId="0" borderId="0" xfId="0" applyProtection="1">
      <protection locked="0"/>
    </xf>
    <xf numFmtId="0" fontId="34" fillId="0" borderId="0" xfId="250" applyFont="1" applyAlignment="1" applyProtection="1">
      <alignment horizontal="center" vertical="top" shrinkToFit="1"/>
      <protection locked="0"/>
    </xf>
    <xf numFmtId="0" fontId="92" fillId="0" borderId="0" xfId="250" applyFont="1" applyAlignment="1" applyProtection="1">
      <alignment horizontal="center" vertical="top" shrinkToFit="1"/>
      <protection locked="0"/>
    </xf>
    <xf numFmtId="0" fontId="93" fillId="0" borderId="0" xfId="250" applyFont="1" applyAlignment="1">
      <alignment horizontal="center" vertical="center" shrinkToFit="1"/>
    </xf>
    <xf numFmtId="0" fontId="33" fillId="0" borderId="0" xfId="0" applyFont="1" applyProtection="1">
      <protection locked="0"/>
    </xf>
    <xf numFmtId="0" fontId="6" fillId="0" borderId="0" xfId="138" applyFont="1" applyAlignment="1" applyProtection="1">
      <alignment horizontal="center" vertical="center"/>
      <protection locked="0"/>
    </xf>
    <xf numFmtId="0" fontId="96" fillId="0" borderId="0" xfId="0" applyFont="1" applyProtection="1">
      <protection locked="0"/>
    </xf>
    <xf numFmtId="14" fontId="94" fillId="45" borderId="1" xfId="0" applyNumberFormat="1" applyFont="1" applyFill="1" applyBorder="1" applyAlignment="1" applyProtection="1">
      <alignment horizontal="center" vertical="center" wrapText="1"/>
      <protection locked="0"/>
    </xf>
    <xf numFmtId="0" fontId="95" fillId="0" borderId="1" xfId="0" applyFont="1" applyBorder="1" applyAlignment="1">
      <alignment horizontal="center" vertical="center" wrapText="1"/>
    </xf>
    <xf numFmtId="0" fontId="30" fillId="148" borderId="1" xfId="0" applyFont="1" applyFill="1" applyBorder="1" applyAlignment="1" applyProtection="1">
      <alignment horizontal="center" vertical="center" wrapText="1"/>
      <protection locked="0"/>
    </xf>
    <xf numFmtId="167" fontId="30" fillId="148" borderId="1" xfId="43" applyFont="1" applyFill="1" applyBorder="1" applyAlignment="1" applyProtection="1">
      <alignment horizontal="right" vertical="center"/>
    </xf>
    <xf numFmtId="0" fontId="30" fillId="14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97" fillId="0" borderId="0" xfId="0" applyFont="1" applyAlignment="1" applyProtection="1">
      <alignment horizontal="center" vertical="center"/>
      <protection locked="0"/>
    </xf>
    <xf numFmtId="0" fontId="30" fillId="131" borderId="1" xfId="0" applyFont="1" applyFill="1" applyBorder="1" applyAlignment="1" applyProtection="1">
      <alignment horizontal="center" vertical="center" wrapText="1"/>
      <protection locked="0"/>
    </xf>
    <xf numFmtId="167" fontId="30" fillId="131" borderId="1" xfId="43" applyFont="1" applyFill="1" applyBorder="1" applyAlignment="1" applyProtection="1">
      <alignment horizontal="right" vertical="center"/>
    </xf>
    <xf numFmtId="0" fontId="30" fillId="150" borderId="15" xfId="0" applyFont="1" applyFill="1" applyBorder="1" applyAlignment="1" applyProtection="1">
      <alignment horizontal="center" vertical="center" wrapText="1"/>
      <protection locked="0"/>
    </xf>
    <xf numFmtId="173" fontId="30" fillId="150" borderId="1" xfId="203" applyNumberFormat="1" applyFont="1" applyFill="1" applyBorder="1" applyAlignment="1" applyProtection="1">
      <alignment horizontal="right" vertical="center" wrapText="1"/>
      <protection locked="0"/>
    </xf>
    <xf numFmtId="0" fontId="99" fillId="0" borderId="0" xfId="0" applyFont="1" applyAlignment="1" applyProtection="1">
      <alignment horizontal="center" vertical="center"/>
      <protection locked="0"/>
    </xf>
    <xf numFmtId="0" fontId="30" fillId="151" borderId="1" xfId="0" applyFont="1" applyFill="1" applyBorder="1" applyAlignment="1" applyProtection="1">
      <alignment horizontal="center" vertical="center" wrapText="1"/>
      <protection locked="0"/>
    </xf>
    <xf numFmtId="10" fontId="30" fillId="151" borderId="1" xfId="203" applyNumberFormat="1" applyFont="1" applyFill="1" applyBorder="1" applyAlignment="1" applyProtection="1">
      <alignment horizontal="right" vertical="center"/>
    </xf>
    <xf numFmtId="0" fontId="30" fillId="152" borderId="1" xfId="0" applyFont="1" applyFill="1" applyBorder="1" applyAlignment="1" applyProtection="1">
      <alignment horizontal="center" vertical="center" wrapText="1"/>
      <protection locked="0"/>
    </xf>
    <xf numFmtId="1" fontId="30" fillId="152" borderId="2" xfId="203" applyNumberFormat="1" applyFont="1" applyFill="1" applyBorder="1" applyAlignment="1" applyProtection="1">
      <alignment horizontal="right" vertical="center"/>
    </xf>
    <xf numFmtId="0" fontId="30" fillId="128" borderId="1" xfId="0" applyFont="1" applyFill="1" applyBorder="1" applyAlignment="1" applyProtection="1">
      <alignment horizontal="center" vertical="center" wrapText="1"/>
      <protection locked="0"/>
    </xf>
    <xf numFmtId="1" fontId="30" fillId="128" borderId="1" xfId="203" applyNumberFormat="1" applyFont="1" applyFill="1" applyBorder="1" applyAlignment="1" applyProtection="1">
      <alignment horizontal="right" vertical="center"/>
    </xf>
    <xf numFmtId="0" fontId="95" fillId="0" borderId="0" xfId="0" applyFont="1" applyAlignment="1" applyProtection="1">
      <alignment horizontal="center" wrapText="1"/>
      <protection locked="0"/>
    </xf>
    <xf numFmtId="0" fontId="30" fillId="112" borderId="1" xfId="0" applyFont="1" applyFill="1" applyBorder="1" applyAlignment="1" applyProtection="1">
      <alignment horizontal="center" vertical="center" wrapText="1"/>
      <protection locked="0"/>
    </xf>
    <xf numFmtId="1" fontId="30" fillId="112" borderId="1" xfId="203" applyNumberFormat="1" applyFont="1" applyFill="1" applyBorder="1" applyAlignment="1" applyProtection="1">
      <alignment horizontal="right" vertical="center"/>
    </xf>
    <xf numFmtId="14" fontId="95" fillId="0" borderId="0" xfId="0" applyNumberFormat="1" applyFont="1" applyAlignment="1" applyProtection="1">
      <alignment horizontal="center" wrapText="1"/>
      <protection locked="0"/>
    </xf>
    <xf numFmtId="0" fontId="48" fillId="137" borderId="1" xfId="0" applyFont="1" applyFill="1" applyBorder="1" applyAlignment="1">
      <alignment horizontal="center" vertical="center"/>
    </xf>
    <xf numFmtId="0" fontId="66" fillId="153" borderId="5" xfId="0" applyFont="1" applyFill="1" applyBorder="1" applyAlignment="1">
      <alignment horizontal="center" vertical="center"/>
    </xf>
    <xf numFmtId="0" fontId="83" fillId="0" borderId="15" xfId="150" applyFont="1" applyBorder="1" applyAlignment="1" applyProtection="1">
      <alignment horizontal="left" vertical="center" shrinkToFit="1"/>
      <protection locked="0"/>
    </xf>
    <xf numFmtId="0" fontId="83" fillId="0" borderId="64" xfId="150" applyFont="1" applyBorder="1" applyAlignment="1" applyProtection="1">
      <alignment horizontal="left" vertical="center" shrinkToFit="1"/>
      <protection locked="0"/>
    </xf>
    <xf numFmtId="0" fontId="101" fillId="0" borderId="64" xfId="150" applyFont="1" applyBorder="1" applyAlignment="1" applyProtection="1">
      <alignment vertical="center" shrinkToFit="1"/>
      <protection locked="0"/>
    </xf>
    <xf numFmtId="0" fontId="101" fillId="0" borderId="16" xfId="150" applyFont="1" applyBorder="1" applyAlignment="1" applyProtection="1">
      <alignment vertical="center" shrinkToFit="1"/>
      <protection locked="0"/>
    </xf>
    <xf numFmtId="0" fontId="74" fillId="89" borderId="16" xfId="138" applyFont="1" applyFill="1" applyBorder="1" applyAlignment="1">
      <alignment horizontal="center" vertical="center" shrinkToFit="1"/>
    </xf>
    <xf numFmtId="171" fontId="0" fillId="0" borderId="16" xfId="0" applyNumberFormat="1" applyBorder="1" applyAlignment="1">
      <alignment horizontal="center" vertical="center"/>
    </xf>
    <xf numFmtId="171" fontId="36" fillId="0" borderId="2" xfId="138" applyNumberFormat="1" applyFont="1" applyBorder="1" applyAlignment="1">
      <alignment horizontal="center" vertical="center" shrinkToFit="1"/>
    </xf>
    <xf numFmtId="171" fontId="36" fillId="0" borderId="1" xfId="138" applyNumberFormat="1" applyFont="1" applyBorder="1" applyAlignment="1">
      <alignment horizontal="center" vertical="center" shrinkToFit="1"/>
    </xf>
    <xf numFmtId="0" fontId="46" fillId="70" borderId="16" xfId="138" applyFont="1" applyFill="1" applyBorder="1" applyAlignment="1">
      <alignment horizontal="center" vertical="center" shrinkToFit="1"/>
    </xf>
    <xf numFmtId="0" fontId="101" fillId="148" borderId="64" xfId="150" applyFont="1" applyFill="1" applyBorder="1" applyAlignment="1" applyProtection="1">
      <alignment vertical="center" shrinkToFit="1"/>
      <protection locked="0"/>
    </xf>
    <xf numFmtId="0" fontId="101" fillId="148" borderId="16" xfId="150" applyFont="1" applyFill="1" applyBorder="1" applyAlignment="1" applyProtection="1">
      <alignment vertical="center" shrinkToFit="1"/>
      <protection locked="0"/>
    </xf>
    <xf numFmtId="0" fontId="101" fillId="148" borderId="23" xfId="150" applyFont="1" applyFill="1" applyBorder="1" applyAlignment="1" applyProtection="1">
      <alignment vertical="center" shrinkToFit="1"/>
      <protection locked="0"/>
    </xf>
    <xf numFmtId="171" fontId="0" fillId="148" borderId="16" xfId="0" applyNumberFormat="1" applyFill="1" applyBorder="1" applyAlignment="1">
      <alignment horizontal="center" vertical="center"/>
    </xf>
    <xf numFmtId="171" fontId="36" fillId="148" borderId="1" xfId="138" applyNumberFormat="1" applyFont="1" applyFill="1" applyBorder="1" applyAlignment="1">
      <alignment horizontal="center" vertical="center" shrinkToFit="1"/>
    </xf>
    <xf numFmtId="0" fontId="64" fillId="91" borderId="16" xfId="138" applyFont="1" applyFill="1" applyBorder="1" applyAlignment="1">
      <alignment horizontal="center" vertical="center" shrinkToFit="1"/>
    </xf>
    <xf numFmtId="0" fontId="64" fillId="49" borderId="16" xfId="138" applyFont="1" applyFill="1" applyBorder="1" applyAlignment="1">
      <alignment horizontal="center" vertical="center" shrinkToFit="1"/>
    </xf>
    <xf numFmtId="0" fontId="102" fillId="106" borderId="16" xfId="138" applyFont="1" applyFill="1" applyBorder="1" applyAlignment="1">
      <alignment horizontal="center" vertical="center" shrinkToFit="1"/>
    </xf>
    <xf numFmtId="0" fontId="46" fillId="65" borderId="16" xfId="138" applyFont="1" applyFill="1" applyBorder="1" applyAlignment="1">
      <alignment horizontal="center" vertical="center" shrinkToFit="1"/>
    </xf>
    <xf numFmtId="0" fontId="103" fillId="66" borderId="16" xfId="138" applyFont="1" applyFill="1" applyBorder="1" applyAlignment="1">
      <alignment horizontal="center" vertical="center" shrinkToFit="1"/>
    </xf>
    <xf numFmtId="0" fontId="46" fillId="62" borderId="16" xfId="138" applyFont="1" applyFill="1" applyBorder="1" applyAlignment="1">
      <alignment horizontal="center" vertical="center" shrinkToFit="1"/>
    </xf>
    <xf numFmtId="0" fontId="103" fillId="35" borderId="16" xfId="138" applyFont="1" applyFill="1" applyBorder="1" applyAlignment="1">
      <alignment horizontal="center" vertical="center" shrinkToFit="1"/>
    </xf>
    <xf numFmtId="0" fontId="103" fillId="43" borderId="16" xfId="138" applyFont="1" applyFill="1" applyBorder="1" applyAlignment="1">
      <alignment horizontal="center" vertical="center" shrinkToFit="1"/>
    </xf>
    <xf numFmtId="0" fontId="87" fillId="117" borderId="16" xfId="138" applyFont="1" applyFill="1" applyBorder="1" applyAlignment="1">
      <alignment horizontal="center" vertical="center" shrinkToFit="1"/>
    </xf>
    <xf numFmtId="0" fontId="87" fillId="40" borderId="16" xfId="138" applyFont="1" applyFill="1" applyBorder="1" applyAlignment="1">
      <alignment horizontal="center" vertical="center" shrinkToFit="1"/>
    </xf>
    <xf numFmtId="0" fontId="104" fillId="38" borderId="16" xfId="138" applyFont="1" applyFill="1" applyBorder="1" applyAlignment="1">
      <alignment horizontal="center" vertical="center" shrinkToFit="1"/>
    </xf>
    <xf numFmtId="0" fontId="87" fillId="114" borderId="16" xfId="138" applyFont="1" applyFill="1" applyBorder="1" applyAlignment="1">
      <alignment horizontal="center" vertical="center" shrinkToFit="1"/>
    </xf>
    <xf numFmtId="171" fontId="0" fillId="0" borderId="1" xfId="0" applyNumberFormat="1" applyBorder="1" applyAlignment="1">
      <alignment horizontal="center" vertical="center"/>
    </xf>
    <xf numFmtId="0" fontId="104" fillId="68" borderId="16" xfId="138" applyFont="1" applyFill="1" applyBorder="1" applyAlignment="1">
      <alignment horizontal="center" vertical="center" shrinkToFit="1"/>
    </xf>
    <xf numFmtId="0" fontId="87" fillId="42" borderId="16" xfId="138" applyFont="1" applyFill="1" applyBorder="1" applyAlignment="1">
      <alignment horizontal="center" vertical="center" shrinkToFit="1"/>
    </xf>
    <xf numFmtId="0" fontId="86" fillId="75" borderId="16" xfId="138" applyFont="1" applyFill="1" applyBorder="1" applyAlignment="1">
      <alignment horizontal="center" vertical="center" shrinkToFit="1"/>
    </xf>
    <xf numFmtId="0" fontId="86" fillId="67" borderId="16" xfId="138" applyFont="1" applyFill="1" applyBorder="1" applyAlignment="1">
      <alignment horizontal="center" vertical="center" shrinkToFit="1"/>
    </xf>
    <xf numFmtId="0" fontId="101" fillId="148" borderId="1" xfId="150" applyFont="1" applyFill="1" applyBorder="1" applyAlignment="1" applyProtection="1">
      <alignment vertical="center" shrinkToFit="1"/>
      <protection locked="0"/>
    </xf>
    <xf numFmtId="171" fontId="0" fillId="148" borderId="1" xfId="0" applyNumberFormat="1" applyFill="1" applyBorder="1" applyAlignment="1">
      <alignment horizontal="center" vertical="center"/>
    </xf>
    <xf numFmtId="0" fontId="0" fillId="0" borderId="64" xfId="0" applyBorder="1" applyProtection="1">
      <protection locked="0"/>
    </xf>
    <xf numFmtId="0" fontId="0" fillId="0" borderId="16" xfId="0" applyBorder="1" applyProtection="1">
      <protection locked="0"/>
    </xf>
    <xf numFmtId="0" fontId="64" fillId="92" borderId="16" xfId="138" applyFont="1" applyFill="1" applyBorder="1" applyAlignment="1">
      <alignment horizontal="center" vertical="center" shrinkToFit="1"/>
    </xf>
    <xf numFmtId="0" fontId="46" fillId="69" borderId="16" xfId="138" applyFont="1" applyFill="1" applyBorder="1" applyAlignment="1">
      <alignment horizontal="center" vertical="center" shrinkToFit="1"/>
    </xf>
    <xf numFmtId="0" fontId="105" fillId="70" borderId="16" xfId="138" applyFont="1" applyFill="1" applyBorder="1" applyAlignment="1">
      <alignment horizontal="center" vertical="center" shrinkToFit="1"/>
    </xf>
    <xf numFmtId="0" fontId="64" fillId="50" borderId="16" xfId="138" applyFont="1" applyFill="1" applyBorder="1" applyAlignment="1">
      <alignment horizontal="center" vertical="center" shrinkToFit="1"/>
    </xf>
    <xf numFmtId="0" fontId="64" fillId="71" borderId="16" xfId="138" applyFont="1" applyFill="1" applyBorder="1" applyAlignment="1">
      <alignment horizontal="center" vertical="center" shrinkToFit="1"/>
    </xf>
    <xf numFmtId="0" fontId="106" fillId="72" borderId="16" xfId="138" applyFont="1" applyFill="1" applyBorder="1" applyAlignment="1">
      <alignment horizontal="center" vertical="center" shrinkToFit="1"/>
    </xf>
    <xf numFmtId="0" fontId="107" fillId="72" borderId="16" xfId="138" applyFont="1" applyFill="1" applyBorder="1" applyAlignment="1">
      <alignment horizontal="center" vertical="center" shrinkToFit="1"/>
    </xf>
    <xf numFmtId="0" fontId="108" fillId="72" borderId="16" xfId="138" applyFont="1" applyFill="1" applyBorder="1" applyAlignment="1">
      <alignment horizontal="center" vertical="center" shrinkToFit="1"/>
    </xf>
    <xf numFmtId="0" fontId="46" fillId="67" borderId="16" xfId="138" applyFont="1" applyFill="1" applyBorder="1" applyAlignment="1">
      <alignment horizontal="center" vertical="center" shrinkToFit="1"/>
    </xf>
    <xf numFmtId="0" fontId="64" fillId="41" borderId="16" xfId="138" applyFont="1" applyFill="1" applyBorder="1" applyAlignment="1">
      <alignment horizontal="center" vertical="center" shrinkToFit="1"/>
    </xf>
    <xf numFmtId="0" fontId="109" fillId="111" borderId="16" xfId="138" applyFont="1" applyFill="1" applyBorder="1" applyAlignment="1">
      <alignment horizontal="center" vertical="center" shrinkToFit="1"/>
    </xf>
    <xf numFmtId="0" fontId="64" fillId="51" borderId="16" xfId="138" applyFont="1" applyFill="1" applyBorder="1" applyAlignment="1">
      <alignment horizontal="center" vertical="center" shrinkToFit="1"/>
    </xf>
    <xf numFmtId="0" fontId="64" fillId="52" borderId="16" xfId="138" applyFont="1" applyFill="1" applyBorder="1" applyAlignment="1">
      <alignment horizontal="center" vertical="center" shrinkToFit="1"/>
    </xf>
    <xf numFmtId="0" fontId="85" fillId="53" borderId="16" xfId="138" applyFont="1" applyFill="1" applyBorder="1" applyAlignment="1">
      <alignment horizontal="center" vertical="center" shrinkToFit="1"/>
    </xf>
    <xf numFmtId="0" fontId="85" fillId="93" borderId="16" xfId="138" applyFont="1" applyFill="1" applyBorder="1" applyAlignment="1">
      <alignment horizontal="center" vertical="center" shrinkToFit="1"/>
    </xf>
    <xf numFmtId="0" fontId="64" fillId="94" borderId="16" xfId="138" applyFont="1" applyFill="1" applyBorder="1" applyAlignment="1">
      <alignment horizontal="center" vertical="center" shrinkToFit="1"/>
    </xf>
    <xf numFmtId="0" fontId="110" fillId="54" borderId="16" xfId="138" applyFont="1" applyFill="1" applyBorder="1" applyAlignment="1">
      <alignment horizontal="center" vertical="center" shrinkToFit="1"/>
    </xf>
    <xf numFmtId="0" fontId="110" fillId="55" borderId="16" xfId="138" applyFont="1" applyFill="1" applyBorder="1" applyAlignment="1">
      <alignment horizontal="center" vertical="center" shrinkToFit="1"/>
    </xf>
    <xf numFmtId="0" fontId="46" fillId="110" borderId="16" xfId="138" applyFont="1" applyFill="1" applyBorder="1" applyAlignment="1">
      <alignment horizontal="center" vertical="center" shrinkToFit="1"/>
    </xf>
    <xf numFmtId="0" fontId="64" fillId="56" borderId="16" xfId="138" applyFont="1" applyFill="1" applyBorder="1" applyAlignment="1">
      <alignment horizontal="center" vertical="center" shrinkToFit="1"/>
    </xf>
    <xf numFmtId="0" fontId="84" fillId="57" borderId="16" xfId="138" applyFont="1" applyFill="1" applyBorder="1" applyAlignment="1">
      <alignment horizontal="center" vertical="center" shrinkToFit="1"/>
    </xf>
    <xf numFmtId="0" fontId="64" fillId="113" borderId="16" xfId="138" applyFont="1" applyFill="1" applyBorder="1" applyAlignment="1">
      <alignment horizontal="center" vertical="center" shrinkToFit="1"/>
    </xf>
    <xf numFmtId="0" fontId="87" fillId="107" borderId="16" xfId="138" applyFont="1" applyFill="1" applyBorder="1" applyAlignment="1">
      <alignment horizontal="center" vertical="center" shrinkToFit="1"/>
    </xf>
    <xf numFmtId="0" fontId="111" fillId="108" borderId="16" xfId="138" applyFont="1" applyFill="1" applyBorder="1" applyAlignment="1">
      <alignment horizontal="center" vertical="center" shrinkToFit="1"/>
    </xf>
    <xf numFmtId="0" fontId="64" fillId="95" borderId="16" xfId="138" applyFont="1" applyFill="1" applyBorder="1" applyAlignment="1">
      <alignment horizontal="center" vertical="center" shrinkToFit="1"/>
    </xf>
    <xf numFmtId="0" fontId="64" fillId="58" borderId="16" xfId="138" applyFont="1" applyFill="1" applyBorder="1" applyAlignment="1">
      <alignment horizontal="center" vertical="center" shrinkToFit="1"/>
    </xf>
    <xf numFmtId="0" fontId="64" fillId="96" borderId="16" xfId="138" applyFont="1" applyFill="1" applyBorder="1" applyAlignment="1">
      <alignment horizontal="center" vertical="center" shrinkToFit="1"/>
    </xf>
    <xf numFmtId="0" fontId="64" fillId="97" borderId="16" xfId="138" applyFont="1" applyFill="1" applyBorder="1" applyAlignment="1">
      <alignment horizontal="center" vertical="center" shrinkToFit="1"/>
    </xf>
    <xf numFmtId="0" fontId="85" fillId="98" borderId="16" xfId="138" applyFont="1" applyFill="1" applyBorder="1" applyAlignment="1">
      <alignment horizontal="center" vertical="center" shrinkToFit="1"/>
    </xf>
    <xf numFmtId="0" fontId="46" fillId="99" borderId="16" xfId="138" applyFont="1" applyFill="1" applyBorder="1" applyAlignment="1">
      <alignment horizontal="center" vertical="center" shrinkToFit="1"/>
    </xf>
    <xf numFmtId="0" fontId="46" fillId="74" borderId="16" xfId="138" applyFont="1" applyFill="1" applyBorder="1" applyAlignment="1">
      <alignment horizontal="center" vertical="center" shrinkToFit="1"/>
    </xf>
    <xf numFmtId="0" fontId="112" fillId="35" borderId="16" xfId="138" applyFont="1" applyFill="1" applyBorder="1" applyAlignment="1">
      <alignment horizontal="center" vertical="center" shrinkToFit="1"/>
    </xf>
    <xf numFmtId="0" fontId="113" fillId="100" borderId="16" xfId="138" applyFont="1" applyFill="1" applyBorder="1" applyAlignment="1">
      <alignment horizontal="center" vertical="center" shrinkToFit="1"/>
    </xf>
    <xf numFmtId="0" fontId="85" fillId="102" borderId="16" xfId="138" applyFont="1" applyFill="1" applyBorder="1" applyAlignment="1">
      <alignment horizontal="center" vertical="center" shrinkToFit="1"/>
    </xf>
    <xf numFmtId="0" fontId="85" fillId="103" borderId="16" xfId="138" applyFont="1" applyFill="1" applyBorder="1" applyAlignment="1">
      <alignment horizontal="center" vertical="center" shrinkToFit="1"/>
    </xf>
    <xf numFmtId="0" fontId="85" fillId="104" borderId="16" xfId="138" applyFont="1" applyFill="1" applyBorder="1" applyAlignment="1">
      <alignment horizontal="center" vertical="center" shrinkToFit="1"/>
    </xf>
    <xf numFmtId="0" fontId="114" fillId="59" borderId="16" xfId="138" applyFont="1" applyFill="1" applyBorder="1" applyAlignment="1">
      <alignment horizontal="center" vertical="center" shrinkToFit="1"/>
    </xf>
    <xf numFmtId="0" fontId="114" fillId="60" borderId="16" xfId="138" applyFont="1" applyFill="1" applyBorder="1" applyAlignment="1">
      <alignment horizontal="center" vertical="center" shrinkToFit="1"/>
    </xf>
    <xf numFmtId="0" fontId="46" fillId="57" borderId="16" xfId="138" applyFont="1" applyFill="1" applyBorder="1" applyAlignment="1">
      <alignment horizontal="center" vertical="center" shrinkToFit="1"/>
    </xf>
    <xf numFmtId="0" fontId="46" fillId="61" borderId="16" xfId="138" applyFont="1" applyFill="1" applyBorder="1" applyAlignment="1">
      <alignment horizontal="center" vertical="center" shrinkToFit="1"/>
    </xf>
    <xf numFmtId="0" fontId="102" fillId="73" borderId="16" xfId="138" applyFont="1" applyFill="1" applyBorder="1" applyAlignment="1">
      <alignment horizontal="center" vertical="center" shrinkToFit="1"/>
    </xf>
    <xf numFmtId="0" fontId="115" fillId="80" borderId="16" xfId="138" applyFont="1" applyFill="1" applyBorder="1" applyAlignment="1">
      <alignment horizontal="center" vertical="center" shrinkToFit="1"/>
    </xf>
    <xf numFmtId="0" fontId="64" fillId="63" borderId="16" xfId="138" applyFont="1" applyFill="1" applyBorder="1" applyAlignment="1">
      <alignment horizontal="center" vertical="center" shrinkToFit="1"/>
    </xf>
    <xf numFmtId="0" fontId="64" fillId="64" borderId="16" xfId="138" applyFont="1" applyFill="1" applyBorder="1" applyAlignment="1">
      <alignment horizontal="center" vertical="center" shrinkToFit="1"/>
    </xf>
    <xf numFmtId="0" fontId="64" fillId="105" borderId="16" xfId="138" applyFont="1" applyFill="1" applyBorder="1" applyAlignment="1">
      <alignment horizontal="center" vertical="center" shrinkToFit="1"/>
    </xf>
    <xf numFmtId="0" fontId="64" fillId="109" borderId="16" xfId="138" applyFont="1" applyFill="1" applyBorder="1" applyAlignment="1">
      <alignment horizontal="center" vertical="center" shrinkToFit="1"/>
    </xf>
    <xf numFmtId="0" fontId="101" fillId="0" borderId="15" xfId="150" applyFont="1" applyBorder="1" applyAlignment="1" applyProtection="1">
      <alignment vertical="center" shrinkToFit="1"/>
      <protection locked="0"/>
    </xf>
    <xf numFmtId="0" fontId="101" fillId="0" borderId="23" xfId="150" applyFont="1" applyBorder="1" applyAlignment="1" applyProtection="1">
      <alignment vertical="center" shrinkToFit="1"/>
      <protection locked="0"/>
    </xf>
    <xf numFmtId="0" fontId="101" fillId="0" borderId="1" xfId="150" applyFont="1" applyBorder="1" applyAlignment="1" applyProtection="1">
      <alignment vertical="center" shrinkToFit="1"/>
      <protection locked="0"/>
    </xf>
    <xf numFmtId="0" fontId="80" fillId="0" borderId="4" xfId="0" applyFont="1" applyBorder="1" applyAlignment="1" applyProtection="1">
      <alignment horizontal="center"/>
      <protection locked="0"/>
    </xf>
    <xf numFmtId="0" fontId="80" fillId="0" borderId="30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/>
      <protection locked="0"/>
    </xf>
    <xf numFmtId="0" fontId="98" fillId="0" borderId="0" xfId="0" applyFont="1" applyAlignment="1">
      <alignment horizontal="center"/>
    </xf>
    <xf numFmtId="0" fontId="42" fillId="0" borderId="3" xfId="0" applyFont="1" applyBorder="1" applyAlignment="1" applyProtection="1">
      <alignment horizontal="center" vertical="center"/>
      <protection locked="0"/>
    </xf>
    <xf numFmtId="0" fontId="42" fillId="0" borderId="73" xfId="0" applyFont="1" applyBorder="1" applyAlignment="1" applyProtection="1">
      <alignment horizontal="center" vertical="center"/>
      <protection locked="0"/>
    </xf>
    <xf numFmtId="0" fontId="42" fillId="0" borderId="74" xfId="0" applyFont="1" applyBorder="1" applyAlignment="1" applyProtection="1">
      <alignment horizontal="center" vertical="center"/>
      <protection locked="0"/>
    </xf>
    <xf numFmtId="0" fontId="35" fillId="154" borderId="78" xfId="150" applyFont="1" applyFill="1" applyBorder="1" applyAlignment="1">
      <alignment horizontal="center" vertical="center" shrinkToFit="1"/>
    </xf>
    <xf numFmtId="171" fontId="0" fillId="0" borderId="79" xfId="0" applyNumberFormat="1" applyBorder="1" applyAlignment="1">
      <alignment horizontal="center" vertical="center"/>
    </xf>
    <xf numFmtId="171" fontId="0" fillId="0" borderId="80" xfId="225" applyNumberFormat="1" applyFont="1" applyFill="1" applyBorder="1" applyAlignment="1" applyProtection="1">
      <alignment horizontal="center" vertical="center"/>
    </xf>
    <xf numFmtId="0" fontId="48" fillId="155" borderId="0" xfId="0" applyFont="1" applyFill="1" applyAlignment="1">
      <alignment horizontal="center" vertical="center"/>
    </xf>
    <xf numFmtId="0" fontId="118" fillId="76" borderId="16" xfId="131" applyFont="1" applyFill="1" applyBorder="1" applyAlignment="1">
      <alignment horizontal="center"/>
    </xf>
    <xf numFmtId="0" fontId="117" fillId="47" borderId="16" xfId="131" applyFont="1" applyFill="1" applyBorder="1" applyAlignment="1">
      <alignment horizontal="center"/>
    </xf>
    <xf numFmtId="0" fontId="66" fillId="87" borderId="16" xfId="131" applyFont="1" applyFill="1" applyBorder="1" applyAlignment="1">
      <alignment horizontal="center"/>
    </xf>
    <xf numFmtId="0" fontId="48" fillId="53" borderId="16" xfId="131" applyFont="1" applyFill="1" applyBorder="1" applyAlignment="1">
      <alignment horizontal="center"/>
    </xf>
    <xf numFmtId="0" fontId="66" fillId="37" borderId="16" xfId="131" applyFont="1" applyFill="1" applyBorder="1" applyAlignment="1">
      <alignment horizontal="center"/>
    </xf>
    <xf numFmtId="0" fontId="66" fillId="156" borderId="16" xfId="131" applyFont="1" applyFill="1" applyBorder="1" applyAlignment="1">
      <alignment horizontal="center"/>
    </xf>
    <xf numFmtId="0" fontId="66" fillId="41" borderId="16" xfId="131" applyFont="1" applyFill="1" applyBorder="1" applyAlignment="1">
      <alignment horizontal="center"/>
    </xf>
    <xf numFmtId="0" fontId="119" fillId="157" borderId="16" xfId="138" applyFont="1" applyFill="1" applyBorder="1" applyAlignment="1">
      <alignment horizontal="center" vertical="center" shrinkToFit="1"/>
    </xf>
    <xf numFmtId="0" fontId="66" fillId="37" borderId="1" xfId="131" applyFont="1" applyFill="1" applyBorder="1" applyAlignment="1">
      <alignment horizontal="center"/>
    </xf>
    <xf numFmtId="0" fontId="119" fillId="158" borderId="16" xfId="138" applyFont="1" applyFill="1" applyBorder="1" applyAlignment="1">
      <alignment horizontal="center" vertical="center" shrinkToFit="1"/>
    </xf>
    <xf numFmtId="0" fontId="119" fillId="159" borderId="16" xfId="138" applyFont="1" applyFill="1" applyBorder="1" applyAlignment="1">
      <alignment horizontal="center" vertical="center" shrinkToFit="1"/>
    </xf>
    <xf numFmtId="0" fontId="61" fillId="160" borderId="16" xfId="138" applyFont="1" applyFill="1" applyBorder="1" applyAlignment="1">
      <alignment horizontal="center" vertical="center" shrinkToFit="1"/>
    </xf>
    <xf numFmtId="0" fontId="83" fillId="161" borderId="16" xfId="138" applyFont="1" applyFill="1" applyBorder="1" applyAlignment="1">
      <alignment horizontal="center" vertical="center" shrinkToFit="1"/>
    </xf>
    <xf numFmtId="0" fontId="61" fillId="162" borderId="16" xfId="138" applyFont="1" applyFill="1" applyBorder="1" applyAlignment="1">
      <alignment horizontal="center" vertical="center" shrinkToFit="1"/>
    </xf>
    <xf numFmtId="0" fontId="61" fillId="163" borderId="16" xfId="138" applyFont="1" applyFill="1" applyBorder="1" applyAlignment="1">
      <alignment horizontal="center" vertical="center" shrinkToFit="1"/>
    </xf>
    <xf numFmtId="0" fontId="66" fillId="141" borderId="1" xfId="0" applyFont="1" applyFill="1" applyBorder="1" applyAlignment="1">
      <alignment horizontal="center"/>
    </xf>
    <xf numFmtId="0" fontId="83" fillId="43" borderId="1" xfId="138" applyFont="1" applyFill="1" applyBorder="1" applyAlignment="1">
      <alignment horizontal="center" vertical="center" shrinkToFit="1"/>
    </xf>
    <xf numFmtId="0" fontId="120" fillId="164" borderId="1" xfId="0" applyFont="1" applyFill="1" applyBorder="1" applyAlignment="1">
      <alignment horizontal="center"/>
    </xf>
    <xf numFmtId="0" fontId="66" fillId="164" borderId="1" xfId="0" applyFont="1" applyFill="1" applyBorder="1" applyAlignment="1">
      <alignment horizontal="center"/>
    </xf>
    <xf numFmtId="0" fontId="66" fillId="64" borderId="1" xfId="0" applyFont="1" applyFill="1" applyBorder="1" applyAlignment="1">
      <alignment horizontal="center"/>
    </xf>
    <xf numFmtId="0" fontId="83" fillId="153" borderId="1" xfId="138" applyFont="1" applyFill="1" applyBorder="1" applyAlignment="1">
      <alignment horizontal="center" vertical="center" shrinkToFit="1"/>
    </xf>
    <xf numFmtId="0" fontId="117" fillId="112" borderId="1" xfId="0" applyFont="1" applyFill="1" applyBorder="1" applyAlignment="1">
      <alignment horizontal="center"/>
    </xf>
    <xf numFmtId="0" fontId="83" fillId="165" borderId="1" xfId="138" applyFont="1" applyFill="1" applyBorder="1" applyAlignment="1">
      <alignment horizontal="center" vertical="center" shrinkToFit="1"/>
    </xf>
    <xf numFmtId="0" fontId="61" fillId="44" borderId="1" xfId="138" applyFont="1" applyFill="1" applyBorder="1" applyAlignment="1">
      <alignment horizontal="center" vertical="center" shrinkToFit="1"/>
    </xf>
    <xf numFmtId="0" fontId="55" fillId="64" borderId="1" xfId="0" applyFont="1" applyFill="1" applyBorder="1" applyAlignment="1">
      <alignment horizontal="center"/>
    </xf>
    <xf numFmtId="0" fontId="119" fillId="157" borderId="1" xfId="138" applyFont="1" applyFill="1" applyBorder="1" applyAlignment="1">
      <alignment horizontal="center" vertical="center" shrinkToFit="1"/>
    </xf>
    <xf numFmtId="0" fontId="121" fillId="147" borderId="1" xfId="131" applyFont="1" applyFill="1" applyBorder="1" applyAlignment="1">
      <alignment horizontal="center"/>
    </xf>
    <xf numFmtId="0" fontId="61" fillId="166" borderId="1" xfId="138" applyFont="1" applyFill="1" applyBorder="1" applyAlignment="1">
      <alignment horizontal="center" vertical="center" shrinkToFit="1"/>
    </xf>
    <xf numFmtId="0" fontId="55" fillId="35" borderId="16" xfId="0" applyFont="1" applyFill="1" applyBorder="1" applyAlignment="1">
      <alignment horizontal="center"/>
    </xf>
    <xf numFmtId="0" fontId="120" fillId="167" borderId="1" xfId="0" applyFont="1" applyFill="1" applyBorder="1" applyAlignment="1">
      <alignment horizontal="center"/>
    </xf>
    <xf numFmtId="0" fontId="66" fillId="168" borderId="1" xfId="0" applyFont="1" applyFill="1" applyBorder="1" applyAlignment="1">
      <alignment horizontal="center"/>
    </xf>
    <xf numFmtId="0" fontId="83" fillId="161" borderId="1" xfId="138" applyFont="1" applyFill="1" applyBorder="1" applyAlignment="1">
      <alignment horizontal="center" vertical="center" shrinkToFit="1"/>
    </xf>
    <xf numFmtId="0" fontId="66" fillId="35" borderId="1" xfId="0" applyFont="1" applyFill="1" applyBorder="1" applyAlignment="1">
      <alignment horizontal="center"/>
    </xf>
    <xf numFmtId="0" fontId="48" fillId="37" borderId="1" xfId="0" applyFont="1" applyFill="1" applyBorder="1" applyAlignment="1">
      <alignment horizontal="center"/>
    </xf>
    <xf numFmtId="0" fontId="122" fillId="137" borderId="1" xfId="138" applyFont="1" applyFill="1" applyBorder="1" applyAlignment="1">
      <alignment horizontal="center" vertical="center" shrinkToFit="1"/>
    </xf>
    <xf numFmtId="0" fontId="123" fillId="137" borderId="1" xfId="138" applyFont="1" applyFill="1" applyBorder="1" applyAlignment="1">
      <alignment horizontal="center" vertical="center" shrinkToFit="1"/>
    </xf>
    <xf numFmtId="0" fontId="124" fillId="39" borderId="1" xfId="138" applyFont="1" applyFill="1" applyBorder="1" applyAlignment="1">
      <alignment horizontal="center" vertical="center" shrinkToFit="1"/>
    </xf>
    <xf numFmtId="0" fontId="119" fillId="169" borderId="1" xfId="138" applyFont="1" applyFill="1" applyBorder="1" applyAlignment="1" applyProtection="1">
      <alignment horizontal="center" vertical="center" shrinkToFit="1"/>
      <protection locked="0"/>
    </xf>
    <xf numFmtId="0" fontId="66" fillId="53" borderId="1" xfId="0" applyFont="1" applyFill="1" applyBorder="1" applyAlignment="1">
      <alignment horizontal="center"/>
    </xf>
    <xf numFmtId="0" fontId="123" fillId="41" borderId="1" xfId="138" applyFont="1" applyFill="1" applyBorder="1" applyAlignment="1" applyProtection="1">
      <alignment horizontal="center" vertical="center" shrinkToFit="1"/>
      <protection locked="0"/>
    </xf>
    <xf numFmtId="0" fontId="119" fillId="170" borderId="1" xfId="138" applyFont="1" applyFill="1" applyBorder="1" applyAlignment="1">
      <alignment horizontal="center" vertical="center" shrinkToFit="1"/>
    </xf>
    <xf numFmtId="0" fontId="66" fillId="36" borderId="1" xfId="0" applyFont="1" applyFill="1" applyBorder="1" applyAlignment="1">
      <alignment horizontal="center"/>
    </xf>
    <xf numFmtId="0" fontId="66" fillId="39" borderId="1" xfId="0" applyFont="1" applyFill="1" applyBorder="1" applyAlignment="1">
      <alignment horizontal="center"/>
    </xf>
    <xf numFmtId="0" fontId="55" fillId="141" borderId="1" xfId="131" applyFont="1" applyFill="1" applyBorder="1" applyAlignment="1">
      <alignment horizontal="center"/>
    </xf>
    <xf numFmtId="0" fontId="66" fillId="41" borderId="1" xfId="0" applyFont="1" applyFill="1" applyBorder="1" applyAlignment="1">
      <alignment horizontal="center"/>
    </xf>
    <xf numFmtId="0" fontId="66" fillId="138" borderId="1" xfId="0" applyFont="1" applyFill="1" applyBorder="1" applyAlignment="1">
      <alignment horizontal="center"/>
    </xf>
    <xf numFmtId="0" fontId="119" fillId="171" borderId="1" xfId="138" applyFont="1" applyFill="1" applyBorder="1" applyAlignment="1">
      <alignment horizontal="center" vertical="center" shrinkToFit="1"/>
    </xf>
    <xf numFmtId="0" fontId="119" fillId="172" borderId="1" xfId="138" applyFont="1" applyFill="1" applyBorder="1" applyAlignment="1">
      <alignment horizontal="center" vertical="center" shrinkToFit="1"/>
    </xf>
    <xf numFmtId="0" fontId="61" fillId="173" borderId="1" xfId="138" applyFont="1" applyFill="1" applyBorder="1" applyAlignment="1">
      <alignment horizontal="center" vertical="center" shrinkToFit="1"/>
    </xf>
    <xf numFmtId="0" fontId="66" fillId="40" borderId="1" xfId="0" applyFont="1" applyFill="1" applyBorder="1" applyAlignment="1">
      <alignment horizontal="center"/>
    </xf>
    <xf numFmtId="0" fontId="66" fillId="117" borderId="1" xfId="131" applyFont="1" applyFill="1" applyBorder="1" applyAlignment="1">
      <alignment horizontal="center"/>
    </xf>
    <xf numFmtId="0" fontId="66" fillId="174" borderId="1" xfId="0" applyFont="1" applyFill="1" applyBorder="1" applyAlignment="1">
      <alignment horizontal="center"/>
    </xf>
    <xf numFmtId="0" fontId="119" fillId="175" borderId="1" xfId="138" applyFont="1" applyFill="1" applyBorder="1" applyAlignment="1">
      <alignment horizontal="center" vertical="center" shrinkToFit="1"/>
    </xf>
    <xf numFmtId="0" fontId="61" fillId="176" borderId="1" xfId="138" applyFont="1" applyFill="1" applyBorder="1" applyAlignment="1">
      <alignment horizontal="center" vertical="center" shrinkToFit="1"/>
    </xf>
    <xf numFmtId="0" fontId="66" fillId="75" borderId="1" xfId="0" applyFont="1" applyFill="1" applyBorder="1" applyAlignment="1">
      <alignment horizontal="center"/>
    </xf>
    <xf numFmtId="0" fontId="66" fillId="177" borderId="1" xfId="0" applyFont="1" applyFill="1" applyBorder="1" applyAlignment="1">
      <alignment horizontal="center"/>
    </xf>
    <xf numFmtId="0" fontId="83" fillId="178" borderId="1" xfId="138" applyFont="1" applyFill="1" applyBorder="1" applyAlignment="1">
      <alignment horizontal="center" vertical="center" shrinkToFit="1"/>
    </xf>
    <xf numFmtId="0" fontId="66" fillId="149" borderId="1" xfId="0" applyFont="1" applyFill="1" applyBorder="1" applyAlignment="1">
      <alignment horizontal="center"/>
    </xf>
    <xf numFmtId="0" fontId="61" fillId="158" borderId="1" xfId="138" applyFont="1" applyFill="1" applyBorder="1" applyAlignment="1">
      <alignment horizontal="center" vertical="center" shrinkToFit="1"/>
    </xf>
    <xf numFmtId="0" fontId="123" fillId="179" borderId="1" xfId="138" applyFont="1" applyFill="1" applyBorder="1" applyAlignment="1">
      <alignment horizontal="center" vertical="center" shrinkToFit="1"/>
    </xf>
    <xf numFmtId="0" fontId="61" fillId="180" borderId="1" xfId="138" applyFont="1" applyFill="1" applyBorder="1" applyAlignment="1">
      <alignment horizontal="center" vertical="center" shrinkToFit="1"/>
    </xf>
    <xf numFmtId="0" fontId="83" fillId="151" borderId="1" xfId="138" applyFont="1" applyFill="1" applyBorder="1" applyAlignment="1">
      <alignment horizontal="center" vertical="center" shrinkToFit="1"/>
    </xf>
    <xf numFmtId="0" fontId="66" fillId="147" borderId="1" xfId="0" applyFont="1" applyFill="1" applyBorder="1" applyAlignment="1">
      <alignment horizontal="center"/>
    </xf>
    <xf numFmtId="171" fontId="0" fillId="0" borderId="81" xfId="225" applyNumberFormat="1" applyFont="1" applyFill="1" applyBorder="1" applyAlignment="1" applyProtection="1">
      <alignment horizontal="center" vertical="center"/>
    </xf>
    <xf numFmtId="172" fontId="125" fillId="0" borderId="3" xfId="0" applyNumberFormat="1" applyFont="1" applyBorder="1" applyAlignment="1">
      <alignment horizontal="center" vertical="center"/>
    </xf>
    <xf numFmtId="172" fontId="39" fillId="181" borderId="1" xfId="138" applyNumberFormat="1" applyFont="1" applyFill="1" applyBorder="1" applyAlignment="1">
      <alignment vertical="center" shrinkToFit="1"/>
    </xf>
    <xf numFmtId="0" fontId="12" fillId="46" borderId="0" xfId="0" applyFont="1" applyFill="1" applyAlignment="1">
      <alignment horizontal="center" vertical="center"/>
    </xf>
    <xf numFmtId="0" fontId="22" fillId="0" borderId="29" xfId="0" applyFont="1" applyBorder="1"/>
    <xf numFmtId="0" fontId="22" fillId="0" borderId="36" xfId="0" applyFont="1" applyBorder="1"/>
    <xf numFmtId="0" fontId="22" fillId="0" borderId="56" xfId="0" applyFont="1" applyBorder="1"/>
    <xf numFmtId="0" fontId="22" fillId="0" borderId="51" xfId="0" applyFont="1" applyBorder="1"/>
    <xf numFmtId="0" fontId="22" fillId="0" borderId="52" xfId="0" applyFont="1" applyBorder="1"/>
    <xf numFmtId="0" fontId="43" fillId="76" borderId="36" xfId="0" applyFont="1" applyFill="1" applyBorder="1"/>
    <xf numFmtId="0" fontId="41" fillId="182" borderId="0" xfId="0" applyFont="1" applyFill="1" applyAlignment="1">
      <alignment horizontal="center" vertical="center"/>
    </xf>
    <xf numFmtId="0" fontId="55" fillId="76" borderId="0" xfId="131" applyFont="1" applyFill="1"/>
    <xf numFmtId="0" fontId="53" fillId="139" borderId="17" xfId="0" applyFont="1" applyFill="1" applyBorder="1" applyAlignment="1">
      <alignment horizontal="center"/>
    </xf>
    <xf numFmtId="0" fontId="43" fillId="35" borderId="0" xfId="0" applyFont="1" applyFill="1" applyAlignment="1">
      <alignment vertical="center"/>
    </xf>
    <xf numFmtId="0" fontId="0" fillId="0" borderId="52" xfId="0" applyBorder="1"/>
    <xf numFmtId="0" fontId="22" fillId="0" borderId="27" xfId="0" applyFont="1" applyBorder="1"/>
    <xf numFmtId="0" fontId="22" fillId="0" borderId="38" xfId="0" applyFont="1" applyBorder="1"/>
    <xf numFmtId="0" fontId="0" fillId="0" borderId="26" xfId="0" applyBorder="1"/>
    <xf numFmtId="0" fontId="71" fillId="182" borderId="0" xfId="251" applyFont="1" applyFill="1" applyAlignment="1" applyProtection="1">
      <alignment horizontal="center" vertical="center"/>
    </xf>
    <xf numFmtId="0" fontId="74" fillId="119" borderId="16" xfId="138" applyFont="1" applyFill="1" applyBorder="1" applyAlignment="1">
      <alignment horizontal="center" vertical="center" shrinkToFit="1"/>
    </xf>
    <xf numFmtId="0" fontId="128" fillId="118" borderId="16" xfId="138" applyFont="1" applyFill="1" applyBorder="1" applyAlignment="1">
      <alignment horizontal="center" vertical="center" shrinkToFit="1"/>
    </xf>
    <xf numFmtId="0" fontId="129" fillId="178" borderId="16" xfId="138" applyFont="1" applyFill="1" applyBorder="1" applyAlignment="1">
      <alignment horizontal="center" vertical="center" shrinkToFit="1"/>
    </xf>
    <xf numFmtId="0" fontId="104" fillId="64" borderId="16" xfId="138" applyFont="1" applyFill="1" applyBorder="1" applyAlignment="1">
      <alignment horizontal="center" vertical="center" shrinkToFit="1"/>
    </xf>
    <xf numFmtId="0" fontId="43" fillId="0" borderId="36" xfId="0" applyFont="1" applyBorder="1"/>
    <xf numFmtId="0" fontId="55" fillId="0" borderId="0" xfId="131" applyFont="1"/>
    <xf numFmtId="0" fontId="53" fillId="0" borderId="17" xfId="0" applyFont="1" applyBorder="1" applyAlignment="1">
      <alignment horizontal="center"/>
    </xf>
    <xf numFmtId="0" fontId="43" fillId="0" borderId="0" xfId="0" applyFont="1" applyAlignment="1">
      <alignment vertical="center"/>
    </xf>
    <xf numFmtId="0" fontId="40" fillId="0" borderId="0" xfId="0" applyFont="1" applyAlignment="1">
      <alignment horizontal="center" vertical="center" textRotation="90"/>
    </xf>
    <xf numFmtId="0" fontId="40" fillId="0" borderId="0" xfId="0" applyFont="1" applyAlignment="1">
      <alignment vertical="center" textRotation="90"/>
    </xf>
    <xf numFmtId="0" fontId="44" fillId="51" borderId="4" xfId="0" applyFont="1" applyFill="1" applyBorder="1" applyAlignment="1">
      <alignment horizontal="center" vertical="center"/>
    </xf>
    <xf numFmtId="0" fontId="44" fillId="51" borderId="30" xfId="0" applyFont="1" applyFill="1" applyBorder="1" applyAlignment="1">
      <alignment horizontal="center" vertical="center"/>
    </xf>
    <xf numFmtId="0" fontId="44" fillId="51" borderId="5" xfId="0" applyFont="1" applyFill="1" applyBorder="1" applyAlignment="1">
      <alignment horizontal="center" vertical="center"/>
    </xf>
    <xf numFmtId="0" fontId="38" fillId="0" borderId="85" xfId="0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127" fillId="0" borderId="65" xfId="0" applyFont="1" applyBorder="1" applyAlignment="1">
      <alignment horizontal="center" vertical="center"/>
    </xf>
    <xf numFmtId="0" fontId="127" fillId="0" borderId="53" xfId="0" applyFont="1" applyBorder="1" applyAlignment="1">
      <alignment horizontal="center" vertical="center"/>
    </xf>
    <xf numFmtId="0" fontId="127" fillId="0" borderId="66" xfId="0" applyFont="1" applyBorder="1" applyAlignment="1">
      <alignment horizontal="center" vertical="center"/>
    </xf>
    <xf numFmtId="0" fontId="127" fillId="0" borderId="50" xfId="0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7" fillId="0" borderId="47" xfId="0" applyFont="1" applyBorder="1" applyAlignment="1">
      <alignment horizontal="center" vertical="center"/>
    </xf>
    <xf numFmtId="0" fontId="127" fillId="0" borderId="58" xfId="0" applyFont="1" applyBorder="1" applyAlignment="1">
      <alignment horizontal="center" vertical="center"/>
    </xf>
    <xf numFmtId="0" fontId="127" fillId="0" borderId="59" xfId="0" applyFont="1" applyBorder="1" applyAlignment="1">
      <alignment horizontal="center" vertical="center"/>
    </xf>
    <xf numFmtId="0" fontId="127" fillId="0" borderId="67" xfId="0" applyFont="1" applyBorder="1" applyAlignment="1">
      <alignment horizontal="center" vertical="center"/>
    </xf>
    <xf numFmtId="0" fontId="25" fillId="116" borderId="34" xfId="0" applyFont="1" applyFill="1" applyBorder="1" applyAlignment="1">
      <alignment horizontal="center"/>
    </xf>
    <xf numFmtId="0" fontId="25" fillId="116" borderId="25" xfId="0" applyFont="1" applyFill="1" applyBorder="1" applyAlignment="1">
      <alignment horizontal="center"/>
    </xf>
    <xf numFmtId="0" fontId="49" fillId="116" borderId="25" xfId="0" applyFont="1" applyFill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25" fillId="0" borderId="36" xfId="0" applyFont="1" applyBorder="1" applyAlignment="1">
      <alignment horizontal="center" vertical="center"/>
    </xf>
    <xf numFmtId="0" fontId="54" fillId="0" borderId="86" xfId="0" applyFont="1" applyBorder="1" applyAlignment="1">
      <alignment horizontal="center" vertical="center" textRotation="255"/>
    </xf>
    <xf numFmtId="0" fontId="9" fillId="0" borderId="19" xfId="0" applyFont="1" applyBorder="1"/>
    <xf numFmtId="0" fontId="9" fillId="0" borderId="51" xfId="0" applyFont="1" applyBorder="1"/>
    <xf numFmtId="0" fontId="9" fillId="0" borderId="33" xfId="0" applyFont="1" applyBorder="1"/>
    <xf numFmtId="0" fontId="9" fillId="0" borderId="87" xfId="0" applyFont="1" applyBorder="1"/>
    <xf numFmtId="0" fontId="9" fillId="0" borderId="22" xfId="0" applyFont="1" applyBorder="1"/>
    <xf numFmtId="0" fontId="55" fillId="35" borderId="0" xfId="0" applyFont="1" applyFill="1" applyAlignment="1">
      <alignment horizontal="center" vertical="center"/>
    </xf>
    <xf numFmtId="0" fontId="57" fillId="0" borderId="0" xfId="138" applyFont="1" applyAlignment="1">
      <alignment horizontal="center" vertical="center" shrinkToFit="1"/>
    </xf>
    <xf numFmtId="0" fontId="49" fillId="0" borderId="38" xfId="0" applyFont="1" applyBorder="1" applyAlignment="1">
      <alignment horizontal="center" vertical="center"/>
    </xf>
    <xf numFmtId="0" fontId="43" fillId="85" borderId="0" xfId="0" applyFont="1" applyFill="1" applyAlignment="1">
      <alignment horizontal="center" vertical="center"/>
    </xf>
    <xf numFmtId="0" fontId="3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5" fillId="0" borderId="36" xfId="0" applyFont="1" applyBorder="1" applyAlignment="1">
      <alignment horizontal="center"/>
    </xf>
    <xf numFmtId="0" fontId="58" fillId="85" borderId="36" xfId="0" applyFont="1" applyFill="1" applyBorder="1" applyAlignment="1">
      <alignment horizontal="center" vertical="center"/>
    </xf>
    <xf numFmtId="0" fontId="58" fillId="85" borderId="0" xfId="0" applyFont="1" applyFill="1" applyAlignment="1">
      <alignment horizontal="center" vertical="center"/>
    </xf>
    <xf numFmtId="0" fontId="59" fillId="85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0" fontId="43" fillId="0" borderId="38" xfId="0" applyFont="1" applyBorder="1" applyAlignment="1">
      <alignment horizontal="center" vertical="center"/>
    </xf>
    <xf numFmtId="0" fontId="80" fillId="0" borderId="45" xfId="0" applyFont="1" applyBorder="1" applyAlignment="1">
      <alignment horizontal="center" vertical="center"/>
    </xf>
    <xf numFmtId="0" fontId="80" fillId="0" borderId="46" xfId="0" applyFont="1" applyBorder="1" applyAlignment="1">
      <alignment horizontal="center" vertical="center"/>
    </xf>
    <xf numFmtId="0" fontId="77" fillId="0" borderId="0" xfId="0" applyFont="1"/>
    <xf numFmtId="0" fontId="89" fillId="85" borderId="0" xfId="0" applyFont="1" applyFill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 wrapText="1"/>
    </xf>
    <xf numFmtId="0" fontId="9" fillId="0" borderId="24" xfId="0" applyFont="1" applyBorder="1"/>
    <xf numFmtId="0" fontId="9" fillId="0" borderId="40" xfId="0" applyFont="1" applyBorder="1"/>
    <xf numFmtId="0" fontId="38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9" fillId="0" borderId="23" xfId="0" applyFont="1" applyBorder="1"/>
    <xf numFmtId="0" fontId="49" fillId="0" borderId="36" xfId="0" applyFont="1" applyBorder="1" applyAlignment="1">
      <alignment horizontal="center" vertical="center"/>
    </xf>
    <xf numFmtId="0" fontId="40" fillId="35" borderId="42" xfId="0" applyFont="1" applyFill="1" applyBorder="1" applyAlignment="1">
      <alignment horizontal="center" vertical="center" textRotation="90"/>
    </xf>
    <xf numFmtId="0" fontId="40" fillId="35" borderId="43" xfId="0" applyFont="1" applyFill="1" applyBorder="1" applyAlignment="1">
      <alignment horizontal="center" vertical="center" textRotation="90"/>
    </xf>
    <xf numFmtId="0" fontId="40" fillId="35" borderId="44" xfId="0" applyFont="1" applyFill="1" applyBorder="1" applyAlignment="1">
      <alignment horizontal="center" vertical="center" textRotation="90"/>
    </xf>
    <xf numFmtId="0" fontId="25" fillId="0" borderId="38" xfId="0" applyFont="1" applyBorder="1" applyAlignment="1">
      <alignment horizontal="center" vertical="center"/>
    </xf>
    <xf numFmtId="0" fontId="123" fillId="0" borderId="38" xfId="138" applyFont="1" applyBorder="1" applyAlignment="1">
      <alignment horizontal="center" vertical="center" shrinkToFit="1"/>
    </xf>
    <xf numFmtId="0" fontId="40" fillId="35" borderId="0" xfId="0" applyFont="1" applyFill="1" applyAlignment="1">
      <alignment horizontal="center" vertical="center"/>
    </xf>
    <xf numFmtId="0" fontId="49" fillId="0" borderId="88" xfId="0" applyFont="1" applyBorder="1" applyAlignment="1">
      <alignment horizontal="center"/>
    </xf>
    <xf numFmtId="0" fontId="49" fillId="0" borderId="38" xfId="0" applyFont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55" fillId="0" borderId="36" xfId="131" applyFont="1" applyBorder="1" applyAlignment="1">
      <alignment horizontal="center"/>
    </xf>
    <xf numFmtId="0" fontId="78" fillId="0" borderId="0" xfId="0" applyFont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55" fillId="0" borderId="0" xfId="131" applyFont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43" fillId="35" borderId="0" xfId="0" applyFont="1" applyFill="1" applyAlignment="1">
      <alignment horizontal="center"/>
    </xf>
    <xf numFmtId="0" fontId="43" fillId="0" borderId="5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35" borderId="37" xfId="0" applyFont="1" applyFill="1" applyBorder="1" applyAlignment="1">
      <alignment horizontal="center"/>
    </xf>
    <xf numFmtId="0" fontId="43" fillId="35" borderId="18" xfId="0" applyFont="1" applyFill="1" applyBorder="1" applyAlignment="1">
      <alignment horizontal="center"/>
    </xf>
    <xf numFmtId="0" fontId="25" fillId="35" borderId="36" xfId="0" applyFont="1" applyFill="1" applyBorder="1" applyAlignment="1">
      <alignment horizontal="center" vertical="center"/>
    </xf>
    <xf numFmtId="0" fontId="57" fillId="35" borderId="0" xfId="138" applyFont="1" applyFill="1" applyAlignment="1">
      <alignment horizontal="center" vertical="center" shrinkToFit="1"/>
    </xf>
    <xf numFmtId="0" fontId="49" fillId="35" borderId="38" xfId="0" applyFont="1" applyFill="1" applyBorder="1" applyAlignment="1">
      <alignment horizontal="center" vertical="center"/>
    </xf>
    <xf numFmtId="0" fontId="25" fillId="35" borderId="36" xfId="0" applyFont="1" applyFill="1" applyBorder="1" applyAlignment="1">
      <alignment horizontal="center"/>
    </xf>
    <xf numFmtId="0" fontId="32" fillId="35" borderId="0" xfId="0" applyFont="1" applyFill="1" applyAlignment="1">
      <alignment horizontal="center"/>
    </xf>
    <xf numFmtId="0" fontId="43" fillId="35" borderId="38" xfId="0" applyFont="1" applyFill="1" applyBorder="1" applyAlignment="1">
      <alignment horizontal="center" vertical="center"/>
    </xf>
    <xf numFmtId="0" fontId="49" fillId="35" borderId="36" xfId="0" applyFont="1" applyFill="1" applyBorder="1" applyAlignment="1">
      <alignment horizontal="center" vertical="center"/>
    </xf>
    <xf numFmtId="0" fontId="49" fillId="35" borderId="88" xfId="0" applyFont="1" applyFill="1" applyBorder="1" applyAlignment="1">
      <alignment horizontal="center"/>
    </xf>
    <xf numFmtId="0" fontId="49" fillId="35" borderId="38" xfId="0" applyFont="1" applyFill="1" applyBorder="1" applyAlignment="1">
      <alignment horizontal="center"/>
    </xf>
    <xf numFmtId="0" fontId="55" fillId="35" borderId="36" xfId="131" applyFont="1" applyFill="1" applyBorder="1" applyAlignment="1">
      <alignment horizontal="center"/>
    </xf>
    <xf numFmtId="0" fontId="78" fillId="35" borderId="0" xfId="0" applyFont="1" applyFill="1" applyAlignment="1">
      <alignment horizontal="center" vertical="center"/>
    </xf>
    <xf numFmtId="0" fontId="25" fillId="35" borderId="38" xfId="0" applyFont="1" applyFill="1" applyBorder="1" applyAlignment="1">
      <alignment horizontal="center" vertical="center"/>
    </xf>
    <xf numFmtId="0" fontId="123" fillId="35" borderId="38" xfId="138" applyFont="1" applyFill="1" applyBorder="1" applyAlignment="1">
      <alignment horizontal="center" vertical="center" shrinkToFit="1"/>
    </xf>
    <xf numFmtId="0" fontId="55" fillId="35" borderId="0" xfId="131" applyFont="1" applyFill="1" applyAlignment="1">
      <alignment horizontal="center"/>
    </xf>
    <xf numFmtId="0" fontId="32" fillId="146" borderId="36" xfId="0" applyFont="1" applyFill="1" applyBorder="1" applyAlignment="1">
      <alignment horizontal="center" vertical="center"/>
    </xf>
    <xf numFmtId="0" fontId="43" fillId="35" borderId="51" xfId="0" applyFont="1" applyFill="1" applyBorder="1" applyAlignment="1">
      <alignment horizontal="center" vertical="center"/>
    </xf>
    <xf numFmtId="0" fontId="43" fillId="35" borderId="0" xfId="0" applyFont="1" applyFill="1" applyAlignment="1">
      <alignment horizontal="center" vertical="center"/>
    </xf>
    <xf numFmtId="0" fontId="95" fillId="0" borderId="1" xfId="0" applyFont="1" applyBorder="1" applyAlignment="1" applyProtection="1">
      <alignment horizontal="center" wrapText="1"/>
      <protection locked="0"/>
    </xf>
    <xf numFmtId="0" fontId="87" fillId="0" borderId="51" xfId="0" applyFont="1" applyBorder="1" applyAlignment="1" applyProtection="1">
      <alignment horizontal="center"/>
      <protection locked="0"/>
    </xf>
    <xf numFmtId="0" fontId="87" fillId="0" borderId="52" xfId="0" applyFont="1" applyBorder="1" applyAlignment="1" applyProtection="1">
      <alignment horizontal="center"/>
      <protection locked="0"/>
    </xf>
    <xf numFmtId="0" fontId="97" fillId="35" borderId="0" xfId="0" applyFont="1" applyFill="1" applyAlignment="1" applyProtection="1">
      <alignment horizontal="center" vertical="center"/>
      <protection locked="0"/>
    </xf>
    <xf numFmtId="0" fontId="91" fillId="0" borderId="4" xfId="250" applyFont="1" applyBorder="1" applyAlignment="1" applyProtection="1">
      <alignment horizontal="center" vertical="top" shrinkToFit="1"/>
      <protection locked="0"/>
    </xf>
    <xf numFmtId="0" fontId="92" fillId="0" borderId="30" xfId="250" applyFont="1" applyBorder="1" applyAlignment="1" applyProtection="1">
      <alignment horizontal="center" vertical="top" shrinkToFit="1"/>
      <protection locked="0"/>
    </xf>
    <xf numFmtId="0" fontId="92" fillId="0" borderId="5" xfId="250" applyFont="1" applyBorder="1" applyAlignment="1" applyProtection="1">
      <alignment horizontal="center" vertical="top" shrinkToFit="1"/>
      <protection locked="0"/>
    </xf>
    <xf numFmtId="171" fontId="93" fillId="0" borderId="4" xfId="250" applyNumberFormat="1" applyFont="1" applyBorder="1" applyAlignment="1">
      <alignment horizontal="center" vertical="center" shrinkToFit="1"/>
    </xf>
    <xf numFmtId="171" fontId="93" fillId="0" borderId="30" xfId="250" applyNumberFormat="1" applyFont="1" applyBorder="1" applyAlignment="1">
      <alignment horizontal="center" vertical="center" shrinkToFit="1"/>
    </xf>
    <xf numFmtId="171" fontId="93" fillId="0" borderId="5" xfId="250" applyNumberFormat="1" applyFont="1" applyBorder="1" applyAlignment="1">
      <alignment horizontal="center" vertical="center" shrinkToFit="1"/>
    </xf>
    <xf numFmtId="0" fontId="94" fillId="53" borderId="1" xfId="0" applyFont="1" applyFill="1" applyBorder="1" applyAlignment="1" applyProtection="1">
      <alignment horizontal="center" vertical="center" wrapText="1"/>
      <protection locked="0"/>
    </xf>
    <xf numFmtId="0" fontId="95" fillId="147" borderId="1" xfId="0" applyFont="1" applyFill="1" applyBorder="1" applyAlignment="1" applyProtection="1">
      <alignment horizontal="center" wrapText="1"/>
      <protection locked="0"/>
    </xf>
    <xf numFmtId="0" fontId="80" fillId="112" borderId="4" xfId="0" applyFont="1" applyFill="1" applyBorder="1" applyAlignment="1" applyProtection="1">
      <alignment horizontal="center" vertical="center"/>
      <protection locked="0"/>
    </xf>
    <xf numFmtId="0" fontId="80" fillId="112" borderId="30" xfId="0" applyFont="1" applyFill="1" applyBorder="1" applyAlignment="1" applyProtection="1">
      <alignment horizontal="center" vertical="center"/>
      <protection locked="0"/>
    </xf>
    <xf numFmtId="0" fontId="80" fillId="112" borderId="5" xfId="0" applyFont="1" applyFill="1" applyBorder="1" applyAlignment="1" applyProtection="1">
      <alignment horizontal="center" vertical="center"/>
      <protection locked="0"/>
    </xf>
    <xf numFmtId="171" fontId="98" fillId="137" borderId="4" xfId="0" applyNumberFormat="1" applyFont="1" applyFill="1" applyBorder="1" applyAlignment="1">
      <alignment horizontal="center" vertical="center"/>
    </xf>
    <xf numFmtId="171" fontId="98" fillId="137" borderId="5" xfId="0" applyNumberFormat="1" applyFont="1" applyFill="1" applyBorder="1" applyAlignment="1">
      <alignment horizontal="center" vertical="center"/>
    </xf>
    <xf numFmtId="0" fontId="80" fillId="35" borderId="4" xfId="0" applyFont="1" applyFill="1" applyBorder="1" applyAlignment="1" applyProtection="1">
      <alignment horizontal="center"/>
      <protection locked="0"/>
    </xf>
    <xf numFmtId="0" fontId="80" fillId="35" borderId="30" xfId="0" applyFont="1" applyFill="1" applyBorder="1" applyAlignment="1" applyProtection="1">
      <alignment horizontal="center"/>
      <protection locked="0"/>
    </xf>
    <xf numFmtId="0" fontId="80" fillId="35" borderId="5" xfId="0" applyFont="1" applyFill="1" applyBorder="1" applyAlignment="1" applyProtection="1">
      <alignment horizontal="center"/>
      <protection locked="0"/>
    </xf>
    <xf numFmtId="14" fontId="95" fillId="0" borderId="1" xfId="0" applyNumberFormat="1" applyFont="1" applyBorder="1" applyAlignment="1">
      <alignment horizontal="center" wrapText="1"/>
    </xf>
    <xf numFmtId="0" fontId="83" fillId="148" borderId="29" xfId="138" applyFont="1" applyFill="1" applyBorder="1" applyAlignment="1" applyProtection="1">
      <alignment horizontal="center" vertical="center" shrinkToFit="1"/>
      <protection locked="0"/>
    </xf>
    <xf numFmtId="0" fontId="83" fillId="148" borderId="36" xfId="138" applyFont="1" applyFill="1" applyBorder="1" applyAlignment="1" applyProtection="1">
      <alignment horizontal="center" vertical="center" shrinkToFit="1"/>
      <protection locked="0"/>
    </xf>
    <xf numFmtId="0" fontId="83" fillId="148" borderId="56" xfId="138" applyFont="1" applyFill="1" applyBorder="1" applyAlignment="1" applyProtection="1">
      <alignment horizontal="center" vertical="center" shrinkToFit="1"/>
      <protection locked="0"/>
    </xf>
    <xf numFmtId="0" fontId="100" fillId="35" borderId="4" xfId="0" applyFont="1" applyFill="1" applyBorder="1" applyAlignment="1" applyProtection="1">
      <alignment horizontal="center" vertical="center"/>
      <protection locked="0"/>
    </xf>
    <xf numFmtId="0" fontId="100" fillId="35" borderId="30" xfId="0" applyFont="1" applyFill="1" applyBorder="1" applyAlignment="1" applyProtection="1">
      <alignment horizontal="center" vertical="center"/>
      <protection locked="0"/>
    </xf>
    <xf numFmtId="0" fontId="100" fillId="35" borderId="5" xfId="0" applyFont="1" applyFill="1" applyBorder="1" applyAlignment="1" applyProtection="1">
      <alignment horizontal="center" vertical="center"/>
      <protection locked="0"/>
    </xf>
    <xf numFmtId="0" fontId="83" fillId="0" borderId="15" xfId="150" applyFont="1" applyBorder="1" applyAlignment="1" applyProtection="1">
      <alignment horizontal="left" vertical="center" shrinkToFit="1"/>
      <protection locked="0"/>
    </xf>
    <xf numFmtId="0" fontId="83" fillId="0" borderId="64" xfId="150" applyFont="1" applyBorder="1" applyAlignment="1" applyProtection="1">
      <alignment horizontal="left" vertical="center" shrinkToFit="1"/>
      <protection locked="0"/>
    </xf>
    <xf numFmtId="0" fontId="0" fillId="0" borderId="6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7" xfId="0" applyBorder="1" applyAlignment="1">
      <alignment horizontal="center"/>
    </xf>
    <xf numFmtId="0" fontId="83" fillId="148" borderId="15" xfId="150" applyFont="1" applyFill="1" applyBorder="1" applyAlignment="1" applyProtection="1">
      <alignment horizontal="left" vertical="center" shrinkToFit="1"/>
      <protection locked="0"/>
    </xf>
    <xf numFmtId="0" fontId="83" fillId="148" borderId="64" xfId="150" applyFont="1" applyFill="1" applyBorder="1" applyAlignment="1" applyProtection="1">
      <alignment horizontal="left" vertical="center" shrinkToFit="1"/>
      <protection locked="0"/>
    </xf>
    <xf numFmtId="0" fontId="0" fillId="0" borderId="64" xfId="0" applyBorder="1" applyAlignment="1">
      <alignment horizontal="left" vertical="center" shrinkToFit="1"/>
    </xf>
    <xf numFmtId="0" fontId="83" fillId="0" borderId="68" xfId="150" applyFont="1" applyBorder="1" applyAlignment="1" applyProtection="1">
      <alignment horizontal="left" vertical="center" shrinkToFit="1"/>
      <protection locked="0"/>
    </xf>
    <xf numFmtId="0" fontId="83" fillId="0" borderId="69" xfId="150" applyFont="1" applyBorder="1" applyAlignment="1" applyProtection="1">
      <alignment horizontal="left" vertical="center" shrinkToFit="1"/>
      <protection locked="0"/>
    </xf>
    <xf numFmtId="0" fontId="83" fillId="0" borderId="70" xfId="150" applyFont="1" applyBorder="1" applyAlignment="1" applyProtection="1">
      <alignment horizontal="left" vertical="center" shrinkToFit="1"/>
      <protection locked="0"/>
    </xf>
    <xf numFmtId="0" fontId="80" fillId="0" borderId="4" xfId="0" applyFont="1" applyBorder="1" applyAlignment="1" applyProtection="1">
      <alignment horizontal="center"/>
      <protection locked="0"/>
    </xf>
    <xf numFmtId="0" fontId="80" fillId="0" borderId="30" xfId="0" applyFont="1" applyBorder="1" applyAlignment="1" applyProtection="1">
      <alignment horizontal="center"/>
      <protection locked="0"/>
    </xf>
    <xf numFmtId="0" fontId="80" fillId="0" borderId="5" xfId="0" applyFont="1" applyBorder="1" applyAlignment="1" applyProtection="1">
      <alignment horizontal="center"/>
      <protection locked="0"/>
    </xf>
    <xf numFmtId="0" fontId="99" fillId="137" borderId="0" xfId="0" applyFont="1" applyFill="1" applyAlignment="1" applyProtection="1">
      <alignment horizontal="center" vertical="center"/>
      <protection locked="0"/>
    </xf>
    <xf numFmtId="0" fontId="116" fillId="35" borderId="0" xfId="0" applyFont="1" applyFill="1" applyAlignment="1" applyProtection="1">
      <alignment horizontal="center" vertical="center"/>
      <protection locked="0"/>
    </xf>
    <xf numFmtId="0" fontId="117" fillId="0" borderId="15" xfId="126" applyFont="1" applyBorder="1" applyAlignment="1" applyProtection="1">
      <alignment horizontal="left" shrinkToFit="1"/>
      <protection locked="0"/>
    </xf>
    <xf numFmtId="0" fontId="117" fillId="0" borderId="77" xfId="126" applyFont="1" applyBorder="1" applyAlignment="1" applyProtection="1">
      <alignment horizontal="left" shrinkToFit="1"/>
      <protection locked="0"/>
    </xf>
    <xf numFmtId="0" fontId="117" fillId="0" borderId="15" xfId="126" applyFont="1" applyBorder="1" applyAlignment="1">
      <alignment horizontal="left" shrinkToFit="1"/>
    </xf>
    <xf numFmtId="0" fontId="117" fillId="0" borderId="16" xfId="126" applyFont="1" applyBorder="1" applyAlignment="1">
      <alignment horizontal="left" shrinkToFit="1"/>
    </xf>
    <xf numFmtId="0" fontId="41" fillId="137" borderId="71" xfId="0" applyFont="1" applyFill="1" applyBorder="1" applyAlignment="1">
      <alignment horizontal="center" vertical="center"/>
    </xf>
    <xf numFmtId="0" fontId="41" fillId="137" borderId="72" xfId="0" applyFont="1" applyFill="1" applyBorder="1" applyAlignment="1">
      <alignment horizontal="center" vertical="center"/>
    </xf>
    <xf numFmtId="0" fontId="42" fillId="0" borderId="4" xfId="0" applyFont="1" applyBorder="1" applyAlignment="1" applyProtection="1">
      <alignment horizontal="center"/>
      <protection locked="0"/>
    </xf>
    <xf numFmtId="0" fontId="42" fillId="0" borderId="30" xfId="0" applyFont="1" applyBorder="1" applyAlignment="1" applyProtection="1">
      <alignment horizontal="center"/>
      <protection locked="0"/>
    </xf>
    <xf numFmtId="0" fontId="42" fillId="0" borderId="4" xfId="0" applyFont="1" applyBorder="1" applyAlignment="1" applyProtection="1">
      <alignment horizontal="center" vertical="center"/>
      <protection locked="0"/>
    </xf>
    <xf numFmtId="0" fontId="42" fillId="0" borderId="5" xfId="0" applyFont="1" applyBorder="1" applyAlignment="1" applyProtection="1">
      <alignment horizontal="center" vertical="center"/>
      <protection locked="0"/>
    </xf>
    <xf numFmtId="0" fontId="61" fillId="137" borderId="38" xfId="138" applyFont="1" applyFill="1" applyBorder="1" applyAlignment="1" applyProtection="1">
      <alignment horizontal="center" vertical="center" shrinkToFit="1"/>
      <protection locked="0"/>
    </xf>
    <xf numFmtId="0" fontId="61" fillId="137" borderId="0" xfId="138" applyFont="1" applyFill="1" applyAlignment="1" applyProtection="1">
      <alignment horizontal="center" vertical="center" shrinkToFit="1"/>
      <protection locked="0"/>
    </xf>
    <xf numFmtId="0" fontId="61" fillId="137" borderId="75" xfId="138" applyFont="1" applyFill="1" applyBorder="1" applyAlignment="1" applyProtection="1">
      <alignment horizontal="center" vertical="center" shrinkToFit="1"/>
      <protection locked="0"/>
    </xf>
    <xf numFmtId="0" fontId="61" fillId="137" borderId="76" xfId="138" applyFont="1" applyFill="1" applyBorder="1" applyAlignment="1" applyProtection="1">
      <alignment horizontal="center" vertical="center" shrinkToFit="1"/>
      <protection locked="0"/>
    </xf>
    <xf numFmtId="0" fontId="61" fillId="137" borderId="64" xfId="138" applyFont="1" applyFill="1" applyBorder="1" applyAlignment="1" applyProtection="1">
      <alignment horizontal="center" vertical="center" shrinkToFit="1"/>
      <protection locked="0"/>
    </xf>
    <xf numFmtId="0" fontId="61" fillId="137" borderId="16" xfId="138" applyFont="1" applyFill="1" applyBorder="1" applyAlignment="1" applyProtection="1">
      <alignment horizontal="center" vertical="center" shrinkToFit="1"/>
      <protection locked="0"/>
    </xf>
    <xf numFmtId="0" fontId="36" fillId="0" borderId="4" xfId="0" applyFont="1" applyBorder="1" applyAlignment="1">
      <alignment horizontal="center" vertical="center" wrapText="1" shrinkToFit="1"/>
    </xf>
    <xf numFmtId="0" fontId="36" fillId="0" borderId="30" xfId="0" applyFont="1" applyBorder="1" applyAlignment="1">
      <alignment horizontal="center" vertical="center" wrapText="1" shrinkToFit="1"/>
    </xf>
    <xf numFmtId="0" fontId="36" fillId="0" borderId="5" xfId="0" applyFont="1" applyBorder="1" applyAlignment="1">
      <alignment horizontal="center" vertical="center" wrapText="1" shrinkToFit="1"/>
    </xf>
    <xf numFmtId="0" fontId="44" fillId="35" borderId="0" xfId="0" applyFont="1" applyFill="1" applyAlignment="1" applyProtection="1">
      <alignment horizontal="center" vertical="center"/>
      <protection locked="0"/>
    </xf>
    <xf numFmtId="0" fontId="32" fillId="149" borderId="4" xfId="0" applyFont="1" applyFill="1" applyBorder="1" applyAlignment="1">
      <alignment horizontal="center" vertical="center"/>
    </xf>
    <xf numFmtId="0" fontId="32" fillId="149" borderId="30" xfId="0" applyFont="1" applyFill="1" applyBorder="1" applyAlignment="1">
      <alignment horizontal="center" vertical="center"/>
    </xf>
    <xf numFmtId="0" fontId="32" fillId="149" borderId="5" xfId="0" applyFont="1" applyFill="1" applyBorder="1" applyAlignment="1">
      <alignment horizontal="center" vertical="center"/>
    </xf>
    <xf numFmtId="0" fontId="126" fillId="0" borderId="15" xfId="150" applyFont="1" applyBorder="1" applyAlignment="1">
      <alignment horizontal="left" vertical="center" shrinkToFit="1"/>
    </xf>
    <xf numFmtId="0" fontId="126" fillId="0" borderId="64" xfId="150" applyFont="1" applyBorder="1" applyAlignment="1">
      <alignment horizontal="left" vertical="center" shrinkToFit="1"/>
    </xf>
    <xf numFmtId="0" fontId="126" fillId="0" borderId="16" xfId="150" applyFont="1" applyBorder="1" applyAlignment="1">
      <alignment horizontal="left" vertical="center" shrinkToFit="1"/>
    </xf>
    <xf numFmtId="0" fontId="83" fillId="0" borderId="1" xfId="0" applyFont="1" applyBorder="1" applyAlignment="1">
      <alignment horizontal="left" vertical="center" wrapText="1" shrinkToFit="1"/>
    </xf>
    <xf numFmtId="0" fontId="83" fillId="0" borderId="82" xfId="0" applyFont="1" applyBorder="1" applyAlignment="1">
      <alignment horizontal="left" vertical="center" wrapText="1" shrinkToFit="1"/>
    </xf>
    <xf numFmtId="0" fontId="83" fillId="0" borderId="83" xfId="0" applyFont="1" applyBorder="1" applyAlignment="1">
      <alignment horizontal="left" vertical="center" wrapText="1" shrinkToFit="1"/>
    </xf>
    <xf numFmtId="0" fontId="83" fillId="0" borderId="84" xfId="0" applyFont="1" applyBorder="1" applyAlignment="1">
      <alignment horizontal="left" vertical="center" wrapText="1" shrinkToFit="1"/>
    </xf>
    <xf numFmtId="174" fontId="44" fillId="51" borderId="4" xfId="0" applyNumberFormat="1" applyFont="1" applyFill="1" applyBorder="1" applyAlignment="1">
      <alignment horizontal="center" vertical="center"/>
    </xf>
    <xf numFmtId="174" fontId="44" fillId="51" borderId="30" xfId="0" applyNumberFormat="1" applyFont="1" applyFill="1" applyBorder="1" applyAlignment="1">
      <alignment horizontal="center" vertical="center"/>
    </xf>
    <xf numFmtId="174" fontId="44" fillId="51" borderId="5" xfId="0" applyNumberFormat="1" applyFont="1" applyFill="1" applyBorder="1" applyAlignment="1">
      <alignment horizontal="center" vertical="center"/>
    </xf>
    <xf numFmtId="174" fontId="0" fillId="0" borderId="0" xfId="0" applyNumberFormat="1"/>
    <xf numFmtId="174" fontId="38" fillId="0" borderId="85" xfId="0" applyNumberFormat="1" applyFont="1" applyBorder="1" applyAlignment="1">
      <alignment horizontal="center" vertical="center"/>
    </xf>
    <xf numFmtId="174" fontId="38" fillId="0" borderId="53" xfId="0" applyNumberFormat="1" applyFont="1" applyBorder="1" applyAlignment="1">
      <alignment horizontal="center" vertical="center"/>
    </xf>
    <xf numFmtId="174" fontId="38" fillId="0" borderId="31" xfId="0" applyNumberFormat="1" applyFont="1" applyBorder="1" applyAlignment="1">
      <alignment horizontal="center" vertical="center"/>
    </xf>
    <xf numFmtId="174" fontId="38" fillId="0" borderId="32" xfId="0" applyNumberFormat="1" applyFont="1" applyBorder="1" applyAlignment="1">
      <alignment horizontal="center" vertical="center"/>
    </xf>
    <xf numFmtId="174" fontId="22" fillId="0" borderId="29" xfId="0" applyNumberFormat="1" applyFont="1" applyBorder="1"/>
    <xf numFmtId="174" fontId="22" fillId="0" borderId="36" xfId="0" applyNumberFormat="1" applyFont="1" applyBorder="1"/>
    <xf numFmtId="174" fontId="22" fillId="0" borderId="56" xfId="0" applyNumberFormat="1" applyFont="1" applyBorder="1"/>
    <xf numFmtId="174" fontId="22" fillId="0" borderId="0" xfId="0" applyNumberFormat="1" applyFont="1"/>
    <xf numFmtId="174" fontId="45" fillId="86" borderId="0" xfId="118" applyNumberFormat="1" applyFont="1" applyFill="1" applyAlignment="1">
      <alignment horizontal="center" vertical="center"/>
    </xf>
    <xf numFmtId="174" fontId="46" fillId="34" borderId="16" xfId="138" applyNumberFormat="1" applyFont="1" applyFill="1" applyBorder="1" applyAlignment="1">
      <alignment horizontal="center" vertical="center" shrinkToFit="1"/>
    </xf>
    <xf numFmtId="174" fontId="127" fillId="0" borderId="65" xfId="0" applyNumberFormat="1" applyFont="1" applyBorder="1" applyAlignment="1">
      <alignment horizontal="center" vertical="center"/>
    </xf>
    <xf numFmtId="174" fontId="127" fillId="0" borderId="53" xfId="0" applyNumberFormat="1" applyFont="1" applyBorder="1" applyAlignment="1">
      <alignment horizontal="center" vertical="center"/>
    </xf>
    <xf numFmtId="174" fontId="127" fillId="0" borderId="66" xfId="0" applyNumberFormat="1" applyFont="1" applyBorder="1" applyAlignment="1">
      <alignment horizontal="center" vertical="center"/>
    </xf>
    <xf numFmtId="174" fontId="47" fillId="0" borderId="21" xfId="0" applyNumberFormat="1" applyFont="1" applyBorder="1" applyAlignment="1">
      <alignment horizontal="center"/>
    </xf>
    <xf numFmtId="174" fontId="48" fillId="0" borderId="1" xfId="0" applyNumberFormat="1" applyFont="1" applyBorder="1" applyAlignment="1">
      <alignment horizontal="center"/>
    </xf>
    <xf numFmtId="174" fontId="25" fillId="116" borderId="34" xfId="0" applyNumberFormat="1" applyFont="1" applyFill="1" applyBorder="1" applyAlignment="1">
      <alignment horizontal="center"/>
    </xf>
    <xf numFmtId="174" fontId="25" fillId="116" borderId="25" xfId="0" applyNumberFormat="1" applyFont="1" applyFill="1" applyBorder="1" applyAlignment="1">
      <alignment horizontal="center"/>
    </xf>
    <xf numFmtId="174" fontId="49" fillId="116" borderId="25" xfId="0" applyNumberFormat="1" applyFont="1" applyFill="1" applyBorder="1" applyAlignment="1">
      <alignment horizontal="center"/>
    </xf>
    <xf numFmtId="174" fontId="50" fillId="0" borderId="21" xfId="0" applyNumberFormat="1" applyFont="1" applyBorder="1" applyAlignment="1">
      <alignment horizontal="center"/>
    </xf>
    <xf numFmtId="174" fontId="51" fillId="0" borderId="1" xfId="138" applyNumberFormat="1" applyFont="1" applyBorder="1" applyAlignment="1">
      <alignment horizontal="center" vertical="center" shrinkToFit="1"/>
    </xf>
    <xf numFmtId="174" fontId="22" fillId="0" borderId="35" xfId="0" applyNumberFormat="1" applyFont="1" applyBorder="1"/>
    <xf numFmtId="174" fontId="22" fillId="0" borderId="51" xfId="0" applyNumberFormat="1" applyFont="1" applyBorder="1"/>
    <xf numFmtId="174" fontId="22" fillId="0" borderId="52" xfId="0" applyNumberFormat="1" applyFont="1" applyBorder="1"/>
    <xf numFmtId="174" fontId="52" fillId="0" borderId="0" xfId="0" applyNumberFormat="1" applyFont="1" applyAlignment="1">
      <alignment horizontal="center" vertical="center"/>
    </xf>
    <xf numFmtId="174" fontId="53" fillId="120" borderId="0" xfId="0" applyNumberFormat="1" applyFont="1" applyFill="1" applyAlignment="1">
      <alignment horizontal="center"/>
    </xf>
    <xf numFmtId="174" fontId="127" fillId="0" borderId="50" xfId="0" applyNumberFormat="1" applyFont="1" applyBorder="1" applyAlignment="1">
      <alignment horizontal="center" vertical="center"/>
    </xf>
    <xf numFmtId="174" fontId="127" fillId="0" borderId="0" xfId="0" applyNumberFormat="1" applyFont="1" applyAlignment="1">
      <alignment horizontal="center" vertical="center"/>
    </xf>
    <xf numFmtId="174" fontId="127" fillId="0" borderId="47" xfId="0" applyNumberFormat="1" applyFont="1" applyBorder="1" applyAlignment="1">
      <alignment horizontal="center" vertical="center"/>
    </xf>
    <xf numFmtId="174" fontId="43" fillId="0" borderId="37" xfId="0" applyNumberFormat="1" applyFont="1" applyBorder="1" applyAlignment="1">
      <alignment horizontal="center"/>
    </xf>
    <xf numFmtId="174" fontId="43" fillId="0" borderId="18" xfId="0" applyNumberFormat="1" applyFont="1" applyBorder="1" applyAlignment="1">
      <alignment horizontal="center"/>
    </xf>
    <xf numFmtId="174" fontId="43" fillId="0" borderId="36" xfId="0" applyNumberFormat="1" applyFont="1" applyBorder="1"/>
    <xf numFmtId="174" fontId="43" fillId="76" borderId="36" xfId="0" applyNumberFormat="1" applyFont="1" applyFill="1" applyBorder="1"/>
    <xf numFmtId="174" fontId="25" fillId="0" borderId="36" xfId="0" applyNumberFormat="1" applyFont="1" applyBorder="1" applyAlignment="1">
      <alignment horizontal="center" vertical="center"/>
    </xf>
    <xf numFmtId="174" fontId="54" fillId="0" borderId="86" xfId="0" applyNumberFormat="1" applyFont="1" applyBorder="1" applyAlignment="1">
      <alignment horizontal="center" vertical="center" textRotation="255"/>
    </xf>
    <xf numFmtId="174" fontId="9" fillId="0" borderId="19" xfId="0" applyNumberFormat="1" applyFont="1" applyBorder="1"/>
    <xf numFmtId="174" fontId="54" fillId="0" borderId="0" xfId="0" applyNumberFormat="1" applyFont="1" applyAlignment="1">
      <alignment horizontal="center" vertical="center"/>
    </xf>
    <xf numFmtId="174" fontId="38" fillId="0" borderId="0" xfId="0" applyNumberFormat="1" applyFont="1"/>
    <xf numFmtId="174" fontId="127" fillId="0" borderId="58" xfId="0" applyNumberFormat="1" applyFont="1" applyBorder="1" applyAlignment="1">
      <alignment horizontal="center" vertical="center"/>
    </xf>
    <xf numFmtId="174" fontId="127" fillId="0" borderId="59" xfId="0" applyNumberFormat="1" applyFont="1" applyBorder="1" applyAlignment="1">
      <alignment horizontal="center" vertical="center"/>
    </xf>
    <xf numFmtId="174" fontId="127" fillId="0" borderId="67" xfId="0" applyNumberFormat="1" applyFont="1" applyBorder="1" applyAlignment="1">
      <alignment horizontal="center" vertical="center"/>
    </xf>
    <xf numFmtId="174" fontId="54" fillId="0" borderId="0" xfId="0" applyNumberFormat="1" applyFont="1" applyAlignment="1">
      <alignment horizontal="center" vertical="top"/>
    </xf>
    <xf numFmtId="174" fontId="38" fillId="0" borderId="0" xfId="0" applyNumberFormat="1" applyFont="1" applyAlignment="1">
      <alignment horizontal="center" vertical="center"/>
    </xf>
    <xf numFmtId="174" fontId="9" fillId="0" borderId="51" xfId="0" applyNumberFormat="1" applyFont="1" applyBorder="1"/>
    <xf numFmtId="174" fontId="9" fillId="0" borderId="33" xfId="0" applyNumberFormat="1" applyFont="1" applyBorder="1"/>
    <xf numFmtId="174" fontId="55" fillId="35" borderId="0" xfId="0" applyNumberFormat="1" applyFont="1" applyFill="1" applyAlignment="1">
      <alignment horizontal="center" vertical="center"/>
    </xf>
    <xf numFmtId="174" fontId="57" fillId="0" borderId="0" xfId="138" applyNumberFormat="1" applyFont="1" applyAlignment="1">
      <alignment horizontal="center" vertical="center" shrinkToFit="1"/>
    </xf>
    <xf numFmtId="174" fontId="9" fillId="76" borderId="0" xfId="0" applyNumberFormat="1" applyFont="1" applyFill="1"/>
    <xf numFmtId="174" fontId="49" fillId="0" borderId="38" xfId="0" applyNumberFormat="1" applyFont="1" applyBorder="1" applyAlignment="1">
      <alignment horizontal="center" vertical="center"/>
    </xf>
    <xf numFmtId="174" fontId="43" fillId="85" borderId="0" xfId="0" applyNumberFormat="1" applyFont="1" applyFill="1" applyAlignment="1">
      <alignment vertical="center"/>
    </xf>
    <xf numFmtId="174" fontId="9" fillId="35" borderId="0" xfId="0" applyNumberFormat="1" applyFont="1" applyFill="1"/>
    <xf numFmtId="174" fontId="43" fillId="85" borderId="0" xfId="0" applyNumberFormat="1" applyFont="1" applyFill="1" applyAlignment="1">
      <alignment horizontal="center" vertical="center"/>
    </xf>
    <xf numFmtId="174" fontId="38" fillId="0" borderId="0" xfId="0" applyNumberFormat="1" applyFont="1" applyAlignment="1">
      <alignment horizontal="center"/>
    </xf>
    <xf numFmtId="174" fontId="0" fillId="0" borderId="0" xfId="0" applyNumberFormat="1" applyAlignment="1">
      <alignment vertical="center"/>
    </xf>
    <xf numFmtId="174" fontId="48" fillId="0" borderId="1" xfId="131" applyNumberFormat="1" applyFont="1" applyBorder="1" applyAlignment="1">
      <alignment horizontal="center"/>
    </xf>
    <xf numFmtId="174" fontId="22" fillId="121" borderId="0" xfId="0" applyNumberFormat="1" applyFont="1" applyFill="1"/>
    <xf numFmtId="174" fontId="32" fillId="35" borderId="0" xfId="0" applyNumberFormat="1" applyFont="1" applyFill="1" applyAlignment="1">
      <alignment horizontal="center" vertical="center"/>
    </xf>
    <xf numFmtId="174" fontId="41" fillId="182" borderId="0" xfId="0" applyNumberFormat="1" applyFont="1" applyFill="1" applyAlignment="1">
      <alignment horizontal="center" vertical="center"/>
    </xf>
    <xf numFmtId="174" fontId="54" fillId="0" borderId="0" xfId="0" applyNumberFormat="1" applyFont="1" applyAlignment="1">
      <alignment horizontal="right" vertical="center"/>
    </xf>
    <xf numFmtId="174" fontId="62" fillId="121" borderId="0" xfId="0" applyNumberFormat="1" applyFont="1" applyFill="1" applyAlignment="1">
      <alignment horizontal="center" vertical="center"/>
    </xf>
    <xf numFmtId="174" fontId="63" fillId="122" borderId="21" xfId="0" applyNumberFormat="1" applyFont="1" applyFill="1" applyBorder="1" applyAlignment="1">
      <alignment horizontal="center" vertical="center" shrinkToFit="1"/>
    </xf>
    <xf numFmtId="174" fontId="64" fillId="101" borderId="16" xfId="138" applyNumberFormat="1" applyFont="1" applyFill="1" applyBorder="1" applyAlignment="1">
      <alignment horizontal="center" vertical="center" shrinkToFit="1"/>
    </xf>
    <xf numFmtId="174" fontId="87" fillId="43" borderId="16" xfId="138" applyNumberFormat="1" applyFont="1" applyFill="1" applyBorder="1" applyAlignment="1">
      <alignment horizontal="center" vertical="center" shrinkToFit="1"/>
    </xf>
    <xf numFmtId="174" fontId="54" fillId="0" borderId="0" xfId="0" applyNumberFormat="1" applyFont="1" applyAlignment="1">
      <alignment horizontal="left" vertical="center"/>
    </xf>
    <xf numFmtId="174" fontId="40" fillId="0" borderId="0" xfId="0" applyNumberFormat="1" applyFont="1" applyAlignment="1">
      <alignment horizontal="center" vertical="center"/>
    </xf>
    <xf numFmtId="174" fontId="66" fillId="0" borderId="16" xfId="131" applyNumberFormat="1" applyFont="1" applyBorder="1" applyAlignment="1">
      <alignment horizontal="center"/>
    </xf>
    <xf numFmtId="174" fontId="55" fillId="0" borderId="0" xfId="131" applyNumberFormat="1" applyFont="1"/>
    <xf numFmtId="174" fontId="53" fillId="0" borderId="17" xfId="0" applyNumberFormat="1" applyFont="1" applyBorder="1" applyAlignment="1">
      <alignment horizontal="center"/>
    </xf>
    <xf numFmtId="174" fontId="53" fillId="0" borderId="21" xfId="0" applyNumberFormat="1" applyFont="1" applyBorder="1" applyAlignment="1">
      <alignment horizontal="center"/>
    </xf>
    <xf numFmtId="174" fontId="56" fillId="0" borderId="1" xfId="131" applyNumberFormat="1" applyFont="1" applyBorder="1" applyAlignment="1">
      <alignment horizontal="center"/>
    </xf>
    <xf numFmtId="174" fontId="35" fillId="0" borderId="39" xfId="0" applyNumberFormat="1" applyFont="1" applyBorder="1" applyAlignment="1">
      <alignment horizontal="center" vertical="center" shrinkToFit="1"/>
    </xf>
    <xf numFmtId="174" fontId="43" fillId="0" borderId="0" xfId="0" applyNumberFormat="1" applyFont="1" applyAlignment="1">
      <alignment vertical="center"/>
    </xf>
    <xf numFmtId="174" fontId="9" fillId="0" borderId="87" xfId="0" applyNumberFormat="1" applyFont="1" applyBorder="1"/>
    <xf numFmtId="174" fontId="9" fillId="0" borderId="22" xfId="0" applyNumberFormat="1" applyFont="1" applyBorder="1"/>
    <xf numFmtId="174" fontId="0" fillId="0" borderId="52" xfId="0" applyNumberFormat="1" applyBorder="1"/>
    <xf numFmtId="174" fontId="25" fillId="0" borderId="36" xfId="0" applyNumberFormat="1" applyFont="1" applyBorder="1" applyAlignment="1">
      <alignment horizontal="center"/>
    </xf>
    <xf numFmtId="174" fontId="58" fillId="85" borderId="36" xfId="0" applyNumberFormat="1" applyFont="1" applyFill="1" applyBorder="1" applyAlignment="1">
      <alignment horizontal="center" vertical="center"/>
    </xf>
    <xf numFmtId="174" fontId="58" fillId="85" borderId="0" xfId="0" applyNumberFormat="1" applyFont="1" applyFill="1" applyAlignment="1">
      <alignment horizontal="center" vertical="center"/>
    </xf>
    <xf numFmtId="174" fontId="59" fillId="85" borderId="0" xfId="0" applyNumberFormat="1" applyFont="1" applyFill="1" applyAlignment="1">
      <alignment horizontal="center" vertical="center"/>
    </xf>
    <xf numFmtId="174" fontId="22" fillId="0" borderId="27" xfId="0" applyNumberFormat="1" applyFont="1" applyBorder="1"/>
    <xf numFmtId="174" fontId="22" fillId="0" borderId="38" xfId="0" applyNumberFormat="1" applyFont="1" applyBorder="1"/>
    <xf numFmtId="174" fontId="0" fillId="0" borderId="26" xfId="0" applyNumberFormat="1" applyBorder="1"/>
    <xf numFmtId="174" fontId="62" fillId="124" borderId="0" xfId="0" applyNumberFormat="1" applyFont="1" applyFill="1" applyAlignment="1">
      <alignment horizontal="center" vertical="center"/>
    </xf>
    <xf numFmtId="174" fontId="60" fillId="84" borderId="0" xfId="0" applyNumberFormat="1" applyFont="1" applyFill="1" applyAlignment="1">
      <alignment horizontal="center" vertical="center"/>
    </xf>
    <xf numFmtId="174" fontId="71" fillId="182" borderId="0" xfId="251" applyNumberFormat="1" applyFont="1" applyFill="1" applyAlignment="1" applyProtection="1">
      <alignment horizontal="center" vertical="center"/>
    </xf>
    <xf numFmtId="174" fontId="0" fillId="0" borderId="0" xfId="0" applyNumberFormat="1" applyAlignment="1">
      <alignment horizontal="center"/>
    </xf>
    <xf numFmtId="174" fontId="33" fillId="128" borderId="0" xfId="0" applyNumberFormat="1" applyFont="1" applyFill="1"/>
    <xf numFmtId="174" fontId="22" fillId="124" borderId="0" xfId="0" applyNumberFormat="1" applyFont="1" applyFill="1"/>
    <xf numFmtId="174" fontId="55" fillId="0" borderId="2" xfId="131" applyNumberFormat="1" applyFont="1" applyBorder="1" applyAlignment="1">
      <alignment horizontal="center"/>
    </xf>
    <xf numFmtId="174" fontId="32" fillId="0" borderId="0" xfId="0" applyNumberFormat="1" applyFont="1" applyAlignment="1">
      <alignment horizontal="center"/>
    </xf>
    <xf numFmtId="174" fontId="67" fillId="0" borderId="0" xfId="0" applyNumberFormat="1" applyFont="1" applyAlignment="1">
      <alignment horizontal="center" vertical="center"/>
    </xf>
    <xf numFmtId="174" fontId="68" fillId="82" borderId="21" xfId="0" applyNumberFormat="1" applyFont="1" applyFill="1" applyBorder="1" applyAlignment="1">
      <alignment horizontal="center" vertical="center" shrinkToFit="1"/>
    </xf>
    <xf numFmtId="174" fontId="65" fillId="84" borderId="21" xfId="0" applyNumberFormat="1" applyFont="1" applyFill="1" applyBorder="1" applyAlignment="1">
      <alignment horizontal="center" vertical="center" shrinkToFit="1"/>
    </xf>
    <xf numFmtId="174" fontId="74" fillId="119" borderId="16" xfId="138" applyNumberFormat="1" applyFont="1" applyFill="1" applyBorder="1" applyAlignment="1">
      <alignment horizontal="center" vertical="center" shrinkToFit="1"/>
    </xf>
    <xf numFmtId="174" fontId="67" fillId="128" borderId="0" xfId="0" applyNumberFormat="1" applyFont="1" applyFill="1" applyAlignment="1">
      <alignment horizontal="center" vertical="center"/>
    </xf>
    <xf numFmtId="174" fontId="75" fillId="77" borderId="16" xfId="138" applyNumberFormat="1" applyFont="1" applyFill="1" applyBorder="1" applyAlignment="1">
      <alignment horizontal="center" vertical="center" shrinkToFit="1"/>
    </xf>
    <xf numFmtId="174" fontId="69" fillId="125" borderId="21" xfId="0" applyNumberFormat="1" applyFont="1" applyFill="1" applyBorder="1" applyAlignment="1">
      <alignment horizontal="center" vertical="center" shrinkToFit="1"/>
    </xf>
    <xf numFmtId="174" fontId="66" fillId="0" borderId="1" xfId="0" applyNumberFormat="1" applyFont="1" applyBorder="1" applyAlignment="1">
      <alignment horizontal="center"/>
    </xf>
    <xf numFmtId="174" fontId="71" fillId="126" borderId="0" xfId="0" applyNumberFormat="1" applyFont="1" applyFill="1" applyAlignment="1">
      <alignment horizontal="center" vertical="center"/>
    </xf>
    <xf numFmtId="174" fontId="72" fillId="0" borderId="0" xfId="0" applyNumberFormat="1" applyFont="1" applyAlignment="1">
      <alignment horizontal="center" vertical="center"/>
    </xf>
    <xf numFmtId="174" fontId="64" fillId="48" borderId="16" xfId="138" applyNumberFormat="1" applyFont="1" applyFill="1" applyBorder="1" applyAlignment="1">
      <alignment horizontal="center" vertical="center" shrinkToFit="1"/>
    </xf>
    <xf numFmtId="174" fontId="60" fillId="123" borderId="0" xfId="0" applyNumberFormat="1" applyFont="1" applyFill="1" applyAlignment="1">
      <alignment horizontal="center" vertical="center"/>
    </xf>
    <xf numFmtId="174" fontId="69" fillId="81" borderId="21" xfId="0" applyNumberFormat="1" applyFont="1" applyFill="1" applyBorder="1" applyAlignment="1">
      <alignment horizontal="center" vertical="center" shrinkToFit="1"/>
    </xf>
    <xf numFmtId="174" fontId="32" fillId="0" borderId="0" xfId="0" applyNumberFormat="1" applyFont="1" applyAlignment="1">
      <alignment vertical="center"/>
    </xf>
    <xf numFmtId="174" fontId="61" fillId="0" borderId="1" xfId="138" applyNumberFormat="1" applyFont="1" applyBorder="1" applyAlignment="1">
      <alignment horizontal="center" vertical="center" shrinkToFit="1"/>
    </xf>
    <xf numFmtId="174" fontId="74" fillId="90" borderId="16" xfId="138" applyNumberFormat="1" applyFont="1" applyFill="1" applyBorder="1" applyAlignment="1">
      <alignment horizontal="center" vertical="center" shrinkToFit="1"/>
    </xf>
    <xf numFmtId="174" fontId="68" fillId="88" borderId="17" xfId="0" applyNumberFormat="1" applyFont="1" applyFill="1" applyBorder="1" applyAlignment="1">
      <alignment horizontal="center" vertical="center" shrinkToFit="1"/>
    </xf>
    <xf numFmtId="174" fontId="50" fillId="0" borderId="0" xfId="0" applyNumberFormat="1" applyFont="1" applyAlignment="1">
      <alignment horizontal="center"/>
    </xf>
    <xf numFmtId="174" fontId="49" fillId="0" borderId="0" xfId="0" applyNumberFormat="1" applyFont="1"/>
    <xf numFmtId="174" fontId="43" fillId="0" borderId="38" xfId="0" applyNumberFormat="1" applyFont="1" applyBorder="1" applyAlignment="1">
      <alignment horizontal="center" vertical="center"/>
    </xf>
    <xf numFmtId="174" fontId="63" fillId="129" borderId="21" xfId="0" applyNumberFormat="1" applyFont="1" applyFill="1" applyBorder="1" applyAlignment="1">
      <alignment horizontal="center" vertical="center" shrinkToFit="1"/>
    </xf>
    <xf numFmtId="174" fontId="76" fillId="83" borderId="17" xfId="0" applyNumberFormat="1" applyFont="1" applyFill="1" applyBorder="1" applyAlignment="1">
      <alignment horizontal="center" vertical="center" shrinkToFit="1"/>
    </xf>
    <xf numFmtId="174" fontId="73" fillId="127" borderId="21" xfId="0" applyNumberFormat="1" applyFont="1" applyFill="1" applyBorder="1" applyAlignment="1">
      <alignment horizontal="center" vertical="center" shrinkToFit="1"/>
    </xf>
    <xf numFmtId="174" fontId="40" fillId="35" borderId="42" xfId="0" applyNumberFormat="1" applyFont="1" applyFill="1" applyBorder="1" applyAlignment="1">
      <alignment horizontal="center" vertical="center" textRotation="90"/>
    </xf>
    <xf numFmtId="174" fontId="40" fillId="76" borderId="0" xfId="0" applyNumberFormat="1" applyFont="1" applyFill="1" applyAlignment="1">
      <alignment vertical="center" textRotation="90"/>
    </xf>
    <xf numFmtId="174" fontId="40" fillId="35" borderId="43" xfId="0" applyNumberFormat="1" applyFont="1" applyFill="1" applyBorder="1" applyAlignment="1">
      <alignment horizontal="center" vertical="center" textRotation="90"/>
    </xf>
    <xf numFmtId="174" fontId="37" fillId="0" borderId="0" xfId="0" applyNumberFormat="1" applyFont="1" applyAlignment="1">
      <alignment horizontal="left" vertical="center"/>
    </xf>
    <xf numFmtId="174" fontId="40" fillId="0" borderId="0" xfId="0" applyNumberFormat="1" applyFont="1" applyAlignment="1">
      <alignment horizontal="center" vertical="center" textRotation="90"/>
    </xf>
    <xf numFmtId="174" fontId="78" fillId="0" borderId="0" xfId="0" applyNumberFormat="1" applyFont="1" applyAlignment="1">
      <alignment horizontal="center" vertical="center"/>
    </xf>
    <xf numFmtId="174" fontId="71" fillId="130" borderId="0" xfId="0" applyNumberFormat="1" applyFont="1" applyFill="1" applyAlignment="1">
      <alignment horizontal="center" vertical="center"/>
    </xf>
    <xf numFmtId="174" fontId="55" fillId="0" borderId="23" xfId="0" applyNumberFormat="1" applyFont="1" applyBorder="1" applyAlignment="1">
      <alignment horizontal="center" vertical="center"/>
    </xf>
    <xf numFmtId="174" fontId="79" fillId="131" borderId="0" xfId="135" applyNumberFormat="1" applyFont="1" applyFill="1" applyAlignment="1">
      <alignment horizontal="center" vertical="center"/>
    </xf>
    <xf numFmtId="174" fontId="64" fillId="41" borderId="1" xfId="138" applyNumberFormat="1" applyFont="1" applyFill="1" applyBorder="1" applyAlignment="1">
      <alignment horizontal="center" vertical="center" shrinkToFit="1"/>
    </xf>
    <xf numFmtId="174" fontId="70" fillId="0" borderId="0" xfId="0" applyNumberFormat="1" applyFont="1" applyAlignment="1">
      <alignment horizontal="center"/>
    </xf>
    <xf numFmtId="174" fontId="38" fillId="0" borderId="37" xfId="0" applyNumberFormat="1" applyFont="1" applyBorder="1" applyAlignment="1">
      <alignment horizontal="center" vertical="center" wrapText="1"/>
    </xf>
    <xf numFmtId="174" fontId="38" fillId="0" borderId="18" xfId="0" applyNumberFormat="1" applyFont="1" applyBorder="1" applyAlignment="1">
      <alignment horizontal="center" vertical="center"/>
    </xf>
    <xf numFmtId="174" fontId="9" fillId="0" borderId="18" xfId="0" applyNumberFormat="1" applyFont="1" applyBorder="1"/>
    <xf numFmtId="174" fontId="36" fillId="131" borderId="0" xfId="135" applyNumberFormat="1" applyFont="1" applyFill="1" applyAlignment="1">
      <alignment horizontal="center" vertical="center"/>
    </xf>
    <xf numFmtId="174" fontId="46" fillId="73" borderId="16" xfId="138" applyNumberFormat="1" applyFont="1" applyFill="1" applyBorder="1" applyAlignment="1">
      <alignment horizontal="center" vertical="center" shrinkToFit="1"/>
    </xf>
    <xf numFmtId="174" fontId="9" fillId="0" borderId="24" xfId="0" applyNumberFormat="1" applyFont="1" applyBorder="1"/>
    <xf numFmtId="174" fontId="40" fillId="35" borderId="44" xfId="0" applyNumberFormat="1" applyFont="1" applyFill="1" applyBorder="1" applyAlignment="1">
      <alignment horizontal="center" vertical="center" textRotation="90"/>
    </xf>
    <xf numFmtId="174" fontId="40" fillId="0" borderId="0" xfId="0" applyNumberFormat="1" applyFont="1" applyAlignment="1">
      <alignment vertical="center" textRotation="90"/>
    </xf>
    <xf numFmtId="174" fontId="62" fillId="0" borderId="0" xfId="0" applyNumberFormat="1" applyFont="1" applyAlignment="1">
      <alignment horizontal="center" vertical="center"/>
    </xf>
    <xf numFmtId="174" fontId="49" fillId="0" borderId="36" xfId="0" applyNumberFormat="1" applyFont="1" applyBorder="1" applyAlignment="1">
      <alignment horizontal="center" vertical="center"/>
    </xf>
    <xf numFmtId="174" fontId="80" fillId="0" borderId="45" xfId="0" applyNumberFormat="1" applyFont="1" applyBorder="1" applyAlignment="1">
      <alignment horizontal="center" vertical="center"/>
    </xf>
    <xf numFmtId="174" fontId="80" fillId="0" borderId="46" xfId="0" applyNumberFormat="1" applyFont="1" applyBorder="1" applyAlignment="1">
      <alignment horizontal="center" vertical="center"/>
    </xf>
    <xf numFmtId="174" fontId="82" fillId="0" borderId="0" xfId="0" applyNumberFormat="1" applyFont="1" applyAlignment="1">
      <alignment horizontal="center" vertical="center"/>
    </xf>
    <xf numFmtId="174" fontId="9" fillId="0" borderId="23" xfId="0" applyNumberFormat="1" applyFont="1" applyBorder="1"/>
    <xf numFmtId="174" fontId="60" fillId="0" borderId="0" xfId="0" applyNumberFormat="1" applyFont="1" applyAlignment="1">
      <alignment horizontal="center" vertical="center"/>
    </xf>
    <xf numFmtId="174" fontId="77" fillId="0" borderId="0" xfId="0" applyNumberFormat="1" applyFont="1"/>
    <xf numFmtId="174" fontId="32" fillId="0" borderId="0" xfId="0" applyNumberFormat="1" applyFont="1" applyAlignment="1">
      <alignment horizontal="center" vertical="center"/>
    </xf>
    <xf numFmtId="174" fontId="37" fillId="0" borderId="0" xfId="0" applyNumberFormat="1" applyFont="1" applyAlignment="1">
      <alignment horizontal="center"/>
    </xf>
    <xf numFmtId="174" fontId="89" fillId="85" borderId="0" xfId="0" applyNumberFormat="1" applyFont="1" applyFill="1" applyAlignment="1">
      <alignment horizontal="center" vertical="center"/>
    </xf>
    <xf numFmtId="174" fontId="25" fillId="0" borderId="38" xfId="0" applyNumberFormat="1" applyFont="1" applyBorder="1" applyAlignment="1">
      <alignment horizontal="center" vertical="center"/>
    </xf>
    <xf numFmtId="174" fontId="123" fillId="0" borderId="38" xfId="138" applyNumberFormat="1" applyFont="1" applyBorder="1" applyAlignment="1">
      <alignment horizontal="center" vertical="center" shrinkToFit="1"/>
    </xf>
    <xf numFmtId="174" fontId="9" fillId="0" borderId="40" xfId="0" applyNumberFormat="1" applyFont="1" applyBorder="1"/>
    <xf numFmtId="174" fontId="87" fillId="40" borderId="16" xfId="138" applyNumberFormat="1" applyFont="1" applyFill="1" applyBorder="1" applyAlignment="1">
      <alignment horizontal="center" vertical="center" shrinkToFit="1"/>
    </xf>
    <xf numFmtId="174" fontId="22" fillId="0" borderId="24" xfId="0" applyNumberFormat="1" applyFont="1" applyBorder="1"/>
    <xf numFmtId="174" fontId="40" fillId="35" borderId="0" xfId="0" applyNumberFormat="1" applyFont="1" applyFill="1" applyAlignment="1">
      <alignment horizontal="center" vertical="center"/>
    </xf>
    <xf numFmtId="174" fontId="58" fillId="85" borderId="0" xfId="0" applyNumberFormat="1" applyFont="1" applyFill="1" applyAlignment="1">
      <alignment horizontal="center" vertical="center"/>
    </xf>
    <xf numFmtId="174" fontId="77" fillId="0" borderId="0" xfId="0" applyNumberFormat="1" applyFont="1"/>
    <xf numFmtId="174" fontId="22" fillId="0" borderId="0" xfId="0" applyNumberFormat="1" applyFont="1" applyAlignment="1">
      <alignment horizontal="right"/>
    </xf>
    <xf numFmtId="174" fontId="55" fillId="35" borderId="0" xfId="0" applyNumberFormat="1" applyFont="1" applyFill="1" applyAlignment="1">
      <alignment horizontal="right" vertical="center"/>
    </xf>
    <xf numFmtId="174" fontId="22" fillId="0" borderId="0" xfId="0" applyNumberFormat="1" applyFont="1" applyAlignment="1">
      <alignment horizontal="left"/>
    </xf>
    <xf numFmtId="174" fontId="37" fillId="0" borderId="0" xfId="0" applyNumberFormat="1" applyFont="1" applyAlignment="1">
      <alignment horizontal="center" vertical="center"/>
    </xf>
    <xf numFmtId="174" fontId="37" fillId="0" borderId="47" xfId="0" applyNumberFormat="1" applyFont="1" applyBorder="1" applyAlignment="1">
      <alignment horizontal="center" vertical="center"/>
    </xf>
    <xf numFmtId="174" fontId="84" fillId="78" borderId="16" xfId="138" applyNumberFormat="1" applyFont="1" applyFill="1" applyBorder="1" applyAlignment="1">
      <alignment horizontal="center" vertical="center" shrinkToFit="1"/>
    </xf>
    <xf numFmtId="174" fontId="85" fillId="79" borderId="16" xfId="138" applyNumberFormat="1" applyFont="1" applyFill="1" applyBorder="1" applyAlignment="1">
      <alignment horizontal="center" vertical="center" shrinkToFit="1"/>
    </xf>
    <xf numFmtId="174" fontId="47" fillId="0" borderId="0" xfId="0" applyNumberFormat="1" applyFont="1" applyAlignment="1">
      <alignment horizontal="left" vertical="center"/>
    </xf>
    <xf numFmtId="174" fontId="49" fillId="0" borderId="88" xfId="0" applyNumberFormat="1" applyFont="1" applyBorder="1" applyAlignment="1">
      <alignment horizontal="center"/>
    </xf>
    <xf numFmtId="174" fontId="49" fillId="0" borderId="38" xfId="0" applyNumberFormat="1" applyFont="1" applyBorder="1" applyAlignment="1">
      <alignment horizontal="center"/>
    </xf>
    <xf numFmtId="174" fontId="45" fillId="80" borderId="0" xfId="118" applyNumberFormat="1" applyFont="1" applyFill="1" applyAlignment="1">
      <alignment horizontal="center" vertical="center"/>
    </xf>
    <xf numFmtId="174" fontId="0" fillId="0" borderId="48" xfId="0" applyNumberFormat="1" applyBorder="1"/>
    <xf numFmtId="174" fontId="50" fillId="0" borderId="20" xfId="0" applyNumberFormat="1" applyFont="1" applyBorder="1" applyAlignment="1">
      <alignment horizontal="center"/>
    </xf>
    <xf numFmtId="174" fontId="0" fillId="0" borderId="49" xfId="0" applyNumberFormat="1" applyBorder="1"/>
    <xf numFmtId="174" fontId="86" fillId="67" borderId="1" xfId="138" applyNumberFormat="1" applyFont="1" applyFill="1" applyBorder="1" applyAlignment="1">
      <alignment horizontal="center" vertical="center" shrinkToFit="1"/>
    </xf>
    <xf numFmtId="174" fontId="87" fillId="76" borderId="16" xfId="138" applyNumberFormat="1" applyFont="1" applyFill="1" applyBorder="1" applyAlignment="1">
      <alignment horizontal="center" vertical="center" shrinkToFit="1"/>
    </xf>
    <xf numFmtId="174" fontId="87" fillId="115" borderId="16" xfId="138" applyNumberFormat="1" applyFont="1" applyFill="1" applyBorder="1" applyAlignment="1">
      <alignment horizontal="center" vertical="center" shrinkToFit="1"/>
    </xf>
    <xf numFmtId="174" fontId="50" fillId="0" borderId="41" xfId="0" applyNumberFormat="1" applyFont="1" applyBorder="1" applyAlignment="1">
      <alignment horizontal="center"/>
    </xf>
    <xf numFmtId="174" fontId="0" fillId="0" borderId="50" xfId="0" applyNumberFormat="1" applyBorder="1"/>
    <xf numFmtId="174" fontId="0" fillId="0" borderId="51" xfId="0" applyNumberForma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4" fontId="0" fillId="0" borderId="52" xfId="0" applyNumberFormat="1" applyBorder="1" applyAlignment="1">
      <alignment horizontal="center" vertical="center"/>
    </xf>
    <xf numFmtId="174" fontId="0" fillId="0" borderId="53" xfId="0" applyNumberFormat="1" applyBorder="1"/>
    <xf numFmtId="174" fontId="22" fillId="0" borderId="53" xfId="0" applyNumberFormat="1" applyFont="1" applyBorder="1"/>
    <xf numFmtId="174" fontId="55" fillId="0" borderId="36" xfId="131" applyNumberFormat="1" applyFont="1" applyBorder="1" applyAlignment="1">
      <alignment horizontal="center"/>
    </xf>
    <xf numFmtId="174" fontId="0" fillId="0" borderId="0" xfId="0" applyNumberFormat="1" applyAlignment="1">
      <alignment vertical="center"/>
    </xf>
    <xf numFmtId="174" fontId="0" fillId="0" borderId="0" xfId="0" applyNumberFormat="1" applyAlignment="1">
      <alignment horizontal="left"/>
    </xf>
    <xf numFmtId="174" fontId="78" fillId="0" borderId="0" xfId="0" applyNumberFormat="1" applyFont="1" applyAlignment="1">
      <alignment horizontal="center" vertical="center"/>
    </xf>
    <xf numFmtId="174" fontId="30" fillId="0" borderId="0" xfId="0" applyNumberFormat="1" applyFont="1" applyAlignment="1">
      <alignment horizontal="center"/>
    </xf>
    <xf numFmtId="174" fontId="0" fillId="132" borderId="50" xfId="0" applyNumberFormat="1" applyFill="1" applyBorder="1"/>
    <xf numFmtId="174" fontId="0" fillId="132" borderId="0" xfId="0" applyNumberFormat="1" applyFill="1"/>
    <xf numFmtId="174" fontId="48" fillId="0" borderId="28" xfId="131" applyNumberFormat="1" applyFont="1" applyBorder="1" applyAlignment="1">
      <alignment horizontal="center"/>
    </xf>
    <xf numFmtId="174" fontId="32" fillId="0" borderId="0" xfId="0" applyNumberFormat="1" applyFont="1" applyAlignment="1">
      <alignment horizontal="center"/>
    </xf>
    <xf numFmtId="174" fontId="35" fillId="0" borderId="54" xfId="0" applyNumberFormat="1" applyFont="1" applyBorder="1" applyAlignment="1">
      <alignment horizontal="center" vertical="center" shrinkToFit="1"/>
    </xf>
    <xf numFmtId="174" fontId="15" fillId="0" borderId="0" xfId="0" applyNumberFormat="1" applyFont="1" applyAlignment="1">
      <alignment horizontal="center"/>
    </xf>
    <xf numFmtId="174" fontId="30" fillId="0" borderId="0" xfId="0" applyNumberFormat="1" applyFont="1" applyAlignment="1">
      <alignment horizontal="center" vertical="center"/>
    </xf>
    <xf numFmtId="174" fontId="31" fillId="0" borderId="0" xfId="0" applyNumberFormat="1" applyFont="1" applyAlignment="1">
      <alignment horizontal="center"/>
    </xf>
    <xf numFmtId="174" fontId="30" fillId="0" borderId="55" xfId="0" applyNumberFormat="1" applyFont="1" applyBorder="1" applyAlignment="1">
      <alignment horizontal="center" vertical="center" wrapText="1"/>
    </xf>
    <xf numFmtId="174" fontId="30" fillId="0" borderId="36" xfId="0" applyNumberFormat="1" applyFont="1" applyBorder="1" applyAlignment="1">
      <alignment horizontal="center" vertical="center" wrapText="1"/>
    </xf>
    <xf numFmtId="174" fontId="30" fillId="0" borderId="56" xfId="0" applyNumberFormat="1" applyFont="1" applyBorder="1" applyAlignment="1">
      <alignment horizontal="center" vertical="center" wrapText="1"/>
    </xf>
    <xf numFmtId="174" fontId="40" fillId="0" borderId="0" xfId="0" applyNumberFormat="1" applyFont="1" applyAlignment="1">
      <alignment horizontal="center" vertical="center"/>
    </xf>
    <xf numFmtId="174" fontId="30" fillId="0" borderId="50" xfId="0" applyNumberFormat="1" applyFont="1" applyBorder="1" applyAlignment="1">
      <alignment horizontal="center" vertical="center" wrapText="1"/>
    </xf>
    <xf numFmtId="174" fontId="30" fillId="0" borderId="0" xfId="0" applyNumberFormat="1" applyFont="1" applyAlignment="1">
      <alignment horizontal="center" vertical="center" wrapText="1"/>
    </xf>
    <xf numFmtId="174" fontId="30" fillId="0" borderId="52" xfId="0" applyNumberFormat="1" applyFont="1" applyBorder="1" applyAlignment="1">
      <alignment horizontal="center" vertical="center" wrapText="1"/>
    </xf>
    <xf numFmtId="174" fontId="89" fillId="0" borderId="0" xfId="0" applyNumberFormat="1" applyFont="1" applyAlignment="1">
      <alignment vertical="center"/>
    </xf>
    <xf numFmtId="174" fontId="55" fillId="0" borderId="0" xfId="131" applyNumberFormat="1" applyFont="1" applyAlignment="1">
      <alignment horizontal="center"/>
    </xf>
    <xf numFmtId="174" fontId="37" fillId="0" borderId="57" xfId="0" applyNumberFormat="1" applyFont="1" applyBorder="1" applyAlignment="1">
      <alignment horizontal="center" vertical="center"/>
    </xf>
    <xf numFmtId="174" fontId="22" fillId="0" borderId="0" xfId="120" applyNumberFormat="1" applyFont="1" applyAlignment="1" applyProtection="1">
      <alignment vertical="center"/>
    </xf>
    <xf numFmtId="174" fontId="41" fillId="38" borderId="0" xfId="0" applyNumberFormat="1" applyFont="1" applyFill="1" applyAlignment="1">
      <alignment horizontal="center" vertical="center"/>
    </xf>
    <xf numFmtId="174" fontId="32" fillId="0" borderId="36" xfId="0" applyNumberFormat="1" applyFont="1" applyBorder="1" applyAlignment="1">
      <alignment horizontal="center" vertical="center"/>
    </xf>
    <xf numFmtId="174" fontId="88" fillId="0" borderId="1" xfId="131" applyNumberFormat="1" applyFont="1" applyBorder="1" applyAlignment="1">
      <alignment horizontal="center"/>
    </xf>
    <xf numFmtId="174" fontId="22" fillId="0" borderId="0" xfId="0" applyNumberFormat="1" applyFont="1" applyAlignment="1">
      <alignment vertical="center"/>
    </xf>
    <xf numFmtId="174" fontId="32" fillId="64" borderId="0" xfId="0" applyNumberFormat="1" applyFont="1" applyFill="1" applyAlignment="1">
      <alignment horizontal="center"/>
    </xf>
    <xf numFmtId="174" fontId="43" fillId="35" borderId="0" xfId="0" applyNumberFormat="1" applyFont="1" applyFill="1" applyAlignment="1">
      <alignment horizontal="center"/>
    </xf>
    <xf numFmtId="174" fontId="43" fillId="0" borderId="51" xfId="0" applyNumberFormat="1" applyFont="1" applyBorder="1" applyAlignment="1">
      <alignment horizontal="center" vertical="center"/>
    </xf>
    <xf numFmtId="174" fontId="43" fillId="0" borderId="0" xfId="0" applyNumberFormat="1" applyFont="1" applyAlignment="1">
      <alignment horizontal="center" vertical="center"/>
    </xf>
    <xf numFmtId="174" fontId="30" fillId="0" borderId="58" xfId="0" applyNumberFormat="1" applyFont="1" applyBorder="1" applyAlignment="1">
      <alignment horizontal="center" vertical="center" wrapText="1"/>
    </xf>
    <xf numFmtId="174" fontId="30" fillId="0" borderId="59" xfId="0" applyNumberFormat="1" applyFont="1" applyBorder="1" applyAlignment="1">
      <alignment horizontal="center" vertical="center" wrapText="1"/>
    </xf>
    <xf numFmtId="174" fontId="30" fillId="0" borderId="60" xfId="0" applyNumberFormat="1" applyFont="1" applyBorder="1" applyAlignment="1">
      <alignment horizontal="center" vertical="center" wrapText="1"/>
    </xf>
    <xf numFmtId="174" fontId="90" fillId="111" borderId="0" xfId="118" applyNumberFormat="1" applyFont="1" applyFill="1" applyAlignment="1">
      <alignment horizontal="center" vertical="center"/>
    </xf>
    <xf numFmtId="174" fontId="0" fillId="0" borderId="59" xfId="0" applyNumberFormat="1" applyBorder="1"/>
    <xf numFmtId="174" fontId="0" fillId="0" borderId="61" xfId="0" applyNumberFormat="1" applyBorder="1" applyAlignment="1">
      <alignment horizontal="center" vertical="center"/>
    </xf>
    <xf numFmtId="174" fontId="0" fillId="0" borderId="59" xfId="0" applyNumberFormat="1" applyBorder="1" applyAlignment="1">
      <alignment horizontal="center" vertical="center"/>
    </xf>
    <xf numFmtId="174" fontId="0" fillId="0" borderId="60" xfId="0" applyNumberFormat="1" applyBorder="1" applyAlignment="1">
      <alignment horizontal="center" vertical="center"/>
    </xf>
    <xf numFmtId="174" fontId="22" fillId="0" borderId="62" xfId="0" applyNumberFormat="1" applyFont="1" applyBorder="1"/>
    <xf numFmtId="174" fontId="22" fillId="0" borderId="63" xfId="0" applyNumberFormat="1" applyFont="1" applyBorder="1"/>
  </cellXfs>
  <cellStyles count="25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100 2 2" xfId="251" xr:uid="{E9639F1E-CB96-475D-8BF5-6F86901E78B7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 2" xfId="250" xr:uid="{CC7AAE20-867A-47E6-A98F-1DC9B553E0D8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648881</xdr:colOff>
      <xdr:row>10</xdr:row>
      <xdr:rowOff>260433</xdr:rowOff>
    </xdr:from>
    <xdr:to>
      <xdr:col>13</xdr:col>
      <xdr:colOff>666749</xdr:colOff>
      <xdr:row>16</xdr:row>
      <xdr:rowOff>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E75BF16B-8D80-48FC-91C1-B80874C061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9973856" y="2908383"/>
          <a:ext cx="1713318" cy="12730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44</xdr:col>
      <xdr:colOff>5973</xdr:colOff>
      <xdr:row>44</xdr:row>
      <xdr:rowOff>223507</xdr:rowOff>
    </xdr:from>
    <xdr:to>
      <xdr:col>44</xdr:col>
      <xdr:colOff>625710</xdr:colOff>
      <xdr:row>47</xdr:row>
      <xdr:rowOff>54121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12BA34F9-3E9D-4EBC-9D6C-F132A344B4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305873" y="12234532"/>
          <a:ext cx="619737" cy="48783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39</xdr:col>
      <xdr:colOff>171973</xdr:colOff>
      <xdr:row>22</xdr:row>
      <xdr:rowOff>207592</xdr:rowOff>
    </xdr:from>
    <xdr:to>
      <xdr:col>43</xdr:col>
      <xdr:colOff>651640</xdr:colOff>
      <xdr:row>25</xdr:row>
      <xdr:rowOff>73034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EA2BBC5A-63C7-4CE1-9363-EBC211B22E24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33233248" y="6141667"/>
          <a:ext cx="3870567" cy="75126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11</xdr:col>
      <xdr:colOff>226063</xdr:colOff>
      <xdr:row>7</xdr:row>
      <xdr:rowOff>144672</xdr:rowOff>
    </xdr:from>
    <xdr:to>
      <xdr:col>15</xdr:col>
      <xdr:colOff>76200</xdr:colOff>
      <xdr:row>11</xdr:row>
      <xdr:rowOff>22165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7C3DBA1-12D0-4D87-A4A5-4DCB8EBC9CB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9551038" y="1963947"/>
          <a:ext cx="3241037" cy="100144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40</xdr:col>
      <xdr:colOff>619125</xdr:colOff>
      <xdr:row>25</xdr:row>
      <xdr:rowOff>95249</xdr:rowOff>
    </xdr:from>
    <xdr:to>
      <xdr:col>42</xdr:col>
      <xdr:colOff>642937</xdr:colOff>
      <xdr:row>29</xdr:row>
      <xdr:rowOff>285748</xdr:rowOff>
    </xdr:to>
    <xdr:pic>
      <xdr:nvPicPr>
        <xdr:cNvPr id="6" name="image16.png" descr=" ">
          <a:extLst>
            <a:ext uri="{FF2B5EF4-FFF2-40B4-BE49-F238E27FC236}">
              <a16:creationId xmlns:a16="http://schemas.microsoft.com/office/drawing/2014/main" id="{9921BB5C-06EA-44CA-A88B-D04159460E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4528125" y="6915149"/>
          <a:ext cx="1719262" cy="1238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10</xdr:col>
      <xdr:colOff>642938</xdr:colOff>
      <xdr:row>31</xdr:row>
      <xdr:rowOff>190500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C158517-BF63-4945-B6B7-A87020B5C899}"/>
            </a:ext>
          </a:extLst>
        </xdr:cNvPr>
        <xdr:cNvSpPr txBox="1"/>
      </xdr:nvSpPr>
      <xdr:spPr>
        <a:xfrm>
          <a:off x="6781800" y="7877175"/>
          <a:ext cx="2338388" cy="7048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bg1"/>
              </a:solidFill>
            </a:rPr>
            <a:t>INGRESO 6 ALLURE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648881</xdr:colOff>
      <xdr:row>10</xdr:row>
      <xdr:rowOff>260433</xdr:rowOff>
    </xdr:from>
    <xdr:to>
      <xdr:col>13</xdr:col>
      <xdr:colOff>666749</xdr:colOff>
      <xdr:row>16</xdr:row>
      <xdr:rowOff>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D7EA0742-AB59-4E7B-86AE-3E74FD4FA2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2907556" y="2908383"/>
          <a:ext cx="2246718" cy="12730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44</xdr:col>
      <xdr:colOff>5973</xdr:colOff>
      <xdr:row>44</xdr:row>
      <xdr:rowOff>223507</xdr:rowOff>
    </xdr:from>
    <xdr:to>
      <xdr:col>44</xdr:col>
      <xdr:colOff>625710</xdr:colOff>
      <xdr:row>47</xdr:row>
      <xdr:rowOff>54121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47EC4142-CF82-4760-A4A0-FA8665BB14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040673" y="12234532"/>
          <a:ext cx="619737" cy="48783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39</xdr:col>
      <xdr:colOff>171973</xdr:colOff>
      <xdr:row>22</xdr:row>
      <xdr:rowOff>207592</xdr:rowOff>
    </xdr:from>
    <xdr:to>
      <xdr:col>43</xdr:col>
      <xdr:colOff>651640</xdr:colOff>
      <xdr:row>25</xdr:row>
      <xdr:rowOff>73034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32B3215-AC4A-4B60-970E-6C8560403E14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3634548" y="6141667"/>
          <a:ext cx="4937367" cy="75126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11</xdr:col>
      <xdr:colOff>226063</xdr:colOff>
      <xdr:row>7</xdr:row>
      <xdr:rowOff>144672</xdr:rowOff>
    </xdr:from>
    <xdr:to>
      <xdr:col>15</xdr:col>
      <xdr:colOff>76200</xdr:colOff>
      <xdr:row>11</xdr:row>
      <xdr:rowOff>22165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10DEFE8E-C89A-4550-9B96-338B37F497FB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2484738" y="1963947"/>
          <a:ext cx="4307837" cy="100144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40</xdr:col>
      <xdr:colOff>619125</xdr:colOff>
      <xdr:row>25</xdr:row>
      <xdr:rowOff>95249</xdr:rowOff>
    </xdr:from>
    <xdr:to>
      <xdr:col>42</xdr:col>
      <xdr:colOff>642937</xdr:colOff>
      <xdr:row>29</xdr:row>
      <xdr:rowOff>285748</xdr:rowOff>
    </xdr:to>
    <xdr:pic>
      <xdr:nvPicPr>
        <xdr:cNvPr id="6" name="image16.png" descr=" ">
          <a:extLst>
            <a:ext uri="{FF2B5EF4-FFF2-40B4-BE49-F238E27FC236}">
              <a16:creationId xmlns:a16="http://schemas.microsoft.com/office/drawing/2014/main" id="{DFB6BD61-907C-4D88-A70E-08F44A8D6B2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196125" y="6915149"/>
          <a:ext cx="2252662" cy="1238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10</xdr:col>
      <xdr:colOff>642938</xdr:colOff>
      <xdr:row>31</xdr:row>
      <xdr:rowOff>190500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8603329-6BD9-4B4C-9CE9-8DC7A17D024E}"/>
            </a:ext>
          </a:extLst>
        </xdr:cNvPr>
        <xdr:cNvSpPr txBox="1"/>
      </xdr:nvSpPr>
      <xdr:spPr>
        <a:xfrm>
          <a:off x="8915400" y="7877175"/>
          <a:ext cx="2871788" cy="7048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bg1"/>
              </a:solidFill>
            </a:rPr>
            <a:t>INGRESO 6 ALLURE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648881</xdr:colOff>
      <xdr:row>10</xdr:row>
      <xdr:rowOff>260433</xdr:rowOff>
    </xdr:from>
    <xdr:to>
      <xdr:col>13</xdr:col>
      <xdr:colOff>666749</xdr:colOff>
      <xdr:row>16</xdr:row>
      <xdr:rowOff>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678FF35D-E7E7-47F5-8B3A-41ABF8EA17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2907556" y="2908383"/>
          <a:ext cx="2246718" cy="12730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44</xdr:col>
      <xdr:colOff>5973</xdr:colOff>
      <xdr:row>44</xdr:row>
      <xdr:rowOff>223507</xdr:rowOff>
    </xdr:from>
    <xdr:to>
      <xdr:col>44</xdr:col>
      <xdr:colOff>625710</xdr:colOff>
      <xdr:row>47</xdr:row>
      <xdr:rowOff>54121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60F32C4B-BE5C-4880-A7BA-DE92EDF2588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040673" y="12234532"/>
          <a:ext cx="619737" cy="48783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39</xdr:col>
      <xdr:colOff>171973</xdr:colOff>
      <xdr:row>22</xdr:row>
      <xdr:rowOff>207592</xdr:rowOff>
    </xdr:from>
    <xdr:to>
      <xdr:col>43</xdr:col>
      <xdr:colOff>651640</xdr:colOff>
      <xdr:row>25</xdr:row>
      <xdr:rowOff>73034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C9141835-7C7B-428E-BB56-3EC85DF78CA6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43634548" y="6141667"/>
          <a:ext cx="4937367" cy="75126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11</xdr:col>
      <xdr:colOff>226063</xdr:colOff>
      <xdr:row>7</xdr:row>
      <xdr:rowOff>144672</xdr:rowOff>
    </xdr:from>
    <xdr:to>
      <xdr:col>15</xdr:col>
      <xdr:colOff>76200</xdr:colOff>
      <xdr:row>11</xdr:row>
      <xdr:rowOff>22165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CAE0F216-A480-4757-A43A-F1283C2E1F93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2484738" y="1963947"/>
          <a:ext cx="4307837" cy="100144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40</xdr:col>
      <xdr:colOff>619125</xdr:colOff>
      <xdr:row>25</xdr:row>
      <xdr:rowOff>95249</xdr:rowOff>
    </xdr:from>
    <xdr:to>
      <xdr:col>42</xdr:col>
      <xdr:colOff>642937</xdr:colOff>
      <xdr:row>29</xdr:row>
      <xdr:rowOff>285748</xdr:rowOff>
    </xdr:to>
    <xdr:pic>
      <xdr:nvPicPr>
        <xdr:cNvPr id="6" name="image16.png" descr=" ">
          <a:extLst>
            <a:ext uri="{FF2B5EF4-FFF2-40B4-BE49-F238E27FC236}">
              <a16:creationId xmlns:a16="http://schemas.microsoft.com/office/drawing/2014/main" id="{8EB96B01-1574-4E29-9E60-4B9134B640B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5196125" y="6915149"/>
          <a:ext cx="2252662" cy="1238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10</xdr:col>
      <xdr:colOff>642938</xdr:colOff>
      <xdr:row>31</xdr:row>
      <xdr:rowOff>190500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1E7A5DE-461B-42F3-BD5C-02F94E10BE13}"/>
            </a:ext>
          </a:extLst>
        </xdr:cNvPr>
        <xdr:cNvSpPr txBox="1"/>
      </xdr:nvSpPr>
      <xdr:spPr>
        <a:xfrm>
          <a:off x="8915400" y="7877175"/>
          <a:ext cx="2871788" cy="7048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bg1"/>
              </a:solidFill>
            </a:rPr>
            <a:t>INGRESO 6 ALLURE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648881</xdr:colOff>
      <xdr:row>10</xdr:row>
      <xdr:rowOff>260433</xdr:rowOff>
    </xdr:from>
    <xdr:to>
      <xdr:col>13</xdr:col>
      <xdr:colOff>666749</xdr:colOff>
      <xdr:row>16</xdr:row>
      <xdr:rowOff>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E299A33D-1099-4BDD-86EB-7F6746ED1B0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9973856" y="2908383"/>
          <a:ext cx="1713318" cy="12730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44</xdr:col>
      <xdr:colOff>5973</xdr:colOff>
      <xdr:row>44</xdr:row>
      <xdr:rowOff>223507</xdr:rowOff>
    </xdr:from>
    <xdr:to>
      <xdr:col>44</xdr:col>
      <xdr:colOff>625710</xdr:colOff>
      <xdr:row>47</xdr:row>
      <xdr:rowOff>54121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1BE5178D-93C0-4E67-A17A-F91B983CFE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305873" y="12234532"/>
          <a:ext cx="619737" cy="48783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39</xdr:col>
      <xdr:colOff>171973</xdr:colOff>
      <xdr:row>22</xdr:row>
      <xdr:rowOff>207592</xdr:rowOff>
    </xdr:from>
    <xdr:to>
      <xdr:col>43</xdr:col>
      <xdr:colOff>651640</xdr:colOff>
      <xdr:row>25</xdr:row>
      <xdr:rowOff>73034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7E63727-23E1-4EA4-A62C-E7937956C006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33233248" y="6141667"/>
          <a:ext cx="3870567" cy="75126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11</xdr:col>
      <xdr:colOff>226063</xdr:colOff>
      <xdr:row>7</xdr:row>
      <xdr:rowOff>144672</xdr:rowOff>
    </xdr:from>
    <xdr:to>
      <xdr:col>15</xdr:col>
      <xdr:colOff>76200</xdr:colOff>
      <xdr:row>11</xdr:row>
      <xdr:rowOff>22165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B1B4D5A3-14BD-4E3C-A91D-BE72E33EA852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9551038" y="1963947"/>
          <a:ext cx="3241037" cy="100144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40</xdr:col>
      <xdr:colOff>619125</xdr:colOff>
      <xdr:row>25</xdr:row>
      <xdr:rowOff>95249</xdr:rowOff>
    </xdr:from>
    <xdr:to>
      <xdr:col>42</xdr:col>
      <xdr:colOff>642937</xdr:colOff>
      <xdr:row>29</xdr:row>
      <xdr:rowOff>285748</xdr:rowOff>
    </xdr:to>
    <xdr:pic>
      <xdr:nvPicPr>
        <xdr:cNvPr id="6" name="image16.png" descr=" ">
          <a:extLst>
            <a:ext uri="{FF2B5EF4-FFF2-40B4-BE49-F238E27FC236}">
              <a16:creationId xmlns:a16="http://schemas.microsoft.com/office/drawing/2014/main" id="{950AC5C4-64F1-45A3-B561-CB757FC2523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4528125" y="6915149"/>
          <a:ext cx="1719262" cy="12382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10</xdr:col>
      <xdr:colOff>642938</xdr:colOff>
      <xdr:row>31</xdr:row>
      <xdr:rowOff>190500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C2524672-55AF-442F-8DC4-CF2119D6B0BE}"/>
            </a:ext>
          </a:extLst>
        </xdr:cNvPr>
        <xdr:cNvSpPr txBox="1"/>
      </xdr:nvSpPr>
      <xdr:spPr>
        <a:xfrm>
          <a:off x="6781800" y="7877175"/>
          <a:ext cx="2338388" cy="7048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bg1"/>
              </a:solidFill>
            </a:rPr>
            <a:t>INGRESO 6 ALLURE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A71"/>
  <sheetViews>
    <sheetView tabSelected="1" topLeftCell="AL4" zoomScale="60" zoomScaleNormal="60" workbookViewId="0">
      <selection activeCell="AL4" sqref="A1:XFD1048576"/>
    </sheetView>
  </sheetViews>
  <sheetFormatPr baseColWidth="10" defaultColWidth="12.7109375" defaultRowHeight="15" x14ac:dyDescent="0.25"/>
  <cols>
    <col min="1" max="16384" width="12.7109375" style="566"/>
  </cols>
  <sheetData>
    <row r="1" spans="1:79" ht="47.25" thickBot="1" x14ac:dyDescent="0.3">
      <c r="A1" s="563" t="s">
        <v>165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  <c r="X1" s="564"/>
      <c r="Y1" s="564"/>
      <c r="Z1" s="564"/>
      <c r="AA1" s="564"/>
      <c r="AB1" s="564"/>
      <c r="AC1" s="564"/>
      <c r="AD1" s="564"/>
      <c r="AE1" s="564"/>
      <c r="AF1" s="564"/>
      <c r="AG1" s="564"/>
      <c r="AH1" s="564"/>
      <c r="AI1" s="564"/>
      <c r="AJ1" s="564"/>
      <c r="AK1" s="564"/>
      <c r="AL1" s="564"/>
      <c r="AM1" s="564"/>
      <c r="AN1" s="564"/>
      <c r="AO1" s="564"/>
      <c r="AP1" s="564"/>
      <c r="AQ1" s="564"/>
      <c r="AR1" s="564"/>
      <c r="AS1" s="564"/>
      <c r="AT1" s="564"/>
      <c r="AU1" s="564"/>
      <c r="AV1" s="564"/>
      <c r="AW1" s="564"/>
      <c r="AX1" s="564"/>
      <c r="AY1" s="564"/>
      <c r="AZ1" s="564"/>
      <c r="BA1" s="564"/>
      <c r="BB1" s="564"/>
      <c r="BC1" s="564"/>
      <c r="BD1" s="564"/>
      <c r="BE1" s="564"/>
      <c r="BF1" s="564"/>
      <c r="BG1" s="564"/>
      <c r="BH1" s="564"/>
      <c r="BI1" s="564"/>
      <c r="BJ1" s="564"/>
      <c r="BK1" s="564"/>
      <c r="BL1" s="564"/>
      <c r="BM1" s="564"/>
      <c r="BN1" s="564"/>
      <c r="BO1" s="564"/>
      <c r="BP1" s="564"/>
      <c r="BQ1" s="564"/>
      <c r="BR1" s="564"/>
      <c r="BS1" s="564"/>
      <c r="BT1" s="564"/>
      <c r="BU1" s="564"/>
      <c r="BV1" s="564"/>
      <c r="BW1" s="564"/>
      <c r="BX1" s="564"/>
      <c r="BY1" s="564"/>
      <c r="BZ1" s="564"/>
      <c r="CA1" s="565"/>
    </row>
    <row r="2" spans="1:79" ht="15.75" thickBot="1" x14ac:dyDescent="0.3">
      <c r="A2" s="567" t="s">
        <v>166</v>
      </c>
      <c r="B2" s="568"/>
      <c r="C2" s="568"/>
      <c r="D2" s="568"/>
      <c r="E2" s="568"/>
      <c r="F2" s="568"/>
      <c r="G2" s="568"/>
      <c r="H2" s="568"/>
      <c r="I2" s="568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  <c r="V2" s="568"/>
      <c r="W2" s="568"/>
      <c r="X2" s="568"/>
      <c r="Y2" s="568"/>
      <c r="Z2" s="568"/>
      <c r="AA2" s="568"/>
      <c r="AB2" s="568"/>
      <c r="AC2" s="568"/>
      <c r="AD2" s="568"/>
      <c r="AE2" s="568"/>
      <c r="AF2" s="568"/>
      <c r="AG2" s="568"/>
      <c r="AH2" s="569"/>
      <c r="AI2" s="569"/>
      <c r="AJ2" s="569"/>
      <c r="AK2" s="569"/>
      <c r="AL2" s="569"/>
      <c r="AM2" s="569"/>
      <c r="AN2" s="569"/>
      <c r="AO2" s="569"/>
      <c r="AP2" s="569"/>
      <c r="AQ2" s="569"/>
      <c r="AR2" s="569"/>
      <c r="AS2" s="569"/>
      <c r="AT2" s="569"/>
      <c r="AU2" s="569"/>
      <c r="AV2" s="569"/>
      <c r="AW2" s="569"/>
      <c r="AX2" s="569"/>
      <c r="AY2" s="569"/>
      <c r="AZ2" s="569"/>
      <c r="BA2" s="569"/>
      <c r="BB2" s="569"/>
      <c r="BC2" s="569"/>
      <c r="BD2" s="569"/>
      <c r="BE2" s="569"/>
      <c r="BF2" s="569"/>
      <c r="BG2" s="569"/>
      <c r="BH2" s="569"/>
      <c r="BI2" s="569"/>
      <c r="BJ2" s="569"/>
      <c r="BK2" s="569"/>
      <c r="BL2" s="569"/>
      <c r="BM2" s="569"/>
      <c r="BN2" s="569"/>
      <c r="BO2" s="569"/>
      <c r="BP2" s="569"/>
      <c r="BQ2" s="569"/>
      <c r="BR2" s="569"/>
      <c r="BS2" s="569"/>
      <c r="BT2" s="569"/>
      <c r="BU2" s="569"/>
      <c r="BV2" s="569"/>
      <c r="BW2" s="569"/>
      <c r="BX2" s="569"/>
      <c r="BY2" s="569"/>
      <c r="BZ2" s="569"/>
      <c r="CA2" s="570"/>
    </row>
    <row r="3" spans="1:79" ht="15" customHeight="1" x14ac:dyDescent="0.25">
      <c r="A3" s="571"/>
      <c r="B3" s="572"/>
      <c r="C3" s="572"/>
      <c r="D3" s="572"/>
      <c r="E3" s="572"/>
      <c r="F3" s="572"/>
      <c r="G3" s="572"/>
      <c r="H3" s="572"/>
      <c r="I3" s="573"/>
      <c r="J3" s="574"/>
      <c r="K3" s="575"/>
      <c r="L3" s="576">
        <v>7053017</v>
      </c>
      <c r="M3" s="575"/>
      <c r="N3" s="576">
        <v>7052675</v>
      </c>
      <c r="O3" s="575"/>
      <c r="P3" s="576">
        <v>7052996</v>
      </c>
      <c r="Q3" s="575"/>
      <c r="R3" s="574"/>
      <c r="S3" s="574"/>
      <c r="T3" s="574"/>
      <c r="U3" s="574"/>
      <c r="V3" s="577" t="s">
        <v>735</v>
      </c>
      <c r="W3" s="578"/>
      <c r="X3" s="578"/>
      <c r="Y3" s="578"/>
      <c r="Z3" s="578"/>
      <c r="AA3" s="578"/>
      <c r="AB3" s="578"/>
      <c r="AC3" s="578"/>
      <c r="AD3" s="578"/>
      <c r="AE3" s="578"/>
      <c r="AF3" s="578"/>
      <c r="AG3" s="579"/>
      <c r="AH3" s="574"/>
      <c r="AI3" s="574"/>
      <c r="AJ3" s="574"/>
      <c r="AO3" s="580"/>
      <c r="AP3" s="580"/>
      <c r="AQ3" s="580"/>
      <c r="AR3" s="580"/>
      <c r="AV3" s="581"/>
      <c r="AW3" s="581"/>
      <c r="AX3" s="581"/>
      <c r="AY3" s="581"/>
      <c r="BA3" s="582" t="s">
        <v>210</v>
      </c>
      <c r="BB3" s="583"/>
      <c r="BE3" s="581"/>
      <c r="BF3" s="581"/>
      <c r="BJ3" s="584" t="s">
        <v>167</v>
      </c>
      <c r="BK3" s="584"/>
      <c r="BL3" s="585"/>
      <c r="BM3" s="585"/>
      <c r="BN3" s="586"/>
      <c r="BO3" s="586"/>
      <c r="BP3" s="586"/>
      <c r="BQ3" s="586"/>
      <c r="BR3" s="575"/>
      <c r="BS3" s="576">
        <v>7055361</v>
      </c>
      <c r="BT3" s="575"/>
      <c r="BU3" s="576">
        <v>7055400</v>
      </c>
      <c r="BV3" s="575"/>
      <c r="BW3" s="576">
        <v>7055375</v>
      </c>
      <c r="BX3" s="575"/>
      <c r="BY3" s="574"/>
      <c r="BZ3" s="574"/>
      <c r="CA3" s="587"/>
    </row>
    <row r="4" spans="1:79" ht="18.75" x14ac:dyDescent="0.25">
      <c r="A4" s="588"/>
      <c r="B4" s="574"/>
      <c r="C4" s="574"/>
      <c r="D4" s="574"/>
      <c r="E4" s="574"/>
      <c r="F4" s="574"/>
      <c r="G4" s="574"/>
      <c r="H4" s="574"/>
      <c r="I4" s="589"/>
      <c r="J4" s="574"/>
      <c r="K4" s="590" t="s">
        <v>168</v>
      </c>
      <c r="L4" s="591" t="s">
        <v>169</v>
      </c>
      <c r="M4" s="591"/>
      <c r="N4" s="591" t="s">
        <v>169</v>
      </c>
      <c r="O4" s="591"/>
      <c r="P4" s="591" t="s">
        <v>169</v>
      </c>
      <c r="Q4" s="574"/>
      <c r="R4" s="574"/>
      <c r="S4" s="574"/>
      <c r="T4" s="574"/>
      <c r="U4" s="574"/>
      <c r="V4" s="592"/>
      <c r="W4" s="593"/>
      <c r="X4" s="593"/>
      <c r="Y4" s="593"/>
      <c r="Z4" s="593"/>
      <c r="AA4" s="593"/>
      <c r="AB4" s="593"/>
      <c r="AC4" s="593"/>
      <c r="AD4" s="593"/>
      <c r="AE4" s="593"/>
      <c r="AF4" s="593"/>
      <c r="AG4" s="594"/>
      <c r="AH4" s="574"/>
      <c r="AI4" s="574"/>
      <c r="AJ4" s="574"/>
      <c r="AK4" s="574"/>
      <c r="AL4" s="574"/>
      <c r="AM4" s="574"/>
      <c r="AN4" s="587"/>
      <c r="AO4" s="595"/>
      <c r="AP4" s="596"/>
      <c r="AQ4" s="596"/>
      <c r="AR4" s="596"/>
      <c r="AS4" s="597"/>
      <c r="AT4" s="598"/>
      <c r="AV4" s="574"/>
      <c r="AW4" s="574"/>
      <c r="BI4" s="574"/>
      <c r="BJ4" s="574"/>
      <c r="BN4" s="599"/>
      <c r="BO4" s="599"/>
      <c r="BP4" s="599"/>
      <c r="BQ4" s="599"/>
      <c r="BR4" s="590" t="s">
        <v>168</v>
      </c>
      <c r="BS4" s="591" t="s">
        <v>169</v>
      </c>
      <c r="BT4" s="591"/>
      <c r="BU4" s="591" t="s">
        <v>169</v>
      </c>
      <c r="BV4" s="591"/>
      <c r="BW4" s="591" t="s">
        <v>169</v>
      </c>
      <c r="BX4" s="574"/>
      <c r="BY4" s="574"/>
      <c r="BZ4" s="574"/>
      <c r="CA4" s="587"/>
    </row>
    <row r="5" spans="1:79" ht="15.75" thickBot="1" x14ac:dyDescent="0.3">
      <c r="A5" s="600" t="s">
        <v>170</v>
      </c>
      <c r="B5" s="601"/>
      <c r="C5" s="574"/>
      <c r="D5" s="574"/>
      <c r="E5" s="574"/>
      <c r="F5" s="574"/>
      <c r="G5" s="574"/>
      <c r="H5" s="574"/>
      <c r="I5" s="589"/>
      <c r="J5" s="574"/>
      <c r="K5" s="574"/>
      <c r="L5" s="602"/>
      <c r="N5" s="602"/>
      <c r="P5" s="602"/>
      <c r="Q5" s="603"/>
      <c r="R5" s="574"/>
      <c r="U5" s="574"/>
      <c r="V5" s="604"/>
      <c r="W5" s="605"/>
      <c r="X5" s="605"/>
      <c r="Y5" s="605"/>
      <c r="Z5" s="605"/>
      <c r="AA5" s="605"/>
      <c r="AB5" s="605"/>
      <c r="AC5" s="605"/>
      <c r="AD5" s="605"/>
      <c r="AE5" s="605"/>
      <c r="AF5" s="605"/>
      <c r="AG5" s="606"/>
      <c r="AH5" s="574"/>
      <c r="AM5" s="574"/>
      <c r="AN5" s="587"/>
      <c r="AO5" s="574"/>
      <c r="AP5" s="574"/>
      <c r="AQ5" s="574"/>
      <c r="AR5" s="574"/>
      <c r="AS5" s="574"/>
      <c r="AT5" s="574"/>
      <c r="AU5" s="574"/>
      <c r="AV5" s="574"/>
      <c r="AW5" s="574"/>
      <c r="AX5" s="574"/>
      <c r="BE5" s="607"/>
      <c r="BF5" s="607"/>
      <c r="BJ5" s="574"/>
      <c r="BO5" s="608"/>
      <c r="BP5" s="608"/>
      <c r="BQ5" s="608"/>
      <c r="BR5" s="574"/>
      <c r="BS5" s="602"/>
      <c r="BU5" s="602"/>
      <c r="BW5" s="602"/>
      <c r="BX5" s="603"/>
      <c r="CA5" s="587"/>
    </row>
    <row r="6" spans="1:79" ht="15.75" x14ac:dyDescent="0.25">
      <c r="A6" s="609"/>
      <c r="B6" s="610"/>
      <c r="C6" s="574"/>
      <c r="D6" s="574"/>
      <c r="E6" s="574"/>
      <c r="F6" s="574"/>
      <c r="G6" s="574"/>
      <c r="H6" s="574"/>
      <c r="I6" s="589"/>
      <c r="J6" s="574"/>
      <c r="K6" s="574"/>
      <c r="L6" s="611" t="s">
        <v>171</v>
      </c>
      <c r="M6" s="611"/>
      <c r="N6" s="611"/>
      <c r="O6" s="611"/>
      <c r="P6" s="611"/>
      <c r="Q6" s="574"/>
      <c r="R6" s="574"/>
      <c r="S6" s="574"/>
      <c r="T6" s="574"/>
      <c r="W6" s="574"/>
      <c r="X6" s="574"/>
      <c r="AA6" s="574"/>
      <c r="AB6" s="574"/>
      <c r="AC6" s="574"/>
      <c r="AD6" s="574"/>
      <c r="AG6" s="574"/>
      <c r="AH6" s="574"/>
      <c r="AI6" s="574"/>
      <c r="AJ6" s="612"/>
      <c r="AK6" s="612"/>
      <c r="AL6" s="574"/>
      <c r="AM6" s="574"/>
      <c r="AN6" s="587"/>
      <c r="AO6" s="574"/>
      <c r="AP6" s="574"/>
      <c r="AQ6" s="574"/>
      <c r="AR6" s="574"/>
      <c r="AS6" s="574"/>
      <c r="AT6" s="574"/>
      <c r="AU6" s="574"/>
      <c r="AV6" s="574"/>
      <c r="AW6" s="574"/>
      <c r="AX6" s="574"/>
      <c r="AY6" s="574"/>
      <c r="AZ6" s="574"/>
      <c r="BJ6" s="574"/>
      <c r="BK6" s="574"/>
      <c r="BN6" s="613"/>
      <c r="BO6" s="613"/>
      <c r="BP6" s="613"/>
      <c r="BQ6" s="613"/>
      <c r="BR6" s="613"/>
      <c r="BS6" s="611" t="s">
        <v>171</v>
      </c>
      <c r="BT6" s="611"/>
      <c r="BU6" s="611"/>
      <c r="BV6" s="611"/>
      <c r="BW6" s="611"/>
      <c r="CA6" s="587"/>
    </row>
    <row r="7" spans="1:79" x14ac:dyDescent="0.25">
      <c r="A7" s="609"/>
      <c r="B7" s="610"/>
      <c r="C7" s="574"/>
      <c r="D7" s="574"/>
      <c r="E7" s="574"/>
      <c r="F7" s="574"/>
      <c r="G7" s="574"/>
      <c r="H7" s="574"/>
      <c r="I7" s="589"/>
      <c r="J7" s="574"/>
      <c r="K7" s="574"/>
      <c r="L7" s="574"/>
      <c r="P7" s="574"/>
      <c r="Q7" s="574"/>
      <c r="R7" s="574"/>
      <c r="S7" s="574"/>
      <c r="T7" s="602"/>
      <c r="W7" s="574"/>
      <c r="X7" s="574"/>
      <c r="AA7" s="574"/>
      <c r="AB7" s="574"/>
      <c r="AC7" s="574"/>
      <c r="AD7" s="574"/>
      <c r="AG7" s="574"/>
      <c r="AH7" s="574"/>
      <c r="AI7" s="574"/>
      <c r="AJ7" s="612"/>
      <c r="AK7" s="612"/>
      <c r="AL7" s="574"/>
      <c r="AM7" s="574"/>
      <c r="AN7" s="587"/>
      <c r="AO7" s="574"/>
      <c r="AP7" s="614"/>
      <c r="AQ7" s="614"/>
      <c r="AR7" s="614"/>
      <c r="AS7" s="574"/>
      <c r="AT7" s="603" t="s">
        <v>172</v>
      </c>
      <c r="AU7" s="615" t="s">
        <v>177</v>
      </c>
      <c r="AV7" s="616"/>
      <c r="AW7" s="574"/>
      <c r="AX7" s="574"/>
      <c r="AZ7" s="574"/>
      <c r="BA7" s="617" t="s">
        <v>203</v>
      </c>
      <c r="BB7" s="617"/>
      <c r="BF7" s="574"/>
      <c r="BG7" s="574"/>
      <c r="BH7" s="574"/>
      <c r="BR7" s="574"/>
      <c r="CA7" s="587"/>
    </row>
    <row r="8" spans="1:79" ht="18.75" x14ac:dyDescent="0.25">
      <c r="A8" s="609"/>
      <c r="B8" s="610"/>
      <c r="C8" s="574"/>
      <c r="D8" s="574"/>
      <c r="E8" s="618" t="s">
        <v>173</v>
      </c>
      <c r="F8" s="619"/>
      <c r="G8" s="619"/>
      <c r="H8" s="574"/>
      <c r="I8" s="589"/>
      <c r="J8" s="574"/>
      <c r="K8" s="574"/>
      <c r="L8" s="574"/>
      <c r="M8" s="574"/>
      <c r="N8" s="574"/>
      <c r="P8" s="574"/>
      <c r="Q8" s="574"/>
      <c r="R8" s="574"/>
      <c r="S8" s="574"/>
      <c r="T8" s="602"/>
      <c r="W8" s="574"/>
      <c r="X8" s="574"/>
      <c r="AA8" s="574"/>
      <c r="AB8" s="574"/>
      <c r="AC8" s="574"/>
      <c r="AD8" s="574"/>
      <c r="AE8" s="574"/>
      <c r="AF8" s="574"/>
      <c r="AG8" s="574"/>
      <c r="AH8" s="574"/>
      <c r="AI8" s="574"/>
      <c r="AJ8" s="612"/>
      <c r="AK8" s="612"/>
      <c r="AL8" s="574"/>
      <c r="AM8" s="574"/>
      <c r="AN8" s="587"/>
      <c r="AO8" s="574"/>
      <c r="AP8" s="620"/>
      <c r="AQ8" s="620"/>
      <c r="AR8" s="620"/>
      <c r="AS8" s="574"/>
      <c r="AT8" s="590" t="s">
        <v>174</v>
      </c>
      <c r="AU8" s="621"/>
      <c r="AV8" s="621"/>
      <c r="AW8" s="622" t="s">
        <v>769</v>
      </c>
      <c r="AX8" s="574"/>
      <c r="AZ8" s="574"/>
      <c r="BA8" s="623"/>
      <c r="BB8" s="623"/>
      <c r="BN8" s="574"/>
      <c r="BO8" s="574"/>
      <c r="BP8" s="580"/>
      <c r="BQ8" s="580"/>
      <c r="BS8" s="574"/>
      <c r="BT8" s="574"/>
      <c r="CA8" s="587"/>
    </row>
    <row r="9" spans="1:79" ht="23.25" x14ac:dyDescent="0.25">
      <c r="A9" s="609"/>
      <c r="B9" s="610"/>
      <c r="C9" s="574"/>
      <c r="D9" s="574"/>
      <c r="E9" s="619"/>
      <c r="F9" s="619"/>
      <c r="G9" s="619"/>
      <c r="H9" s="574"/>
      <c r="I9" s="589"/>
      <c r="J9" s="574"/>
      <c r="K9" s="574"/>
      <c r="L9" s="574"/>
      <c r="M9" s="574"/>
      <c r="N9" s="574"/>
      <c r="P9" s="574"/>
      <c r="Q9" s="574"/>
      <c r="R9" s="574"/>
      <c r="S9" s="574"/>
      <c r="T9" s="574"/>
      <c r="W9" s="574"/>
      <c r="X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87"/>
      <c r="AP9" s="620"/>
      <c r="AQ9" s="620"/>
      <c r="AR9" s="620"/>
      <c r="AS9" s="624"/>
      <c r="AT9" s="625" t="s">
        <v>169</v>
      </c>
      <c r="AU9" s="626">
        <v>3132428</v>
      </c>
      <c r="AV9" s="627">
        <v>3132430</v>
      </c>
      <c r="AW9" s="625" t="s">
        <v>169</v>
      </c>
      <c r="AX9" s="602"/>
      <c r="AZ9" s="623" t="s">
        <v>184</v>
      </c>
      <c r="BA9" s="628">
        <v>9370566</v>
      </c>
      <c r="BB9" s="628">
        <v>9370569</v>
      </c>
      <c r="BC9" s="623" t="s">
        <v>184</v>
      </c>
      <c r="BD9" s="629"/>
      <c r="BE9" s="630"/>
      <c r="BF9" s="631"/>
      <c r="BG9" s="631"/>
      <c r="BH9" s="574"/>
      <c r="BJ9" s="632"/>
      <c r="BK9" s="633"/>
      <c r="BL9" s="634"/>
      <c r="BN9" s="574"/>
      <c r="BO9" s="574"/>
      <c r="BP9" s="580"/>
      <c r="BQ9" s="580"/>
      <c r="BT9" s="574"/>
      <c r="BU9" s="574"/>
      <c r="CA9" s="587"/>
    </row>
    <row r="10" spans="1:79" ht="23.25" x14ac:dyDescent="0.25">
      <c r="A10" s="609"/>
      <c r="B10" s="610"/>
      <c r="C10" s="574"/>
      <c r="D10" s="574"/>
      <c r="E10" s="574"/>
      <c r="F10" s="574"/>
      <c r="G10" s="574"/>
      <c r="H10" s="574"/>
      <c r="I10" s="589"/>
      <c r="J10" s="574"/>
      <c r="K10" s="574"/>
      <c r="L10" s="574"/>
      <c r="M10" s="574"/>
      <c r="N10" s="574"/>
      <c r="P10" s="574"/>
      <c r="Q10" s="574"/>
      <c r="R10" s="574"/>
      <c r="S10" s="574"/>
      <c r="T10" s="574"/>
      <c r="U10" s="574"/>
      <c r="V10" s="574"/>
      <c r="W10" s="574"/>
      <c r="X10" s="574"/>
      <c r="AB10" s="574"/>
      <c r="AC10" s="574"/>
      <c r="AD10" s="574"/>
      <c r="AG10" s="574"/>
      <c r="AN10" s="587"/>
      <c r="AS10" s="624"/>
      <c r="AT10" s="625" t="s">
        <v>169</v>
      </c>
      <c r="AU10" s="626">
        <v>3132457</v>
      </c>
      <c r="AV10" s="627">
        <v>3132461</v>
      </c>
      <c r="AW10" s="625" t="s">
        <v>169</v>
      </c>
      <c r="AX10" s="602"/>
      <c r="AZ10" s="623" t="s">
        <v>184</v>
      </c>
      <c r="BA10" s="628">
        <v>9370552</v>
      </c>
      <c r="BB10" s="628">
        <v>9370574</v>
      </c>
      <c r="BC10" s="623" t="s">
        <v>184</v>
      </c>
      <c r="BD10" s="629"/>
      <c r="BE10" s="574"/>
      <c r="BF10" s="631"/>
      <c r="BG10" s="631"/>
      <c r="BJ10" s="632"/>
      <c r="BK10" s="633"/>
      <c r="BL10" s="634"/>
      <c r="BN10" s="574"/>
      <c r="BO10" s="574"/>
      <c r="BP10" s="580"/>
      <c r="BQ10" s="580"/>
      <c r="BU10" s="574"/>
      <c r="CA10" s="587"/>
    </row>
    <row r="11" spans="1:79" ht="23.25" x14ac:dyDescent="0.25">
      <c r="A11" s="609"/>
      <c r="B11" s="610"/>
      <c r="C11" s="574"/>
      <c r="D11" s="574"/>
      <c r="E11" s="574"/>
      <c r="F11" s="574"/>
      <c r="G11" s="574"/>
      <c r="H11" s="574"/>
      <c r="I11" s="589"/>
      <c r="J11" s="574"/>
      <c r="K11" s="574"/>
      <c r="L11" s="574"/>
      <c r="M11" s="574"/>
      <c r="N11" s="574"/>
      <c r="P11" s="574"/>
      <c r="Q11" s="574"/>
      <c r="R11" s="574"/>
      <c r="S11" s="574"/>
      <c r="V11" s="574"/>
      <c r="W11" s="574"/>
      <c r="Y11" s="635"/>
      <c r="Z11" s="635"/>
      <c r="AB11" s="574"/>
      <c r="AC11" s="574"/>
      <c r="AD11" s="574"/>
      <c r="AG11" s="574"/>
      <c r="AM11" s="629"/>
      <c r="AN11" s="587"/>
      <c r="AS11" s="624"/>
      <c r="AT11" s="625" t="s">
        <v>169</v>
      </c>
      <c r="AU11" s="626">
        <v>3132458</v>
      </c>
      <c r="AV11" s="627">
        <v>3132433</v>
      </c>
      <c r="AW11" s="625" t="s">
        <v>169</v>
      </c>
      <c r="AX11" s="602"/>
      <c r="AZ11" s="623" t="s">
        <v>184</v>
      </c>
      <c r="BA11" s="628">
        <v>9370573</v>
      </c>
      <c r="BB11" s="628">
        <v>9370576</v>
      </c>
      <c r="BC11" s="623" t="s">
        <v>184</v>
      </c>
      <c r="BD11" s="629"/>
      <c r="BE11" s="574"/>
      <c r="BF11" s="631"/>
      <c r="BG11" s="631"/>
      <c r="BJ11" s="632"/>
      <c r="BK11" s="633"/>
      <c r="BL11" s="634"/>
      <c r="BN11" s="574"/>
      <c r="BO11" s="574"/>
      <c r="BP11" s="580"/>
      <c r="BQ11" s="580"/>
      <c r="BT11" s="574"/>
      <c r="BU11" s="574"/>
      <c r="BW11" s="636"/>
      <c r="BX11" s="636"/>
      <c r="BY11" s="636"/>
      <c r="CA11" s="587"/>
    </row>
    <row r="12" spans="1:79" ht="18.75" x14ac:dyDescent="0.25">
      <c r="A12" s="609"/>
      <c r="B12" s="610"/>
      <c r="C12" s="574"/>
      <c r="D12" s="574"/>
      <c r="E12" s="574"/>
      <c r="F12" s="574"/>
      <c r="G12" s="574"/>
      <c r="H12" s="574"/>
      <c r="I12" s="589"/>
      <c r="J12" s="574"/>
      <c r="K12" s="574"/>
      <c r="L12" s="574"/>
      <c r="P12" s="574"/>
      <c r="Q12" s="574"/>
      <c r="R12" s="620"/>
      <c r="S12" s="620"/>
      <c r="U12" s="574"/>
      <c r="V12" s="574"/>
      <c r="W12" s="574"/>
      <c r="Y12" s="635"/>
      <c r="Z12" s="635"/>
      <c r="AB12" s="574"/>
      <c r="AC12" s="574"/>
      <c r="AD12" s="574"/>
      <c r="AE12" s="620"/>
      <c r="AF12" s="620"/>
      <c r="AG12" s="574"/>
      <c r="AJ12" s="620"/>
      <c r="AK12" s="620"/>
      <c r="AM12" s="629"/>
      <c r="AN12" s="587"/>
      <c r="AU12" s="621"/>
      <c r="AV12" s="621"/>
      <c r="AZ12" s="574"/>
      <c r="BA12" s="623"/>
      <c r="BB12" s="623"/>
      <c r="BE12" s="574"/>
      <c r="BN12" s="574"/>
      <c r="BP12" s="637"/>
      <c r="BQ12" s="637"/>
      <c r="BT12" s="574"/>
      <c r="BU12" s="574"/>
      <c r="BW12" s="636"/>
      <c r="BX12" s="636"/>
      <c r="BY12" s="636"/>
      <c r="CA12" s="587"/>
    </row>
    <row r="13" spans="1:79" ht="15.75" x14ac:dyDescent="0.25">
      <c r="A13" s="638"/>
      <c r="B13" s="639"/>
      <c r="C13" s="574"/>
      <c r="D13" s="574"/>
      <c r="E13" s="574"/>
      <c r="F13" s="574"/>
      <c r="G13" s="574"/>
      <c r="H13" s="574"/>
      <c r="I13" s="589"/>
      <c r="J13" s="574"/>
      <c r="K13" s="574"/>
      <c r="L13" s="574"/>
      <c r="P13" s="574"/>
      <c r="Q13" s="574"/>
      <c r="R13" s="620"/>
      <c r="S13" s="620"/>
      <c r="V13" s="574"/>
      <c r="W13" s="574"/>
      <c r="Y13" s="635"/>
      <c r="Z13" s="635"/>
      <c r="AB13" s="574"/>
      <c r="AC13" s="574"/>
      <c r="AD13" s="574"/>
      <c r="AE13" s="620"/>
      <c r="AF13" s="620"/>
      <c r="AG13" s="574"/>
      <c r="AJ13" s="620"/>
      <c r="AK13" s="620"/>
      <c r="AN13" s="587"/>
      <c r="AS13" s="602"/>
      <c r="AT13" s="574"/>
      <c r="BE13" s="574"/>
      <c r="BN13" s="574"/>
      <c r="BO13" s="574"/>
      <c r="BT13" s="574"/>
      <c r="BU13" s="574"/>
      <c r="CA13" s="587"/>
    </row>
    <row r="14" spans="1:79" ht="18.75" x14ac:dyDescent="0.25">
      <c r="A14" s="588"/>
      <c r="B14" s="574"/>
      <c r="C14" s="574"/>
      <c r="D14" s="574"/>
      <c r="E14" s="574"/>
      <c r="F14" s="574"/>
      <c r="G14" s="574"/>
      <c r="H14" s="574"/>
      <c r="I14" s="640"/>
      <c r="K14" s="574"/>
      <c r="L14" s="574"/>
      <c r="P14" s="574"/>
      <c r="Q14" s="574"/>
      <c r="R14" s="620"/>
      <c r="S14" s="620"/>
      <c r="U14" s="574"/>
      <c r="V14" s="574"/>
      <c r="W14" s="574"/>
      <c r="Y14" s="641"/>
      <c r="Z14" s="641"/>
      <c r="AB14" s="574"/>
      <c r="AC14" s="574"/>
      <c r="AD14" s="574"/>
      <c r="AE14" s="574"/>
      <c r="AF14" s="574"/>
      <c r="AG14" s="574"/>
      <c r="AJ14" s="574"/>
      <c r="AK14" s="574"/>
      <c r="AN14" s="587"/>
      <c r="AQ14" s="642" t="s">
        <v>177</v>
      </c>
      <c r="AR14" s="642"/>
      <c r="AS14" s="574"/>
      <c r="AT14" s="643" t="s">
        <v>192</v>
      </c>
      <c r="AU14" s="643"/>
      <c r="AV14" s="643" t="s">
        <v>178</v>
      </c>
      <c r="AW14" s="644"/>
      <c r="AY14" s="574"/>
      <c r="AZ14" s="617" t="s">
        <v>739</v>
      </c>
      <c r="BA14" s="617"/>
      <c r="BF14" s="643" t="s">
        <v>181</v>
      </c>
      <c r="BG14" s="643"/>
      <c r="BL14" s="642" t="s">
        <v>177</v>
      </c>
      <c r="BM14" s="642"/>
      <c r="BN14" s="574"/>
      <c r="BO14" s="574"/>
      <c r="BT14" s="574"/>
      <c r="BU14" s="574"/>
      <c r="CA14" s="587"/>
    </row>
    <row r="15" spans="1:79" ht="21" x14ac:dyDescent="0.25">
      <c r="A15" s="645"/>
      <c r="B15" s="646"/>
      <c r="C15" s="646"/>
      <c r="D15" s="646"/>
      <c r="E15" s="646"/>
      <c r="F15" s="646"/>
      <c r="G15" s="646"/>
      <c r="H15" s="646"/>
      <c r="I15" s="647"/>
      <c r="K15" s="574"/>
      <c r="L15" s="574"/>
      <c r="P15" s="574"/>
      <c r="Q15" s="574"/>
      <c r="U15" s="574"/>
      <c r="V15" s="574"/>
      <c r="W15" s="574"/>
      <c r="AB15" s="574"/>
      <c r="AC15" s="574"/>
      <c r="AD15" s="574"/>
      <c r="AG15" s="574"/>
      <c r="AH15" s="574"/>
      <c r="AI15" s="574"/>
      <c r="AJ15" s="574"/>
      <c r="AK15" s="574"/>
      <c r="AM15" s="574"/>
      <c r="AN15" s="587"/>
      <c r="AR15" s="648" t="s">
        <v>169</v>
      </c>
      <c r="AS15" s="574"/>
      <c r="AT15" s="590" t="s">
        <v>176</v>
      </c>
      <c r="AU15" s="649"/>
      <c r="AV15" s="649"/>
      <c r="AW15" s="574"/>
      <c r="AY15" s="574"/>
      <c r="AZ15" s="650"/>
      <c r="BA15" s="650"/>
      <c r="BB15" s="622" t="s">
        <v>740</v>
      </c>
      <c r="BC15" s="651"/>
      <c r="BF15" s="652"/>
      <c r="BG15" s="652"/>
      <c r="BH15" s="622" t="s">
        <v>183</v>
      </c>
      <c r="BL15" s="653"/>
      <c r="BM15" s="653"/>
      <c r="BO15" s="574"/>
      <c r="BP15" s="654"/>
      <c r="BQ15" s="654"/>
      <c r="BT15" s="574"/>
      <c r="BU15" s="574"/>
      <c r="BV15" s="655"/>
      <c r="BW15" s="655"/>
      <c r="BX15" s="655"/>
      <c r="BY15" s="655"/>
      <c r="BZ15" s="574"/>
      <c r="CA15" s="587"/>
    </row>
    <row r="16" spans="1:79" ht="23.25" x14ac:dyDescent="0.25">
      <c r="A16" s="656"/>
      <c r="B16" s="574"/>
      <c r="C16" s="574"/>
      <c r="D16" s="574"/>
      <c r="E16" s="574"/>
      <c r="F16" s="574"/>
      <c r="G16" s="574"/>
      <c r="K16" s="574"/>
      <c r="L16" s="574"/>
      <c r="M16" s="574"/>
      <c r="N16" s="574"/>
      <c r="P16" s="574"/>
      <c r="Q16" s="574"/>
      <c r="U16" s="574"/>
      <c r="V16" s="574"/>
      <c r="W16" s="574"/>
      <c r="X16" s="574"/>
      <c r="Y16" s="643" t="s">
        <v>171</v>
      </c>
      <c r="Z16" s="643"/>
      <c r="AA16" s="574"/>
      <c r="AB16" s="574"/>
      <c r="AC16" s="574"/>
      <c r="AD16" s="574"/>
      <c r="AG16" s="574"/>
      <c r="AH16" s="574"/>
      <c r="AI16" s="574"/>
      <c r="AM16" s="574"/>
      <c r="AN16" s="587"/>
      <c r="AR16" s="657">
        <v>3223088</v>
      </c>
      <c r="AS16" s="624"/>
      <c r="AT16" s="649" t="s">
        <v>169</v>
      </c>
      <c r="AU16" s="658">
        <v>3634191</v>
      </c>
      <c r="AV16" s="658">
        <v>3634184</v>
      </c>
      <c r="AW16" s="649" t="s">
        <v>169</v>
      </c>
      <c r="AX16" s="624"/>
      <c r="AY16" s="650" t="s">
        <v>184</v>
      </c>
      <c r="AZ16" s="659">
        <v>9370404</v>
      </c>
      <c r="BA16" s="659">
        <v>9370406</v>
      </c>
      <c r="BB16" s="650" t="s">
        <v>184</v>
      </c>
      <c r="BC16" s="602"/>
      <c r="BE16" s="660" t="s">
        <v>184</v>
      </c>
      <c r="BF16" s="661">
        <v>6447409</v>
      </c>
      <c r="BG16" s="661">
        <v>6447396</v>
      </c>
      <c r="BH16" s="660" t="s">
        <v>184</v>
      </c>
      <c r="BK16" s="648" t="s">
        <v>169</v>
      </c>
      <c r="BL16" s="662">
        <v>3223074</v>
      </c>
      <c r="BM16" s="657">
        <v>3223085</v>
      </c>
      <c r="BN16" s="648" t="s">
        <v>169</v>
      </c>
      <c r="BO16" s="574"/>
      <c r="BP16" s="654"/>
      <c r="BQ16" s="654"/>
      <c r="BT16" s="574"/>
      <c r="BV16" s="574"/>
      <c r="BZ16" s="574"/>
      <c r="CA16" s="587"/>
    </row>
    <row r="17" spans="1:79" ht="23.25" x14ac:dyDescent="0.25">
      <c r="A17" s="663"/>
      <c r="B17" s="656"/>
      <c r="C17" s="656"/>
      <c r="D17" s="574"/>
      <c r="E17" s="574"/>
      <c r="F17" s="574"/>
      <c r="G17" s="574"/>
      <c r="K17" s="574"/>
      <c r="L17" s="574"/>
      <c r="M17" s="574"/>
      <c r="N17" s="574"/>
      <c r="O17" s="574"/>
      <c r="P17" s="574"/>
      <c r="Q17" s="574"/>
      <c r="R17" s="574"/>
      <c r="S17" s="574"/>
      <c r="U17" s="574"/>
      <c r="V17" s="574"/>
      <c r="W17" s="574"/>
      <c r="X17" s="574"/>
      <c r="Y17" s="664"/>
      <c r="Z17" s="664"/>
      <c r="AA17" s="574"/>
      <c r="AB17" s="574"/>
      <c r="AC17" s="574"/>
      <c r="AD17" s="574"/>
      <c r="AG17" s="574"/>
      <c r="AH17" s="574"/>
      <c r="AI17" s="665"/>
      <c r="AJ17" s="643" t="s">
        <v>182</v>
      </c>
      <c r="AK17" s="643"/>
      <c r="AL17" s="624"/>
      <c r="AM17" s="574"/>
      <c r="AN17" s="587"/>
      <c r="AR17" s="657">
        <v>3223086</v>
      </c>
      <c r="AS17" s="624"/>
      <c r="AT17" s="649" t="s">
        <v>169</v>
      </c>
      <c r="AU17" s="658">
        <v>3634192</v>
      </c>
      <c r="AV17" s="666">
        <v>3634197</v>
      </c>
      <c r="AW17" s="667" t="s">
        <v>169</v>
      </c>
      <c r="AX17" s="624"/>
      <c r="AY17" s="650" t="s">
        <v>184</v>
      </c>
      <c r="AZ17" s="659">
        <v>9370403</v>
      </c>
      <c r="BA17" s="659">
        <v>9370409</v>
      </c>
      <c r="BB17" s="650" t="s">
        <v>184</v>
      </c>
      <c r="BC17" s="602"/>
      <c r="BE17" s="660" t="s">
        <v>184</v>
      </c>
      <c r="BF17" s="661">
        <v>6447392</v>
      </c>
      <c r="BG17" s="661">
        <v>6447423</v>
      </c>
      <c r="BH17" s="660" t="s">
        <v>184</v>
      </c>
      <c r="BK17" s="648" t="s">
        <v>169</v>
      </c>
      <c r="BL17" s="662">
        <v>3223077</v>
      </c>
      <c r="BM17" s="668">
        <v>3223084</v>
      </c>
      <c r="BN17" s="648" t="s">
        <v>169</v>
      </c>
      <c r="BO17" s="574"/>
      <c r="BP17" s="654"/>
      <c r="BQ17" s="654"/>
      <c r="BT17" s="574"/>
      <c r="BZ17" s="669"/>
      <c r="CA17" s="587"/>
    </row>
    <row r="18" spans="1:79" ht="23.25" x14ac:dyDescent="0.25">
      <c r="A18" s="663"/>
      <c r="B18" s="574"/>
      <c r="C18" s="574"/>
      <c r="D18" s="574"/>
      <c r="E18" s="574"/>
      <c r="F18" s="574"/>
      <c r="G18" s="574"/>
      <c r="K18" s="574"/>
      <c r="L18" s="574"/>
      <c r="O18" s="574"/>
      <c r="P18" s="602"/>
      <c r="Q18" s="602"/>
      <c r="R18" s="670"/>
      <c r="S18" s="670"/>
      <c r="U18" s="574"/>
      <c r="V18" s="574"/>
      <c r="W18" s="624"/>
      <c r="X18" s="664" t="s">
        <v>184</v>
      </c>
      <c r="Y18" s="671">
        <v>3838595</v>
      </c>
      <c r="Z18" s="672">
        <v>3838618</v>
      </c>
      <c r="AA18" s="664" t="s">
        <v>184</v>
      </c>
      <c r="AB18" s="629"/>
      <c r="AC18" s="574"/>
      <c r="AD18" s="574"/>
      <c r="AE18" s="673"/>
      <c r="AF18" s="673"/>
      <c r="AG18" s="574"/>
      <c r="AH18" s="574"/>
      <c r="AI18" s="590" t="s">
        <v>185</v>
      </c>
      <c r="AJ18" s="625"/>
      <c r="AK18" s="625"/>
      <c r="AM18" s="574"/>
      <c r="AN18" s="587"/>
      <c r="AO18" s="574"/>
      <c r="AP18" s="574"/>
      <c r="AR18" s="648" t="s">
        <v>169</v>
      </c>
      <c r="AS18" s="624"/>
      <c r="AT18" s="667" t="s">
        <v>169</v>
      </c>
      <c r="AU18" s="666">
        <v>3634193</v>
      </c>
      <c r="AV18" s="666">
        <v>3634194</v>
      </c>
      <c r="AW18" s="667" t="s">
        <v>169</v>
      </c>
      <c r="AX18" s="624"/>
      <c r="AY18" s="650" t="s">
        <v>184</v>
      </c>
      <c r="AZ18" s="659">
        <v>9370405</v>
      </c>
      <c r="BA18" s="659">
        <v>9370408</v>
      </c>
      <c r="BB18" s="650" t="s">
        <v>184</v>
      </c>
      <c r="BC18" s="602"/>
      <c r="BE18" s="660" t="s">
        <v>184</v>
      </c>
      <c r="BF18" s="661">
        <v>6447398</v>
      </c>
      <c r="BG18" s="661">
        <v>6447394</v>
      </c>
      <c r="BH18" s="660" t="s">
        <v>184</v>
      </c>
      <c r="BK18" s="648" t="s">
        <v>169</v>
      </c>
      <c r="BL18" s="657">
        <v>3223081</v>
      </c>
      <c r="BM18" s="657">
        <v>3223083</v>
      </c>
      <c r="BN18" s="648" t="s">
        <v>169</v>
      </c>
      <c r="BP18" s="637"/>
      <c r="BQ18" s="637"/>
      <c r="BS18" s="574"/>
      <c r="BT18" s="574"/>
      <c r="BW18" s="636"/>
      <c r="BX18" s="636"/>
      <c r="BY18" s="636"/>
      <c r="CA18" s="587"/>
    </row>
    <row r="19" spans="1:79" ht="24" thickBot="1" x14ac:dyDescent="0.3">
      <c r="A19" s="663"/>
      <c r="B19" s="630"/>
      <c r="C19" s="630"/>
      <c r="D19" s="674"/>
      <c r="E19" s="574"/>
      <c r="F19" s="574"/>
      <c r="G19" s="574"/>
      <c r="I19" s="675"/>
      <c r="J19" s="675"/>
      <c r="R19" s="670"/>
      <c r="S19" s="670"/>
      <c r="U19" s="574"/>
      <c r="V19" s="574"/>
      <c r="W19" s="624"/>
      <c r="X19" s="664" t="s">
        <v>184</v>
      </c>
      <c r="Y19" s="671">
        <v>3838596</v>
      </c>
      <c r="Z19" s="672">
        <v>3838610</v>
      </c>
      <c r="AA19" s="664" t="s">
        <v>184</v>
      </c>
      <c r="AB19" s="629"/>
      <c r="AC19" s="574"/>
      <c r="AD19" s="574"/>
      <c r="AE19" s="654"/>
      <c r="AF19" s="654"/>
      <c r="AG19" s="574"/>
      <c r="AH19" s="624"/>
      <c r="AI19" s="625" t="s">
        <v>169</v>
      </c>
      <c r="AJ19" s="676">
        <v>3127108</v>
      </c>
      <c r="AK19" s="676">
        <v>3127091</v>
      </c>
      <c r="AL19" s="625" t="s">
        <v>169</v>
      </c>
      <c r="AM19" s="629"/>
      <c r="AN19" s="587"/>
      <c r="AO19" s="574"/>
      <c r="AP19" s="574"/>
      <c r="AQ19" s="574"/>
      <c r="AR19" s="574"/>
      <c r="AS19" s="574"/>
      <c r="AU19" s="667"/>
      <c r="AV19" s="667"/>
      <c r="AY19" s="574"/>
      <c r="AZ19" s="650"/>
      <c r="BA19" s="650"/>
      <c r="BC19" s="630"/>
      <c r="BF19" s="652"/>
      <c r="BG19" s="652"/>
      <c r="BL19" s="653"/>
      <c r="BM19" s="653"/>
      <c r="BO19" s="574"/>
      <c r="BS19" s="574"/>
      <c r="BT19" s="574"/>
      <c r="BW19" s="636"/>
      <c r="BX19" s="636"/>
      <c r="BY19" s="636"/>
      <c r="CA19" s="587"/>
    </row>
    <row r="20" spans="1:79" ht="23.25" x14ac:dyDescent="0.25">
      <c r="A20" s="656"/>
      <c r="B20" s="656"/>
      <c r="C20" s="574"/>
      <c r="D20" s="656"/>
      <c r="E20" s="574"/>
      <c r="F20" s="574"/>
      <c r="G20" s="574"/>
      <c r="I20" s="631"/>
      <c r="J20" s="631"/>
      <c r="R20" s="670"/>
      <c r="S20" s="670"/>
      <c r="U20" s="574"/>
      <c r="V20" s="574"/>
      <c r="W20" s="624"/>
      <c r="X20" s="664" t="s">
        <v>184</v>
      </c>
      <c r="Y20" s="677">
        <v>3838605</v>
      </c>
      <c r="Z20" s="677">
        <v>3838620</v>
      </c>
      <c r="AA20" s="664" t="s">
        <v>184</v>
      </c>
      <c r="AB20" s="629"/>
      <c r="AC20" s="574"/>
      <c r="AD20" s="574"/>
      <c r="AE20" s="654"/>
      <c r="AF20" s="654"/>
      <c r="AG20" s="574"/>
      <c r="AH20" s="624"/>
      <c r="AI20" s="625" t="s">
        <v>169</v>
      </c>
      <c r="AJ20" s="678">
        <v>3122426</v>
      </c>
      <c r="AK20" s="678">
        <v>3122316</v>
      </c>
      <c r="AL20" s="625" t="s">
        <v>169</v>
      </c>
      <c r="AM20" s="629"/>
      <c r="AN20" s="679" t="s">
        <v>186</v>
      </c>
      <c r="AO20" s="574"/>
      <c r="AQ20" s="680"/>
      <c r="AT20" s="574"/>
      <c r="BC20" s="574"/>
      <c r="BT20" s="574"/>
      <c r="CA20" s="587"/>
    </row>
    <row r="21" spans="1:79" ht="23.25" x14ac:dyDescent="0.25">
      <c r="B21" s="656"/>
      <c r="C21" s="574"/>
      <c r="D21" s="656"/>
      <c r="E21" s="574"/>
      <c r="F21" s="574"/>
      <c r="G21" s="574"/>
      <c r="I21" s="574"/>
      <c r="J21" s="574"/>
      <c r="L21" s="574"/>
      <c r="M21" s="670"/>
      <c r="N21" s="670"/>
      <c r="O21" s="574"/>
      <c r="P21" s="602"/>
      <c r="Q21" s="602"/>
      <c r="R21" s="670"/>
      <c r="S21" s="670"/>
      <c r="W21" s="624"/>
      <c r="X21" s="664" t="s">
        <v>184</v>
      </c>
      <c r="Y21" s="671">
        <v>3838617</v>
      </c>
      <c r="Z21" s="677">
        <v>3838591</v>
      </c>
      <c r="AA21" s="664" t="s">
        <v>184</v>
      </c>
      <c r="AB21" s="629"/>
      <c r="AC21" s="574"/>
      <c r="AD21" s="574"/>
      <c r="AE21" s="654"/>
      <c r="AF21" s="654"/>
      <c r="AG21" s="574"/>
      <c r="AH21" s="574"/>
      <c r="AI21" s="574"/>
      <c r="AJ21" s="625"/>
      <c r="AK21" s="625"/>
      <c r="AL21" s="574"/>
      <c r="AM21" s="629"/>
      <c r="AN21" s="681"/>
      <c r="AO21" s="574"/>
      <c r="AQ21" s="680"/>
      <c r="AX21" s="574"/>
      <c r="AY21" s="574"/>
      <c r="AZ21" s="574"/>
      <c r="BA21" s="574"/>
      <c r="BB21" s="574"/>
      <c r="BC21" s="574"/>
      <c r="BI21" s="682"/>
      <c r="BO21" s="574"/>
      <c r="BP21" s="643" t="s">
        <v>171</v>
      </c>
      <c r="BQ21" s="643"/>
      <c r="BR21" s="574"/>
      <c r="BS21" s="574"/>
      <c r="BV21" s="574"/>
      <c r="BZ21" s="574"/>
      <c r="CA21" s="587"/>
    </row>
    <row r="22" spans="1:79" ht="21" x14ac:dyDescent="0.25">
      <c r="A22" s="656"/>
      <c r="B22" s="663"/>
      <c r="C22" s="656"/>
      <c r="D22" s="663"/>
      <c r="E22" s="656"/>
      <c r="F22" s="574"/>
      <c r="G22" s="574"/>
      <c r="I22" s="631"/>
      <c r="J22" s="631"/>
      <c r="L22" s="574"/>
      <c r="M22" s="670"/>
      <c r="N22" s="670"/>
      <c r="P22" s="574"/>
      <c r="W22" s="574"/>
      <c r="X22" s="574"/>
      <c r="Y22" s="664"/>
      <c r="Z22" s="664"/>
      <c r="AB22" s="574"/>
      <c r="AC22" s="574"/>
      <c r="AD22" s="574"/>
      <c r="AE22" s="574"/>
      <c r="AF22" s="574"/>
      <c r="AG22" s="574"/>
      <c r="AH22" s="574"/>
      <c r="AI22" s="574"/>
      <c r="AJ22" s="574"/>
      <c r="AK22" s="574"/>
      <c r="AL22" s="574"/>
      <c r="AM22" s="574"/>
      <c r="AN22" s="681"/>
      <c r="AO22" s="574"/>
      <c r="AQ22" s="683"/>
      <c r="AU22" s="643" t="s">
        <v>192</v>
      </c>
      <c r="AV22" s="643"/>
      <c r="AX22" s="574"/>
      <c r="AY22" s="608" t="s">
        <v>187</v>
      </c>
      <c r="AZ22" s="643" t="s">
        <v>177</v>
      </c>
      <c r="BA22" s="643"/>
      <c r="BB22" s="574"/>
      <c r="BC22" s="574"/>
      <c r="BF22" s="643" t="s">
        <v>192</v>
      </c>
      <c r="BG22" s="643"/>
      <c r="BK22" s="684"/>
      <c r="BL22" s="684"/>
      <c r="BO22" s="590" t="s">
        <v>188</v>
      </c>
      <c r="BP22" s="685"/>
      <c r="BQ22" s="685"/>
      <c r="BR22" s="622" t="s">
        <v>189</v>
      </c>
      <c r="BS22" s="574"/>
      <c r="BU22" s="574"/>
      <c r="BV22" s="574"/>
      <c r="BW22" s="574"/>
      <c r="BX22" s="574"/>
      <c r="BY22" s="574"/>
      <c r="BZ22" s="574"/>
      <c r="CA22" s="587"/>
    </row>
    <row r="23" spans="1:79" ht="23.25" x14ac:dyDescent="0.3">
      <c r="A23" s="686"/>
      <c r="B23" s="686"/>
      <c r="C23" s="686"/>
      <c r="D23" s="686"/>
      <c r="E23" s="686"/>
      <c r="F23" s="574"/>
      <c r="G23" s="574"/>
      <c r="H23" s="574"/>
      <c r="I23" s="574"/>
      <c r="J23" s="574"/>
      <c r="M23" s="670"/>
      <c r="N23" s="670"/>
      <c r="P23" s="574"/>
      <c r="V23" s="574"/>
      <c r="W23" s="574"/>
      <c r="X23" s="574"/>
      <c r="Y23" s="574"/>
      <c r="Z23" s="574"/>
      <c r="AA23" s="574"/>
      <c r="AB23" s="574"/>
      <c r="AC23" s="574"/>
      <c r="AD23" s="574"/>
      <c r="AM23" s="574"/>
      <c r="AN23" s="681"/>
      <c r="AO23" s="574"/>
      <c r="AR23" s="635"/>
      <c r="AS23" s="624"/>
      <c r="AT23" s="590" t="s">
        <v>179</v>
      </c>
      <c r="AU23" s="621"/>
      <c r="AV23" s="621"/>
      <c r="AW23" s="622" t="s">
        <v>180</v>
      </c>
      <c r="AX23" s="574"/>
      <c r="AY23" s="590" t="s">
        <v>190</v>
      </c>
      <c r="AZ23" s="625"/>
      <c r="BA23" s="625"/>
      <c r="BB23" s="622" t="s">
        <v>191</v>
      </c>
      <c r="BC23" s="574"/>
      <c r="BE23" s="590" t="s">
        <v>195</v>
      </c>
      <c r="BF23" s="687"/>
      <c r="BG23" s="687"/>
      <c r="BH23" s="622" t="s">
        <v>196</v>
      </c>
      <c r="BK23" s="654"/>
      <c r="BL23" s="654"/>
      <c r="BN23" s="624"/>
      <c r="BO23" s="685" t="s">
        <v>184</v>
      </c>
      <c r="BP23" s="688">
        <v>7258480</v>
      </c>
      <c r="BQ23" s="688">
        <v>7258488</v>
      </c>
      <c r="BR23" s="685" t="s">
        <v>184</v>
      </c>
      <c r="BS23" s="629"/>
      <c r="BU23" s="574"/>
      <c r="BV23" s="574"/>
      <c r="BW23" s="689"/>
      <c r="BX23" s="689"/>
      <c r="BY23" s="689"/>
      <c r="CA23" s="587"/>
    </row>
    <row r="24" spans="1:79" ht="23.25" x14ac:dyDescent="0.3">
      <c r="A24" s="690" t="s">
        <v>193</v>
      </c>
      <c r="B24" s="601"/>
      <c r="C24" s="691" t="s">
        <v>194</v>
      </c>
      <c r="D24" s="692"/>
      <c r="E24" s="601"/>
      <c r="F24" s="574"/>
      <c r="G24" s="574"/>
      <c r="H24" s="574"/>
      <c r="I24" s="631"/>
      <c r="J24" s="631"/>
      <c r="V24" s="574"/>
      <c r="AE24" s="586"/>
      <c r="AF24" s="586"/>
      <c r="AM24" s="574"/>
      <c r="AN24" s="681"/>
      <c r="AO24" s="574"/>
      <c r="AR24" s="635"/>
      <c r="AS24" s="624"/>
      <c r="AT24" s="625" t="s">
        <v>169</v>
      </c>
      <c r="AU24" s="678">
        <v>3121627</v>
      </c>
      <c r="AV24" s="678">
        <v>3121603</v>
      </c>
      <c r="AW24" s="625" t="s">
        <v>169</v>
      </c>
      <c r="AX24" s="624"/>
      <c r="AY24" s="625" t="s">
        <v>169</v>
      </c>
      <c r="AZ24" s="676">
        <v>3129107</v>
      </c>
      <c r="BA24" s="676">
        <v>3129114</v>
      </c>
      <c r="BB24" s="625" t="s">
        <v>169</v>
      </c>
      <c r="BC24" s="629"/>
      <c r="BD24" s="624"/>
      <c r="BE24" s="693" t="s">
        <v>169</v>
      </c>
      <c r="BF24" s="694">
        <v>3838606</v>
      </c>
      <c r="BG24" s="694">
        <v>3838584</v>
      </c>
      <c r="BH24" s="693" t="s">
        <v>169</v>
      </c>
      <c r="BI24" s="629"/>
      <c r="BK24" s="654"/>
      <c r="BL24" s="654"/>
      <c r="BN24" s="624"/>
      <c r="BO24" s="685" t="s">
        <v>184</v>
      </c>
      <c r="BP24" s="688">
        <v>7258474</v>
      </c>
      <c r="BQ24" s="688">
        <v>7258498</v>
      </c>
      <c r="BR24" s="685" t="s">
        <v>184</v>
      </c>
      <c r="BS24" s="629"/>
      <c r="BU24" s="587"/>
      <c r="BV24" s="689"/>
      <c r="BZ24" s="689"/>
      <c r="CA24" s="587"/>
    </row>
    <row r="25" spans="1:79" ht="23.25" x14ac:dyDescent="0.3">
      <c r="A25" s="695"/>
      <c r="B25" s="610"/>
      <c r="C25" s="619"/>
      <c r="D25" s="619"/>
      <c r="E25" s="610"/>
      <c r="F25" s="574"/>
      <c r="G25" s="574"/>
      <c r="H25" s="574"/>
      <c r="I25" s="574"/>
      <c r="J25" s="574"/>
      <c r="K25" s="574"/>
      <c r="M25" s="620"/>
      <c r="N25" s="620"/>
      <c r="O25" s="574"/>
      <c r="P25" s="574"/>
      <c r="Q25" s="574"/>
      <c r="R25" s="631"/>
      <c r="S25" s="631"/>
      <c r="T25" s="574"/>
      <c r="U25" s="574"/>
      <c r="V25" s="602"/>
      <c r="Y25" s="581"/>
      <c r="Z25" s="581"/>
      <c r="AC25" s="574"/>
      <c r="AD25" s="574"/>
      <c r="AE25" s="586"/>
      <c r="AF25" s="586"/>
      <c r="AM25" s="574"/>
      <c r="AN25" s="681"/>
      <c r="AO25" s="574"/>
      <c r="AS25" s="624"/>
      <c r="AT25" s="625" t="s">
        <v>169</v>
      </c>
      <c r="AU25" s="678">
        <v>3121614</v>
      </c>
      <c r="AV25" s="678">
        <v>3121619</v>
      </c>
      <c r="AW25" s="625" t="s">
        <v>169</v>
      </c>
      <c r="AX25" s="624"/>
      <c r="AY25" s="625" t="s">
        <v>169</v>
      </c>
      <c r="AZ25" s="676">
        <v>3129108</v>
      </c>
      <c r="BA25" s="676">
        <v>3129113</v>
      </c>
      <c r="BB25" s="625" t="s">
        <v>169</v>
      </c>
      <c r="BC25" s="629"/>
      <c r="BD25" s="624"/>
      <c r="BE25" s="693" t="s">
        <v>169</v>
      </c>
      <c r="BF25" s="694">
        <v>3838623</v>
      </c>
      <c r="BG25" s="694">
        <v>3838593</v>
      </c>
      <c r="BH25" s="693" t="s">
        <v>169</v>
      </c>
      <c r="BI25" s="629"/>
      <c r="BK25" s="654"/>
      <c r="BL25" s="654"/>
      <c r="BN25" s="624"/>
      <c r="BO25" s="685" t="s">
        <v>184</v>
      </c>
      <c r="BP25" s="688">
        <v>7258489</v>
      </c>
      <c r="BQ25" s="688">
        <v>7258471</v>
      </c>
      <c r="BR25" s="685" t="s">
        <v>184</v>
      </c>
      <c r="BS25" s="629"/>
      <c r="BU25" s="689"/>
      <c r="BW25" s="636"/>
      <c r="BX25" s="636"/>
      <c r="BY25" s="636"/>
      <c r="CA25" s="689"/>
    </row>
    <row r="26" spans="1:79" ht="24" thickBot="1" x14ac:dyDescent="0.35">
      <c r="A26" s="695"/>
      <c r="B26" s="610"/>
      <c r="C26" s="619"/>
      <c r="D26" s="619"/>
      <c r="E26" s="610"/>
      <c r="F26" s="574"/>
      <c r="G26" s="574"/>
      <c r="H26" s="574"/>
      <c r="I26" s="574"/>
      <c r="J26" s="574"/>
      <c r="K26" s="574"/>
      <c r="L26" s="574"/>
      <c r="M26" s="620"/>
      <c r="N26" s="620"/>
      <c r="R26" s="631"/>
      <c r="S26" s="631"/>
      <c r="Y26" s="581"/>
      <c r="Z26" s="581"/>
      <c r="AC26" s="574"/>
      <c r="AD26" s="574"/>
      <c r="AE26" s="586"/>
      <c r="AF26" s="586"/>
      <c r="AN26" s="696"/>
      <c r="AO26" s="574"/>
      <c r="AQ26" s="697"/>
      <c r="AT26" s="625" t="s">
        <v>169</v>
      </c>
      <c r="AU26" s="678">
        <v>3121631</v>
      </c>
      <c r="AV26" s="678">
        <v>3121612</v>
      </c>
      <c r="AW26" s="625" t="s">
        <v>169</v>
      </c>
      <c r="AX26" s="624"/>
      <c r="AY26" s="625" t="s">
        <v>169</v>
      </c>
      <c r="AZ26" s="676">
        <v>3129109</v>
      </c>
      <c r="BA26" s="676">
        <v>3129112</v>
      </c>
      <c r="BB26" s="625" t="s">
        <v>169</v>
      </c>
      <c r="BC26" s="629"/>
      <c r="BD26" s="624"/>
      <c r="BE26" s="693" t="s">
        <v>169</v>
      </c>
      <c r="BF26" s="694">
        <v>3838603</v>
      </c>
      <c r="BG26" s="694">
        <v>3838600</v>
      </c>
      <c r="BH26" s="693" t="s">
        <v>169</v>
      </c>
      <c r="BI26" s="629"/>
      <c r="BN26" s="624"/>
      <c r="BO26" s="685" t="s">
        <v>184</v>
      </c>
      <c r="BP26" s="688">
        <v>7258452</v>
      </c>
      <c r="BQ26" s="688">
        <v>7258519</v>
      </c>
      <c r="BR26" s="685" t="s">
        <v>184</v>
      </c>
      <c r="BS26" s="629"/>
      <c r="BU26" s="689"/>
      <c r="BW26" s="636"/>
      <c r="BX26" s="636"/>
      <c r="BY26" s="636"/>
      <c r="CA26" s="689"/>
    </row>
    <row r="27" spans="1:79" ht="24" thickBot="1" x14ac:dyDescent="0.35">
      <c r="A27" s="695"/>
      <c r="B27" s="610"/>
      <c r="C27" s="619"/>
      <c r="D27" s="619"/>
      <c r="E27" s="610"/>
      <c r="F27" s="574"/>
      <c r="G27" s="698"/>
      <c r="H27" s="574"/>
      <c r="I27" s="574"/>
      <c r="J27" s="574"/>
      <c r="K27" s="574"/>
      <c r="L27" s="574"/>
      <c r="M27" s="620"/>
      <c r="N27" s="620"/>
      <c r="R27" s="631"/>
      <c r="S27" s="631"/>
      <c r="Y27" s="581"/>
      <c r="Z27" s="581"/>
      <c r="AC27" s="574"/>
      <c r="AD27" s="574"/>
      <c r="AE27" s="699"/>
      <c r="AF27" s="699"/>
      <c r="AN27" s="587"/>
      <c r="AO27" s="574"/>
      <c r="AT27" s="574"/>
      <c r="AU27" s="621"/>
      <c r="AV27" s="621"/>
      <c r="AW27" s="574"/>
      <c r="AX27" s="624"/>
      <c r="AY27" s="625" t="s">
        <v>169</v>
      </c>
      <c r="AZ27" s="676">
        <v>3129110</v>
      </c>
      <c r="BA27" s="676">
        <v>3129111</v>
      </c>
      <c r="BB27" s="625" t="s">
        <v>169</v>
      </c>
      <c r="BC27" s="629"/>
      <c r="BD27" s="624"/>
      <c r="BE27" s="693" t="s">
        <v>169</v>
      </c>
      <c r="BF27" s="694">
        <v>3838609</v>
      </c>
      <c r="BG27" s="694">
        <v>3838585</v>
      </c>
      <c r="BH27" s="693" t="s">
        <v>169</v>
      </c>
      <c r="BI27" s="629"/>
      <c r="BO27" s="689"/>
      <c r="BP27" s="685"/>
      <c r="BQ27" s="685"/>
      <c r="BR27" s="689"/>
      <c r="BS27" s="574"/>
      <c r="BU27" s="574"/>
      <c r="BV27" s="689"/>
      <c r="BZ27" s="689"/>
      <c r="CA27" s="587"/>
    </row>
    <row r="28" spans="1:79" ht="19.5" thickBot="1" x14ac:dyDescent="0.35">
      <c r="A28" s="695"/>
      <c r="B28" s="610"/>
      <c r="C28" s="619"/>
      <c r="D28" s="619"/>
      <c r="E28" s="610"/>
      <c r="F28" s="574"/>
      <c r="G28" s="624"/>
      <c r="H28" s="574"/>
      <c r="I28" s="574"/>
      <c r="J28" s="574"/>
      <c r="K28" s="574"/>
      <c r="L28" s="574"/>
      <c r="M28" s="574"/>
      <c r="N28" s="574"/>
      <c r="O28" s="574"/>
      <c r="P28" s="574"/>
      <c r="U28" s="574"/>
      <c r="AC28" s="574"/>
      <c r="AD28" s="574"/>
      <c r="AE28" s="574"/>
      <c r="AF28" s="574"/>
      <c r="AN28" s="587"/>
      <c r="AO28" s="574"/>
      <c r="AT28" s="574"/>
      <c r="AW28" s="574"/>
      <c r="AX28" s="574"/>
      <c r="AY28" s="574"/>
      <c r="AZ28" s="625"/>
      <c r="BA28" s="625"/>
      <c r="BB28" s="574"/>
      <c r="BC28" s="574"/>
      <c r="BF28" s="687"/>
      <c r="BG28" s="687"/>
      <c r="BJ28" s="700"/>
      <c r="BK28" s="700"/>
      <c r="BV28" s="574"/>
      <c r="BW28" s="689"/>
      <c r="BX28" s="689"/>
      <c r="BY28" s="689"/>
      <c r="BZ28" s="574"/>
      <c r="CA28" s="587"/>
    </row>
    <row r="29" spans="1:79" ht="15.75" thickBot="1" x14ac:dyDescent="0.3">
      <c r="A29" s="695"/>
      <c r="B29" s="610"/>
      <c r="C29" s="619"/>
      <c r="D29" s="619"/>
      <c r="E29" s="610"/>
      <c r="F29" s="574"/>
      <c r="G29" s="624"/>
      <c r="H29" s="574"/>
      <c r="I29" s="574"/>
      <c r="J29" s="574"/>
      <c r="K29" s="574"/>
      <c r="L29" s="574"/>
      <c r="M29" s="700"/>
      <c r="N29" s="700"/>
      <c r="O29" s="574"/>
      <c r="P29" s="574"/>
      <c r="Q29" s="574"/>
      <c r="T29" s="574"/>
      <c r="U29" s="574"/>
      <c r="AC29" s="574"/>
      <c r="AD29" s="574"/>
      <c r="AE29" s="574"/>
      <c r="AF29" s="574"/>
      <c r="AG29" s="574"/>
      <c r="AN29" s="587"/>
      <c r="AO29" s="574"/>
      <c r="AT29" s="574"/>
      <c r="AW29" s="574"/>
      <c r="AX29" s="574"/>
      <c r="BC29" s="574"/>
      <c r="BJ29" s="701"/>
      <c r="BK29" s="701"/>
      <c r="BL29" s="574"/>
      <c r="BM29" s="574"/>
      <c r="BN29" s="574"/>
      <c r="BO29" s="574"/>
      <c r="BP29" s="574"/>
      <c r="BQ29" s="574"/>
      <c r="BR29" s="574"/>
      <c r="BS29" s="574"/>
      <c r="CA29" s="587"/>
    </row>
    <row r="30" spans="1:79" ht="21.75" thickBot="1" x14ac:dyDescent="0.3">
      <c r="A30" s="695"/>
      <c r="B30" s="610"/>
      <c r="C30" s="619"/>
      <c r="D30" s="619"/>
      <c r="E30" s="610"/>
      <c r="F30" s="574"/>
      <c r="G30" s="574"/>
      <c r="H30" s="574"/>
      <c r="K30" s="574"/>
      <c r="L30" s="574"/>
      <c r="M30" s="701"/>
      <c r="N30" s="701"/>
      <c r="O30" s="574"/>
      <c r="P30" s="574"/>
      <c r="Q30" s="590"/>
      <c r="T30" s="702"/>
      <c r="U30" s="574"/>
      <c r="AC30" s="574"/>
      <c r="AD30" s="574"/>
      <c r="AE30" s="574"/>
      <c r="AF30" s="574"/>
      <c r="AG30" s="574"/>
      <c r="AN30" s="587"/>
      <c r="AO30" s="574"/>
      <c r="AT30" s="574"/>
      <c r="BI30" s="574"/>
      <c r="BJ30" s="574"/>
      <c r="BK30" s="574"/>
      <c r="BL30" s="574"/>
      <c r="BM30" s="574"/>
      <c r="BN30" s="574"/>
      <c r="BO30" s="574"/>
      <c r="BP30" s="574"/>
      <c r="BQ30" s="574"/>
      <c r="BS30" s="574"/>
      <c r="BZ30" s="574"/>
      <c r="CA30" s="587"/>
    </row>
    <row r="31" spans="1:79" ht="18.75" x14ac:dyDescent="0.25">
      <c r="A31" s="695"/>
      <c r="B31" s="610"/>
      <c r="C31" s="703"/>
      <c r="D31" s="703"/>
      <c r="E31" s="639"/>
      <c r="F31" s="574"/>
      <c r="G31" s="574"/>
      <c r="H31" s="574"/>
      <c r="K31" s="574"/>
      <c r="M31" s="574"/>
      <c r="N31" s="574"/>
      <c r="O31" s="574"/>
      <c r="P31" s="574"/>
      <c r="Q31" s="704"/>
      <c r="T31" s="704"/>
      <c r="U31" s="574"/>
      <c r="AC31" s="574"/>
      <c r="AG31" s="574"/>
      <c r="AH31" s="574"/>
      <c r="AN31" s="587"/>
      <c r="AO31" s="574"/>
      <c r="AT31" s="643" t="s">
        <v>182</v>
      </c>
      <c r="AU31" s="705"/>
      <c r="AV31" s="705"/>
      <c r="AW31" s="705"/>
      <c r="BI31" s="574"/>
      <c r="BL31" s="574"/>
      <c r="BM31" s="574"/>
      <c r="BN31" s="574"/>
      <c r="BS31" s="574"/>
      <c r="BV31" s="706"/>
      <c r="BW31" s="707"/>
      <c r="BX31" s="707"/>
      <c r="BY31" s="707"/>
      <c r="CA31" s="587"/>
    </row>
    <row r="32" spans="1:79" ht="21" x14ac:dyDescent="0.25">
      <c r="A32" s="695"/>
      <c r="B32" s="610"/>
      <c r="C32" s="574"/>
      <c r="D32" s="574"/>
      <c r="E32" s="574"/>
      <c r="F32" s="574"/>
      <c r="G32" s="574"/>
      <c r="H32" s="574"/>
      <c r="K32" s="574"/>
      <c r="L32" s="574"/>
      <c r="O32" s="574"/>
      <c r="P32" s="574"/>
      <c r="Q32" s="704"/>
      <c r="R32" s="704"/>
      <c r="S32" s="704"/>
      <c r="T32" s="574"/>
      <c r="U32" s="574"/>
      <c r="AC32" s="574"/>
      <c r="AG32" s="574"/>
      <c r="AH32" s="574"/>
      <c r="AN32" s="587"/>
      <c r="AO32" s="574"/>
      <c r="AT32" s="574"/>
      <c r="AU32" s="621"/>
      <c r="AV32" s="621"/>
      <c r="AW32" s="602"/>
      <c r="AZ32" s="648"/>
      <c r="BA32" s="648"/>
      <c r="BE32" s="664"/>
      <c r="BF32" s="664"/>
      <c r="BM32" s="574"/>
      <c r="BV32" s="706"/>
      <c r="CA32" s="587"/>
    </row>
    <row r="33" spans="1:79" ht="23.25" x14ac:dyDescent="0.25">
      <c r="A33" s="695"/>
      <c r="B33" s="610"/>
      <c r="C33" s="574"/>
      <c r="D33" s="574"/>
      <c r="E33" s="574"/>
      <c r="F33" s="574"/>
      <c r="G33" s="574"/>
      <c r="H33" s="708" t="s">
        <v>203</v>
      </c>
      <c r="I33" s="708"/>
      <c r="J33" s="708"/>
      <c r="K33" s="708"/>
      <c r="Q33" s="704"/>
      <c r="R33" s="709"/>
      <c r="S33" s="709"/>
      <c r="AN33" s="587"/>
      <c r="AO33" s="581"/>
      <c r="AP33" s="581"/>
      <c r="AQ33" s="581"/>
      <c r="AR33" s="581"/>
      <c r="AS33" s="624"/>
      <c r="AT33" s="625" t="s">
        <v>169</v>
      </c>
      <c r="AU33" s="626">
        <v>3132448</v>
      </c>
      <c r="AV33" s="678">
        <v>3121604</v>
      </c>
      <c r="AW33" s="625" t="s">
        <v>169</v>
      </c>
      <c r="AX33" s="602"/>
      <c r="AY33" s="648" t="s">
        <v>169</v>
      </c>
      <c r="AZ33" s="657">
        <v>3122791</v>
      </c>
      <c r="BA33" s="668">
        <v>3122315</v>
      </c>
      <c r="BB33" s="648" t="s">
        <v>169</v>
      </c>
      <c r="BC33" s="602"/>
      <c r="BD33" s="664" t="s">
        <v>184</v>
      </c>
      <c r="BE33" s="671">
        <v>3839509</v>
      </c>
      <c r="BF33" s="677">
        <v>3839494</v>
      </c>
      <c r="BG33" s="664" t="s">
        <v>184</v>
      </c>
      <c r="BI33" s="706"/>
      <c r="BM33" s="574"/>
      <c r="BW33" s="636"/>
      <c r="BX33" s="636"/>
      <c r="BY33" s="636"/>
      <c r="CA33" s="587"/>
    </row>
    <row r="34" spans="1:79" ht="23.25" x14ac:dyDescent="0.25">
      <c r="A34" s="695"/>
      <c r="B34" s="610"/>
      <c r="C34" s="574"/>
      <c r="D34" s="574"/>
      <c r="E34" s="574"/>
      <c r="F34" s="574"/>
      <c r="G34" s="608"/>
      <c r="H34" s="574"/>
      <c r="I34" s="623"/>
      <c r="J34" s="623"/>
      <c r="K34" s="574"/>
      <c r="Q34" s="704"/>
      <c r="R34" s="581"/>
      <c r="S34" s="581"/>
      <c r="Y34" s="620"/>
      <c r="Z34" s="620"/>
      <c r="AE34" s="710"/>
      <c r="AF34" s="710"/>
      <c r="AN34" s="587"/>
      <c r="AO34" s="581"/>
      <c r="AP34" s="581"/>
      <c r="AQ34" s="581"/>
      <c r="AR34" s="581"/>
      <c r="AS34" s="624"/>
      <c r="AT34" s="625" t="s">
        <v>169</v>
      </c>
      <c r="AU34" s="627">
        <v>3132436</v>
      </c>
      <c r="AV34" s="678">
        <v>3121606</v>
      </c>
      <c r="AW34" s="625" t="s">
        <v>169</v>
      </c>
      <c r="AX34" s="602"/>
      <c r="AY34" s="648" t="s">
        <v>169</v>
      </c>
      <c r="AZ34" s="657">
        <v>3129260</v>
      </c>
      <c r="BA34" s="662">
        <v>3122346</v>
      </c>
      <c r="BB34" s="648" t="s">
        <v>169</v>
      </c>
      <c r="BC34" s="602"/>
      <c r="BD34" s="664" t="s">
        <v>184</v>
      </c>
      <c r="BE34" s="671">
        <v>3839489</v>
      </c>
      <c r="BF34" s="677">
        <v>3839475</v>
      </c>
      <c r="BG34" s="664" t="s">
        <v>184</v>
      </c>
      <c r="BJ34" s="636"/>
      <c r="BK34" s="636"/>
      <c r="BM34" s="574"/>
      <c r="BP34" s="636"/>
      <c r="BQ34" s="636"/>
      <c r="BW34" s="636"/>
      <c r="BX34" s="636"/>
      <c r="BY34" s="636"/>
      <c r="CA34" s="587"/>
    </row>
    <row r="35" spans="1:79" ht="23.25" x14ac:dyDescent="0.25">
      <c r="A35" s="711"/>
      <c r="B35" s="639"/>
      <c r="C35" s="574"/>
      <c r="D35" s="574"/>
      <c r="E35" s="574"/>
      <c r="F35" s="574"/>
      <c r="G35" s="608"/>
      <c r="H35" s="623" t="s">
        <v>184</v>
      </c>
      <c r="I35" s="712">
        <v>9370537</v>
      </c>
      <c r="J35" s="712">
        <v>9370530</v>
      </c>
      <c r="K35" s="623" t="s">
        <v>184</v>
      </c>
      <c r="L35" s="608"/>
      <c r="M35" s="620"/>
      <c r="N35" s="620"/>
      <c r="R35" s="581"/>
      <c r="S35" s="581"/>
      <c r="Y35" s="620"/>
      <c r="Z35" s="620"/>
      <c r="AE35" s="631"/>
      <c r="AF35" s="631"/>
      <c r="AN35" s="587"/>
      <c r="AO35" s="574"/>
      <c r="AP35" s="574"/>
      <c r="AQ35" s="574"/>
      <c r="AR35" s="574"/>
      <c r="AS35" s="574"/>
      <c r="AT35" s="602"/>
      <c r="AU35" s="621"/>
      <c r="AV35" s="621"/>
      <c r="AW35" s="602"/>
      <c r="AZ35" s="648"/>
      <c r="BA35" s="648"/>
      <c r="BE35" s="664"/>
      <c r="BF35" s="664"/>
      <c r="BJ35" s="636"/>
      <c r="BK35" s="636"/>
      <c r="BM35" s="574"/>
      <c r="BP35" s="636"/>
      <c r="BQ35" s="636"/>
      <c r="BT35" s="574"/>
      <c r="BU35" s="574"/>
      <c r="CA35" s="587"/>
    </row>
    <row r="36" spans="1:79" ht="23.25" x14ac:dyDescent="0.25">
      <c r="A36" s="713"/>
      <c r="B36" s="574"/>
      <c r="C36" s="574"/>
      <c r="D36" s="574"/>
      <c r="E36" s="574"/>
      <c r="F36" s="574"/>
      <c r="G36" s="608"/>
      <c r="H36" s="623" t="s">
        <v>184</v>
      </c>
      <c r="I36" s="712">
        <v>9370533</v>
      </c>
      <c r="J36" s="712">
        <v>9370538</v>
      </c>
      <c r="K36" s="623" t="s">
        <v>184</v>
      </c>
      <c r="L36" s="608"/>
      <c r="M36" s="620"/>
      <c r="N36" s="620"/>
      <c r="R36" s="581"/>
      <c r="S36" s="581"/>
      <c r="Y36" s="620"/>
      <c r="Z36" s="620"/>
      <c r="AE36" s="631"/>
      <c r="AF36" s="631"/>
      <c r="AN36" s="587"/>
      <c r="AO36" s="574"/>
      <c r="AP36" s="574"/>
      <c r="AQ36" s="574"/>
      <c r="AR36" s="574"/>
      <c r="AS36" s="574"/>
      <c r="AY36" s="643" t="s">
        <v>182</v>
      </c>
      <c r="AZ36" s="705"/>
      <c r="BA36" s="705"/>
      <c r="BB36" s="705"/>
      <c r="BD36" s="643" t="s">
        <v>171</v>
      </c>
      <c r="BE36" s="643"/>
      <c r="BF36" s="643"/>
      <c r="BG36" s="643"/>
      <c r="BM36" s="574"/>
      <c r="BN36" s="574"/>
      <c r="BS36" s="574"/>
      <c r="BT36" s="574"/>
      <c r="BU36" s="574"/>
      <c r="BW36" s="707"/>
      <c r="BX36" s="707"/>
      <c r="BY36" s="707"/>
      <c r="CA36" s="587"/>
    </row>
    <row r="37" spans="1:79" ht="23.25" x14ac:dyDescent="0.25">
      <c r="A37" s="713"/>
      <c r="B37" s="574"/>
      <c r="C37" s="574"/>
      <c r="D37" s="574"/>
      <c r="E37" s="574"/>
      <c r="F37" s="574"/>
      <c r="G37" s="608"/>
      <c r="H37" s="623" t="s">
        <v>184</v>
      </c>
      <c r="I37" s="712">
        <v>9370536</v>
      </c>
      <c r="J37" s="712">
        <v>9370534</v>
      </c>
      <c r="K37" s="623" t="s">
        <v>184</v>
      </c>
      <c r="L37" s="608"/>
      <c r="AN37" s="587"/>
      <c r="AO37" s="574"/>
      <c r="AP37" s="574"/>
      <c r="AQ37" s="574"/>
      <c r="AR37" s="574"/>
      <c r="AS37" s="574"/>
      <c r="AT37" s="574"/>
      <c r="AU37" s="574"/>
      <c r="AV37" s="574"/>
      <c r="AW37" s="574"/>
      <c r="AX37" s="574"/>
      <c r="AY37" s="574"/>
      <c r="AZ37" s="574"/>
      <c r="BA37" s="574"/>
      <c r="BB37" s="574"/>
      <c r="BC37" s="574"/>
      <c r="BD37" s="574"/>
      <c r="BE37" s="574"/>
      <c r="BF37" s="574"/>
      <c r="BG37" s="574"/>
      <c r="BH37" s="574"/>
      <c r="BI37" s="574"/>
      <c r="BL37" s="574"/>
      <c r="BM37" s="574"/>
      <c r="BN37" s="574"/>
      <c r="BO37" s="574"/>
      <c r="BR37" s="574"/>
      <c r="BS37" s="574"/>
      <c r="BT37" s="574"/>
      <c r="BU37" s="574"/>
      <c r="BV37" s="574"/>
      <c r="BW37" s="574"/>
      <c r="BX37" s="574"/>
      <c r="BY37" s="574"/>
      <c r="BZ37" s="574"/>
      <c r="CA37" s="587"/>
    </row>
    <row r="38" spans="1:79" ht="18.75" x14ac:dyDescent="0.25">
      <c r="A38" s="713"/>
      <c r="B38" s="574"/>
      <c r="C38" s="574"/>
      <c r="D38" s="574"/>
      <c r="E38" s="574"/>
      <c r="F38" s="574"/>
      <c r="G38" s="608"/>
      <c r="H38" s="574"/>
      <c r="I38" s="623"/>
      <c r="J38" s="623"/>
      <c r="K38" s="574"/>
      <c r="L38" s="608"/>
      <c r="AN38" s="587"/>
      <c r="AO38" s="574"/>
      <c r="AP38" s="574"/>
      <c r="AQ38" s="574"/>
      <c r="AR38" s="574"/>
      <c r="AS38" s="574"/>
      <c r="AT38" s="574"/>
      <c r="AU38" s="574"/>
      <c r="AV38" s="574"/>
      <c r="AW38" s="574"/>
      <c r="AX38" s="574"/>
      <c r="AY38" s="574"/>
      <c r="AZ38" s="574"/>
      <c r="BA38" s="574"/>
      <c r="BB38" s="574"/>
      <c r="BC38" s="574"/>
      <c r="BD38" s="574"/>
      <c r="BE38" s="574"/>
      <c r="BF38" s="574"/>
      <c r="BG38" s="574"/>
      <c r="BH38" s="574"/>
      <c r="BI38" s="574"/>
      <c r="BJ38" s="574"/>
      <c r="BK38" s="574"/>
      <c r="BL38" s="574"/>
      <c r="BM38" s="574"/>
      <c r="BN38" s="574"/>
      <c r="BO38" s="574"/>
      <c r="BP38" s="574"/>
      <c r="BQ38" s="574"/>
      <c r="BR38" s="574"/>
      <c r="BS38" s="574"/>
      <c r="BT38" s="574"/>
      <c r="BU38" s="574"/>
      <c r="BV38" s="574"/>
      <c r="BW38" s="574"/>
      <c r="BX38" s="574"/>
      <c r="BY38" s="574"/>
      <c r="BZ38" s="574"/>
      <c r="CA38" s="587"/>
    </row>
    <row r="39" spans="1:79" ht="18.75" x14ac:dyDescent="0.25">
      <c r="A39" s="713"/>
      <c r="B39" s="574"/>
      <c r="C39" s="574"/>
      <c r="D39" s="574"/>
      <c r="E39" s="574"/>
      <c r="F39" s="574"/>
      <c r="G39" s="608"/>
      <c r="H39" s="574"/>
      <c r="K39" s="574"/>
      <c r="L39" s="608"/>
      <c r="M39" s="714" t="s">
        <v>197</v>
      </c>
      <c r="N39" s="714"/>
      <c r="Q39" s="574"/>
      <c r="R39" s="715" t="s">
        <v>182</v>
      </c>
      <c r="S39" s="716"/>
      <c r="U39" s="717"/>
      <c r="W39" s="574"/>
      <c r="X39" s="574"/>
      <c r="Y39" s="715" t="s">
        <v>171</v>
      </c>
      <c r="Z39" s="715"/>
      <c r="AA39" s="574"/>
      <c r="AB39" s="574"/>
      <c r="AN39" s="587"/>
      <c r="AO39" s="574"/>
      <c r="AP39" s="574"/>
      <c r="AQ39" s="574"/>
      <c r="AR39" s="574"/>
      <c r="AS39" s="574"/>
      <c r="AT39" s="574"/>
      <c r="AX39" s="611" t="s">
        <v>171</v>
      </c>
      <c r="AY39" s="611"/>
      <c r="AZ39" s="611"/>
      <c r="BB39" s="718" t="s">
        <v>198</v>
      </c>
      <c r="BC39" s="574"/>
      <c r="BD39" s="574"/>
      <c r="BE39" s="611" t="s">
        <v>171</v>
      </c>
      <c r="BF39" s="611"/>
      <c r="BG39" s="611"/>
      <c r="BH39" s="611"/>
      <c r="BI39" s="611"/>
      <c r="BJ39" s="574"/>
      <c r="BK39" s="574"/>
      <c r="BL39" s="574"/>
      <c r="BM39" s="574"/>
      <c r="BN39" s="574"/>
      <c r="BO39" s="574"/>
      <c r="BP39" s="574"/>
      <c r="BQ39" s="574"/>
      <c r="BR39" s="574"/>
      <c r="BS39" s="574"/>
      <c r="BT39" s="574"/>
      <c r="BU39" s="574"/>
      <c r="BV39" s="574"/>
      <c r="BW39" s="574"/>
      <c r="BX39" s="574"/>
      <c r="BY39" s="574"/>
      <c r="BZ39" s="574"/>
      <c r="CA39" s="587"/>
    </row>
    <row r="40" spans="1:79" ht="21" x14ac:dyDescent="0.25">
      <c r="A40" s="713"/>
      <c r="H40" s="574"/>
      <c r="K40" s="574"/>
      <c r="L40" s="608"/>
      <c r="M40" s="625"/>
      <c r="N40" s="625"/>
      <c r="O40" s="590" t="s">
        <v>199</v>
      </c>
      <c r="P40" s="574"/>
      <c r="Q40" s="590" t="s">
        <v>238</v>
      </c>
      <c r="R40" s="693"/>
      <c r="S40" s="693"/>
      <c r="T40" s="622"/>
      <c r="U40" s="719"/>
      <c r="W40" s="574"/>
      <c r="X40" s="590" t="s">
        <v>200</v>
      </c>
      <c r="Y40" s="685"/>
      <c r="Z40" s="685"/>
      <c r="AA40" s="622" t="s">
        <v>189</v>
      </c>
      <c r="AB40" s="574"/>
      <c r="AN40" s="587"/>
      <c r="AO40" s="574"/>
      <c r="AP40" s="574"/>
      <c r="AQ40" s="574"/>
      <c r="AR40" s="574"/>
      <c r="AS40" s="574"/>
      <c r="AU40" s="574"/>
      <c r="AX40" s="602"/>
      <c r="AZ40" s="602"/>
      <c r="BB40" s="602"/>
      <c r="BD40" s="574"/>
      <c r="BE40" s="574"/>
      <c r="BF40" s="574"/>
      <c r="BG40" s="574"/>
      <c r="BH40" s="574"/>
      <c r="BI40" s="574"/>
      <c r="BN40" s="574"/>
      <c r="BP40" s="574"/>
      <c r="BQ40" s="574"/>
      <c r="BR40" s="574"/>
      <c r="BT40" s="720"/>
      <c r="BU40" s="720"/>
      <c r="BV40" s="720"/>
      <c r="BW40" s="720"/>
      <c r="BX40" s="720"/>
      <c r="BY40" s="720"/>
      <c r="BZ40" s="720"/>
      <c r="CA40" s="721"/>
    </row>
    <row r="41" spans="1:79" ht="23.25" x14ac:dyDescent="0.25">
      <c r="A41" s="713"/>
      <c r="E41" s="574"/>
      <c r="F41" s="574"/>
      <c r="G41" s="574"/>
      <c r="H41" s="574"/>
      <c r="I41" s="585"/>
      <c r="J41" s="585"/>
      <c r="K41" s="608"/>
      <c r="L41" s="625" t="s">
        <v>169</v>
      </c>
      <c r="M41" s="722">
        <v>3122126</v>
      </c>
      <c r="N41" s="723">
        <v>3129158</v>
      </c>
      <c r="O41" s="625" t="s">
        <v>169</v>
      </c>
      <c r="P41" s="624"/>
      <c r="Q41" s="693" t="s">
        <v>169</v>
      </c>
      <c r="R41" s="694">
        <v>3223019</v>
      </c>
      <c r="S41" s="694">
        <v>3223021</v>
      </c>
      <c r="T41" s="693" t="s">
        <v>169</v>
      </c>
      <c r="U41" s="724"/>
      <c r="W41" s="624"/>
      <c r="X41" s="685" t="s">
        <v>184</v>
      </c>
      <c r="Y41" s="688">
        <v>3839288</v>
      </c>
      <c r="Z41" s="688">
        <v>3839645</v>
      </c>
      <c r="AA41" s="685" t="s">
        <v>184</v>
      </c>
      <c r="AB41" s="629"/>
      <c r="AE41" s="654"/>
      <c r="AF41" s="654"/>
      <c r="AN41" s="587"/>
      <c r="AO41" s="725"/>
      <c r="AP41" s="726"/>
      <c r="AQ41" s="726"/>
      <c r="AR41" s="726"/>
      <c r="AS41" s="726"/>
      <c r="AT41" s="726"/>
      <c r="AU41" s="574"/>
      <c r="AV41" s="574"/>
      <c r="AW41" s="574"/>
      <c r="AX41" s="591" t="s">
        <v>169</v>
      </c>
      <c r="AZ41" s="591" t="s">
        <v>169</v>
      </c>
      <c r="BB41" s="591" t="s">
        <v>169</v>
      </c>
      <c r="BC41" s="574"/>
      <c r="BD41" s="727" t="s">
        <v>169</v>
      </c>
      <c r="BF41" s="727" t="s">
        <v>169</v>
      </c>
      <c r="BH41" s="727" t="s">
        <v>169</v>
      </c>
      <c r="BJ41" s="727" t="s">
        <v>169</v>
      </c>
      <c r="BM41" s="675"/>
      <c r="BN41" s="675"/>
      <c r="BO41" s="675"/>
      <c r="BP41" s="675"/>
      <c r="CA41" s="728"/>
    </row>
    <row r="42" spans="1:79" ht="24" thickBot="1" x14ac:dyDescent="0.3">
      <c r="A42" s="713"/>
      <c r="I42" s="729"/>
      <c r="J42" s="729"/>
      <c r="K42" s="608"/>
      <c r="L42" s="625" t="s">
        <v>169</v>
      </c>
      <c r="M42" s="722">
        <v>3123882</v>
      </c>
      <c r="N42" s="723">
        <v>3130301</v>
      </c>
      <c r="O42" s="625" t="s">
        <v>169</v>
      </c>
      <c r="P42" s="624"/>
      <c r="Q42" s="693" t="s">
        <v>169</v>
      </c>
      <c r="R42" s="694">
        <v>3223040</v>
      </c>
      <c r="S42" s="694">
        <v>3223014</v>
      </c>
      <c r="T42" s="693" t="s">
        <v>169</v>
      </c>
      <c r="U42" s="724"/>
      <c r="W42" s="624"/>
      <c r="X42" s="685" t="s">
        <v>184</v>
      </c>
      <c r="Y42" s="688">
        <v>3839303</v>
      </c>
      <c r="Z42" s="688">
        <v>3839425</v>
      </c>
      <c r="AA42" s="685" t="s">
        <v>184</v>
      </c>
      <c r="AB42" s="629"/>
      <c r="AE42" s="654"/>
      <c r="AF42" s="654"/>
      <c r="AK42" s="631"/>
      <c r="AL42" s="631"/>
      <c r="AN42" s="587"/>
      <c r="AO42" s="581"/>
      <c r="AP42" s="581"/>
      <c r="AQ42" s="581"/>
      <c r="AR42" s="581"/>
      <c r="AS42" s="581"/>
      <c r="AT42" s="581"/>
      <c r="AU42" s="730"/>
      <c r="AV42" s="730"/>
      <c r="AW42" s="591"/>
      <c r="AX42" s="731">
        <v>7055384</v>
      </c>
      <c r="AY42" s="591"/>
      <c r="AZ42" s="731">
        <v>7055385</v>
      </c>
      <c r="BA42" s="591"/>
      <c r="BB42" s="732">
        <v>7055360</v>
      </c>
      <c r="BC42" s="591"/>
      <c r="BD42" s="733">
        <v>9569685</v>
      </c>
      <c r="BE42" s="727"/>
      <c r="BF42" s="733">
        <v>9569701</v>
      </c>
      <c r="BG42" s="727"/>
      <c r="BH42" s="733">
        <v>9569706</v>
      </c>
      <c r="BI42" s="727"/>
      <c r="BJ42" s="733">
        <v>9569694</v>
      </c>
      <c r="BK42" s="727"/>
      <c r="BM42" s="631"/>
      <c r="BN42" s="631"/>
      <c r="BO42" s="631"/>
      <c r="BP42" s="631"/>
      <c r="BT42" s="636"/>
      <c r="BU42" s="636"/>
      <c r="BV42" s="636"/>
      <c r="BW42" s="636"/>
      <c r="BX42" s="636"/>
      <c r="BY42" s="636"/>
      <c r="BZ42" s="636"/>
      <c r="CA42" s="636"/>
    </row>
    <row r="43" spans="1:79" ht="23.25" x14ac:dyDescent="0.25">
      <c r="A43" s="713"/>
      <c r="E43" s="574"/>
      <c r="F43" s="574"/>
      <c r="G43" s="574"/>
      <c r="I43" s="734"/>
      <c r="J43" s="734"/>
      <c r="K43" s="608"/>
      <c r="L43" s="625" t="s">
        <v>169</v>
      </c>
      <c r="M43" s="722">
        <v>3129144</v>
      </c>
      <c r="N43" s="723">
        <v>3129137</v>
      </c>
      <c r="O43" s="625" t="s">
        <v>169</v>
      </c>
      <c r="P43" s="624"/>
      <c r="Q43" s="693" t="s">
        <v>169</v>
      </c>
      <c r="R43" s="694">
        <v>3223006</v>
      </c>
      <c r="S43" s="694">
        <v>3223013</v>
      </c>
      <c r="T43" s="693" t="s">
        <v>169</v>
      </c>
      <c r="U43" s="724"/>
      <c r="W43" s="624"/>
      <c r="X43" s="685" t="s">
        <v>184</v>
      </c>
      <c r="Y43" s="688">
        <v>3839281</v>
      </c>
      <c r="Z43" s="688">
        <v>3839275</v>
      </c>
      <c r="AA43" s="685" t="s">
        <v>184</v>
      </c>
      <c r="AB43" s="629"/>
      <c r="AE43" s="654"/>
      <c r="AF43" s="654"/>
      <c r="AK43" s="631"/>
      <c r="AL43" s="631"/>
      <c r="AN43" s="574"/>
      <c r="AR43" s="735"/>
      <c r="AU43" s="736"/>
      <c r="AV43" s="737"/>
      <c r="AW43" s="738"/>
      <c r="BB43" s="739"/>
      <c r="BC43" s="739"/>
      <c r="BD43" s="740"/>
      <c r="BE43" s="740"/>
      <c r="BF43" s="740"/>
      <c r="BG43" s="740"/>
      <c r="BH43" s="740"/>
      <c r="BI43" s="740"/>
      <c r="BJ43" s="740"/>
      <c r="BK43" s="740"/>
      <c r="BL43" s="740"/>
      <c r="BM43" s="740"/>
      <c r="BN43" s="740"/>
      <c r="BO43" s="740"/>
      <c r="BP43" s="740"/>
      <c r="BQ43" s="740"/>
      <c r="BR43" s="740"/>
      <c r="BS43" s="740"/>
      <c r="BT43" s="740"/>
      <c r="BU43" s="574"/>
      <c r="BV43" s="574"/>
      <c r="BW43" s="574"/>
      <c r="BX43" s="574"/>
      <c r="BY43" s="574"/>
      <c r="BZ43" s="574"/>
      <c r="CA43" s="587"/>
    </row>
    <row r="44" spans="1:79" ht="21" x14ac:dyDescent="0.25">
      <c r="A44" s="713"/>
      <c r="K44" s="608"/>
      <c r="M44" s="625"/>
      <c r="N44" s="625"/>
      <c r="O44" s="622" t="s">
        <v>770</v>
      </c>
      <c r="R44" s="693"/>
      <c r="S44" s="693"/>
      <c r="W44" s="717"/>
      <c r="X44" s="574"/>
      <c r="Y44" s="685"/>
      <c r="Z44" s="685"/>
      <c r="AB44" s="574"/>
      <c r="AE44" s="741"/>
      <c r="AF44" s="741"/>
      <c r="AN44" s="574"/>
      <c r="AR44" s="735"/>
      <c r="AU44" s="736"/>
      <c r="AV44" s="737"/>
      <c r="AW44" s="738"/>
      <c r="BD44" s="574"/>
      <c r="BE44" s="574"/>
      <c r="BF44" s="574"/>
      <c r="BG44" s="574"/>
      <c r="BH44" s="574"/>
      <c r="BI44" s="574"/>
      <c r="BJ44" s="574"/>
      <c r="BK44" s="574"/>
      <c r="BL44" s="574"/>
      <c r="BM44" s="574"/>
      <c r="BN44" s="574"/>
      <c r="BO44" s="574"/>
      <c r="BP44" s="574"/>
      <c r="BQ44" s="574"/>
      <c r="BR44" s="574"/>
      <c r="BS44" s="574"/>
      <c r="BT44" s="574"/>
      <c r="BU44" s="574"/>
      <c r="BV44" s="574"/>
      <c r="BW44" s="574"/>
      <c r="BX44" s="574"/>
      <c r="BY44" s="574"/>
      <c r="BZ44" s="574"/>
      <c r="CA44" s="587"/>
    </row>
    <row r="45" spans="1:79" x14ac:dyDescent="0.25">
      <c r="A45" s="713"/>
      <c r="C45" s="574"/>
      <c r="D45" s="574"/>
      <c r="E45" s="574"/>
      <c r="F45" s="574"/>
      <c r="G45" s="574"/>
      <c r="H45" s="574"/>
      <c r="AN45" s="574"/>
      <c r="AR45" s="735"/>
      <c r="AU45" s="736"/>
      <c r="AV45" s="737"/>
      <c r="AW45" s="738"/>
      <c r="BD45" s="574"/>
      <c r="BE45" s="574"/>
      <c r="BF45" s="574"/>
      <c r="BG45" s="574"/>
      <c r="BH45" s="574"/>
      <c r="BI45" s="574"/>
      <c r="BJ45" s="574"/>
      <c r="BK45" s="574"/>
      <c r="BL45" s="574"/>
      <c r="BM45" s="574"/>
      <c r="BN45" s="574"/>
      <c r="BO45" s="574"/>
      <c r="BP45" s="574"/>
      <c r="BQ45" s="574"/>
      <c r="BR45" s="574"/>
      <c r="BS45" s="574"/>
      <c r="BT45" s="574"/>
      <c r="BU45" s="574"/>
      <c r="BV45" s="574"/>
      <c r="BW45" s="574"/>
      <c r="BX45" s="574"/>
      <c r="BY45" s="574"/>
      <c r="BZ45" s="574"/>
      <c r="CA45" s="587"/>
    </row>
    <row r="46" spans="1:79" ht="19.5" thickBot="1" x14ac:dyDescent="0.3">
      <c r="A46" s="713"/>
      <c r="H46" s="574"/>
      <c r="K46" s="574"/>
      <c r="L46" s="574"/>
      <c r="M46" s="693"/>
      <c r="N46" s="693"/>
      <c r="O46" s="742"/>
      <c r="P46" s="743"/>
      <c r="Q46" s="574"/>
      <c r="R46" s="704"/>
      <c r="S46" s="704"/>
      <c r="U46" s="574"/>
      <c r="AN46" s="574"/>
      <c r="AR46" s="735"/>
      <c r="AU46" s="736"/>
      <c r="AV46" s="737"/>
      <c r="AW46" s="738"/>
      <c r="BC46" s="574"/>
      <c r="BD46" s="574"/>
      <c r="BE46" s="574"/>
      <c r="BF46" s="574"/>
      <c r="BG46" s="574"/>
      <c r="BH46" s="574"/>
      <c r="BI46" s="574"/>
      <c r="BJ46" s="574"/>
      <c r="BK46" s="574"/>
      <c r="BL46" s="574"/>
      <c r="BM46" s="574"/>
      <c r="BN46" s="574"/>
      <c r="BO46" s="574"/>
      <c r="BP46" s="574"/>
      <c r="BQ46" s="574"/>
      <c r="BR46" s="574"/>
      <c r="BS46" s="574"/>
      <c r="BT46" s="574"/>
      <c r="BU46" s="574"/>
      <c r="BV46" s="574"/>
      <c r="BW46" s="574"/>
      <c r="BX46" s="574"/>
      <c r="BY46" s="574"/>
      <c r="BZ46" s="574"/>
      <c r="CA46" s="587"/>
    </row>
    <row r="47" spans="1:79" x14ac:dyDescent="0.25">
      <c r="A47" s="713"/>
      <c r="B47" s="574"/>
      <c r="C47" s="574"/>
      <c r="D47" s="574"/>
      <c r="E47" s="574"/>
      <c r="F47" s="574"/>
      <c r="G47" s="574"/>
      <c r="M47" s="700"/>
      <c r="N47" s="700"/>
      <c r="R47" s="744"/>
      <c r="S47" s="744"/>
      <c r="AN47" s="574"/>
      <c r="AR47" s="735"/>
      <c r="AU47" s="736"/>
      <c r="AV47" s="737"/>
      <c r="AW47" s="738"/>
      <c r="BC47" s="574"/>
      <c r="BH47" s="574"/>
      <c r="BJ47" s="574"/>
      <c r="BK47" s="574"/>
      <c r="BL47" s="574"/>
      <c r="BM47" s="574"/>
      <c r="BN47" s="574"/>
      <c r="BO47" s="574"/>
      <c r="BP47" s="574"/>
      <c r="BQ47" s="574"/>
      <c r="BR47" s="574"/>
      <c r="BS47" s="574"/>
      <c r="BT47" s="574"/>
      <c r="BU47" s="574"/>
      <c r="BV47" s="574"/>
      <c r="BW47" s="574"/>
      <c r="BX47" s="574"/>
      <c r="BY47" s="574"/>
      <c r="BZ47" s="574"/>
      <c r="CA47" s="587"/>
    </row>
    <row r="48" spans="1:79" ht="16.5" thickBot="1" x14ac:dyDescent="0.3">
      <c r="A48" s="713"/>
      <c r="B48" s="574"/>
      <c r="C48" s="574"/>
      <c r="D48" s="574"/>
      <c r="E48" s="574"/>
      <c r="F48" s="574"/>
      <c r="G48" s="574"/>
      <c r="M48" s="701"/>
      <c r="N48" s="701"/>
      <c r="Q48" s="745"/>
      <c r="R48" s="720"/>
      <c r="S48" s="720"/>
      <c r="Y48" s="744"/>
      <c r="Z48" s="744"/>
      <c r="AK48" s="631"/>
      <c r="AL48" s="631"/>
      <c r="AR48" s="735"/>
      <c r="AU48" s="736"/>
      <c r="AV48" s="737"/>
      <c r="AW48" s="738"/>
      <c r="BH48" s="574"/>
      <c r="BJ48" s="574"/>
      <c r="BK48" s="574"/>
      <c r="BL48" s="574"/>
      <c r="BM48" s="574"/>
      <c r="BN48" s="574"/>
      <c r="BO48" s="574"/>
      <c r="BP48" s="574"/>
      <c r="BQ48" s="574"/>
      <c r="BR48" s="574"/>
      <c r="BS48" s="574"/>
      <c r="BT48" s="574"/>
      <c r="BU48" s="574"/>
      <c r="BV48" s="574"/>
      <c r="BW48" s="574"/>
      <c r="BX48" s="574"/>
      <c r="BY48" s="574"/>
      <c r="BZ48" s="574"/>
      <c r="CA48" s="587"/>
    </row>
    <row r="49" spans="1:79" ht="18.75" x14ac:dyDescent="0.3">
      <c r="A49" s="713"/>
      <c r="B49" s="574"/>
      <c r="C49" s="574"/>
      <c r="D49" s="574"/>
      <c r="E49" s="574"/>
      <c r="F49" s="574"/>
      <c r="M49" s="574"/>
      <c r="N49" s="574"/>
      <c r="O49" s="574"/>
      <c r="Q49" s="706"/>
      <c r="R49" s="689"/>
      <c r="S49" s="689"/>
      <c r="X49" s="745"/>
      <c r="Y49" s="720"/>
      <c r="Z49" s="720"/>
      <c r="AK49" s="631"/>
      <c r="AL49" s="631"/>
      <c r="AR49" s="735"/>
      <c r="AU49" s="736"/>
      <c r="AV49" s="737"/>
      <c r="AW49" s="738"/>
      <c r="BH49" s="574"/>
      <c r="BJ49" s="574"/>
      <c r="BK49" s="574"/>
      <c r="BL49" s="574"/>
      <c r="BM49" s="574"/>
      <c r="BN49" s="574"/>
      <c r="BO49" s="574"/>
      <c r="BP49" s="574"/>
      <c r="BQ49" s="574"/>
      <c r="BR49" s="574"/>
      <c r="BS49" s="574"/>
      <c r="BT49" s="574"/>
      <c r="BU49" s="574"/>
      <c r="BV49" s="574"/>
      <c r="BW49" s="574"/>
      <c r="BX49" s="574"/>
      <c r="BY49" s="574"/>
      <c r="BZ49" s="574"/>
      <c r="CA49" s="587"/>
    </row>
    <row r="50" spans="1:79" ht="18.75" x14ac:dyDescent="0.3">
      <c r="A50" s="746"/>
      <c r="B50" s="747"/>
      <c r="C50" s="747"/>
      <c r="D50" s="747"/>
      <c r="E50" s="747"/>
      <c r="F50" s="574"/>
      <c r="I50" s="748"/>
      <c r="J50" s="748"/>
      <c r="L50" s="706"/>
      <c r="M50" s="749"/>
      <c r="N50" s="749"/>
      <c r="O50" s="669"/>
      <c r="Q50" s="689"/>
      <c r="R50" s="750"/>
      <c r="S50" s="750"/>
      <c r="T50" s="689"/>
      <c r="X50" s="706"/>
      <c r="AE50" s="630"/>
      <c r="AF50" s="630"/>
      <c r="AR50" s="735"/>
      <c r="AU50" s="736"/>
      <c r="AV50" s="737"/>
      <c r="AW50" s="738"/>
      <c r="BH50" s="574"/>
      <c r="BJ50" s="574"/>
      <c r="BK50" s="574"/>
      <c r="BL50" s="574"/>
      <c r="BM50" s="574"/>
      <c r="BN50" s="574"/>
      <c r="BO50" s="574"/>
      <c r="BP50" s="574"/>
      <c r="BQ50" s="574"/>
      <c r="BR50" s="574"/>
      <c r="BS50" s="574"/>
      <c r="BT50" s="574"/>
      <c r="BU50" s="574"/>
      <c r="BV50" s="574"/>
      <c r="BW50" s="574"/>
      <c r="BX50" s="574"/>
      <c r="BY50" s="574"/>
      <c r="BZ50" s="574"/>
      <c r="CA50" s="587"/>
    </row>
    <row r="51" spans="1:79" ht="18.75" x14ac:dyDescent="0.3">
      <c r="A51" s="746"/>
      <c r="B51" s="747"/>
      <c r="C51" s="747"/>
      <c r="D51" s="747"/>
      <c r="E51" s="747"/>
      <c r="F51" s="574"/>
      <c r="I51" s="748"/>
      <c r="J51" s="748"/>
      <c r="L51" s="749"/>
      <c r="M51" s="751"/>
      <c r="N51" s="751"/>
      <c r="Q51" s="689"/>
      <c r="R51" s="750"/>
      <c r="S51" s="750"/>
      <c r="T51" s="689"/>
      <c r="W51" s="720"/>
      <c r="X51" s="751"/>
      <c r="Y51" s="750"/>
      <c r="Z51" s="750"/>
      <c r="AA51" s="751"/>
      <c r="AB51" s="720"/>
      <c r="AD51" s="752"/>
      <c r="AE51" s="753"/>
      <c r="AF51" s="753"/>
      <c r="AR51" s="735"/>
      <c r="AU51" s="736"/>
      <c r="AV51" s="737"/>
      <c r="AW51" s="738"/>
      <c r="BH51" s="574"/>
      <c r="BJ51" s="574"/>
      <c r="BK51" s="574"/>
      <c r="BL51" s="574"/>
      <c r="BM51" s="574"/>
      <c r="BN51" s="574"/>
      <c r="BO51" s="574"/>
      <c r="BP51" s="574"/>
      <c r="BQ51" s="574"/>
      <c r="BR51" s="574"/>
      <c r="BS51" s="574"/>
      <c r="BT51" s="574"/>
      <c r="BU51" s="574"/>
      <c r="BV51" s="574"/>
      <c r="BW51" s="574"/>
      <c r="BX51" s="574"/>
      <c r="BY51" s="574"/>
      <c r="BZ51" s="574"/>
      <c r="CA51" s="587"/>
    </row>
    <row r="52" spans="1:79" ht="18.75" x14ac:dyDescent="0.3">
      <c r="A52" s="746"/>
      <c r="B52" s="747"/>
      <c r="C52" s="747"/>
      <c r="D52" s="747"/>
      <c r="E52" s="747"/>
      <c r="F52" s="574"/>
      <c r="I52" s="748"/>
      <c r="J52" s="748"/>
      <c r="K52" s="749"/>
      <c r="L52" s="751"/>
      <c r="M52" s="750"/>
      <c r="N52" s="750"/>
      <c r="O52" s="751"/>
      <c r="P52" s="682"/>
      <c r="Q52" s="689"/>
      <c r="R52" s="750"/>
      <c r="S52" s="750"/>
      <c r="T52" s="689"/>
      <c r="W52" s="720"/>
      <c r="X52" s="751"/>
      <c r="Y52" s="750"/>
      <c r="Z52" s="750"/>
      <c r="AA52" s="751"/>
      <c r="AB52" s="720"/>
      <c r="AD52" s="706"/>
      <c r="AE52" s="751"/>
      <c r="AF52" s="751"/>
      <c r="AR52" s="735"/>
      <c r="AU52" s="736"/>
      <c r="AV52" s="737"/>
      <c r="AW52" s="738"/>
      <c r="BH52" s="574"/>
      <c r="BJ52" s="574"/>
      <c r="BK52" s="574"/>
      <c r="BL52" s="574"/>
      <c r="BM52" s="574"/>
      <c r="BN52" s="574"/>
      <c r="BO52" s="574"/>
      <c r="BP52" s="574"/>
      <c r="BQ52" s="574"/>
      <c r="BR52" s="574"/>
      <c r="BS52" s="574"/>
      <c r="BT52" s="574"/>
      <c r="BU52" s="574"/>
      <c r="BV52" s="574"/>
      <c r="BW52" s="574"/>
      <c r="BX52" s="574"/>
      <c r="BY52" s="574"/>
      <c r="BZ52" s="574"/>
      <c r="CA52" s="587"/>
    </row>
    <row r="53" spans="1:79" ht="18.75" x14ac:dyDescent="0.3">
      <c r="A53" s="754" t="s">
        <v>202</v>
      </c>
      <c r="B53" s="755"/>
      <c r="C53" s="755"/>
      <c r="D53" s="755"/>
      <c r="E53" s="756"/>
      <c r="F53" s="574"/>
      <c r="I53" s="748"/>
      <c r="J53" s="748"/>
      <c r="K53" s="749"/>
      <c r="L53" s="751"/>
      <c r="M53" s="750"/>
      <c r="N53" s="750"/>
      <c r="O53" s="751"/>
      <c r="P53" s="682"/>
      <c r="Q53" s="689"/>
      <c r="R53" s="750"/>
      <c r="S53" s="750"/>
      <c r="T53" s="689"/>
      <c r="V53" s="574"/>
      <c r="W53" s="720"/>
      <c r="X53" s="751"/>
      <c r="Y53" s="750"/>
      <c r="Z53" s="750"/>
      <c r="AA53" s="751"/>
      <c r="AB53" s="720"/>
      <c r="AD53" s="751"/>
      <c r="AE53" s="750"/>
      <c r="AF53" s="750"/>
      <c r="AG53" s="751"/>
      <c r="AK53" s="757"/>
      <c r="AL53" s="757"/>
      <c r="AR53" s="735"/>
      <c r="AU53" s="736"/>
      <c r="AV53" s="737"/>
      <c r="AW53" s="738"/>
      <c r="BJ53" s="574"/>
      <c r="BK53" s="574"/>
      <c r="BL53" s="574"/>
      <c r="BM53" s="574"/>
      <c r="BN53" s="574"/>
      <c r="BO53" s="574"/>
      <c r="BP53" s="574"/>
      <c r="BQ53" s="574"/>
      <c r="BR53" s="574"/>
      <c r="BS53" s="574"/>
      <c r="BT53" s="574"/>
      <c r="BU53" s="574"/>
      <c r="BV53" s="574"/>
      <c r="BW53" s="574"/>
      <c r="BX53" s="574"/>
      <c r="BY53" s="574"/>
      <c r="BZ53" s="574"/>
      <c r="CA53" s="587"/>
    </row>
    <row r="54" spans="1:79" ht="18.75" x14ac:dyDescent="0.3">
      <c r="A54" s="758"/>
      <c r="B54" s="759"/>
      <c r="C54" s="759"/>
      <c r="D54" s="759"/>
      <c r="E54" s="760"/>
      <c r="F54" s="761"/>
      <c r="I54" s="762"/>
      <c r="J54" s="762"/>
      <c r="M54" s="751"/>
      <c r="N54" s="751"/>
      <c r="P54" s="763"/>
      <c r="R54" s="689"/>
      <c r="S54" s="689"/>
      <c r="V54" s="602"/>
      <c r="W54" s="720"/>
      <c r="X54" s="751"/>
      <c r="Y54" s="750"/>
      <c r="Z54" s="750"/>
      <c r="AA54" s="751"/>
      <c r="AB54" s="720"/>
      <c r="AD54" s="751"/>
      <c r="AE54" s="750"/>
      <c r="AF54" s="750"/>
      <c r="AG54" s="751"/>
      <c r="AJ54" s="752"/>
      <c r="AK54" s="753"/>
      <c r="AL54" s="753"/>
      <c r="AR54" s="735"/>
      <c r="AU54" s="736"/>
      <c r="AV54" s="737"/>
      <c r="AW54" s="738"/>
      <c r="BC54" s="764"/>
      <c r="BH54" s="574"/>
      <c r="BI54" s="574"/>
      <c r="BJ54" s="574"/>
      <c r="BK54" s="574"/>
      <c r="BL54" s="574"/>
      <c r="BM54" s="574"/>
      <c r="BN54" s="574"/>
      <c r="BO54" s="574"/>
      <c r="BP54" s="574"/>
      <c r="BQ54" s="574"/>
      <c r="BR54" s="574"/>
      <c r="BS54" s="574"/>
      <c r="BT54" s="574"/>
      <c r="BU54" s="574"/>
      <c r="BV54" s="574"/>
      <c r="BW54" s="574"/>
      <c r="BX54" s="574"/>
      <c r="BY54" s="574"/>
      <c r="BZ54" s="574"/>
      <c r="CA54" s="587"/>
    </row>
    <row r="55" spans="1:79" ht="15.75" x14ac:dyDescent="0.25">
      <c r="A55" s="758"/>
      <c r="B55" s="759"/>
      <c r="C55" s="759"/>
      <c r="D55" s="759"/>
      <c r="E55" s="760"/>
      <c r="F55" s="761"/>
      <c r="M55" s="749"/>
      <c r="N55" s="749"/>
      <c r="V55" s="602"/>
      <c r="AE55" s="751"/>
      <c r="AF55" s="751"/>
      <c r="AJ55" s="706"/>
      <c r="AK55" s="751"/>
      <c r="AL55" s="751"/>
      <c r="AR55" s="735"/>
      <c r="AU55" s="736"/>
      <c r="AV55" s="737"/>
      <c r="AW55" s="738"/>
      <c r="BC55" s="764"/>
      <c r="BH55" s="574"/>
      <c r="BI55" s="574"/>
      <c r="BJ55" s="574"/>
      <c r="BK55" s="574"/>
      <c r="BL55" s="574"/>
      <c r="BM55" s="574"/>
      <c r="BN55" s="574"/>
      <c r="BO55" s="574"/>
      <c r="BP55" s="574"/>
      <c r="BQ55" s="574"/>
      <c r="BR55" s="574"/>
      <c r="BS55" s="574"/>
      <c r="BT55" s="574"/>
      <c r="BU55" s="574"/>
      <c r="BV55" s="574"/>
      <c r="BW55" s="574"/>
      <c r="BX55" s="574"/>
      <c r="BY55" s="574"/>
      <c r="BZ55" s="574"/>
      <c r="CA55" s="587"/>
    </row>
    <row r="56" spans="1:79" ht="18" x14ac:dyDescent="0.25">
      <c r="A56" s="758"/>
      <c r="B56" s="759"/>
      <c r="C56" s="759"/>
      <c r="D56" s="759"/>
      <c r="E56" s="760"/>
      <c r="F56" s="761"/>
      <c r="AE56" s="745"/>
      <c r="AF56" s="745"/>
      <c r="AJ56" s="751"/>
      <c r="AK56" s="750"/>
      <c r="AL56" s="750"/>
      <c r="AM56" s="751"/>
      <c r="AR56" s="735"/>
      <c r="AU56" s="736"/>
      <c r="AV56" s="737"/>
      <c r="AW56" s="738"/>
      <c r="BC56" s="574"/>
      <c r="BH56" s="574"/>
      <c r="BI56" s="574"/>
      <c r="BJ56" s="574"/>
      <c r="BK56" s="574"/>
      <c r="BL56" s="574"/>
      <c r="BM56" s="574"/>
      <c r="BN56" s="574"/>
      <c r="BO56" s="574"/>
      <c r="BP56" s="574"/>
      <c r="BQ56" s="574"/>
      <c r="BR56" s="574"/>
      <c r="BS56" s="574"/>
      <c r="BT56" s="574"/>
      <c r="BU56" s="574"/>
      <c r="BV56" s="574"/>
      <c r="BW56" s="574"/>
      <c r="BX56" s="574"/>
      <c r="BY56" s="574"/>
      <c r="BZ56" s="574"/>
      <c r="CA56" s="587"/>
    </row>
    <row r="57" spans="1:79" ht="18" x14ac:dyDescent="0.25">
      <c r="A57" s="758"/>
      <c r="B57" s="759"/>
      <c r="C57" s="759"/>
      <c r="D57" s="759"/>
      <c r="E57" s="760"/>
      <c r="F57" s="761"/>
      <c r="V57" s="602"/>
      <c r="W57" s="574"/>
      <c r="X57" s="574"/>
      <c r="AA57" s="574"/>
      <c r="AJ57" s="751"/>
      <c r="AK57" s="750"/>
      <c r="AL57" s="750"/>
      <c r="AM57" s="751"/>
      <c r="AR57" s="735"/>
      <c r="AU57" s="736"/>
      <c r="AV57" s="737"/>
      <c r="AW57" s="738"/>
      <c r="BC57" s="574"/>
      <c r="BH57" s="574"/>
      <c r="BI57" s="574"/>
      <c r="BJ57" s="574"/>
      <c r="BK57" s="574"/>
      <c r="BL57" s="574"/>
      <c r="BM57" s="574"/>
      <c r="BN57" s="574"/>
      <c r="BO57" s="574"/>
      <c r="BP57" s="574"/>
      <c r="BQ57" s="574"/>
      <c r="BR57" s="574"/>
      <c r="BS57" s="574"/>
      <c r="BT57" s="574"/>
      <c r="BU57" s="574"/>
      <c r="BV57" s="574"/>
      <c r="BW57" s="574"/>
      <c r="BX57" s="574"/>
      <c r="BY57" s="574"/>
      <c r="BZ57" s="574"/>
      <c r="CA57" s="587"/>
    </row>
    <row r="58" spans="1:79" ht="15.75" x14ac:dyDescent="0.25">
      <c r="A58" s="758"/>
      <c r="B58" s="759"/>
      <c r="C58" s="759"/>
      <c r="D58" s="759"/>
      <c r="E58" s="760"/>
      <c r="F58" s="748"/>
      <c r="I58" s="663"/>
      <c r="J58" s="663"/>
      <c r="L58" s="708" t="s">
        <v>203</v>
      </c>
      <c r="M58" s="708"/>
      <c r="N58" s="708"/>
      <c r="O58" s="708"/>
      <c r="P58" s="608"/>
      <c r="Q58" s="708" t="s">
        <v>203</v>
      </c>
      <c r="R58" s="708"/>
      <c r="S58" s="708"/>
      <c r="T58" s="708"/>
      <c r="U58" s="574"/>
      <c r="V58" s="574"/>
      <c r="W58" s="574"/>
      <c r="X58" s="574"/>
      <c r="Y58" s="574"/>
      <c r="Z58" s="574"/>
      <c r="AA58" s="574"/>
      <c r="AK58" s="751"/>
      <c r="AL58" s="751"/>
      <c r="AR58" s="735"/>
      <c r="AU58" s="736"/>
      <c r="AV58" s="737"/>
      <c r="AW58" s="738"/>
      <c r="BD58" s="574"/>
      <c r="BE58" s="574"/>
      <c r="BF58" s="574"/>
      <c r="BG58" s="574"/>
      <c r="BH58" s="574"/>
      <c r="BI58" s="574"/>
      <c r="BJ58" s="574"/>
      <c r="BK58" s="574"/>
      <c r="BL58" s="574"/>
      <c r="BM58" s="574"/>
      <c r="BN58" s="574"/>
      <c r="BO58" s="574"/>
      <c r="BP58" s="574"/>
      <c r="BQ58" s="574"/>
      <c r="BR58" s="574"/>
      <c r="BS58" s="574"/>
      <c r="BT58" s="574"/>
      <c r="BU58" s="574"/>
      <c r="BV58" s="574"/>
      <c r="BW58" s="574"/>
      <c r="BX58" s="574"/>
      <c r="BY58" s="574"/>
      <c r="BZ58" s="574"/>
      <c r="CA58" s="587"/>
    </row>
    <row r="59" spans="1:79" ht="21" x14ac:dyDescent="0.25">
      <c r="A59" s="758"/>
      <c r="B59" s="759"/>
      <c r="C59" s="759"/>
      <c r="D59" s="759"/>
      <c r="E59" s="760"/>
      <c r="F59" s="748"/>
      <c r="I59" s="663"/>
      <c r="J59" s="663"/>
      <c r="M59" s="685"/>
      <c r="N59" s="660"/>
      <c r="Q59" s="566" t="s">
        <v>205</v>
      </c>
      <c r="R59" s="765"/>
      <c r="S59" s="765"/>
      <c r="U59" s="574"/>
      <c r="V59" s="574"/>
      <c r="X59" s="706"/>
      <c r="Y59" s="749"/>
      <c r="Z59" s="749"/>
      <c r="AA59" s="669"/>
      <c r="AK59" s="745"/>
      <c r="AL59" s="745"/>
      <c r="AR59" s="735"/>
      <c r="AU59" s="736"/>
      <c r="AV59" s="737"/>
      <c r="AW59" s="738"/>
      <c r="BD59" s="574"/>
      <c r="BE59" s="574"/>
      <c r="BF59" s="574"/>
      <c r="BG59" s="574"/>
      <c r="BH59" s="574"/>
      <c r="BI59" s="574"/>
      <c r="BJ59" s="574"/>
      <c r="BK59" s="574"/>
      <c r="BL59" s="574"/>
      <c r="BM59" s="574"/>
      <c r="BN59" s="574"/>
      <c r="BO59" s="574"/>
      <c r="BP59" s="574"/>
      <c r="BQ59" s="574"/>
      <c r="BR59" s="574"/>
      <c r="BS59" s="574"/>
      <c r="BT59" s="574"/>
      <c r="BU59" s="574"/>
      <c r="BV59" s="574"/>
      <c r="BW59" s="574"/>
      <c r="BX59" s="574"/>
      <c r="BY59" s="574"/>
      <c r="BZ59" s="574"/>
      <c r="CA59" s="587"/>
    </row>
    <row r="60" spans="1:79" ht="23.25" x14ac:dyDescent="0.25">
      <c r="A60" s="758"/>
      <c r="B60" s="759"/>
      <c r="C60" s="759"/>
      <c r="D60" s="759"/>
      <c r="E60" s="760"/>
      <c r="F60" s="748"/>
      <c r="I60" s="663"/>
      <c r="J60" s="663"/>
      <c r="K60" s="608"/>
      <c r="L60" s="685" t="s">
        <v>184</v>
      </c>
      <c r="M60" s="688">
        <v>9058537</v>
      </c>
      <c r="N60" s="666">
        <v>9058531</v>
      </c>
      <c r="O60" s="660" t="s">
        <v>184</v>
      </c>
      <c r="P60" s="624"/>
      <c r="Q60" s="765" t="s">
        <v>184</v>
      </c>
      <c r="R60" s="628">
        <v>3634181</v>
      </c>
      <c r="S60" s="628">
        <v>3634171</v>
      </c>
      <c r="T60" s="765" t="s">
        <v>184</v>
      </c>
      <c r="U60" s="629"/>
      <c r="V60" s="574"/>
      <c r="X60" s="749"/>
      <c r="Y60" s="751"/>
      <c r="Z60" s="751"/>
      <c r="AR60" s="735"/>
      <c r="AU60" s="736"/>
      <c r="AV60" s="737"/>
      <c r="AW60" s="738"/>
      <c r="BD60" s="574"/>
      <c r="BE60" s="574"/>
      <c r="BF60" s="574"/>
      <c r="BG60" s="574"/>
      <c r="BH60" s="574"/>
      <c r="BI60" s="574"/>
      <c r="BJ60" s="574"/>
      <c r="BK60" s="574"/>
      <c r="BL60" s="574"/>
      <c r="BM60" s="574"/>
      <c r="BN60" s="574"/>
      <c r="BO60" s="574"/>
      <c r="BP60" s="574"/>
      <c r="BQ60" s="574"/>
      <c r="BR60" s="574"/>
      <c r="BS60" s="574"/>
      <c r="BT60" s="574"/>
      <c r="BU60" s="574"/>
      <c r="BV60" s="574"/>
      <c r="BW60" s="574"/>
      <c r="BX60" s="574"/>
      <c r="BY60" s="574"/>
      <c r="BZ60" s="574"/>
      <c r="CA60" s="587"/>
    </row>
    <row r="61" spans="1:79" ht="23.25" x14ac:dyDescent="0.25">
      <c r="A61" s="758"/>
      <c r="B61" s="759"/>
      <c r="C61" s="759"/>
      <c r="D61" s="759"/>
      <c r="E61" s="760"/>
      <c r="F61" s="748"/>
      <c r="I61" s="766"/>
      <c r="J61" s="766"/>
      <c r="K61" s="608"/>
      <c r="L61" s="685" t="s">
        <v>184</v>
      </c>
      <c r="M61" s="688">
        <v>9058534</v>
      </c>
      <c r="N61" s="666">
        <v>9058540</v>
      </c>
      <c r="O61" s="660" t="s">
        <v>184</v>
      </c>
      <c r="P61" s="624"/>
      <c r="Q61" s="765" t="s">
        <v>184</v>
      </c>
      <c r="R61" s="628">
        <v>3634182</v>
      </c>
      <c r="S61" s="628">
        <v>3634169</v>
      </c>
      <c r="T61" s="765" t="s">
        <v>184</v>
      </c>
      <c r="U61" s="629"/>
      <c r="V61" s="574"/>
      <c r="W61" s="749"/>
      <c r="X61" s="751"/>
      <c r="Y61" s="750"/>
      <c r="Z61" s="750"/>
      <c r="AA61" s="751"/>
      <c r="AB61" s="682"/>
      <c r="AE61" s="767"/>
      <c r="AF61" s="767"/>
      <c r="AR61" s="735"/>
      <c r="AU61" s="736"/>
      <c r="AV61" s="737"/>
      <c r="AW61" s="738"/>
      <c r="BD61" s="574"/>
      <c r="BE61" s="574"/>
      <c r="BF61" s="574"/>
      <c r="BG61" s="574"/>
      <c r="BH61" s="574"/>
      <c r="BI61" s="574"/>
      <c r="BJ61" s="574"/>
      <c r="BK61" s="574"/>
      <c r="BL61" s="574"/>
      <c r="BM61" s="574"/>
      <c r="BN61" s="574"/>
      <c r="BO61" s="574"/>
      <c r="BP61" s="574"/>
      <c r="BQ61" s="574"/>
      <c r="BR61" s="574"/>
      <c r="BS61" s="574"/>
      <c r="BT61" s="574"/>
      <c r="BU61" s="574"/>
      <c r="BV61" s="574"/>
      <c r="BW61" s="574"/>
      <c r="BX61" s="574"/>
      <c r="BY61" s="574"/>
      <c r="BZ61" s="574"/>
      <c r="CA61" s="587"/>
    </row>
    <row r="62" spans="1:79" ht="23.25" x14ac:dyDescent="0.25">
      <c r="A62" s="758"/>
      <c r="B62" s="759"/>
      <c r="C62" s="759"/>
      <c r="D62" s="759"/>
      <c r="E62" s="760"/>
      <c r="F62" s="761"/>
      <c r="K62" s="608"/>
      <c r="L62" s="685" t="s">
        <v>184</v>
      </c>
      <c r="M62" s="688">
        <v>9058536</v>
      </c>
      <c r="N62" s="666">
        <v>9058522</v>
      </c>
      <c r="O62" s="660" t="s">
        <v>184</v>
      </c>
      <c r="P62" s="624"/>
      <c r="Q62" s="765" t="s">
        <v>184</v>
      </c>
      <c r="R62" s="628">
        <v>3634195</v>
      </c>
      <c r="S62" s="628">
        <v>3634160</v>
      </c>
      <c r="T62" s="765" t="s">
        <v>184</v>
      </c>
      <c r="U62" s="629"/>
      <c r="V62" s="574"/>
      <c r="W62" s="749"/>
      <c r="X62" s="751"/>
      <c r="Y62" s="750"/>
      <c r="Z62" s="750"/>
      <c r="AA62" s="751"/>
      <c r="AB62" s="682"/>
      <c r="AE62" s="767"/>
      <c r="AF62" s="767"/>
      <c r="AK62" s="767"/>
      <c r="AL62" s="767"/>
      <c r="AR62" s="735"/>
      <c r="AU62" s="736"/>
      <c r="AV62" s="737"/>
      <c r="AW62" s="738"/>
      <c r="BD62" s="574"/>
      <c r="BE62" s="574"/>
      <c r="BF62" s="574"/>
      <c r="BG62" s="574"/>
      <c r="BH62" s="574"/>
      <c r="BI62" s="574"/>
      <c r="BJ62" s="574"/>
      <c r="BK62" s="574"/>
      <c r="BL62" s="574"/>
      <c r="BM62" s="574"/>
      <c r="BN62" s="574"/>
      <c r="BO62" s="574"/>
      <c r="BP62" s="574"/>
      <c r="BQ62" s="574"/>
      <c r="BR62" s="574"/>
      <c r="BS62" s="574"/>
      <c r="BT62" s="574"/>
      <c r="BU62" s="574"/>
      <c r="BV62" s="574"/>
      <c r="BW62" s="574"/>
      <c r="BX62" s="574"/>
      <c r="BY62" s="574"/>
      <c r="BZ62" s="574"/>
      <c r="CA62" s="587"/>
    </row>
    <row r="63" spans="1:79" ht="21" x14ac:dyDescent="0.25">
      <c r="A63" s="758"/>
      <c r="B63" s="759"/>
      <c r="C63" s="759"/>
      <c r="D63" s="759"/>
      <c r="E63" s="760"/>
      <c r="F63" s="761"/>
      <c r="K63" s="608"/>
      <c r="M63" s="685"/>
      <c r="N63" s="660"/>
      <c r="P63" s="717"/>
      <c r="R63" s="765"/>
      <c r="S63" s="765"/>
      <c r="U63" s="574"/>
      <c r="V63" s="574"/>
      <c r="X63" s="751"/>
      <c r="Y63" s="750"/>
      <c r="Z63" s="750"/>
      <c r="AA63" s="751"/>
      <c r="AB63" s="763"/>
      <c r="AE63" s="767"/>
      <c r="AF63" s="767"/>
      <c r="AK63" s="767"/>
      <c r="AL63" s="767"/>
      <c r="AR63" s="735"/>
      <c r="AU63" s="736"/>
      <c r="AV63" s="737"/>
      <c r="AW63" s="738"/>
      <c r="BD63" s="574"/>
      <c r="BE63" s="574"/>
      <c r="BF63" s="574"/>
      <c r="BG63" s="574"/>
      <c r="BH63" s="574"/>
      <c r="BI63" s="574"/>
      <c r="BJ63" s="574"/>
      <c r="BK63" s="574"/>
      <c r="BL63" s="574"/>
      <c r="BM63" s="574"/>
      <c r="BN63" s="574"/>
      <c r="BO63" s="574"/>
      <c r="BP63" s="574"/>
      <c r="BQ63" s="574"/>
      <c r="BR63" s="574"/>
      <c r="BS63" s="574"/>
      <c r="BT63" s="574"/>
      <c r="BU63" s="574"/>
      <c r="BV63" s="574"/>
      <c r="BW63" s="574"/>
      <c r="BX63" s="574"/>
      <c r="BY63" s="574"/>
      <c r="BZ63" s="574"/>
      <c r="CA63" s="587"/>
    </row>
    <row r="64" spans="1:79" ht="15.75" x14ac:dyDescent="0.25">
      <c r="A64" s="758"/>
      <c r="B64" s="759"/>
      <c r="C64" s="759"/>
      <c r="D64" s="759"/>
      <c r="E64" s="760"/>
      <c r="F64" s="761"/>
      <c r="G64" s="768"/>
      <c r="P64" s="574"/>
      <c r="Q64" s="574"/>
      <c r="U64" s="574"/>
      <c r="V64" s="574"/>
      <c r="X64" s="749"/>
      <c r="Y64" s="751"/>
      <c r="Z64" s="751"/>
      <c r="AA64" s="749"/>
      <c r="AI64" s="574"/>
      <c r="AR64" s="735"/>
      <c r="AU64" s="736"/>
      <c r="AV64" s="737"/>
      <c r="AW64" s="738"/>
      <c r="BD64" s="574"/>
      <c r="BE64" s="574"/>
      <c r="BF64" s="574"/>
      <c r="BG64" s="574"/>
      <c r="BH64" s="574"/>
      <c r="BI64" s="574"/>
      <c r="BJ64" s="574"/>
      <c r="BK64" s="574"/>
      <c r="BL64" s="574"/>
      <c r="BM64" s="574"/>
      <c r="BN64" s="574"/>
      <c r="BO64" s="574"/>
      <c r="BP64" s="574"/>
      <c r="BQ64" s="574"/>
      <c r="BR64" s="574"/>
      <c r="BS64" s="574"/>
      <c r="BT64" s="574"/>
      <c r="BU64" s="574"/>
      <c r="BV64" s="574"/>
      <c r="BW64" s="574"/>
      <c r="BX64" s="574"/>
      <c r="BY64" s="574"/>
      <c r="BZ64" s="574"/>
      <c r="CA64" s="587"/>
    </row>
    <row r="65" spans="1:79" ht="15.75" x14ac:dyDescent="0.25">
      <c r="A65" s="758"/>
      <c r="B65" s="759"/>
      <c r="C65" s="759"/>
      <c r="D65" s="759"/>
      <c r="E65" s="760"/>
      <c r="F65" s="761"/>
      <c r="G65" s="768"/>
      <c r="H65" s="768"/>
      <c r="I65" s="768"/>
      <c r="J65" s="768"/>
      <c r="K65" s="768"/>
      <c r="M65" s="574"/>
      <c r="N65" s="574"/>
      <c r="P65" s="574"/>
      <c r="Q65" s="574"/>
      <c r="U65" s="574"/>
      <c r="V65" s="574"/>
      <c r="W65" s="574"/>
      <c r="X65" s="574"/>
      <c r="Y65" s="769"/>
      <c r="Z65" s="769"/>
      <c r="AA65" s="574"/>
      <c r="AB65" s="574"/>
      <c r="AC65" s="574"/>
      <c r="AD65" s="574"/>
      <c r="AH65" s="574"/>
      <c r="AI65" s="574"/>
      <c r="AR65" s="735"/>
      <c r="AU65" s="736"/>
      <c r="AV65" s="737"/>
      <c r="AW65" s="738"/>
      <c r="BD65" s="574"/>
      <c r="BE65" s="574"/>
      <c r="BF65" s="574"/>
      <c r="BG65" s="574"/>
      <c r="BH65" s="574"/>
      <c r="BI65" s="574"/>
      <c r="BJ65" s="574"/>
      <c r="BK65" s="574"/>
      <c r="BL65" s="574"/>
      <c r="BM65" s="574"/>
      <c r="BN65" s="574"/>
      <c r="BO65" s="574"/>
      <c r="BP65" s="574"/>
      <c r="BQ65" s="574"/>
      <c r="BR65" s="574"/>
      <c r="BS65" s="574"/>
      <c r="BT65" s="574"/>
      <c r="BU65" s="574"/>
      <c r="BV65" s="574"/>
      <c r="BW65" s="574"/>
      <c r="BX65" s="574"/>
      <c r="BY65" s="574"/>
      <c r="BZ65" s="574"/>
      <c r="CA65" s="587"/>
    </row>
    <row r="66" spans="1:79" ht="15.75" x14ac:dyDescent="0.25">
      <c r="A66" s="758"/>
      <c r="B66" s="759"/>
      <c r="C66" s="759"/>
      <c r="D66" s="759"/>
      <c r="E66" s="760"/>
      <c r="F66" s="761"/>
      <c r="G66" s="574"/>
      <c r="H66" s="574"/>
      <c r="I66" s="574"/>
      <c r="J66" s="574"/>
      <c r="K66" s="574"/>
      <c r="L66" s="574"/>
      <c r="R66" s="574"/>
      <c r="S66" s="574"/>
      <c r="T66" s="574"/>
      <c r="U66" s="574"/>
      <c r="V66" s="574"/>
      <c r="W66" s="574"/>
      <c r="X66" s="574"/>
      <c r="Y66" s="574"/>
      <c r="Z66" s="574"/>
      <c r="AA66" s="574"/>
      <c r="AB66" s="574"/>
      <c r="AC66" s="574"/>
      <c r="AD66" s="574"/>
      <c r="AH66" s="574"/>
      <c r="AI66" s="574"/>
      <c r="AJ66" s="574"/>
      <c r="AK66" s="574"/>
      <c r="AR66" s="735"/>
      <c r="AU66" s="736"/>
      <c r="AV66" s="737"/>
      <c r="AW66" s="738"/>
      <c r="BD66" s="574"/>
      <c r="BE66" s="574"/>
      <c r="BF66" s="574"/>
      <c r="BG66" s="574"/>
      <c r="BH66" s="574"/>
      <c r="BI66" s="574"/>
      <c r="BJ66" s="574"/>
      <c r="BK66" s="574"/>
      <c r="BL66" s="574"/>
      <c r="BM66" s="574"/>
      <c r="BN66" s="574"/>
      <c r="BO66" s="574"/>
      <c r="BP66" s="574"/>
      <c r="BQ66" s="574"/>
      <c r="BR66" s="574"/>
      <c r="BS66" s="574"/>
      <c r="BT66" s="574"/>
      <c r="BU66" s="574"/>
      <c r="BV66" s="574"/>
      <c r="BW66" s="574"/>
      <c r="BX66" s="574"/>
      <c r="BY66" s="574"/>
      <c r="BZ66" s="574"/>
      <c r="CA66" s="587"/>
    </row>
    <row r="67" spans="1:79" ht="15.75" x14ac:dyDescent="0.25">
      <c r="A67" s="758"/>
      <c r="B67" s="759"/>
      <c r="C67" s="759"/>
      <c r="D67" s="759"/>
      <c r="E67" s="760"/>
      <c r="F67" s="761"/>
      <c r="J67" s="574"/>
      <c r="L67" s="574"/>
      <c r="M67" s="770" t="s">
        <v>206</v>
      </c>
      <c r="N67" s="770"/>
      <c r="O67" s="770"/>
      <c r="P67" s="770" t="s">
        <v>198</v>
      </c>
      <c r="Q67" s="770"/>
      <c r="R67" s="574"/>
      <c r="S67" s="574"/>
      <c r="T67" s="574"/>
      <c r="U67" s="574"/>
      <c r="V67" s="574"/>
      <c r="W67" s="574"/>
      <c r="X67" s="574"/>
      <c r="Y67" s="574"/>
      <c r="Z67" s="574"/>
      <c r="AA67" s="574"/>
      <c r="AB67" s="574"/>
      <c r="AC67" s="574"/>
      <c r="AD67" s="574"/>
      <c r="AE67" s="574"/>
      <c r="AF67" s="574"/>
      <c r="AG67" s="574"/>
      <c r="AH67" s="574"/>
      <c r="AI67" s="574"/>
      <c r="AJ67" s="574"/>
      <c r="AK67" s="574"/>
      <c r="AL67" s="574"/>
      <c r="AM67" s="574"/>
      <c r="AN67" s="574"/>
      <c r="AR67" s="735"/>
      <c r="AU67" s="736"/>
      <c r="AV67" s="737"/>
      <c r="AW67" s="738"/>
      <c r="BD67" s="574"/>
      <c r="BE67" s="574"/>
      <c r="BF67" s="574"/>
      <c r="BG67" s="574"/>
      <c r="BH67" s="574"/>
      <c r="BI67" s="574"/>
      <c r="BJ67" s="574"/>
      <c r="BK67" s="574"/>
      <c r="BL67" s="574"/>
      <c r="BM67" s="574"/>
      <c r="BN67" s="574"/>
      <c r="BO67" s="574"/>
      <c r="BP67" s="574"/>
      <c r="BQ67" s="574"/>
      <c r="BR67" s="574"/>
      <c r="BS67" s="574"/>
      <c r="BT67" s="574"/>
      <c r="BU67" s="574"/>
      <c r="BV67" s="574"/>
      <c r="BW67" s="574"/>
      <c r="BX67" s="574"/>
      <c r="BY67" s="574"/>
      <c r="BZ67" s="574"/>
      <c r="CA67" s="587"/>
    </row>
    <row r="68" spans="1:79" ht="15.75" x14ac:dyDescent="0.25">
      <c r="A68" s="758"/>
      <c r="B68" s="759"/>
      <c r="C68" s="759"/>
      <c r="D68" s="759"/>
      <c r="E68" s="760"/>
      <c r="F68" s="574"/>
      <c r="J68" s="651"/>
      <c r="M68" s="602"/>
      <c r="N68" s="602"/>
      <c r="O68" s="602"/>
      <c r="P68" s="602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611" t="s">
        <v>171</v>
      </c>
      <c r="AH68" s="611"/>
      <c r="AI68" s="611"/>
      <c r="AJ68" s="611"/>
      <c r="AK68" s="611"/>
      <c r="AL68" s="574"/>
      <c r="AM68" s="574"/>
      <c r="AN68" s="574"/>
      <c r="AR68" s="735"/>
      <c r="AU68" s="736"/>
      <c r="AV68" s="737"/>
      <c r="AW68" s="738"/>
      <c r="BD68" s="574"/>
      <c r="BE68" s="574"/>
      <c r="BF68" s="574"/>
      <c r="BG68" s="574"/>
      <c r="BH68" s="574"/>
      <c r="BI68" s="574"/>
      <c r="BJ68" s="574"/>
      <c r="BK68" s="574"/>
      <c r="BL68" s="574"/>
      <c r="BM68" s="574"/>
      <c r="BN68" s="574"/>
      <c r="BO68" s="574"/>
      <c r="BP68" s="574"/>
      <c r="BQ68" s="574"/>
      <c r="BR68" s="574"/>
      <c r="BS68" s="574"/>
      <c r="BT68" s="574"/>
      <c r="BU68" s="574"/>
      <c r="BV68" s="574"/>
      <c r="BW68" s="574"/>
      <c r="BX68" s="574"/>
      <c r="BY68" s="574"/>
      <c r="BZ68" s="574"/>
      <c r="CA68" s="587"/>
    </row>
    <row r="69" spans="1:79" ht="23.25" x14ac:dyDescent="0.25">
      <c r="A69" s="758"/>
      <c r="B69" s="759"/>
      <c r="C69" s="759"/>
      <c r="D69" s="759"/>
      <c r="E69" s="760"/>
      <c r="F69" s="771"/>
      <c r="G69" s="772"/>
      <c r="H69" s="772"/>
      <c r="I69" s="772"/>
      <c r="J69" s="772"/>
      <c r="K69" s="772"/>
      <c r="L69" s="590" t="s">
        <v>207</v>
      </c>
      <c r="M69" s="591" t="s">
        <v>169</v>
      </c>
      <c r="N69" s="591" t="s">
        <v>169</v>
      </c>
      <c r="O69" s="591" t="s">
        <v>169</v>
      </c>
      <c r="P69" s="591" t="s">
        <v>169</v>
      </c>
      <c r="Q69" s="591" t="s">
        <v>169</v>
      </c>
      <c r="R69" s="574"/>
      <c r="S69" s="574"/>
      <c r="T69" s="574"/>
      <c r="U69" s="574"/>
      <c r="V69" s="574"/>
      <c r="W69" s="574"/>
      <c r="X69" s="574"/>
      <c r="Y69" s="574"/>
      <c r="Z69" s="574"/>
      <c r="AA69" s="574"/>
      <c r="AB69" s="574"/>
      <c r="AC69" s="574"/>
      <c r="AD69" s="574"/>
      <c r="AE69" s="574"/>
      <c r="AF69" s="574"/>
      <c r="AG69" s="727" t="s">
        <v>169</v>
      </c>
      <c r="AH69" s="727" t="s">
        <v>169</v>
      </c>
      <c r="AI69" s="727" t="s">
        <v>169</v>
      </c>
      <c r="AJ69" s="727" t="s">
        <v>169</v>
      </c>
      <c r="AK69" s="574"/>
      <c r="AL69" s="574"/>
      <c r="AM69" s="574"/>
      <c r="AN69" s="574"/>
      <c r="AR69" s="735"/>
      <c r="AU69" s="736"/>
      <c r="AV69" s="737"/>
      <c r="AW69" s="738"/>
      <c r="BD69" s="574"/>
      <c r="BE69" s="574"/>
      <c r="BF69" s="574"/>
      <c r="BG69" s="574"/>
      <c r="BH69" s="574"/>
      <c r="BI69" s="574"/>
      <c r="BJ69" s="574"/>
      <c r="BK69" s="574"/>
      <c r="BL69" s="574"/>
      <c r="BM69" s="574"/>
      <c r="BN69" s="574"/>
      <c r="BO69" s="574"/>
      <c r="BP69" s="574"/>
      <c r="BQ69" s="574"/>
      <c r="BR69" s="574"/>
      <c r="BS69" s="574"/>
      <c r="BT69" s="574"/>
      <c r="BU69" s="574"/>
      <c r="BV69" s="574"/>
      <c r="BW69" s="574"/>
      <c r="BX69" s="574"/>
      <c r="BY69" s="574"/>
      <c r="BZ69" s="574"/>
      <c r="CA69" s="587"/>
    </row>
    <row r="70" spans="1:79" ht="24" thickBot="1" x14ac:dyDescent="0.3">
      <c r="A70" s="773"/>
      <c r="B70" s="774"/>
      <c r="C70" s="774"/>
      <c r="D70" s="774"/>
      <c r="E70" s="775"/>
      <c r="F70" s="654"/>
      <c r="G70" s="654"/>
      <c r="H70" s="654"/>
      <c r="I70" s="654"/>
      <c r="J70" s="654"/>
      <c r="K70" s="654"/>
      <c r="L70" s="776"/>
      <c r="M70" s="731">
        <v>7047664</v>
      </c>
      <c r="N70" s="731">
        <v>7047662</v>
      </c>
      <c r="O70" s="731">
        <v>7047644</v>
      </c>
      <c r="P70" s="732">
        <v>7053120</v>
      </c>
      <c r="Q70" s="732">
        <v>7052941</v>
      </c>
      <c r="R70" s="591"/>
      <c r="S70" s="620"/>
      <c r="T70" s="620"/>
      <c r="U70" s="620"/>
      <c r="V70" s="620"/>
      <c r="W70" s="574"/>
      <c r="X70" s="574"/>
      <c r="Y70" s="574"/>
      <c r="Z70" s="574"/>
      <c r="AA70" s="574"/>
      <c r="AB70" s="574"/>
      <c r="AC70" s="574"/>
      <c r="AD70" s="574"/>
      <c r="AE70" s="574"/>
      <c r="AF70" s="727"/>
      <c r="AG70" s="733">
        <v>9569680</v>
      </c>
      <c r="AH70" s="733">
        <v>9569676</v>
      </c>
      <c r="AI70" s="733">
        <v>9569693</v>
      </c>
      <c r="AJ70" s="733">
        <v>9569687</v>
      </c>
      <c r="AK70" s="727"/>
      <c r="AL70" s="574"/>
      <c r="AM70" s="574"/>
      <c r="AN70" s="574"/>
      <c r="AR70" s="735"/>
      <c r="AT70" s="777"/>
      <c r="AU70" s="778"/>
      <c r="AV70" s="779"/>
      <c r="AW70" s="780"/>
      <c r="AX70" s="777"/>
      <c r="AY70" s="777"/>
      <c r="AZ70" s="777"/>
      <c r="BA70" s="777"/>
      <c r="BB70" s="777"/>
      <c r="BC70" s="777"/>
      <c r="BD70" s="781"/>
      <c r="BE70" s="781"/>
      <c r="BF70" s="781"/>
      <c r="BG70" s="781"/>
      <c r="BH70" s="781"/>
      <c r="BI70" s="781"/>
      <c r="BJ70" s="781"/>
      <c r="BK70" s="781"/>
      <c r="BL70" s="781"/>
      <c r="BM70" s="781"/>
      <c r="BN70" s="781"/>
      <c r="BO70" s="781"/>
      <c r="BP70" s="781"/>
      <c r="BQ70" s="781"/>
      <c r="BR70" s="781"/>
      <c r="BS70" s="781"/>
      <c r="BT70" s="781"/>
      <c r="BU70" s="781"/>
      <c r="BV70" s="781"/>
      <c r="BW70" s="781"/>
      <c r="BX70" s="781"/>
      <c r="BY70" s="781"/>
      <c r="BZ70" s="781"/>
      <c r="CA70" s="782"/>
    </row>
    <row r="71" spans="1:79" x14ac:dyDescent="0.25">
      <c r="D71" s="739"/>
      <c r="E71" s="739"/>
      <c r="F71" s="740"/>
      <c r="G71" s="739"/>
      <c r="H71" s="739"/>
      <c r="I71" s="739"/>
      <c r="J71" s="739"/>
      <c r="K71" s="739"/>
      <c r="L71" s="739"/>
      <c r="M71" s="739"/>
      <c r="N71" s="739"/>
      <c r="O71" s="739"/>
      <c r="P71" s="739"/>
      <c r="Q71" s="739"/>
      <c r="R71" s="739"/>
      <c r="S71" s="739"/>
      <c r="T71" s="739"/>
      <c r="U71" s="739"/>
      <c r="V71" s="739"/>
      <c r="W71" s="739"/>
      <c r="X71" s="739"/>
      <c r="Y71" s="739"/>
      <c r="Z71" s="739"/>
      <c r="AA71" s="739"/>
      <c r="AB71" s="739"/>
      <c r="AC71" s="739"/>
      <c r="AD71" s="739"/>
      <c r="AE71" s="739"/>
      <c r="AF71" s="739"/>
      <c r="AG71" s="739"/>
      <c r="AH71" s="739"/>
      <c r="AI71" s="739"/>
      <c r="AJ71" s="739"/>
      <c r="AK71" s="739"/>
      <c r="AL71" s="739"/>
      <c r="AM71" s="739"/>
      <c r="AN71" s="739"/>
      <c r="AO71" s="739"/>
      <c r="AP71" s="739"/>
      <c r="AQ71" s="739"/>
      <c r="AR71" s="739"/>
      <c r="AS71" s="739"/>
    </row>
  </sheetData>
  <mergeCells count="65">
    <mergeCell ref="A53:E70"/>
    <mergeCell ref="AK53:AL53"/>
    <mergeCell ref="I54:J54"/>
    <mergeCell ref="L58:O58"/>
    <mergeCell ref="Q58:T58"/>
    <mergeCell ref="I61:J61"/>
    <mergeCell ref="M67:O67"/>
    <mergeCell ref="P67:Q67"/>
    <mergeCell ref="AG68:AK68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AY36:BB36"/>
    <mergeCell ref="BD36:BG36"/>
    <mergeCell ref="M39:N39"/>
    <mergeCell ref="AX39:AZ39"/>
    <mergeCell ref="BE39:BI39"/>
    <mergeCell ref="AT31:AW31"/>
    <mergeCell ref="H33:K33"/>
    <mergeCell ref="A23:E23"/>
    <mergeCell ref="A24:B35"/>
    <mergeCell ref="C24:E31"/>
    <mergeCell ref="AE27:AF27"/>
    <mergeCell ref="AN20:AN26"/>
    <mergeCell ref="R33:S33"/>
    <mergeCell ref="AE34:AF34"/>
    <mergeCell ref="Y16:Z16"/>
    <mergeCell ref="AJ17:AK17"/>
    <mergeCell ref="I19:J19"/>
    <mergeCell ref="BK28:BK29"/>
    <mergeCell ref="M29:M30"/>
    <mergeCell ref="N29:N30"/>
    <mergeCell ref="BJ28:BJ29"/>
    <mergeCell ref="BP21:BQ21"/>
    <mergeCell ref="AU22:AV22"/>
    <mergeCell ref="AZ22:BA22"/>
    <mergeCell ref="BF22:BG22"/>
    <mergeCell ref="BS6:BW6"/>
    <mergeCell ref="BF14:BG14"/>
    <mergeCell ref="BL14:BM14"/>
    <mergeCell ref="BV15:BY15"/>
    <mergeCell ref="Y14:Z14"/>
    <mergeCell ref="AQ14:AR14"/>
    <mergeCell ref="AT14:AU14"/>
    <mergeCell ref="AV14:AW14"/>
    <mergeCell ref="AZ14:BA14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AP7:AR7"/>
    <mergeCell ref="BA7:BB7"/>
    <mergeCell ref="E8:G9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A494"/>
  <sheetViews>
    <sheetView topLeftCell="C4" zoomScale="60" zoomScaleNormal="60" workbookViewId="0">
      <selection activeCell="S30" sqref="S30"/>
    </sheetView>
  </sheetViews>
  <sheetFormatPr baseColWidth="10" defaultColWidth="16.7109375" defaultRowHeight="15" x14ac:dyDescent="0.25"/>
  <sheetData>
    <row r="1" spans="1:79" ht="47.25" thickBot="1" x14ac:dyDescent="0.3">
      <c r="A1" s="382" t="s">
        <v>165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4"/>
    </row>
    <row r="2" spans="1:79" ht="15.75" thickBot="1" x14ac:dyDescent="0.3">
      <c r="A2" s="385" t="s">
        <v>166</v>
      </c>
      <c r="B2" s="386"/>
      <c r="C2" s="386"/>
      <c r="D2" s="386"/>
      <c r="E2" s="386"/>
      <c r="F2" s="386"/>
      <c r="G2" s="386"/>
      <c r="H2" s="386"/>
      <c r="I2" s="386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7"/>
      <c r="AI2" s="387"/>
      <c r="AJ2" s="387"/>
      <c r="AK2" s="387"/>
      <c r="AL2" s="387"/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7"/>
      <c r="AY2" s="387"/>
      <c r="AZ2" s="387"/>
      <c r="BA2" s="387"/>
      <c r="BB2" s="387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7"/>
      <c r="BS2" s="387"/>
      <c r="BT2" s="387"/>
      <c r="BU2" s="387"/>
      <c r="BV2" s="387"/>
      <c r="BW2" s="387"/>
      <c r="BX2" s="387"/>
      <c r="BY2" s="387"/>
      <c r="BZ2" s="387"/>
      <c r="CA2" s="388"/>
    </row>
    <row r="3" spans="1:79" ht="15" customHeight="1" x14ac:dyDescent="0.25">
      <c r="A3" s="357"/>
      <c r="B3" s="358"/>
      <c r="C3" s="358"/>
      <c r="D3" s="358"/>
      <c r="E3" s="358"/>
      <c r="F3" s="358"/>
      <c r="G3" s="358"/>
      <c r="H3" s="358"/>
      <c r="I3" s="359"/>
      <c r="J3" s="6"/>
      <c r="K3" s="7"/>
      <c r="L3" s="8" t="s">
        <v>122</v>
      </c>
      <c r="M3" s="7"/>
      <c r="N3" s="8" t="s">
        <v>122</v>
      </c>
      <c r="O3" s="7"/>
      <c r="P3" s="8" t="s">
        <v>122</v>
      </c>
      <c r="Q3" s="7"/>
      <c r="R3" s="6"/>
      <c r="S3" s="6"/>
      <c r="T3" s="6"/>
      <c r="U3" s="6"/>
      <c r="V3" s="389" t="s">
        <v>735</v>
      </c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1"/>
      <c r="AH3" s="6"/>
      <c r="AI3" s="6"/>
      <c r="AJ3" s="6"/>
      <c r="AO3" s="120" t="s">
        <v>208</v>
      </c>
      <c r="AP3" s="120" t="s">
        <v>208</v>
      </c>
      <c r="AQ3" s="120" t="s">
        <v>208</v>
      </c>
      <c r="AR3" s="120" t="s">
        <v>208</v>
      </c>
      <c r="AV3" s="121" t="s">
        <v>209</v>
      </c>
      <c r="AW3" s="121" t="s">
        <v>209</v>
      </c>
      <c r="AX3" s="121" t="s">
        <v>209</v>
      </c>
      <c r="AY3" s="121" t="s">
        <v>209</v>
      </c>
      <c r="BA3" s="398" t="s">
        <v>210</v>
      </c>
      <c r="BB3" s="399"/>
      <c r="BE3" s="121" t="s">
        <v>209</v>
      </c>
      <c r="BF3" s="121" t="s">
        <v>209</v>
      </c>
      <c r="BJ3" s="400" t="s">
        <v>167</v>
      </c>
      <c r="BK3" s="400"/>
      <c r="BL3" s="122" t="s">
        <v>211</v>
      </c>
      <c r="BM3" s="122" t="s">
        <v>211</v>
      </c>
      <c r="BN3" s="123" t="s">
        <v>212</v>
      </c>
      <c r="BO3" s="123" t="s">
        <v>212</v>
      </c>
      <c r="BP3" s="123" t="s">
        <v>212</v>
      </c>
      <c r="BQ3" s="123" t="s">
        <v>212</v>
      </c>
      <c r="BR3" s="7"/>
      <c r="BS3" s="8" t="s">
        <v>122</v>
      </c>
      <c r="BT3" s="7"/>
      <c r="BU3" s="8" t="s">
        <v>122</v>
      </c>
      <c r="BV3" s="7"/>
      <c r="BW3" s="8" t="s">
        <v>122</v>
      </c>
      <c r="BX3" s="7"/>
      <c r="BY3" s="6"/>
      <c r="BZ3" s="6"/>
      <c r="CA3" s="13"/>
    </row>
    <row r="4" spans="1:79" ht="18.75" x14ac:dyDescent="0.25">
      <c r="A4" s="360"/>
      <c r="B4" s="6"/>
      <c r="C4" s="6"/>
      <c r="D4" s="6"/>
      <c r="E4" s="6"/>
      <c r="F4" s="6"/>
      <c r="G4" s="6"/>
      <c r="H4" s="6"/>
      <c r="I4" s="361"/>
      <c r="J4" s="6"/>
      <c r="K4" s="14" t="s">
        <v>168</v>
      </c>
      <c r="L4" s="15" t="s">
        <v>169</v>
      </c>
      <c r="M4" s="15"/>
      <c r="N4" s="15" t="s">
        <v>169</v>
      </c>
      <c r="O4" s="15"/>
      <c r="P4" s="15" t="s">
        <v>169</v>
      </c>
      <c r="Q4" s="6"/>
      <c r="R4" s="6"/>
      <c r="S4" s="6"/>
      <c r="T4" s="6"/>
      <c r="U4" s="6"/>
      <c r="V4" s="392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4"/>
      <c r="AH4" s="6"/>
      <c r="AI4" s="6"/>
      <c r="AJ4" s="6"/>
      <c r="AK4" s="6"/>
      <c r="AL4" s="6"/>
      <c r="AM4" s="6"/>
      <c r="AN4" s="13"/>
      <c r="AO4" s="465" t="s">
        <v>736</v>
      </c>
      <c r="AP4" s="466"/>
      <c r="AQ4" s="466"/>
      <c r="AR4" s="466"/>
      <c r="AS4" s="362"/>
      <c r="AT4" s="362"/>
      <c r="AV4" s="6"/>
      <c r="AW4" s="6"/>
      <c r="BI4" s="6"/>
      <c r="BJ4" s="6"/>
      <c r="BN4" s="467" t="s">
        <v>737</v>
      </c>
      <c r="BO4" s="467"/>
      <c r="BP4" s="467"/>
      <c r="BQ4" s="467"/>
      <c r="BR4" s="14" t="s">
        <v>168</v>
      </c>
      <c r="BS4" s="15" t="s">
        <v>169</v>
      </c>
      <c r="BT4" s="15"/>
      <c r="BU4" s="15" t="s">
        <v>169</v>
      </c>
      <c r="BV4" s="15"/>
      <c r="BW4" s="15" t="s">
        <v>169</v>
      </c>
      <c r="BX4" s="6"/>
      <c r="BY4" s="6"/>
      <c r="BZ4" s="6"/>
      <c r="CA4" s="13"/>
    </row>
    <row r="5" spans="1:79" ht="15.75" thickBot="1" x14ac:dyDescent="0.3">
      <c r="A5" s="404" t="s">
        <v>170</v>
      </c>
      <c r="B5" s="405"/>
      <c r="C5" s="6"/>
      <c r="D5" s="6"/>
      <c r="E5" s="6"/>
      <c r="F5" s="6"/>
      <c r="G5" s="6"/>
      <c r="H5" s="6"/>
      <c r="I5" s="361"/>
      <c r="J5" s="6"/>
      <c r="K5" s="6"/>
      <c r="L5" s="16">
        <v>1</v>
      </c>
      <c r="N5" s="16">
        <v>2</v>
      </c>
      <c r="P5" s="16">
        <v>3</v>
      </c>
      <c r="Q5" s="17"/>
      <c r="R5" s="6"/>
      <c r="U5" s="6"/>
      <c r="V5" s="395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7"/>
      <c r="AH5" s="6"/>
      <c r="AM5" s="6"/>
      <c r="AN5" s="13"/>
      <c r="AO5" s="6"/>
      <c r="AP5" s="6"/>
      <c r="AQ5" s="6"/>
      <c r="AR5" s="6"/>
      <c r="AS5" s="6"/>
      <c r="AT5" s="6"/>
      <c r="AU5" s="6"/>
      <c r="AV5" s="6"/>
      <c r="AW5" s="6"/>
      <c r="AX5" s="6"/>
      <c r="BE5" s="18"/>
      <c r="BF5" s="18"/>
      <c r="BJ5" s="6"/>
      <c r="BO5" s="19"/>
      <c r="BP5" s="19"/>
      <c r="BQ5" s="19"/>
      <c r="BR5" s="6"/>
      <c r="BS5" s="16">
        <v>1</v>
      </c>
      <c r="BU5" s="16">
        <v>2</v>
      </c>
      <c r="BW5" s="16">
        <v>3</v>
      </c>
      <c r="BX5" s="17"/>
      <c r="CA5" s="13"/>
    </row>
    <row r="6" spans="1:79" ht="15.75" x14ac:dyDescent="0.25">
      <c r="A6" s="406"/>
      <c r="B6" s="407"/>
      <c r="C6" s="6"/>
      <c r="D6" s="6"/>
      <c r="E6" s="6"/>
      <c r="F6" s="6"/>
      <c r="G6" s="6"/>
      <c r="H6" s="6"/>
      <c r="I6" s="361"/>
      <c r="J6" s="6"/>
      <c r="K6" s="6"/>
      <c r="L6" s="410" t="s">
        <v>171</v>
      </c>
      <c r="M6" s="410"/>
      <c r="N6" s="410"/>
      <c r="O6" s="410"/>
      <c r="P6" s="410"/>
      <c r="Q6" s="6"/>
      <c r="R6" s="6"/>
      <c r="S6" s="6"/>
      <c r="T6" s="6"/>
      <c r="W6" s="6"/>
      <c r="X6" s="6"/>
      <c r="AA6" s="6"/>
      <c r="AB6" s="6"/>
      <c r="AC6" s="6"/>
      <c r="AD6" s="6"/>
      <c r="AG6" s="6"/>
      <c r="AH6" s="6"/>
      <c r="AI6" s="6"/>
      <c r="AJ6" s="468" t="s">
        <v>237</v>
      </c>
      <c r="AK6" s="468"/>
      <c r="AL6" s="6"/>
      <c r="AM6" s="6"/>
      <c r="AN6" s="13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J6" s="6"/>
      <c r="BK6" s="6"/>
      <c r="BN6" s="21"/>
      <c r="BO6" s="21"/>
      <c r="BP6" s="21"/>
      <c r="BQ6" s="21"/>
      <c r="BR6" s="21"/>
      <c r="BS6" s="410" t="s">
        <v>171</v>
      </c>
      <c r="BT6" s="410"/>
      <c r="BU6" s="410"/>
      <c r="BV6" s="410"/>
      <c r="BW6" s="410"/>
      <c r="CA6" s="13"/>
    </row>
    <row r="7" spans="1:79" x14ac:dyDescent="0.25">
      <c r="A7" s="406"/>
      <c r="B7" s="407"/>
      <c r="C7" s="6"/>
      <c r="D7" s="6"/>
      <c r="E7" s="6"/>
      <c r="F7" s="6"/>
      <c r="G7" s="6"/>
      <c r="H7" s="6"/>
      <c r="I7" s="361"/>
      <c r="J7" s="6"/>
      <c r="K7" s="6"/>
      <c r="L7" s="6"/>
      <c r="P7" s="6"/>
      <c r="Q7" s="6"/>
      <c r="R7" s="6"/>
      <c r="S7" s="6"/>
      <c r="T7" s="16"/>
      <c r="W7" s="6"/>
      <c r="X7" s="6"/>
      <c r="AA7" s="6"/>
      <c r="AB7" s="6"/>
      <c r="AC7" s="6"/>
      <c r="AD7" s="6"/>
      <c r="AG7" s="6"/>
      <c r="AH7" s="6"/>
      <c r="AI7" s="6"/>
      <c r="AJ7" s="468"/>
      <c r="AK7" s="468"/>
      <c r="AL7" s="6"/>
      <c r="AM7" s="6"/>
      <c r="AN7" s="13"/>
      <c r="AO7" s="6"/>
      <c r="AP7" s="469" t="s">
        <v>738</v>
      </c>
      <c r="AQ7" s="469"/>
      <c r="AR7" s="469"/>
      <c r="AS7" s="6"/>
      <c r="AT7" s="17" t="s">
        <v>172</v>
      </c>
      <c r="AU7" s="42" t="s">
        <v>177</v>
      </c>
      <c r="AV7" s="43"/>
      <c r="AW7" s="6"/>
      <c r="AX7" s="6"/>
      <c r="AZ7" s="6"/>
      <c r="BA7" s="413" t="s">
        <v>203</v>
      </c>
      <c r="BB7" s="413"/>
      <c r="BF7" s="6"/>
      <c r="BG7" s="6"/>
      <c r="BH7" s="6"/>
      <c r="BR7" s="6"/>
      <c r="CA7" s="13"/>
    </row>
    <row r="8" spans="1:79" ht="18.75" x14ac:dyDescent="0.25">
      <c r="A8" s="406"/>
      <c r="B8" s="407"/>
      <c r="C8" s="6"/>
      <c r="D8" s="6"/>
      <c r="E8" s="414" t="s">
        <v>173</v>
      </c>
      <c r="F8" s="415"/>
      <c r="G8" s="415"/>
      <c r="H8" s="6"/>
      <c r="I8" s="361"/>
      <c r="J8" s="6"/>
      <c r="K8" s="6"/>
      <c r="L8" s="6"/>
      <c r="M8" s="6"/>
      <c r="N8" s="6"/>
      <c r="P8" s="6"/>
      <c r="Q8" s="6"/>
      <c r="R8" s="6"/>
      <c r="S8" s="6"/>
      <c r="T8" s="16"/>
      <c r="W8" s="6"/>
      <c r="X8" s="6"/>
      <c r="AA8" s="6"/>
      <c r="AB8" s="6"/>
      <c r="AC8" s="6"/>
      <c r="AD8" s="6"/>
      <c r="AE8" s="6"/>
      <c r="AF8" s="6"/>
      <c r="AG8" s="6"/>
      <c r="AH8" s="6"/>
      <c r="AI8" s="6"/>
      <c r="AJ8" s="468"/>
      <c r="AK8" s="468"/>
      <c r="AL8" s="6"/>
      <c r="AM8" s="6"/>
      <c r="AN8" s="13"/>
      <c r="AO8" s="6"/>
      <c r="AP8" s="126" t="s">
        <v>214</v>
      </c>
      <c r="AQ8" s="126" t="s">
        <v>214</v>
      </c>
      <c r="AR8" s="126" t="s">
        <v>214</v>
      </c>
      <c r="AS8" s="6"/>
      <c r="AT8" s="14" t="s">
        <v>174</v>
      </c>
      <c r="AU8" s="25"/>
      <c r="AV8" s="25"/>
      <c r="AW8" s="26" t="s">
        <v>175</v>
      </c>
      <c r="AX8" s="6"/>
      <c r="AZ8" s="6"/>
      <c r="BA8" s="363"/>
      <c r="BB8" s="363"/>
      <c r="BN8" s="6"/>
      <c r="BO8" s="6"/>
      <c r="BP8" s="120" t="s">
        <v>208</v>
      </c>
      <c r="BQ8" s="120" t="s">
        <v>208</v>
      </c>
      <c r="BS8" s="6"/>
      <c r="BT8" s="6"/>
      <c r="CA8" s="13"/>
    </row>
    <row r="9" spans="1:79" ht="23.25" x14ac:dyDescent="0.25">
      <c r="A9" s="406"/>
      <c r="B9" s="407"/>
      <c r="C9" s="6"/>
      <c r="D9" s="6"/>
      <c r="E9" s="415"/>
      <c r="F9" s="415"/>
      <c r="G9" s="415"/>
      <c r="H9" s="6"/>
      <c r="I9" s="361"/>
      <c r="J9" s="6"/>
      <c r="K9" s="6"/>
      <c r="L9" s="6"/>
      <c r="M9" s="6"/>
      <c r="N9" s="6"/>
      <c r="P9" s="6"/>
      <c r="Q9" s="6"/>
      <c r="R9" s="6"/>
      <c r="S9" s="6"/>
      <c r="T9" s="6"/>
      <c r="W9" s="6"/>
      <c r="X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13"/>
      <c r="AP9" s="126" t="s">
        <v>214</v>
      </c>
      <c r="AQ9" s="126" t="s">
        <v>214</v>
      </c>
      <c r="AR9" s="126" t="s">
        <v>214</v>
      </c>
      <c r="AS9" s="29">
        <v>1</v>
      </c>
      <c r="AT9" s="30" t="s">
        <v>169</v>
      </c>
      <c r="AU9" s="31" t="s">
        <v>23</v>
      </c>
      <c r="AV9" s="32" t="s">
        <v>53</v>
      </c>
      <c r="AW9" s="30" t="s">
        <v>169</v>
      </c>
      <c r="AX9" s="16" t="s">
        <v>216</v>
      </c>
      <c r="AZ9" s="363" t="s">
        <v>184</v>
      </c>
      <c r="BA9" s="113" t="s">
        <v>151</v>
      </c>
      <c r="BB9" s="113" t="s">
        <v>151</v>
      </c>
      <c r="BC9" s="363" t="s">
        <v>184</v>
      </c>
      <c r="BD9" s="34">
        <v>6</v>
      </c>
      <c r="BE9" s="128"/>
      <c r="BF9" s="129" t="s">
        <v>218</v>
      </c>
      <c r="BG9" s="129" t="s">
        <v>218</v>
      </c>
      <c r="BH9" s="6"/>
      <c r="BJ9" s="364"/>
      <c r="BK9" s="365" t="s">
        <v>213</v>
      </c>
      <c r="BL9" s="130" t="s">
        <v>213</v>
      </c>
      <c r="BN9" s="6"/>
      <c r="BO9" s="6"/>
      <c r="BP9" s="120" t="s">
        <v>208</v>
      </c>
      <c r="BQ9" s="120" t="s">
        <v>208</v>
      </c>
      <c r="BT9" s="6"/>
      <c r="BU9" s="6"/>
      <c r="BW9" s="111"/>
      <c r="BX9" s="111"/>
      <c r="BY9" s="111"/>
      <c r="CA9" s="13"/>
    </row>
    <row r="10" spans="1:79" ht="23.25" x14ac:dyDescent="0.25">
      <c r="A10" s="406"/>
      <c r="B10" s="407"/>
      <c r="C10" s="6"/>
      <c r="D10" s="6"/>
      <c r="E10" s="6"/>
      <c r="F10" s="6"/>
      <c r="G10" s="6"/>
      <c r="H10" s="6"/>
      <c r="I10" s="361"/>
      <c r="J10" s="6"/>
      <c r="K10" s="6"/>
      <c r="L10" s="6"/>
      <c r="M10" s="6"/>
      <c r="N10" s="6"/>
      <c r="P10" s="6"/>
      <c r="Q10" s="6"/>
      <c r="R10" s="6"/>
      <c r="S10" s="6"/>
      <c r="T10" s="6"/>
      <c r="U10" s="6"/>
      <c r="V10" s="6"/>
      <c r="W10" s="6"/>
      <c r="X10" s="6"/>
      <c r="AB10" s="6"/>
      <c r="AC10" s="6"/>
      <c r="AD10" s="6"/>
      <c r="AG10" s="6"/>
      <c r="AN10" s="13"/>
      <c r="AS10" s="29">
        <v>2</v>
      </c>
      <c r="AT10" s="30" t="s">
        <v>169</v>
      </c>
      <c r="AU10" s="31" t="s">
        <v>23</v>
      </c>
      <c r="AV10" s="32" t="s">
        <v>53</v>
      </c>
      <c r="AW10" s="30" t="s">
        <v>169</v>
      </c>
      <c r="AX10" s="16" t="s">
        <v>217</v>
      </c>
      <c r="AZ10" s="363" t="s">
        <v>184</v>
      </c>
      <c r="BA10" s="113" t="s">
        <v>151</v>
      </c>
      <c r="BB10" s="113" t="s">
        <v>151</v>
      </c>
      <c r="BC10" s="363" t="s">
        <v>184</v>
      </c>
      <c r="BD10" s="34">
        <v>5</v>
      </c>
      <c r="BE10" s="6"/>
      <c r="BF10" s="129" t="s">
        <v>218</v>
      </c>
      <c r="BG10" s="129" t="s">
        <v>218</v>
      </c>
      <c r="BJ10" s="364"/>
      <c r="BK10" s="365" t="s">
        <v>213</v>
      </c>
      <c r="BL10" s="130" t="s">
        <v>213</v>
      </c>
      <c r="BN10" s="6"/>
      <c r="BO10" s="6"/>
      <c r="BP10" s="120" t="s">
        <v>208</v>
      </c>
      <c r="BQ10" s="120" t="s">
        <v>208</v>
      </c>
      <c r="BU10" s="6"/>
      <c r="BV10" s="111"/>
      <c r="BW10" s="131"/>
      <c r="BX10" s="131"/>
      <c r="BY10" s="131"/>
      <c r="BZ10" s="111"/>
      <c r="CA10" s="13"/>
    </row>
    <row r="11" spans="1:79" ht="23.25" x14ac:dyDescent="0.25">
      <c r="A11" s="406"/>
      <c r="B11" s="407"/>
      <c r="C11" s="6"/>
      <c r="D11" s="6"/>
      <c r="E11" s="6"/>
      <c r="F11" s="6"/>
      <c r="G11" s="6"/>
      <c r="H11" s="6"/>
      <c r="I11" s="361"/>
      <c r="J11" s="6"/>
      <c r="K11" s="6"/>
      <c r="L11" s="6"/>
      <c r="M11" s="6"/>
      <c r="N11" s="6"/>
      <c r="P11" s="6"/>
      <c r="Q11" s="6"/>
      <c r="R11" s="6"/>
      <c r="S11" s="6"/>
      <c r="V11" s="6"/>
      <c r="W11" s="6"/>
      <c r="Y11" s="124" t="s">
        <v>211</v>
      </c>
      <c r="Z11" s="124" t="s">
        <v>211</v>
      </c>
      <c r="AB11" s="6"/>
      <c r="AC11" s="6"/>
      <c r="AD11" s="6"/>
      <c r="AG11" s="6"/>
      <c r="AM11" s="34"/>
      <c r="AN11" s="13"/>
      <c r="AS11" s="29">
        <v>3</v>
      </c>
      <c r="AT11" s="30" t="s">
        <v>169</v>
      </c>
      <c r="AU11" s="31" t="s">
        <v>23</v>
      </c>
      <c r="AV11" s="32" t="s">
        <v>53</v>
      </c>
      <c r="AW11" s="30" t="s">
        <v>169</v>
      </c>
      <c r="AX11" s="16" t="s">
        <v>219</v>
      </c>
      <c r="AZ11" s="363" t="s">
        <v>184</v>
      </c>
      <c r="BA11" s="113" t="s">
        <v>151</v>
      </c>
      <c r="BB11" s="113" t="s">
        <v>151</v>
      </c>
      <c r="BC11" s="363" t="s">
        <v>184</v>
      </c>
      <c r="BD11" s="34">
        <v>4</v>
      </c>
      <c r="BE11" s="6"/>
      <c r="BF11" s="129" t="s">
        <v>218</v>
      </c>
      <c r="BG11" s="129" t="s">
        <v>218</v>
      </c>
      <c r="BJ11" s="364"/>
      <c r="BK11" s="365" t="s">
        <v>213</v>
      </c>
      <c r="BL11" s="130" t="s">
        <v>213</v>
      </c>
      <c r="BN11" s="6"/>
      <c r="BO11" s="6"/>
      <c r="BP11" s="120" t="s">
        <v>208</v>
      </c>
      <c r="BQ11" s="120" t="s">
        <v>208</v>
      </c>
      <c r="BT11" s="6"/>
      <c r="BU11" s="6"/>
      <c r="BV11" s="131"/>
      <c r="BW11" s="132" t="s">
        <v>220</v>
      </c>
      <c r="BX11" s="132" t="s">
        <v>220</v>
      </c>
      <c r="BY11" s="132" t="s">
        <v>220</v>
      </c>
      <c r="BZ11" s="131"/>
      <c r="CA11" s="13"/>
    </row>
    <row r="12" spans="1:79" ht="18.75" x14ac:dyDescent="0.25">
      <c r="A12" s="406"/>
      <c r="B12" s="407"/>
      <c r="C12" s="6"/>
      <c r="D12" s="6"/>
      <c r="E12" s="6"/>
      <c r="F12" s="6"/>
      <c r="G12" s="6"/>
      <c r="H12" s="6"/>
      <c r="I12" s="361"/>
      <c r="J12" s="6"/>
      <c r="K12" s="6"/>
      <c r="L12" s="6"/>
      <c r="P12" s="6"/>
      <c r="Q12" s="6"/>
      <c r="R12" s="126" t="s">
        <v>214</v>
      </c>
      <c r="S12" s="126" t="s">
        <v>214</v>
      </c>
      <c r="U12" s="6"/>
      <c r="V12" s="6"/>
      <c r="W12" s="6"/>
      <c r="Y12" s="124" t="s">
        <v>211</v>
      </c>
      <c r="Z12" s="124" t="s">
        <v>211</v>
      </c>
      <c r="AB12" s="6"/>
      <c r="AC12" s="6"/>
      <c r="AD12" s="6"/>
      <c r="AE12" s="125" t="s">
        <v>213</v>
      </c>
      <c r="AF12" s="125" t="s">
        <v>213</v>
      </c>
      <c r="AG12" s="6"/>
      <c r="AJ12" s="125" t="s">
        <v>213</v>
      </c>
      <c r="AK12" s="125" t="s">
        <v>213</v>
      </c>
      <c r="AM12" s="34"/>
      <c r="AN12" s="13"/>
      <c r="AU12" s="25"/>
      <c r="AV12" s="25"/>
      <c r="AZ12" s="6"/>
      <c r="BA12" s="363"/>
      <c r="BB12" s="363"/>
      <c r="BE12" s="6"/>
      <c r="BN12" s="6"/>
      <c r="BP12" s="366" t="s">
        <v>222</v>
      </c>
      <c r="BQ12" s="366"/>
      <c r="BT12" s="6"/>
      <c r="BU12" s="6"/>
      <c r="BV12" s="131"/>
      <c r="BW12" s="132" t="s">
        <v>220</v>
      </c>
      <c r="BX12" s="132" t="s">
        <v>220</v>
      </c>
      <c r="BY12" s="132" t="s">
        <v>220</v>
      </c>
      <c r="BZ12" s="131"/>
      <c r="CA12" s="13"/>
    </row>
    <row r="13" spans="1:79" ht="15.75" x14ac:dyDescent="0.25">
      <c r="A13" s="408"/>
      <c r="B13" s="409"/>
      <c r="C13" s="6"/>
      <c r="D13" s="6"/>
      <c r="E13" s="6"/>
      <c r="F13" s="6"/>
      <c r="G13" s="6"/>
      <c r="H13" s="6"/>
      <c r="I13" s="361"/>
      <c r="J13" s="6"/>
      <c r="K13" s="6"/>
      <c r="L13" s="6"/>
      <c r="P13" s="6"/>
      <c r="Q13" s="6"/>
      <c r="R13" s="126" t="s">
        <v>214</v>
      </c>
      <c r="S13" s="126" t="s">
        <v>214</v>
      </c>
      <c r="U13" s="134"/>
      <c r="V13" s="6"/>
      <c r="W13" s="6"/>
      <c r="Y13" s="124" t="s">
        <v>211</v>
      </c>
      <c r="Z13" s="124" t="s">
        <v>211</v>
      </c>
      <c r="AB13" s="6"/>
      <c r="AC13" s="6"/>
      <c r="AD13" s="6"/>
      <c r="AE13" s="125" t="s">
        <v>213</v>
      </c>
      <c r="AF13" s="125" t="s">
        <v>213</v>
      </c>
      <c r="AG13" s="6"/>
      <c r="AJ13" s="125" t="s">
        <v>213</v>
      </c>
      <c r="AK13" s="125" t="s">
        <v>213</v>
      </c>
      <c r="AN13" s="13"/>
      <c r="AS13" s="16"/>
      <c r="AT13" s="6"/>
      <c r="BE13" s="6"/>
      <c r="BN13" s="6"/>
      <c r="BO13" s="6"/>
      <c r="BT13" s="6"/>
      <c r="BU13" s="6"/>
      <c r="BV13" s="111"/>
      <c r="BW13" s="131"/>
      <c r="BX13" s="131"/>
      <c r="BY13" s="131"/>
      <c r="BZ13" s="111"/>
      <c r="CA13" s="13"/>
    </row>
    <row r="14" spans="1:79" ht="18.75" x14ac:dyDescent="0.25">
      <c r="A14" s="360"/>
      <c r="B14" s="6"/>
      <c r="C14" s="6"/>
      <c r="D14" s="6"/>
      <c r="E14" s="6"/>
      <c r="F14" s="6"/>
      <c r="G14" s="6"/>
      <c r="H14" s="6"/>
      <c r="I14" s="367"/>
      <c r="K14" s="6"/>
      <c r="L14" s="6"/>
      <c r="P14" s="6"/>
      <c r="Q14" s="6"/>
      <c r="R14" s="126" t="s">
        <v>214</v>
      </c>
      <c r="S14" s="126" t="s">
        <v>214</v>
      </c>
      <c r="U14" s="6"/>
      <c r="V14" s="6"/>
      <c r="W14" s="6"/>
      <c r="Y14" s="470"/>
      <c r="Z14" s="470"/>
      <c r="AB14" s="6"/>
      <c r="AC14" s="6"/>
      <c r="AD14" s="6"/>
      <c r="AE14" s="6"/>
      <c r="AF14" s="6"/>
      <c r="AG14" s="6"/>
      <c r="AJ14" s="6"/>
      <c r="AK14" s="6"/>
      <c r="AN14" s="13"/>
      <c r="AQ14" s="417" t="s">
        <v>177</v>
      </c>
      <c r="AR14" s="417"/>
      <c r="AS14" s="6"/>
      <c r="AT14" s="418" t="s">
        <v>192</v>
      </c>
      <c r="AU14" s="418"/>
      <c r="AV14" s="418" t="s">
        <v>178</v>
      </c>
      <c r="AW14" s="419"/>
      <c r="AY14" s="6"/>
      <c r="AZ14" s="413" t="s">
        <v>739</v>
      </c>
      <c r="BA14" s="413"/>
      <c r="BF14" s="418" t="s">
        <v>181</v>
      </c>
      <c r="BG14" s="418"/>
      <c r="BL14" s="417" t="s">
        <v>177</v>
      </c>
      <c r="BM14" s="417"/>
      <c r="BN14" s="6"/>
      <c r="BO14" s="6"/>
      <c r="BT14" s="6"/>
      <c r="BU14" s="6"/>
      <c r="BW14" s="111"/>
      <c r="BX14" s="111"/>
      <c r="BY14" s="111"/>
      <c r="CA14" s="13"/>
    </row>
    <row r="15" spans="1:79" ht="21" x14ac:dyDescent="0.25">
      <c r="A15" s="368"/>
      <c r="B15" s="369"/>
      <c r="C15" s="369"/>
      <c r="D15" s="369"/>
      <c r="E15" s="369"/>
      <c r="F15" s="369"/>
      <c r="G15" s="369"/>
      <c r="H15" s="369"/>
      <c r="I15" s="370"/>
      <c r="K15" s="6"/>
      <c r="L15" s="6"/>
      <c r="P15" s="6"/>
      <c r="Q15" s="6"/>
      <c r="U15" s="6"/>
      <c r="V15" s="6"/>
      <c r="W15" s="6"/>
      <c r="AB15" s="6"/>
      <c r="AC15" s="6"/>
      <c r="AD15" s="6"/>
      <c r="AG15" s="6"/>
      <c r="AH15" s="6"/>
      <c r="AI15" s="6"/>
      <c r="AJ15" s="6"/>
      <c r="AK15" s="6"/>
      <c r="AM15" s="6"/>
      <c r="AN15" s="13"/>
      <c r="AR15" s="45" t="s">
        <v>169</v>
      </c>
      <c r="AS15" s="6"/>
      <c r="AT15" s="14" t="s">
        <v>176</v>
      </c>
      <c r="AU15" s="27"/>
      <c r="AV15" s="27"/>
      <c r="AW15" s="6"/>
      <c r="AY15" s="6"/>
      <c r="AZ15" s="371"/>
      <c r="BA15" s="371"/>
      <c r="BB15" s="26" t="s">
        <v>740</v>
      </c>
      <c r="BC15" s="1"/>
      <c r="BF15" s="57"/>
      <c r="BG15" s="57"/>
      <c r="BH15" s="26" t="s">
        <v>183</v>
      </c>
      <c r="BL15" s="46"/>
      <c r="BM15" s="46"/>
      <c r="BO15" s="6"/>
      <c r="BP15" s="137" t="s">
        <v>223</v>
      </c>
      <c r="BQ15" s="137" t="s">
        <v>223</v>
      </c>
      <c r="BT15" s="6"/>
      <c r="BU15" s="6"/>
      <c r="BV15" s="471" t="s">
        <v>231</v>
      </c>
      <c r="BW15" s="471"/>
      <c r="BX15" s="471"/>
      <c r="BY15" s="471"/>
      <c r="BZ15" s="6"/>
      <c r="CA15" s="13"/>
    </row>
    <row r="16" spans="1:79" ht="23.25" x14ac:dyDescent="0.25">
      <c r="A16" s="48"/>
      <c r="B16" s="6"/>
      <c r="C16" s="6"/>
      <c r="D16" s="6"/>
      <c r="E16" s="6"/>
      <c r="F16" s="6"/>
      <c r="G16" s="6"/>
      <c r="K16" s="6"/>
      <c r="L16" s="6"/>
      <c r="M16" s="6"/>
      <c r="N16" s="6"/>
      <c r="P16" s="6"/>
      <c r="Q16" s="6"/>
      <c r="U16" s="6"/>
      <c r="V16" s="6"/>
      <c r="W16" s="6"/>
      <c r="X16" s="6"/>
      <c r="Y16" s="418" t="s">
        <v>171</v>
      </c>
      <c r="Z16" s="418"/>
      <c r="AA16" s="6"/>
      <c r="AB16" s="6"/>
      <c r="AC16" s="6"/>
      <c r="AD16" s="6"/>
      <c r="AG16" s="6"/>
      <c r="AH16" s="6"/>
      <c r="AI16" s="6"/>
      <c r="AM16" s="6"/>
      <c r="AN16" s="13"/>
      <c r="AR16" s="49" t="s">
        <v>0</v>
      </c>
      <c r="AS16" s="29">
        <v>1</v>
      </c>
      <c r="AT16" s="27" t="s">
        <v>169</v>
      </c>
      <c r="AU16" s="33" t="s">
        <v>35</v>
      </c>
      <c r="AV16" s="33" t="s">
        <v>35</v>
      </c>
      <c r="AW16" s="27" t="s">
        <v>169</v>
      </c>
      <c r="AX16" s="29">
        <v>1</v>
      </c>
      <c r="AY16" s="371" t="s">
        <v>184</v>
      </c>
      <c r="AZ16" s="372" t="s">
        <v>164</v>
      </c>
      <c r="BA16" s="372" t="s">
        <v>164</v>
      </c>
      <c r="BB16" s="371" t="s">
        <v>184</v>
      </c>
      <c r="BC16" s="16">
        <v>6</v>
      </c>
      <c r="BE16" s="62" t="s">
        <v>184</v>
      </c>
      <c r="BF16" s="63" t="s">
        <v>116</v>
      </c>
      <c r="BG16" s="63" t="s">
        <v>116</v>
      </c>
      <c r="BH16" s="62" t="s">
        <v>184</v>
      </c>
      <c r="BK16" s="45" t="s">
        <v>169</v>
      </c>
      <c r="BL16" s="50" t="s">
        <v>61</v>
      </c>
      <c r="BM16" s="49" t="s">
        <v>0</v>
      </c>
      <c r="BN16" s="45" t="s">
        <v>169</v>
      </c>
      <c r="BO16" s="6"/>
      <c r="BP16" s="137" t="s">
        <v>223</v>
      </c>
      <c r="BQ16" s="137" t="s">
        <v>223</v>
      </c>
      <c r="BT16" s="6"/>
      <c r="BV16" s="6"/>
      <c r="BW16" s="111"/>
      <c r="BX16" s="111"/>
      <c r="BY16" s="111"/>
      <c r="BZ16" s="6"/>
      <c r="CA16" s="13"/>
    </row>
    <row r="17" spans="1:79" ht="23.25" x14ac:dyDescent="0.25">
      <c r="A17" s="139" t="s">
        <v>208</v>
      </c>
      <c r="B17" s="48"/>
      <c r="C17" s="48"/>
      <c r="D17" s="6"/>
      <c r="E17" s="6"/>
      <c r="F17" s="6"/>
      <c r="G17" s="6"/>
      <c r="K17" s="6"/>
      <c r="L17" s="6"/>
      <c r="M17" s="6"/>
      <c r="N17" s="6"/>
      <c r="O17" s="6"/>
      <c r="P17" s="6"/>
      <c r="Q17" s="6"/>
      <c r="R17" s="6"/>
      <c r="S17" s="6"/>
      <c r="U17" s="6"/>
      <c r="V17" s="6"/>
      <c r="W17" s="6"/>
      <c r="X17" s="6"/>
      <c r="Y17" s="54"/>
      <c r="Z17" s="54"/>
      <c r="AA17" s="6"/>
      <c r="AB17" s="6"/>
      <c r="AC17" s="6"/>
      <c r="AD17" s="6"/>
      <c r="AG17" s="6"/>
      <c r="AH17" s="6"/>
      <c r="AI17" s="55"/>
      <c r="AJ17" s="418" t="s">
        <v>182</v>
      </c>
      <c r="AK17" s="418"/>
      <c r="AL17" s="29"/>
      <c r="AM17" s="6"/>
      <c r="AN17" s="13"/>
      <c r="AR17" s="49" t="s">
        <v>0</v>
      </c>
      <c r="AS17" s="29">
        <v>2</v>
      </c>
      <c r="AT17" s="27" t="s">
        <v>169</v>
      </c>
      <c r="AU17" s="33" t="s">
        <v>35</v>
      </c>
      <c r="AV17" s="36" t="s">
        <v>11</v>
      </c>
      <c r="AW17" s="37" t="s">
        <v>169</v>
      </c>
      <c r="AX17" s="29">
        <v>2</v>
      </c>
      <c r="AY17" s="371" t="s">
        <v>184</v>
      </c>
      <c r="AZ17" s="372" t="s">
        <v>164</v>
      </c>
      <c r="BA17" s="372" t="s">
        <v>164</v>
      </c>
      <c r="BB17" s="371" t="s">
        <v>184</v>
      </c>
      <c r="BC17" s="16">
        <v>5</v>
      </c>
      <c r="BE17" s="62" t="s">
        <v>184</v>
      </c>
      <c r="BF17" s="63" t="s">
        <v>116</v>
      </c>
      <c r="BG17" s="63" t="s">
        <v>116</v>
      </c>
      <c r="BH17" s="62" t="s">
        <v>184</v>
      </c>
      <c r="BK17" s="45" t="s">
        <v>169</v>
      </c>
      <c r="BL17" s="50" t="s">
        <v>61</v>
      </c>
      <c r="BM17" s="58" t="s">
        <v>63</v>
      </c>
      <c r="BN17" s="45" t="s">
        <v>169</v>
      </c>
      <c r="BO17" s="6"/>
      <c r="BP17" s="137" t="s">
        <v>223</v>
      </c>
      <c r="BQ17" s="137" t="s">
        <v>223</v>
      </c>
      <c r="BT17" s="6"/>
      <c r="BV17" s="111"/>
      <c r="BW17" s="131"/>
      <c r="BX17" s="131"/>
      <c r="BY17" s="131"/>
      <c r="BZ17" s="147" t="s">
        <v>232</v>
      </c>
      <c r="CA17" s="13"/>
    </row>
    <row r="18" spans="1:79" ht="23.25" x14ac:dyDescent="0.25">
      <c r="A18" s="139" t="s">
        <v>208</v>
      </c>
      <c r="B18" s="6"/>
      <c r="C18" s="6"/>
      <c r="D18" s="6"/>
      <c r="E18" s="6"/>
      <c r="F18" s="6"/>
      <c r="G18" s="6"/>
      <c r="K18" s="6"/>
      <c r="L18" s="6"/>
      <c r="O18" s="6"/>
      <c r="P18" s="16"/>
      <c r="Q18" s="16"/>
      <c r="R18" s="141" t="s">
        <v>226</v>
      </c>
      <c r="S18" s="141" t="s">
        <v>226</v>
      </c>
      <c r="U18" s="6"/>
      <c r="V18" s="6"/>
      <c r="W18" s="29">
        <v>1</v>
      </c>
      <c r="X18" s="54" t="s">
        <v>184</v>
      </c>
      <c r="Y18" s="59" t="s">
        <v>7</v>
      </c>
      <c r="Z18" s="60" t="s">
        <v>9</v>
      </c>
      <c r="AA18" s="54" t="s">
        <v>184</v>
      </c>
      <c r="AB18" s="34">
        <v>8</v>
      </c>
      <c r="AC18" s="6"/>
      <c r="AD18" s="6"/>
      <c r="AE18" s="142"/>
      <c r="AF18" s="142"/>
      <c r="AG18" s="6"/>
      <c r="AH18" s="6"/>
      <c r="AI18" s="14" t="s">
        <v>185</v>
      </c>
      <c r="AJ18" s="30"/>
      <c r="AK18" s="30"/>
      <c r="AM18" s="6"/>
      <c r="AN18" s="13"/>
      <c r="AO18" s="6"/>
      <c r="AP18" s="6"/>
      <c r="AR18" s="45" t="s">
        <v>169</v>
      </c>
      <c r="AS18" s="29">
        <v>3</v>
      </c>
      <c r="AT18" s="37" t="s">
        <v>169</v>
      </c>
      <c r="AU18" s="36" t="s">
        <v>11</v>
      </c>
      <c r="AV18" s="36" t="s">
        <v>11</v>
      </c>
      <c r="AW18" s="37" t="s">
        <v>169</v>
      </c>
      <c r="AX18" s="29">
        <v>3</v>
      </c>
      <c r="AY18" s="371" t="s">
        <v>184</v>
      </c>
      <c r="AZ18" s="372" t="s">
        <v>164</v>
      </c>
      <c r="BA18" s="372" t="s">
        <v>164</v>
      </c>
      <c r="BB18" s="371" t="s">
        <v>184</v>
      </c>
      <c r="BC18" s="16">
        <v>4</v>
      </c>
      <c r="BE18" s="62" t="s">
        <v>184</v>
      </c>
      <c r="BF18" s="63" t="s">
        <v>116</v>
      </c>
      <c r="BG18" s="63" t="s">
        <v>116</v>
      </c>
      <c r="BH18" s="62" t="s">
        <v>184</v>
      </c>
      <c r="BK18" s="45" t="s">
        <v>169</v>
      </c>
      <c r="BL18" s="49" t="s">
        <v>0</v>
      </c>
      <c r="BM18" s="49" t="s">
        <v>0</v>
      </c>
      <c r="BN18" s="45" t="s">
        <v>169</v>
      </c>
      <c r="BP18" s="366" t="s">
        <v>227</v>
      </c>
      <c r="BQ18" s="366"/>
      <c r="BS18" s="6"/>
      <c r="BT18" s="6"/>
      <c r="BV18" s="131"/>
      <c r="BW18" s="132" t="s">
        <v>220</v>
      </c>
      <c r="BX18" s="132" t="s">
        <v>220</v>
      </c>
      <c r="BY18" s="132" t="s">
        <v>220</v>
      </c>
      <c r="BZ18" s="131"/>
      <c r="CA18" s="13"/>
    </row>
    <row r="19" spans="1:79" ht="24" thickBot="1" x14ac:dyDescent="0.3">
      <c r="A19" s="139" t="s">
        <v>208</v>
      </c>
      <c r="B19" s="84"/>
      <c r="C19" s="84" t="s">
        <v>228</v>
      </c>
      <c r="D19" s="143"/>
      <c r="E19" s="6"/>
      <c r="F19" s="6"/>
      <c r="G19" s="6"/>
      <c r="I19" s="472" t="s">
        <v>224</v>
      </c>
      <c r="J19" s="472"/>
      <c r="R19" s="141" t="s">
        <v>226</v>
      </c>
      <c r="S19" s="141" t="s">
        <v>226</v>
      </c>
      <c r="U19" s="6"/>
      <c r="V19" s="6"/>
      <c r="W19" s="29">
        <v>2</v>
      </c>
      <c r="X19" s="54" t="s">
        <v>184</v>
      </c>
      <c r="Y19" s="59" t="s">
        <v>7</v>
      </c>
      <c r="Z19" s="60" t="s">
        <v>9</v>
      </c>
      <c r="AA19" s="54" t="s">
        <v>184</v>
      </c>
      <c r="AB19" s="34">
        <v>7</v>
      </c>
      <c r="AC19" s="6"/>
      <c r="AD19" s="6"/>
      <c r="AE19" s="137" t="s">
        <v>223</v>
      </c>
      <c r="AF19" s="137" t="s">
        <v>223</v>
      </c>
      <c r="AG19" s="6"/>
      <c r="AH19" s="29">
        <v>1</v>
      </c>
      <c r="AI19" s="30" t="s">
        <v>169</v>
      </c>
      <c r="AJ19" s="66" t="s">
        <v>55</v>
      </c>
      <c r="AK19" s="66" t="s">
        <v>55</v>
      </c>
      <c r="AL19" s="30" t="s">
        <v>169</v>
      </c>
      <c r="AM19" s="34">
        <v>8</v>
      </c>
      <c r="AN19" s="13"/>
      <c r="AO19" s="6"/>
      <c r="AP19" s="6"/>
      <c r="AQ19" s="6"/>
      <c r="AR19" s="6"/>
      <c r="AS19" s="6"/>
      <c r="AU19" s="37"/>
      <c r="AV19" s="37"/>
      <c r="AY19" s="6"/>
      <c r="AZ19" s="371"/>
      <c r="BA19" s="371"/>
      <c r="BC19" s="128"/>
      <c r="BF19" s="57"/>
      <c r="BG19" s="57"/>
      <c r="BL19" s="46"/>
      <c r="BM19" s="46"/>
      <c r="BO19" s="6"/>
      <c r="BS19" s="6"/>
      <c r="BT19" s="6"/>
      <c r="BV19" s="131"/>
      <c r="BW19" s="132" t="s">
        <v>220</v>
      </c>
      <c r="BX19" s="132" t="s">
        <v>220</v>
      </c>
      <c r="BY19" s="132" t="s">
        <v>220</v>
      </c>
      <c r="BZ19" s="131"/>
      <c r="CA19" s="13"/>
    </row>
    <row r="20" spans="1:79" ht="23.25" x14ac:dyDescent="0.25">
      <c r="A20" s="48"/>
      <c r="B20" s="48"/>
      <c r="C20" s="6"/>
      <c r="D20" s="48"/>
      <c r="E20" s="6"/>
      <c r="F20" s="6"/>
      <c r="G20" s="6"/>
      <c r="I20" s="140" t="s">
        <v>225</v>
      </c>
      <c r="J20" s="140" t="s">
        <v>225</v>
      </c>
      <c r="R20" s="141" t="s">
        <v>226</v>
      </c>
      <c r="S20" s="141" t="s">
        <v>226</v>
      </c>
      <c r="U20" s="6"/>
      <c r="V20" s="6"/>
      <c r="W20" s="29">
        <v>3</v>
      </c>
      <c r="X20" s="54" t="s">
        <v>184</v>
      </c>
      <c r="Y20" s="67" t="s">
        <v>5</v>
      </c>
      <c r="Z20" s="67" t="s">
        <v>5</v>
      </c>
      <c r="AA20" s="54" t="s">
        <v>184</v>
      </c>
      <c r="AB20" s="34">
        <v>6</v>
      </c>
      <c r="AC20" s="6"/>
      <c r="AD20" s="6"/>
      <c r="AE20" s="137" t="s">
        <v>223</v>
      </c>
      <c r="AF20" s="137" t="s">
        <v>223</v>
      </c>
      <c r="AG20" s="6"/>
      <c r="AH20" s="29">
        <v>2</v>
      </c>
      <c r="AI20" s="30" t="s">
        <v>169</v>
      </c>
      <c r="AJ20" s="56" t="s">
        <v>51</v>
      </c>
      <c r="AK20" s="56" t="s">
        <v>51</v>
      </c>
      <c r="AL20" s="30" t="s">
        <v>169</v>
      </c>
      <c r="AM20" s="34">
        <v>7</v>
      </c>
      <c r="AN20" s="434" t="s">
        <v>186</v>
      </c>
      <c r="AO20" s="6"/>
      <c r="AQ20" s="68"/>
      <c r="AT20" s="6"/>
      <c r="BC20" s="6"/>
      <c r="BT20" s="6"/>
      <c r="BV20" s="111"/>
      <c r="BW20" s="131"/>
      <c r="BX20" s="131"/>
      <c r="BY20" s="131"/>
      <c r="BZ20" s="111"/>
      <c r="CA20" s="13"/>
    </row>
    <row r="21" spans="1:79" ht="23.25" x14ac:dyDescent="0.25">
      <c r="B21" s="48"/>
      <c r="C21" s="6"/>
      <c r="D21" s="48"/>
      <c r="E21" s="6"/>
      <c r="F21" s="6"/>
      <c r="G21" s="6"/>
      <c r="I21" s="6"/>
      <c r="J21" s="6"/>
      <c r="L21" s="6"/>
      <c r="M21" s="133" t="s">
        <v>221</v>
      </c>
      <c r="N21" s="133" t="s">
        <v>221</v>
      </c>
      <c r="O21" s="6"/>
      <c r="P21" s="16"/>
      <c r="Q21" s="16"/>
      <c r="R21" s="141" t="s">
        <v>226</v>
      </c>
      <c r="S21" s="141" t="s">
        <v>226</v>
      </c>
      <c r="W21" s="29">
        <v>4</v>
      </c>
      <c r="X21" s="54" t="s">
        <v>184</v>
      </c>
      <c r="Y21" s="59" t="s">
        <v>7</v>
      </c>
      <c r="Z21" s="67" t="s">
        <v>5</v>
      </c>
      <c r="AA21" s="54" t="s">
        <v>184</v>
      </c>
      <c r="AB21" s="34">
        <v>5</v>
      </c>
      <c r="AC21" s="6"/>
      <c r="AD21" s="6"/>
      <c r="AE21" s="137" t="s">
        <v>223</v>
      </c>
      <c r="AF21" s="137" t="s">
        <v>223</v>
      </c>
      <c r="AG21" s="6"/>
      <c r="AH21" s="6"/>
      <c r="AI21" s="6"/>
      <c r="AJ21" s="30"/>
      <c r="AK21" s="30"/>
      <c r="AL21" s="6"/>
      <c r="AM21" s="34"/>
      <c r="AN21" s="435"/>
      <c r="AO21" s="6"/>
      <c r="AQ21" s="68"/>
      <c r="AX21" s="6"/>
      <c r="AY21" s="6"/>
      <c r="AZ21" s="6"/>
      <c r="BA21" s="6"/>
      <c r="BB21" s="6"/>
      <c r="BC21" s="6"/>
      <c r="BI21" s="51"/>
      <c r="BO21" s="6"/>
      <c r="BP21" s="418" t="s">
        <v>171</v>
      </c>
      <c r="BQ21" s="418"/>
      <c r="BR21" s="6"/>
      <c r="BS21" s="6"/>
      <c r="BV21" s="6"/>
      <c r="BW21" s="111"/>
      <c r="BX21" s="111"/>
      <c r="BY21" s="111"/>
      <c r="BZ21" s="6"/>
      <c r="CA21" s="13"/>
    </row>
    <row r="22" spans="1:79" ht="21" x14ac:dyDescent="0.25">
      <c r="A22" s="48"/>
      <c r="B22" s="139" t="s">
        <v>208</v>
      </c>
      <c r="C22" s="48"/>
      <c r="D22" s="139" t="s">
        <v>208</v>
      </c>
      <c r="E22" s="48"/>
      <c r="F22" s="6"/>
      <c r="G22" s="6"/>
      <c r="I22" s="140" t="s">
        <v>225</v>
      </c>
      <c r="J22" s="140" t="s">
        <v>225</v>
      </c>
      <c r="L22" s="6"/>
      <c r="M22" s="133" t="s">
        <v>221</v>
      </c>
      <c r="N22" s="133" t="s">
        <v>221</v>
      </c>
      <c r="P22" s="6"/>
      <c r="W22" s="6"/>
      <c r="X22" s="6"/>
      <c r="Y22" s="54"/>
      <c r="Z22" s="5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435"/>
      <c r="AO22" s="6"/>
      <c r="AQ22" s="69"/>
      <c r="AU22" s="418" t="s">
        <v>192</v>
      </c>
      <c r="AV22" s="418"/>
      <c r="AX22" s="6"/>
      <c r="AY22" s="19" t="s">
        <v>187</v>
      </c>
      <c r="AZ22" s="418" t="s">
        <v>177</v>
      </c>
      <c r="BA22" s="418"/>
      <c r="BB22" s="6"/>
      <c r="BC22" s="6"/>
      <c r="BF22" s="418" t="s">
        <v>192</v>
      </c>
      <c r="BG22" s="418"/>
      <c r="BK22" s="144" t="s">
        <v>229</v>
      </c>
      <c r="BL22" s="144"/>
      <c r="BO22" s="14" t="s">
        <v>188</v>
      </c>
      <c r="BP22" s="72"/>
      <c r="BQ22" s="72"/>
      <c r="BR22" s="26" t="s">
        <v>189</v>
      </c>
      <c r="BS22" s="6"/>
      <c r="BU22" s="6"/>
      <c r="BV22" s="6"/>
      <c r="BW22" s="6"/>
      <c r="BX22" s="6"/>
      <c r="BY22" s="6"/>
      <c r="BZ22" s="6"/>
      <c r="CA22" s="13"/>
    </row>
    <row r="23" spans="1:79" ht="23.25" x14ac:dyDescent="0.3">
      <c r="A23" s="426"/>
      <c r="B23" s="426"/>
      <c r="C23" s="426"/>
      <c r="D23" s="426"/>
      <c r="E23" s="426"/>
      <c r="F23" s="6"/>
      <c r="G23" s="6"/>
      <c r="H23" s="6"/>
      <c r="I23" s="6"/>
      <c r="J23" s="6"/>
      <c r="M23" s="133" t="s">
        <v>221</v>
      </c>
      <c r="N23" s="133" t="s">
        <v>221</v>
      </c>
      <c r="P23" s="6"/>
      <c r="V23" s="6"/>
      <c r="W23" s="6"/>
      <c r="X23" s="6"/>
      <c r="Y23" s="6"/>
      <c r="Z23" s="6"/>
      <c r="AA23" s="6"/>
      <c r="AB23" s="6"/>
      <c r="AC23" s="6"/>
      <c r="AD23" s="6"/>
      <c r="AM23" s="6"/>
      <c r="AN23" s="435"/>
      <c r="AO23" s="6"/>
      <c r="AR23" s="145" t="s">
        <v>230</v>
      </c>
      <c r="AS23" s="29">
        <v>1</v>
      </c>
      <c r="AT23" s="14" t="s">
        <v>179</v>
      </c>
      <c r="AU23" s="25"/>
      <c r="AV23" s="25"/>
      <c r="AW23" s="26" t="s">
        <v>180</v>
      </c>
      <c r="AX23" s="6"/>
      <c r="AY23" s="14" t="s">
        <v>190</v>
      </c>
      <c r="AZ23" s="30"/>
      <c r="BA23" s="30"/>
      <c r="BB23" s="26" t="s">
        <v>191</v>
      </c>
      <c r="BC23" s="6"/>
      <c r="BE23" s="14" t="s">
        <v>195</v>
      </c>
      <c r="BF23" s="76"/>
      <c r="BG23" s="76"/>
      <c r="BH23" s="26" t="s">
        <v>196</v>
      </c>
      <c r="BK23" s="137" t="s">
        <v>223</v>
      </c>
      <c r="BL23" s="137" t="s">
        <v>223</v>
      </c>
      <c r="BN23" s="29">
        <v>1</v>
      </c>
      <c r="BO23" s="72" t="s">
        <v>184</v>
      </c>
      <c r="BP23" s="73" t="s">
        <v>112</v>
      </c>
      <c r="BQ23" s="73" t="s">
        <v>112</v>
      </c>
      <c r="BR23" s="72" t="s">
        <v>184</v>
      </c>
      <c r="BS23" s="34">
        <v>8</v>
      </c>
      <c r="BU23" s="6"/>
      <c r="BV23" s="6"/>
      <c r="BW23" s="138"/>
      <c r="BX23" s="138"/>
      <c r="BY23" s="138"/>
      <c r="CA23" s="13"/>
    </row>
    <row r="24" spans="1:79" ht="23.25" x14ac:dyDescent="0.3">
      <c r="A24" s="427" t="s">
        <v>193</v>
      </c>
      <c r="B24" s="405"/>
      <c r="C24" s="430" t="s">
        <v>194</v>
      </c>
      <c r="D24" s="431"/>
      <c r="E24" s="405"/>
      <c r="F24" s="6"/>
      <c r="G24" s="6"/>
      <c r="H24" s="6"/>
      <c r="I24" s="140" t="s">
        <v>225</v>
      </c>
      <c r="J24" s="140" t="s">
        <v>225</v>
      </c>
      <c r="V24" s="6"/>
      <c r="AE24" s="123" t="s">
        <v>212</v>
      </c>
      <c r="AF24" s="123" t="s">
        <v>212</v>
      </c>
      <c r="AM24" s="6"/>
      <c r="AN24" s="435"/>
      <c r="AO24" s="6"/>
      <c r="AR24" s="145" t="s">
        <v>230</v>
      </c>
      <c r="AS24" s="29">
        <v>2</v>
      </c>
      <c r="AT24" s="30" t="s">
        <v>169</v>
      </c>
      <c r="AU24" s="56" t="s">
        <v>51</v>
      </c>
      <c r="AV24" s="56" t="s">
        <v>51</v>
      </c>
      <c r="AW24" s="30" t="s">
        <v>169</v>
      </c>
      <c r="AX24" s="29">
        <v>1</v>
      </c>
      <c r="AY24" s="30" t="s">
        <v>169</v>
      </c>
      <c r="AZ24" s="66" t="s">
        <v>55</v>
      </c>
      <c r="BA24" s="66" t="s">
        <v>55</v>
      </c>
      <c r="BB24" s="30" t="s">
        <v>169</v>
      </c>
      <c r="BC24" s="34">
        <v>8</v>
      </c>
      <c r="BD24" s="29">
        <v>1</v>
      </c>
      <c r="BE24" s="77" t="s">
        <v>169</v>
      </c>
      <c r="BF24" s="78" t="s">
        <v>104</v>
      </c>
      <c r="BG24" s="78" t="s">
        <v>104</v>
      </c>
      <c r="BH24" s="77" t="s">
        <v>169</v>
      </c>
      <c r="BI24" s="34">
        <v>8</v>
      </c>
      <c r="BK24" s="137" t="s">
        <v>223</v>
      </c>
      <c r="BL24" s="137" t="s">
        <v>223</v>
      </c>
      <c r="BN24" s="29">
        <v>2</v>
      </c>
      <c r="BO24" s="72" t="s">
        <v>184</v>
      </c>
      <c r="BP24" s="73" t="s">
        <v>112</v>
      </c>
      <c r="BQ24" s="73" t="s">
        <v>112</v>
      </c>
      <c r="BR24" s="72" t="s">
        <v>184</v>
      </c>
      <c r="BS24" s="34">
        <v>7</v>
      </c>
      <c r="BU24" s="13"/>
      <c r="BV24" s="138"/>
      <c r="BW24" s="131"/>
      <c r="BX24" s="131"/>
      <c r="BY24" s="131"/>
      <c r="BZ24" s="138"/>
      <c r="CA24" s="13"/>
    </row>
    <row r="25" spans="1:79" ht="23.25" x14ac:dyDescent="0.3">
      <c r="A25" s="428"/>
      <c r="B25" s="407"/>
      <c r="C25" s="415"/>
      <c r="D25" s="415"/>
      <c r="E25" s="407"/>
      <c r="F25" s="6"/>
      <c r="G25" s="6"/>
      <c r="H25" s="6"/>
      <c r="I25" s="6"/>
      <c r="J25" s="6"/>
      <c r="K25" s="6"/>
      <c r="M25" s="125" t="s">
        <v>213</v>
      </c>
      <c r="N25" s="125" t="s">
        <v>213</v>
      </c>
      <c r="O25" s="6"/>
      <c r="P25" s="6"/>
      <c r="Q25" s="6"/>
      <c r="R25" s="129" t="s">
        <v>218</v>
      </c>
      <c r="S25" s="129" t="s">
        <v>218</v>
      </c>
      <c r="T25" s="6"/>
      <c r="U25" s="6"/>
      <c r="V25" s="16"/>
      <c r="Y25" s="121" t="s">
        <v>209</v>
      </c>
      <c r="Z25" s="121" t="s">
        <v>209</v>
      </c>
      <c r="AC25" s="6"/>
      <c r="AD25" s="6"/>
      <c r="AE25" s="123" t="s">
        <v>212</v>
      </c>
      <c r="AF25" s="123" t="s">
        <v>212</v>
      </c>
      <c r="AM25" s="6"/>
      <c r="AN25" s="435"/>
      <c r="AO25" s="6"/>
      <c r="AS25" s="29">
        <v>3</v>
      </c>
      <c r="AT25" s="30" t="s">
        <v>169</v>
      </c>
      <c r="AU25" s="56" t="s">
        <v>51</v>
      </c>
      <c r="AV25" s="56" t="s">
        <v>51</v>
      </c>
      <c r="AW25" s="30" t="s">
        <v>169</v>
      </c>
      <c r="AX25" s="29">
        <v>2</v>
      </c>
      <c r="AY25" s="30" t="s">
        <v>169</v>
      </c>
      <c r="AZ25" s="66" t="s">
        <v>55</v>
      </c>
      <c r="BA25" s="66" t="s">
        <v>55</v>
      </c>
      <c r="BB25" s="30" t="s">
        <v>169</v>
      </c>
      <c r="BC25" s="34">
        <v>7</v>
      </c>
      <c r="BD25" s="29">
        <v>2</v>
      </c>
      <c r="BE25" s="77" t="s">
        <v>169</v>
      </c>
      <c r="BF25" s="78" t="s">
        <v>104</v>
      </c>
      <c r="BG25" s="78" t="s">
        <v>104</v>
      </c>
      <c r="BH25" s="77" t="s">
        <v>169</v>
      </c>
      <c r="BI25" s="34">
        <v>7</v>
      </c>
      <c r="BK25" s="137" t="s">
        <v>223</v>
      </c>
      <c r="BL25" s="137" t="s">
        <v>223</v>
      </c>
      <c r="BN25" s="29">
        <v>3</v>
      </c>
      <c r="BO25" s="72" t="s">
        <v>184</v>
      </c>
      <c r="BP25" s="73" t="s">
        <v>112</v>
      </c>
      <c r="BQ25" s="73" t="s">
        <v>112</v>
      </c>
      <c r="BR25" s="72" t="s">
        <v>184</v>
      </c>
      <c r="BS25" s="34">
        <v>6</v>
      </c>
      <c r="BU25" s="138"/>
      <c r="BV25" s="131"/>
      <c r="BW25" s="132" t="s">
        <v>220</v>
      </c>
      <c r="BX25" s="132" t="s">
        <v>220</v>
      </c>
      <c r="BY25" s="132" t="s">
        <v>220</v>
      </c>
      <c r="BZ25" s="131"/>
      <c r="CA25" s="138"/>
    </row>
    <row r="26" spans="1:79" ht="24" thickBot="1" x14ac:dyDescent="0.35">
      <c r="A26" s="428"/>
      <c r="B26" s="407"/>
      <c r="C26" s="415"/>
      <c r="D26" s="415"/>
      <c r="E26" s="407"/>
      <c r="F26" s="6"/>
      <c r="G26" s="6"/>
      <c r="H26" s="6"/>
      <c r="I26" s="6"/>
      <c r="J26" s="6"/>
      <c r="K26" s="6"/>
      <c r="L26" s="6"/>
      <c r="M26" s="125" t="s">
        <v>213</v>
      </c>
      <c r="N26" s="125" t="s">
        <v>213</v>
      </c>
      <c r="R26" s="129" t="s">
        <v>218</v>
      </c>
      <c r="S26" s="129" t="s">
        <v>218</v>
      </c>
      <c r="Y26" s="121" t="s">
        <v>209</v>
      </c>
      <c r="Z26" s="121" t="s">
        <v>209</v>
      </c>
      <c r="AC26" s="6"/>
      <c r="AD26" s="6"/>
      <c r="AE26" s="123" t="s">
        <v>212</v>
      </c>
      <c r="AF26" s="123" t="s">
        <v>212</v>
      </c>
      <c r="AN26" s="436"/>
      <c r="AO26" s="6"/>
      <c r="AQ26" s="68"/>
      <c r="AT26" s="30" t="s">
        <v>169</v>
      </c>
      <c r="AU26" s="56" t="s">
        <v>51</v>
      </c>
      <c r="AV26" s="56" t="s">
        <v>51</v>
      </c>
      <c r="AW26" s="30" t="s">
        <v>169</v>
      </c>
      <c r="AX26" s="29">
        <v>3</v>
      </c>
      <c r="AY26" s="30" t="s">
        <v>169</v>
      </c>
      <c r="AZ26" s="66" t="s">
        <v>55</v>
      </c>
      <c r="BA26" s="66" t="s">
        <v>55</v>
      </c>
      <c r="BB26" s="30" t="s">
        <v>169</v>
      </c>
      <c r="BC26" s="34">
        <v>6</v>
      </c>
      <c r="BD26" s="29">
        <v>3</v>
      </c>
      <c r="BE26" s="77" t="s">
        <v>169</v>
      </c>
      <c r="BF26" s="78" t="s">
        <v>104</v>
      </c>
      <c r="BG26" s="78" t="s">
        <v>104</v>
      </c>
      <c r="BH26" s="77" t="s">
        <v>169</v>
      </c>
      <c r="BI26" s="34">
        <v>6</v>
      </c>
      <c r="BN26" s="29">
        <v>4</v>
      </c>
      <c r="BO26" s="72" t="s">
        <v>184</v>
      </c>
      <c r="BP26" s="73" t="s">
        <v>112</v>
      </c>
      <c r="BQ26" s="73" t="s">
        <v>112</v>
      </c>
      <c r="BR26" s="72" t="s">
        <v>184</v>
      </c>
      <c r="BS26" s="34">
        <v>5</v>
      </c>
      <c r="BU26" s="138"/>
      <c r="BV26" s="131"/>
      <c r="BW26" s="132" t="s">
        <v>220</v>
      </c>
      <c r="BX26" s="132" t="s">
        <v>220</v>
      </c>
      <c r="BY26" s="132" t="s">
        <v>220</v>
      </c>
      <c r="BZ26" s="131"/>
      <c r="CA26" s="138"/>
    </row>
    <row r="27" spans="1:79" ht="24" thickBot="1" x14ac:dyDescent="0.35">
      <c r="A27" s="428"/>
      <c r="B27" s="407"/>
      <c r="C27" s="415"/>
      <c r="D27" s="415"/>
      <c r="E27" s="407"/>
      <c r="F27" s="6"/>
      <c r="G27" s="80"/>
      <c r="H27" s="6"/>
      <c r="I27" s="6"/>
      <c r="J27" s="6"/>
      <c r="K27" s="6"/>
      <c r="L27" s="6"/>
      <c r="M27" s="125" t="s">
        <v>213</v>
      </c>
      <c r="N27" s="125" t="s">
        <v>213</v>
      </c>
      <c r="R27" s="129" t="s">
        <v>218</v>
      </c>
      <c r="S27" s="129" t="s">
        <v>218</v>
      </c>
      <c r="Y27" s="121" t="s">
        <v>209</v>
      </c>
      <c r="Z27" s="121" t="s">
        <v>209</v>
      </c>
      <c r="AC27" s="6"/>
      <c r="AD27" s="6"/>
      <c r="AE27" s="473" t="s">
        <v>741</v>
      </c>
      <c r="AF27" s="473"/>
      <c r="AN27" s="13"/>
      <c r="AO27" s="6"/>
      <c r="AT27" s="6"/>
      <c r="AU27" s="25"/>
      <c r="AV27" s="25"/>
      <c r="AW27" s="6"/>
      <c r="AX27" s="29">
        <v>4</v>
      </c>
      <c r="AY27" s="30" t="s">
        <v>169</v>
      </c>
      <c r="AZ27" s="66" t="s">
        <v>55</v>
      </c>
      <c r="BA27" s="66" t="s">
        <v>55</v>
      </c>
      <c r="BB27" s="30" t="s">
        <v>169</v>
      </c>
      <c r="BC27" s="34">
        <v>5</v>
      </c>
      <c r="BD27" s="29">
        <v>4</v>
      </c>
      <c r="BE27" s="77" t="s">
        <v>169</v>
      </c>
      <c r="BF27" s="78" t="s">
        <v>104</v>
      </c>
      <c r="BG27" s="78" t="s">
        <v>104</v>
      </c>
      <c r="BH27" s="77" t="s">
        <v>169</v>
      </c>
      <c r="BI27" s="34">
        <v>5</v>
      </c>
      <c r="BO27" s="52"/>
      <c r="BP27" s="72"/>
      <c r="BQ27" s="72"/>
      <c r="BR27" s="52"/>
      <c r="BS27" s="6"/>
      <c r="BU27" s="6"/>
      <c r="BV27" s="138"/>
      <c r="BW27" s="131"/>
      <c r="BX27" s="131"/>
      <c r="BY27" s="131"/>
      <c r="BZ27" s="138"/>
      <c r="CA27" s="13"/>
    </row>
    <row r="28" spans="1:79" ht="19.5" thickBot="1" x14ac:dyDescent="0.35">
      <c r="A28" s="428"/>
      <c r="B28" s="407"/>
      <c r="C28" s="415"/>
      <c r="D28" s="415"/>
      <c r="E28" s="407"/>
      <c r="F28" s="6"/>
      <c r="G28" s="29"/>
      <c r="H28" s="6"/>
      <c r="I28" s="6"/>
      <c r="J28" s="6"/>
      <c r="K28" s="6"/>
      <c r="L28" s="6"/>
      <c r="M28" s="6"/>
      <c r="N28" s="6"/>
      <c r="O28" s="6"/>
      <c r="P28" s="6"/>
      <c r="U28" s="6"/>
      <c r="AC28" s="6"/>
      <c r="AD28" s="6"/>
      <c r="AE28" s="6"/>
      <c r="AF28" s="6"/>
      <c r="AN28" s="13"/>
      <c r="AO28" s="6"/>
      <c r="AT28" s="6"/>
      <c r="AW28" s="6"/>
      <c r="AX28" s="6"/>
      <c r="AY28" s="6"/>
      <c r="AZ28" s="30"/>
      <c r="BA28" s="30"/>
      <c r="BB28" s="6"/>
      <c r="BC28" s="6"/>
      <c r="BF28" s="76"/>
      <c r="BG28" s="76"/>
      <c r="BJ28" s="422"/>
      <c r="BK28" s="422"/>
      <c r="BV28" s="6"/>
      <c r="BW28" s="138"/>
      <c r="BX28" s="138"/>
      <c r="BY28" s="138"/>
      <c r="BZ28" s="6"/>
      <c r="CA28" s="13"/>
    </row>
    <row r="29" spans="1:79" ht="15.75" thickBot="1" x14ac:dyDescent="0.3">
      <c r="A29" s="428"/>
      <c r="B29" s="407"/>
      <c r="C29" s="415"/>
      <c r="D29" s="415"/>
      <c r="E29" s="407"/>
      <c r="F29" s="6"/>
      <c r="G29" s="29"/>
      <c r="H29" s="6"/>
      <c r="I29" s="6"/>
      <c r="J29" s="6"/>
      <c r="K29" s="6"/>
      <c r="L29" s="6"/>
      <c r="M29" s="422"/>
      <c r="N29" s="422"/>
      <c r="O29" s="6"/>
      <c r="P29" s="6"/>
      <c r="Q29" s="6"/>
      <c r="T29" s="6"/>
      <c r="U29" s="6"/>
      <c r="AC29" s="6"/>
      <c r="AD29" s="6"/>
      <c r="AE29" s="6"/>
      <c r="AF29" s="6"/>
      <c r="AG29" s="6"/>
      <c r="AN29" s="13"/>
      <c r="AO29" s="6"/>
      <c r="AT29" s="6"/>
      <c r="AW29" s="6"/>
      <c r="AX29" s="6"/>
      <c r="BC29" s="6"/>
      <c r="BJ29" s="423"/>
      <c r="BK29" s="423"/>
      <c r="BL29" s="6"/>
      <c r="BM29" s="6"/>
      <c r="BN29" s="6"/>
      <c r="BO29" s="6"/>
      <c r="BP29" s="6"/>
      <c r="BQ29" s="6"/>
      <c r="BR29" s="6"/>
      <c r="BS29" s="6"/>
      <c r="CA29" s="13"/>
    </row>
    <row r="30" spans="1:79" ht="21.75" thickBot="1" x14ac:dyDescent="0.3">
      <c r="A30" s="428"/>
      <c r="B30" s="407"/>
      <c r="C30" s="415"/>
      <c r="D30" s="415"/>
      <c r="E30" s="407"/>
      <c r="F30" s="6"/>
      <c r="G30" s="6"/>
      <c r="H30" s="6"/>
      <c r="K30" s="6"/>
      <c r="L30" s="6"/>
      <c r="M30" s="423"/>
      <c r="N30" s="423"/>
      <c r="O30" s="6"/>
      <c r="P30" s="6"/>
      <c r="Q30" s="14"/>
      <c r="T30" s="81"/>
      <c r="U30" s="6"/>
      <c r="AC30" s="6"/>
      <c r="AD30" s="6"/>
      <c r="AE30" s="6"/>
      <c r="AF30" s="6"/>
      <c r="AG30" s="6"/>
      <c r="AN30" s="13"/>
      <c r="AO30" s="6"/>
      <c r="AT30" s="6"/>
      <c r="BI30" s="6"/>
      <c r="BJ30" s="6"/>
      <c r="BK30" s="6"/>
      <c r="BL30" s="6"/>
      <c r="BM30" s="6"/>
      <c r="BN30" s="6"/>
      <c r="BO30" s="6"/>
      <c r="BP30" s="6"/>
      <c r="BQ30" s="6"/>
      <c r="BS30" s="6"/>
      <c r="BZ30" s="6"/>
      <c r="CA30" s="13"/>
    </row>
    <row r="31" spans="1:79" ht="18.75" x14ac:dyDescent="0.25">
      <c r="A31" s="428"/>
      <c r="B31" s="407"/>
      <c r="C31" s="432"/>
      <c r="D31" s="432"/>
      <c r="E31" s="409"/>
      <c r="F31" s="6"/>
      <c r="G31" s="6"/>
      <c r="H31" s="6"/>
      <c r="K31" s="6"/>
      <c r="M31" s="6"/>
      <c r="N31" s="6"/>
      <c r="O31" s="6"/>
      <c r="P31" s="6"/>
      <c r="Q31" s="82"/>
      <c r="T31" s="82"/>
      <c r="U31" s="6"/>
      <c r="AC31" s="6"/>
      <c r="AG31" s="6"/>
      <c r="AH31" s="6"/>
      <c r="AN31" s="13"/>
      <c r="AO31" s="6"/>
      <c r="AT31" s="418" t="s">
        <v>182</v>
      </c>
      <c r="AU31" s="424"/>
      <c r="AV31" s="424"/>
      <c r="AW31" s="424"/>
      <c r="BI31" s="6"/>
      <c r="BL31" s="6"/>
      <c r="BM31" s="6"/>
      <c r="BN31" s="6"/>
      <c r="BS31" s="6"/>
      <c r="BV31" s="74" t="s">
        <v>179</v>
      </c>
      <c r="BW31" s="149">
        <v>7</v>
      </c>
      <c r="BX31" s="149">
        <v>6</v>
      </c>
      <c r="BY31" s="149">
        <v>5</v>
      </c>
      <c r="CA31" s="13"/>
    </row>
    <row r="32" spans="1:79" ht="21" x14ac:dyDescent="0.25">
      <c r="A32" s="428"/>
      <c r="B32" s="407"/>
      <c r="C32" s="6"/>
      <c r="D32" s="6"/>
      <c r="E32" s="6"/>
      <c r="F32" s="6"/>
      <c r="G32" s="6"/>
      <c r="H32" s="6"/>
      <c r="K32" s="6"/>
      <c r="L32" s="6"/>
      <c r="O32" s="6"/>
      <c r="P32" s="6"/>
      <c r="Q32" s="82"/>
      <c r="R32" s="82"/>
      <c r="S32" s="82"/>
      <c r="T32" s="6"/>
      <c r="U32" s="6"/>
      <c r="AC32" s="6"/>
      <c r="AG32" s="6"/>
      <c r="AH32" s="6"/>
      <c r="AN32" s="13"/>
      <c r="AO32" s="6"/>
      <c r="AT32" s="6"/>
      <c r="AU32" s="25"/>
      <c r="AV32" s="25"/>
      <c r="AW32" s="16"/>
      <c r="AZ32" s="45"/>
      <c r="BA32" s="45"/>
      <c r="BE32" s="54"/>
      <c r="BF32" s="54"/>
      <c r="BJ32" s="111"/>
      <c r="BK32" s="111"/>
      <c r="BM32" s="6"/>
      <c r="BP32" s="111"/>
      <c r="BQ32" s="111"/>
      <c r="BV32" s="150" t="s">
        <v>234</v>
      </c>
      <c r="BW32" s="131"/>
      <c r="BX32" s="131"/>
      <c r="BY32" s="131"/>
      <c r="BZ32" s="111"/>
      <c r="CA32" s="13"/>
    </row>
    <row r="33" spans="1:79" ht="23.25" x14ac:dyDescent="0.25">
      <c r="A33" s="428"/>
      <c r="B33" s="407"/>
      <c r="C33" s="6"/>
      <c r="D33" s="6"/>
      <c r="E33" s="6"/>
      <c r="F33" s="6"/>
      <c r="G33" s="6"/>
      <c r="H33" s="425" t="s">
        <v>203</v>
      </c>
      <c r="I33" s="425"/>
      <c r="J33" s="425"/>
      <c r="K33" s="425"/>
      <c r="Q33" s="82"/>
      <c r="R33" s="478" t="s">
        <v>742</v>
      </c>
      <c r="S33" s="478"/>
      <c r="AN33" s="13"/>
      <c r="AO33" s="121" t="s">
        <v>209</v>
      </c>
      <c r="AP33" s="121" t="s">
        <v>209</v>
      </c>
      <c r="AQ33" s="121" t="s">
        <v>209</v>
      </c>
      <c r="AR33" s="121" t="s">
        <v>209</v>
      </c>
      <c r="AS33" s="29">
        <v>1</v>
      </c>
      <c r="AT33" s="30" t="s">
        <v>169</v>
      </c>
      <c r="AU33" s="31" t="s">
        <v>23</v>
      </c>
      <c r="AV33" s="56" t="s">
        <v>51</v>
      </c>
      <c r="AW33" s="30" t="s">
        <v>169</v>
      </c>
      <c r="AX33" s="16" t="s">
        <v>235</v>
      </c>
      <c r="AY33" s="45" t="s">
        <v>169</v>
      </c>
      <c r="AZ33" s="49" t="s">
        <v>0</v>
      </c>
      <c r="BA33" s="58" t="s">
        <v>63</v>
      </c>
      <c r="BB33" s="45" t="s">
        <v>169</v>
      </c>
      <c r="BC33" s="16" t="s">
        <v>235</v>
      </c>
      <c r="BD33" s="54" t="s">
        <v>184</v>
      </c>
      <c r="BE33" s="59" t="s">
        <v>7</v>
      </c>
      <c r="BF33" s="67" t="s">
        <v>5</v>
      </c>
      <c r="BG33" s="54" t="s">
        <v>184</v>
      </c>
      <c r="BI33" s="150" t="s">
        <v>195</v>
      </c>
      <c r="BJ33" s="131"/>
      <c r="BK33" s="131"/>
      <c r="BL33" s="111"/>
      <c r="BM33" s="6"/>
      <c r="BO33" s="111"/>
      <c r="BP33" s="131"/>
      <c r="BQ33" s="131"/>
      <c r="BR33" s="111"/>
      <c r="BV33" s="131"/>
      <c r="BW33" s="132" t="s">
        <v>220</v>
      </c>
      <c r="BX33" s="132" t="s">
        <v>220</v>
      </c>
      <c r="BY33" s="132" t="s">
        <v>220</v>
      </c>
      <c r="BZ33" s="131"/>
      <c r="CA33" s="13"/>
    </row>
    <row r="34" spans="1:79" ht="23.25" x14ac:dyDescent="0.25">
      <c r="A34" s="428"/>
      <c r="B34" s="407"/>
      <c r="C34" s="6"/>
      <c r="D34" s="6"/>
      <c r="E34" s="6"/>
      <c r="F34" s="6"/>
      <c r="G34" s="19"/>
      <c r="H34" s="6"/>
      <c r="I34" s="363"/>
      <c r="J34" s="363"/>
      <c r="K34" s="6"/>
      <c r="Q34" s="82"/>
      <c r="R34" s="121" t="s">
        <v>209</v>
      </c>
      <c r="S34" s="121" t="s">
        <v>209</v>
      </c>
      <c r="Y34" s="125" t="s">
        <v>213</v>
      </c>
      <c r="Z34" s="125" t="s">
        <v>213</v>
      </c>
      <c r="AE34" s="479" t="s">
        <v>240</v>
      </c>
      <c r="AF34" s="479"/>
      <c r="AN34" s="13"/>
      <c r="AO34" s="121" t="s">
        <v>209</v>
      </c>
      <c r="AP34" s="121" t="s">
        <v>209</v>
      </c>
      <c r="AQ34" s="121" t="s">
        <v>209</v>
      </c>
      <c r="AR34" s="121" t="s">
        <v>209</v>
      </c>
      <c r="AS34" s="29">
        <v>2</v>
      </c>
      <c r="AT34" s="30" t="s">
        <v>169</v>
      </c>
      <c r="AU34" s="32" t="s">
        <v>53</v>
      </c>
      <c r="AV34" s="56" t="s">
        <v>51</v>
      </c>
      <c r="AW34" s="30" t="s">
        <v>169</v>
      </c>
      <c r="AX34" s="16" t="s">
        <v>236</v>
      </c>
      <c r="AY34" s="45" t="s">
        <v>169</v>
      </c>
      <c r="AZ34" s="49" t="s">
        <v>0</v>
      </c>
      <c r="BA34" s="50" t="s">
        <v>61</v>
      </c>
      <c r="BB34" s="45" t="s">
        <v>169</v>
      </c>
      <c r="BC34" s="16" t="s">
        <v>236</v>
      </c>
      <c r="BD34" s="54" t="s">
        <v>184</v>
      </c>
      <c r="BE34" s="59" t="s">
        <v>7</v>
      </c>
      <c r="BF34" s="67" t="s">
        <v>5</v>
      </c>
      <c r="BG34" s="54" t="s">
        <v>184</v>
      </c>
      <c r="BI34" s="131"/>
      <c r="BJ34" s="132" t="s">
        <v>220</v>
      </c>
      <c r="BK34" s="132" t="s">
        <v>220</v>
      </c>
      <c r="BL34" s="131"/>
      <c r="BM34" s="6"/>
      <c r="BN34" s="111"/>
      <c r="BO34" s="131"/>
      <c r="BP34" s="132" t="s">
        <v>220</v>
      </c>
      <c r="BQ34" s="132" t="s">
        <v>220</v>
      </c>
      <c r="BR34" s="131"/>
      <c r="BS34" s="111"/>
      <c r="BV34" s="131"/>
      <c r="BW34" s="132" t="s">
        <v>220</v>
      </c>
      <c r="BX34" s="132" t="s">
        <v>220</v>
      </c>
      <c r="BY34" s="132" t="s">
        <v>220</v>
      </c>
      <c r="BZ34" s="131"/>
      <c r="CA34" s="13"/>
    </row>
    <row r="35" spans="1:79" ht="23.25" x14ac:dyDescent="0.25">
      <c r="A35" s="429"/>
      <c r="B35" s="409"/>
      <c r="C35" s="6"/>
      <c r="D35" s="6"/>
      <c r="E35" s="6"/>
      <c r="F35" s="6"/>
      <c r="G35" s="19">
        <v>1</v>
      </c>
      <c r="H35" s="363" t="s">
        <v>184</v>
      </c>
      <c r="I35" s="218" t="s">
        <v>148</v>
      </c>
      <c r="J35" s="218" t="s">
        <v>148</v>
      </c>
      <c r="K35" s="363" t="s">
        <v>184</v>
      </c>
      <c r="L35" s="19">
        <v>6</v>
      </c>
      <c r="M35" s="125" t="s">
        <v>213</v>
      </c>
      <c r="N35" s="125" t="s">
        <v>213</v>
      </c>
      <c r="R35" s="121" t="s">
        <v>209</v>
      </c>
      <c r="S35" s="121" t="s">
        <v>209</v>
      </c>
      <c r="Y35" s="125" t="s">
        <v>213</v>
      </c>
      <c r="Z35" s="125" t="s">
        <v>213</v>
      </c>
      <c r="AE35" s="140" t="s">
        <v>225</v>
      </c>
      <c r="AF35" s="140" t="s">
        <v>225</v>
      </c>
      <c r="AN35" s="13"/>
      <c r="AO35" s="6"/>
      <c r="AP35" s="6"/>
      <c r="AQ35" s="6"/>
      <c r="AR35" s="6"/>
      <c r="AS35" s="6"/>
      <c r="AT35" s="16"/>
      <c r="AU35" s="25"/>
      <c r="AV35" s="25"/>
      <c r="AW35" s="16"/>
      <c r="AZ35" s="45"/>
      <c r="BA35" s="45"/>
      <c r="BE35" s="54"/>
      <c r="BF35" s="54"/>
      <c r="BI35" s="131"/>
      <c r="BJ35" s="132" t="s">
        <v>220</v>
      </c>
      <c r="BK35" s="132" t="s">
        <v>220</v>
      </c>
      <c r="BL35" s="131"/>
      <c r="BM35" s="6"/>
      <c r="BN35" s="111"/>
      <c r="BO35" s="131"/>
      <c r="BP35" s="132" t="s">
        <v>220</v>
      </c>
      <c r="BQ35" s="132" t="s">
        <v>220</v>
      </c>
      <c r="BR35" s="131"/>
      <c r="BS35" s="111"/>
      <c r="BT35" s="6"/>
      <c r="BU35" s="6"/>
      <c r="BV35" s="111"/>
      <c r="BW35" s="131"/>
      <c r="BX35" s="131"/>
      <c r="BY35" s="131"/>
      <c r="BZ35" s="111"/>
      <c r="CA35" s="13"/>
    </row>
    <row r="36" spans="1:79" ht="23.25" x14ac:dyDescent="0.25">
      <c r="A36" s="5"/>
      <c r="B36" s="6"/>
      <c r="C36" s="6"/>
      <c r="D36" s="6"/>
      <c r="E36" s="6"/>
      <c r="F36" s="6"/>
      <c r="G36" s="19">
        <v>2</v>
      </c>
      <c r="H36" s="363" t="s">
        <v>184</v>
      </c>
      <c r="I36" s="218" t="s">
        <v>148</v>
      </c>
      <c r="J36" s="218" t="s">
        <v>148</v>
      </c>
      <c r="K36" s="363" t="s">
        <v>184</v>
      </c>
      <c r="L36" s="19">
        <v>5</v>
      </c>
      <c r="M36" s="125" t="s">
        <v>213</v>
      </c>
      <c r="N36" s="125" t="s">
        <v>213</v>
      </c>
      <c r="R36" s="121" t="s">
        <v>209</v>
      </c>
      <c r="S36" s="121" t="s">
        <v>209</v>
      </c>
      <c r="Y36" s="125" t="s">
        <v>213</v>
      </c>
      <c r="Z36" s="125" t="s">
        <v>213</v>
      </c>
      <c r="AE36" s="140" t="s">
        <v>225</v>
      </c>
      <c r="AF36" s="140" t="s">
        <v>225</v>
      </c>
      <c r="AN36" s="13"/>
      <c r="AO36" s="6"/>
      <c r="AP36" s="6"/>
      <c r="AQ36" s="6"/>
      <c r="AR36" s="6"/>
      <c r="AS36" s="6"/>
      <c r="AY36" s="418" t="s">
        <v>182</v>
      </c>
      <c r="AZ36" s="424"/>
      <c r="BA36" s="424"/>
      <c r="BB36" s="424"/>
      <c r="BD36" s="418" t="s">
        <v>171</v>
      </c>
      <c r="BE36" s="418"/>
      <c r="BF36" s="418"/>
      <c r="BG36" s="418"/>
      <c r="BI36" s="111"/>
      <c r="BJ36" s="131"/>
      <c r="BK36" s="131"/>
      <c r="BL36" s="111"/>
      <c r="BM36" s="6"/>
      <c r="BN36" s="6"/>
      <c r="BO36" s="111"/>
      <c r="BP36" s="131"/>
      <c r="BQ36" s="131"/>
      <c r="BR36" s="111"/>
      <c r="BS36" s="6"/>
      <c r="BT36" s="6"/>
      <c r="BU36" s="6"/>
      <c r="BW36" s="149">
        <v>2</v>
      </c>
      <c r="BX36" s="149">
        <v>3</v>
      </c>
      <c r="BY36" s="149">
        <v>4</v>
      </c>
      <c r="CA36" s="13"/>
    </row>
    <row r="37" spans="1:79" ht="23.25" x14ac:dyDescent="0.25">
      <c r="A37" s="5"/>
      <c r="B37" s="6"/>
      <c r="C37" s="6"/>
      <c r="D37" s="6"/>
      <c r="E37" s="6"/>
      <c r="F37" s="6"/>
      <c r="G37" s="19">
        <v>3</v>
      </c>
      <c r="H37" s="363" t="s">
        <v>184</v>
      </c>
      <c r="I37" s="218" t="s">
        <v>148</v>
      </c>
      <c r="J37" s="218" t="s">
        <v>148</v>
      </c>
      <c r="K37" s="363" t="s">
        <v>184</v>
      </c>
      <c r="L37" s="19">
        <v>4</v>
      </c>
      <c r="AN37" s="13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111"/>
      <c r="BK37" s="111"/>
      <c r="BL37" s="6"/>
      <c r="BM37" s="6"/>
      <c r="BN37" s="6"/>
      <c r="BO37" s="6"/>
      <c r="BP37" s="111"/>
      <c r="BQ37" s="111"/>
      <c r="BR37" s="6"/>
      <c r="BS37" s="6"/>
      <c r="BT37" s="6"/>
      <c r="BU37" s="6"/>
      <c r="BV37" s="6"/>
      <c r="BW37" s="6"/>
      <c r="BX37" s="6"/>
      <c r="BY37" s="6"/>
      <c r="BZ37" s="6"/>
      <c r="CA37" s="13"/>
    </row>
    <row r="38" spans="1:79" ht="18.75" x14ac:dyDescent="0.25">
      <c r="A38" s="5"/>
      <c r="B38" s="6"/>
      <c r="C38" s="6"/>
      <c r="D38" s="6"/>
      <c r="E38" s="6"/>
      <c r="F38" s="6"/>
      <c r="G38" s="19"/>
      <c r="H38" s="6"/>
      <c r="I38" s="363"/>
      <c r="J38" s="363"/>
      <c r="K38" s="6"/>
      <c r="L38" s="19"/>
      <c r="AN38" s="13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13"/>
    </row>
    <row r="39" spans="1:79" ht="18.75" x14ac:dyDescent="0.25">
      <c r="A39" s="5"/>
      <c r="B39" s="6"/>
      <c r="C39" s="6"/>
      <c r="D39" s="6"/>
      <c r="E39" s="6"/>
      <c r="F39" s="6"/>
      <c r="G39" s="19"/>
      <c r="H39" s="6"/>
      <c r="K39" s="6"/>
      <c r="L39" s="19"/>
      <c r="M39" s="439" t="s">
        <v>197</v>
      </c>
      <c r="N39" s="439"/>
      <c r="Q39" s="6"/>
      <c r="R39" s="23" t="s">
        <v>182</v>
      </c>
      <c r="S39" s="70"/>
      <c r="U39" s="85"/>
      <c r="W39" s="6"/>
      <c r="X39" s="6"/>
      <c r="Y39" s="23" t="s">
        <v>171</v>
      </c>
      <c r="Z39" s="23"/>
      <c r="AA39" s="6"/>
      <c r="AB39" s="6"/>
      <c r="AN39" s="13"/>
      <c r="AO39" s="6"/>
      <c r="AP39" s="6"/>
      <c r="AQ39" s="6"/>
      <c r="AR39" s="6"/>
      <c r="AS39" s="6"/>
      <c r="AT39" s="6"/>
      <c r="AX39" s="410" t="s">
        <v>171</v>
      </c>
      <c r="AY39" s="410"/>
      <c r="AZ39" s="410"/>
      <c r="BB39" s="86" t="s">
        <v>198</v>
      </c>
      <c r="BC39" s="6"/>
      <c r="BD39" s="6"/>
      <c r="BE39" s="410" t="s">
        <v>171</v>
      </c>
      <c r="BF39" s="410"/>
      <c r="BG39" s="410"/>
      <c r="BH39" s="410"/>
      <c r="BI39" s="410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13"/>
    </row>
    <row r="40" spans="1:79" ht="21" x14ac:dyDescent="0.25">
      <c r="A40" s="5"/>
      <c r="H40" s="6"/>
      <c r="K40" s="6"/>
      <c r="L40" s="19"/>
      <c r="M40" s="30"/>
      <c r="N40" s="30"/>
      <c r="O40" s="14" t="s">
        <v>199</v>
      </c>
      <c r="P40" s="6"/>
      <c r="Q40" s="14" t="s">
        <v>238</v>
      </c>
      <c r="R40" s="77"/>
      <c r="S40" s="77"/>
      <c r="T40" s="26"/>
      <c r="U40" s="87"/>
      <c r="W40" s="6"/>
      <c r="X40" s="14" t="s">
        <v>200</v>
      </c>
      <c r="Y40" s="72"/>
      <c r="Z40" s="72"/>
      <c r="AA40" s="26" t="s">
        <v>189</v>
      </c>
      <c r="AB40" s="6"/>
      <c r="AN40" s="13"/>
      <c r="AO40" s="6"/>
      <c r="AP40" s="6"/>
      <c r="AQ40" s="6"/>
      <c r="AR40" s="6"/>
      <c r="AS40" s="6"/>
      <c r="AU40" s="6"/>
      <c r="AX40" s="16">
        <v>3</v>
      </c>
      <c r="AZ40" s="16">
        <v>2</v>
      </c>
      <c r="BB40" s="16">
        <v>1</v>
      </c>
      <c r="BD40" s="6"/>
      <c r="BE40" s="6"/>
      <c r="BF40" s="6"/>
      <c r="BG40" s="6"/>
      <c r="BH40" s="6"/>
      <c r="BI40" s="6"/>
      <c r="BN40" s="6"/>
      <c r="BP40" s="6"/>
      <c r="BQ40" s="6"/>
      <c r="BR40" s="6"/>
      <c r="BT40" s="152">
        <v>8</v>
      </c>
      <c r="BU40" s="152">
        <v>7</v>
      </c>
      <c r="BV40" s="152">
        <v>6</v>
      </c>
      <c r="BW40" s="152">
        <v>5</v>
      </c>
      <c r="BX40" s="152">
        <v>4</v>
      </c>
      <c r="BY40" s="152">
        <v>3</v>
      </c>
      <c r="BZ40" s="152">
        <v>2</v>
      </c>
      <c r="CA40" s="153">
        <v>1</v>
      </c>
    </row>
    <row r="41" spans="1:79" ht="23.25" x14ac:dyDescent="0.25">
      <c r="A41" s="5"/>
      <c r="E41" s="6"/>
      <c r="F41" s="6"/>
      <c r="G41" s="6"/>
      <c r="H41" s="6"/>
      <c r="I41" s="122" t="s">
        <v>211</v>
      </c>
      <c r="J41" s="122" t="s">
        <v>211</v>
      </c>
      <c r="K41" s="19">
        <v>1</v>
      </c>
      <c r="L41" s="30" t="s">
        <v>169</v>
      </c>
      <c r="M41" s="90" t="s">
        <v>118</v>
      </c>
      <c r="N41" s="91" t="s">
        <v>120</v>
      </c>
      <c r="O41" s="30" t="s">
        <v>169</v>
      </c>
      <c r="P41" s="29">
        <v>1</v>
      </c>
      <c r="Q41" s="77" t="s">
        <v>169</v>
      </c>
      <c r="R41" s="78" t="s">
        <v>104</v>
      </c>
      <c r="S41" s="78" t="s">
        <v>104</v>
      </c>
      <c r="T41" s="77" t="s">
        <v>169</v>
      </c>
      <c r="U41" s="92">
        <v>6</v>
      </c>
      <c r="W41" s="29">
        <v>1</v>
      </c>
      <c r="X41" s="72" t="s">
        <v>184</v>
      </c>
      <c r="Y41" s="73" t="s">
        <v>112</v>
      </c>
      <c r="Z41" s="73" t="s">
        <v>112</v>
      </c>
      <c r="AA41" s="72" t="s">
        <v>184</v>
      </c>
      <c r="AB41" s="34">
        <v>6</v>
      </c>
      <c r="AE41" s="137" t="s">
        <v>223</v>
      </c>
      <c r="AF41" s="137" t="s">
        <v>223</v>
      </c>
      <c r="AN41" s="13"/>
      <c r="AO41" s="474" t="s">
        <v>743</v>
      </c>
      <c r="AP41" s="475"/>
      <c r="AQ41" s="475"/>
      <c r="AR41" s="475"/>
      <c r="AS41" s="475"/>
      <c r="AT41" s="475"/>
      <c r="AU41" s="6"/>
      <c r="AV41" s="6"/>
      <c r="AW41" s="6"/>
      <c r="AX41" s="15" t="s">
        <v>169</v>
      </c>
      <c r="AZ41" s="15" t="s">
        <v>169</v>
      </c>
      <c r="BB41" s="15" t="s">
        <v>169</v>
      </c>
      <c r="BC41" s="6"/>
      <c r="BD41" s="115" t="s">
        <v>169</v>
      </c>
      <c r="BF41" s="115" t="s">
        <v>169</v>
      </c>
      <c r="BH41" s="115" t="s">
        <v>169</v>
      </c>
      <c r="BJ41" s="115" t="s">
        <v>169</v>
      </c>
      <c r="BM41" s="472" t="s">
        <v>224</v>
      </c>
      <c r="BN41" s="472"/>
      <c r="BO41" s="472"/>
      <c r="BP41" s="472"/>
      <c r="BS41" s="111"/>
      <c r="BT41" s="131"/>
      <c r="BU41" s="131"/>
      <c r="BV41" s="131"/>
      <c r="BW41" s="131"/>
      <c r="BX41" s="131"/>
      <c r="BY41" s="131"/>
      <c r="BZ41" s="131"/>
      <c r="CA41" s="154"/>
    </row>
    <row r="42" spans="1:79" ht="24" thickBot="1" x14ac:dyDescent="0.3">
      <c r="A42" s="5"/>
      <c r="I42" s="135" t="s">
        <v>211</v>
      </c>
      <c r="J42" s="135" t="s">
        <v>211</v>
      </c>
      <c r="K42" s="19">
        <v>2</v>
      </c>
      <c r="L42" s="30" t="s">
        <v>169</v>
      </c>
      <c r="M42" s="90" t="s">
        <v>118</v>
      </c>
      <c r="N42" s="91" t="s">
        <v>120</v>
      </c>
      <c r="O42" s="30" t="s">
        <v>169</v>
      </c>
      <c r="P42" s="29">
        <v>2</v>
      </c>
      <c r="Q42" s="77" t="s">
        <v>169</v>
      </c>
      <c r="R42" s="78" t="s">
        <v>104</v>
      </c>
      <c r="S42" s="78" t="s">
        <v>104</v>
      </c>
      <c r="T42" s="77" t="s">
        <v>169</v>
      </c>
      <c r="U42" s="92">
        <v>5</v>
      </c>
      <c r="W42" s="29">
        <v>2</v>
      </c>
      <c r="X42" s="72" t="s">
        <v>184</v>
      </c>
      <c r="Y42" s="73" t="s">
        <v>112</v>
      </c>
      <c r="Z42" s="73" t="s">
        <v>112</v>
      </c>
      <c r="AA42" s="72" t="s">
        <v>184</v>
      </c>
      <c r="AB42" s="34">
        <v>5</v>
      </c>
      <c r="AE42" s="137" t="s">
        <v>223</v>
      </c>
      <c r="AF42" s="137" t="s">
        <v>223</v>
      </c>
      <c r="AK42" s="129" t="s">
        <v>218</v>
      </c>
      <c r="AL42" s="129" t="s">
        <v>218</v>
      </c>
      <c r="AN42" s="13"/>
      <c r="AO42" s="121" t="s">
        <v>209</v>
      </c>
      <c r="AP42" s="121" t="s">
        <v>209</v>
      </c>
      <c r="AQ42" s="121" t="s">
        <v>209</v>
      </c>
      <c r="AR42" s="121" t="s">
        <v>209</v>
      </c>
      <c r="AS42" s="121" t="s">
        <v>209</v>
      </c>
      <c r="AT42" s="121" t="s">
        <v>209</v>
      </c>
      <c r="AU42" s="94"/>
      <c r="AV42" s="94"/>
      <c r="AW42" s="15"/>
      <c r="AX42" s="95" t="s">
        <v>84</v>
      </c>
      <c r="AY42" s="15"/>
      <c r="AZ42" s="95" t="s">
        <v>84</v>
      </c>
      <c r="BA42" s="15"/>
      <c r="BB42" s="96" t="s">
        <v>114</v>
      </c>
      <c r="BC42" s="15"/>
      <c r="BD42" s="97" t="s">
        <v>158</v>
      </c>
      <c r="BE42" s="115"/>
      <c r="BF42" s="97" t="s">
        <v>158</v>
      </c>
      <c r="BG42" s="115"/>
      <c r="BH42" s="97" t="s">
        <v>158</v>
      </c>
      <c r="BI42" s="115"/>
      <c r="BJ42" s="97" t="s">
        <v>158</v>
      </c>
      <c r="BK42" s="115"/>
      <c r="BM42" s="140" t="s">
        <v>225</v>
      </c>
      <c r="BN42" s="140" t="s">
        <v>225</v>
      </c>
      <c r="BO42" s="140" t="s">
        <v>225</v>
      </c>
      <c r="BP42" s="140" t="s">
        <v>225</v>
      </c>
      <c r="BS42" s="131"/>
      <c r="BT42" s="132" t="s">
        <v>220</v>
      </c>
      <c r="BU42" s="132" t="s">
        <v>220</v>
      </c>
      <c r="BV42" s="132" t="s">
        <v>220</v>
      </c>
      <c r="BW42" s="132" t="s">
        <v>220</v>
      </c>
      <c r="BX42" s="132" t="s">
        <v>220</v>
      </c>
      <c r="BY42" s="132" t="s">
        <v>220</v>
      </c>
      <c r="BZ42" s="132" t="s">
        <v>220</v>
      </c>
      <c r="CA42" s="132" t="s">
        <v>220</v>
      </c>
    </row>
    <row r="43" spans="1:79" ht="23.25" x14ac:dyDescent="0.25">
      <c r="A43" s="5"/>
      <c r="E43" s="6"/>
      <c r="F43" s="6"/>
      <c r="G43" s="6"/>
      <c r="I43" s="136" t="s">
        <v>211</v>
      </c>
      <c r="J43" s="136" t="s">
        <v>211</v>
      </c>
      <c r="K43" s="19">
        <v>3</v>
      </c>
      <c r="L43" s="30" t="s">
        <v>169</v>
      </c>
      <c r="M43" s="90" t="s">
        <v>118</v>
      </c>
      <c r="N43" s="91" t="s">
        <v>120</v>
      </c>
      <c r="O43" s="30" t="s">
        <v>169</v>
      </c>
      <c r="P43" s="29">
        <v>3</v>
      </c>
      <c r="Q43" s="77" t="s">
        <v>169</v>
      </c>
      <c r="R43" s="78" t="s">
        <v>104</v>
      </c>
      <c r="S43" s="78" t="s">
        <v>104</v>
      </c>
      <c r="T43" s="77" t="s">
        <v>169</v>
      </c>
      <c r="U43" s="92">
        <v>4</v>
      </c>
      <c r="W43" s="29">
        <v>3</v>
      </c>
      <c r="X43" s="72" t="s">
        <v>184</v>
      </c>
      <c r="Y43" s="73" t="s">
        <v>112</v>
      </c>
      <c r="Z43" s="73" t="s">
        <v>112</v>
      </c>
      <c r="AA43" s="72" t="s">
        <v>184</v>
      </c>
      <c r="AB43" s="34">
        <v>4</v>
      </c>
      <c r="AE43" s="137" t="s">
        <v>223</v>
      </c>
      <c r="AF43" s="137" t="s">
        <v>223</v>
      </c>
      <c r="AK43" s="129" t="s">
        <v>218</v>
      </c>
      <c r="AL43" s="129" t="s">
        <v>218</v>
      </c>
      <c r="AN43" s="6"/>
      <c r="AR43" s="99"/>
      <c r="AU43" s="442"/>
      <c r="AV43" s="443"/>
      <c r="AW43" s="444"/>
      <c r="BB43" s="100"/>
      <c r="BC43" s="100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6"/>
      <c r="BV43" s="6"/>
      <c r="BW43" s="6"/>
      <c r="BX43" s="6"/>
      <c r="BY43" s="6"/>
      <c r="BZ43" s="6"/>
      <c r="CA43" s="13"/>
    </row>
    <row r="44" spans="1:79" ht="21" x14ac:dyDescent="0.25">
      <c r="A44" s="5"/>
      <c r="K44" s="19"/>
      <c r="M44" s="30"/>
      <c r="N44" s="30"/>
      <c r="O44" s="26" t="s">
        <v>201</v>
      </c>
      <c r="R44" s="77"/>
      <c r="S44" s="77"/>
      <c r="W44" s="85"/>
      <c r="X44" s="6"/>
      <c r="Y44" s="72"/>
      <c r="Z44" s="72"/>
      <c r="AB44" s="6"/>
      <c r="AE44" s="476" t="s">
        <v>744</v>
      </c>
      <c r="AF44" s="476"/>
      <c r="AN44" s="6"/>
      <c r="AR44" s="99"/>
      <c r="AU44" s="442"/>
      <c r="AV44" s="443"/>
      <c r="AW44" s="444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13"/>
    </row>
    <row r="45" spans="1:79" x14ac:dyDescent="0.25">
      <c r="A45" s="5"/>
      <c r="C45" s="6"/>
      <c r="D45" s="6"/>
      <c r="E45" s="6"/>
      <c r="F45" s="6"/>
      <c r="G45" s="6"/>
      <c r="H45" s="6"/>
      <c r="AN45" s="6"/>
      <c r="AR45" s="99"/>
      <c r="AU45" s="442"/>
      <c r="AV45" s="443"/>
      <c r="AW45" s="444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13"/>
    </row>
    <row r="46" spans="1:79" ht="19.5" thickBot="1" x14ac:dyDescent="0.3">
      <c r="A46" s="5"/>
      <c r="H46" s="6"/>
      <c r="K46" s="6"/>
      <c r="L46" s="6"/>
      <c r="M46" s="77"/>
      <c r="N46" s="77"/>
      <c r="O46" s="24"/>
      <c r="P46" s="4"/>
      <c r="Q46" s="6"/>
      <c r="R46" s="82"/>
      <c r="S46" s="82"/>
      <c r="U46" s="6"/>
      <c r="AN46" s="6"/>
      <c r="AR46" s="99"/>
      <c r="AU46" s="442"/>
      <c r="AV46" s="443"/>
      <c r="AW46" s="444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13"/>
    </row>
    <row r="47" spans="1:79" x14ac:dyDescent="0.25">
      <c r="A47" s="5"/>
      <c r="B47" s="6"/>
      <c r="C47" s="6"/>
      <c r="D47" s="6"/>
      <c r="E47" s="6"/>
      <c r="F47" s="6"/>
      <c r="G47" s="6"/>
      <c r="M47" s="422"/>
      <c r="N47" s="422"/>
      <c r="R47" s="477" t="s">
        <v>241</v>
      </c>
      <c r="S47" s="477"/>
      <c r="AN47" s="6"/>
      <c r="AR47" s="99"/>
      <c r="AU47" s="442"/>
      <c r="AV47" s="443"/>
      <c r="AW47" s="444"/>
      <c r="BC47" s="6"/>
      <c r="BH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13"/>
    </row>
    <row r="48" spans="1:79" ht="16.5" thickBot="1" x14ac:dyDescent="0.3">
      <c r="A48" s="5"/>
      <c r="B48" s="6"/>
      <c r="C48" s="6"/>
      <c r="D48" s="6"/>
      <c r="E48" s="6"/>
      <c r="F48" s="6"/>
      <c r="G48" s="6"/>
      <c r="M48" s="423"/>
      <c r="N48" s="423"/>
      <c r="Q48" s="3"/>
      <c r="R48" s="152"/>
      <c r="S48" s="152"/>
      <c r="Y48" s="477" t="s">
        <v>241</v>
      </c>
      <c r="Z48" s="477"/>
      <c r="AK48" s="129" t="s">
        <v>218</v>
      </c>
      <c r="AL48" s="129" t="s">
        <v>218</v>
      </c>
      <c r="AR48" s="99"/>
      <c r="AU48" s="442"/>
      <c r="AV48" s="443"/>
      <c r="AW48" s="444"/>
      <c r="BH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13"/>
    </row>
    <row r="49" spans="1:79" ht="18.75" x14ac:dyDescent="0.3">
      <c r="A49" s="5"/>
      <c r="B49" s="6"/>
      <c r="C49" s="6"/>
      <c r="D49" s="6"/>
      <c r="E49" s="6"/>
      <c r="F49" s="6"/>
      <c r="M49" s="6"/>
      <c r="N49" s="6"/>
      <c r="O49" s="6"/>
      <c r="Q49" s="150" t="s">
        <v>185</v>
      </c>
      <c r="R49" s="156"/>
      <c r="S49" s="156"/>
      <c r="T49" s="111"/>
      <c r="X49" s="3"/>
      <c r="Y49" s="152"/>
      <c r="Z49" s="152"/>
      <c r="AK49" s="129" t="s">
        <v>218</v>
      </c>
      <c r="AL49" s="129" t="s">
        <v>218</v>
      </c>
      <c r="AR49" s="99"/>
      <c r="AU49" s="442"/>
      <c r="AV49" s="443"/>
      <c r="AW49" s="444"/>
      <c r="BH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13"/>
    </row>
    <row r="50" spans="1:79" ht="18.75" x14ac:dyDescent="0.3">
      <c r="A50" s="102"/>
      <c r="B50" s="103"/>
      <c r="C50" s="103"/>
      <c r="D50" s="103"/>
      <c r="E50" s="103"/>
      <c r="F50" s="6"/>
      <c r="I50" s="157" t="s">
        <v>214</v>
      </c>
      <c r="J50" s="157" t="s">
        <v>214</v>
      </c>
      <c r="L50" s="146" t="s">
        <v>238</v>
      </c>
      <c r="M50" s="158"/>
      <c r="N50" s="158"/>
      <c r="O50" s="147" t="s">
        <v>242</v>
      </c>
      <c r="Q50" s="156"/>
      <c r="R50" s="160" t="s">
        <v>220</v>
      </c>
      <c r="S50" s="160" t="s">
        <v>220</v>
      </c>
      <c r="T50" s="156"/>
      <c r="X50" s="150" t="s">
        <v>185</v>
      </c>
      <c r="Y50" s="131"/>
      <c r="Z50" s="131"/>
      <c r="AA50" s="111"/>
      <c r="AE50" s="84" t="s">
        <v>245</v>
      </c>
      <c r="AF50" s="84"/>
      <c r="AR50" s="99"/>
      <c r="AU50" s="442"/>
      <c r="AV50" s="443"/>
      <c r="AW50" s="444"/>
      <c r="BH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13"/>
    </row>
    <row r="51" spans="1:79" ht="18.75" x14ac:dyDescent="0.3">
      <c r="A51" s="102"/>
      <c r="B51" s="103"/>
      <c r="C51" s="103"/>
      <c r="D51" s="103"/>
      <c r="E51" s="103"/>
      <c r="F51" s="6"/>
      <c r="I51" s="157" t="s">
        <v>214</v>
      </c>
      <c r="J51" s="157" t="s">
        <v>214</v>
      </c>
      <c r="L51" s="158"/>
      <c r="M51" s="159"/>
      <c r="N51" s="159"/>
      <c r="O51" s="111"/>
      <c r="Q51" s="156"/>
      <c r="R51" s="160" t="s">
        <v>220</v>
      </c>
      <c r="S51" s="160" t="s">
        <v>220</v>
      </c>
      <c r="T51" s="156"/>
      <c r="W51" s="152">
        <v>1</v>
      </c>
      <c r="X51" s="159" t="s">
        <v>243</v>
      </c>
      <c r="Y51" s="160" t="s">
        <v>220</v>
      </c>
      <c r="Z51" s="160" t="s">
        <v>220</v>
      </c>
      <c r="AA51" s="159" t="s">
        <v>244</v>
      </c>
      <c r="AB51" s="152">
        <v>5</v>
      </c>
      <c r="AD51" s="109" t="s">
        <v>246</v>
      </c>
      <c r="AE51" s="162">
        <v>4</v>
      </c>
      <c r="AF51" s="162">
        <v>3</v>
      </c>
      <c r="AR51" s="99"/>
      <c r="AU51" s="442"/>
      <c r="AV51" s="443"/>
      <c r="AW51" s="444"/>
      <c r="BH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13"/>
    </row>
    <row r="52" spans="1:79" ht="18.75" x14ac:dyDescent="0.3">
      <c r="A52" s="102"/>
      <c r="B52" s="103"/>
      <c r="C52" s="103"/>
      <c r="D52" s="103"/>
      <c r="E52" s="103"/>
      <c r="F52" s="6"/>
      <c r="I52" s="157" t="s">
        <v>214</v>
      </c>
      <c r="J52" s="157" t="s">
        <v>214</v>
      </c>
      <c r="K52" s="158"/>
      <c r="L52" s="159" t="s">
        <v>244</v>
      </c>
      <c r="M52" s="160" t="s">
        <v>220</v>
      </c>
      <c r="N52" s="160" t="s">
        <v>220</v>
      </c>
      <c r="O52" s="159" t="s">
        <v>244</v>
      </c>
      <c r="P52" s="161">
        <v>6</v>
      </c>
      <c r="Q52" s="156"/>
      <c r="R52" s="160" t="s">
        <v>220</v>
      </c>
      <c r="S52" s="160" t="s">
        <v>220</v>
      </c>
      <c r="T52" s="156"/>
      <c r="W52" s="152">
        <v>2</v>
      </c>
      <c r="X52" s="159" t="s">
        <v>243</v>
      </c>
      <c r="Y52" s="160" t="s">
        <v>220</v>
      </c>
      <c r="Z52" s="160" t="s">
        <v>220</v>
      </c>
      <c r="AA52" s="159" t="s">
        <v>244</v>
      </c>
      <c r="AB52" s="152">
        <v>6</v>
      </c>
      <c r="AD52" s="150" t="s">
        <v>247</v>
      </c>
      <c r="AE52" s="159"/>
      <c r="AF52" s="159"/>
      <c r="AG52" s="111"/>
      <c r="AR52" s="99"/>
      <c r="AU52" s="442"/>
      <c r="AV52" s="443"/>
      <c r="AW52" s="444"/>
      <c r="BH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13"/>
    </row>
    <row r="53" spans="1:79" ht="18.75" x14ac:dyDescent="0.3">
      <c r="A53" s="450" t="s">
        <v>202</v>
      </c>
      <c r="B53" s="451"/>
      <c r="C53" s="451"/>
      <c r="D53" s="451"/>
      <c r="E53" s="452"/>
      <c r="F53" s="6"/>
      <c r="I53" s="157" t="s">
        <v>214</v>
      </c>
      <c r="J53" s="157" t="s">
        <v>214</v>
      </c>
      <c r="K53" s="158"/>
      <c r="L53" s="159" t="s">
        <v>244</v>
      </c>
      <c r="M53" s="160" t="s">
        <v>220</v>
      </c>
      <c r="N53" s="160" t="s">
        <v>220</v>
      </c>
      <c r="O53" s="159" t="s">
        <v>244</v>
      </c>
      <c r="P53" s="161">
        <v>3</v>
      </c>
      <c r="Q53" s="156"/>
      <c r="R53" s="160" t="s">
        <v>220</v>
      </c>
      <c r="S53" s="160" t="s">
        <v>220</v>
      </c>
      <c r="T53" s="156"/>
      <c r="V53" s="6"/>
      <c r="W53" s="152">
        <v>3</v>
      </c>
      <c r="X53" s="159" t="s">
        <v>243</v>
      </c>
      <c r="Y53" s="160" t="s">
        <v>220</v>
      </c>
      <c r="Z53" s="160" t="s">
        <v>220</v>
      </c>
      <c r="AA53" s="159" t="s">
        <v>244</v>
      </c>
      <c r="AB53" s="152">
        <v>7</v>
      </c>
      <c r="AD53" s="159" t="s">
        <v>248</v>
      </c>
      <c r="AE53" s="160" t="s">
        <v>220</v>
      </c>
      <c r="AF53" s="160" t="s">
        <v>220</v>
      </c>
      <c r="AG53" s="159" t="s">
        <v>248</v>
      </c>
      <c r="AK53" s="439" t="s">
        <v>245</v>
      </c>
      <c r="AL53" s="439"/>
      <c r="AR53" s="99"/>
      <c r="AU53" s="442"/>
      <c r="AV53" s="443"/>
      <c r="AW53" s="444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13"/>
    </row>
    <row r="54" spans="1:79" ht="18.75" x14ac:dyDescent="0.3">
      <c r="A54" s="453"/>
      <c r="B54" s="454"/>
      <c r="C54" s="454"/>
      <c r="D54" s="454"/>
      <c r="E54" s="455"/>
      <c r="F54" s="107"/>
      <c r="I54" s="480" t="s">
        <v>745</v>
      </c>
      <c r="J54" s="480"/>
      <c r="L54" s="111"/>
      <c r="M54" s="159"/>
      <c r="N54" s="159"/>
      <c r="O54" s="111"/>
      <c r="P54" s="108"/>
      <c r="Q54" s="111"/>
      <c r="R54" s="156"/>
      <c r="S54" s="156"/>
      <c r="T54" s="111"/>
      <c r="V54" s="16"/>
      <c r="W54" s="152">
        <v>4</v>
      </c>
      <c r="X54" s="159" t="s">
        <v>243</v>
      </c>
      <c r="Y54" s="160" t="s">
        <v>220</v>
      </c>
      <c r="Z54" s="160" t="s">
        <v>220</v>
      </c>
      <c r="AA54" s="159" t="s">
        <v>244</v>
      </c>
      <c r="AB54" s="152">
        <v>8</v>
      </c>
      <c r="AD54" s="159" t="s">
        <v>248</v>
      </c>
      <c r="AE54" s="160" t="s">
        <v>220</v>
      </c>
      <c r="AF54" s="160" t="s">
        <v>220</v>
      </c>
      <c r="AG54" s="159" t="s">
        <v>248</v>
      </c>
      <c r="AJ54" s="109" t="s">
        <v>246</v>
      </c>
      <c r="AK54" s="162">
        <v>4</v>
      </c>
      <c r="AL54" s="162">
        <v>3</v>
      </c>
      <c r="AR54" s="99"/>
      <c r="AU54" s="442"/>
      <c r="AV54" s="443"/>
      <c r="AW54" s="444"/>
      <c r="BC54" s="110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13"/>
    </row>
    <row r="55" spans="1:79" ht="15.75" x14ac:dyDescent="0.25">
      <c r="A55" s="453"/>
      <c r="B55" s="454"/>
      <c r="C55" s="454"/>
      <c r="D55" s="454"/>
      <c r="E55" s="455"/>
      <c r="F55" s="107"/>
      <c r="M55" s="158"/>
      <c r="N55" s="158"/>
      <c r="R55" s="111"/>
      <c r="S55" s="111"/>
      <c r="V55" s="16"/>
      <c r="X55" s="111"/>
      <c r="Y55" s="131"/>
      <c r="Z55" s="131"/>
      <c r="AA55" s="111"/>
      <c r="AD55" s="111"/>
      <c r="AE55" s="159"/>
      <c r="AF55" s="159"/>
      <c r="AG55" s="111"/>
      <c r="AJ55" s="150" t="s">
        <v>247</v>
      </c>
      <c r="AK55" s="159"/>
      <c r="AL55" s="159"/>
      <c r="AM55" s="111"/>
      <c r="AR55" s="99"/>
      <c r="AU55" s="442"/>
      <c r="AV55" s="443"/>
      <c r="AW55" s="444"/>
      <c r="BC55" s="110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13"/>
    </row>
    <row r="56" spans="1:79" ht="18" x14ac:dyDescent="0.25">
      <c r="A56" s="453"/>
      <c r="B56" s="454"/>
      <c r="C56" s="454"/>
      <c r="D56" s="454"/>
      <c r="E56" s="455"/>
      <c r="F56" s="107"/>
      <c r="Y56" s="111"/>
      <c r="Z56" s="111"/>
      <c r="AE56" s="163">
        <v>1</v>
      </c>
      <c r="AF56" s="163">
        <v>2</v>
      </c>
      <c r="AJ56" s="159" t="s">
        <v>248</v>
      </c>
      <c r="AK56" s="160" t="s">
        <v>220</v>
      </c>
      <c r="AL56" s="160" t="s">
        <v>220</v>
      </c>
      <c r="AM56" s="159" t="s">
        <v>248</v>
      </c>
      <c r="AR56" s="99"/>
      <c r="AU56" s="442"/>
      <c r="AV56" s="443"/>
      <c r="AW56" s="444"/>
      <c r="BC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13"/>
    </row>
    <row r="57" spans="1:79" ht="18" x14ac:dyDescent="0.25">
      <c r="A57" s="453"/>
      <c r="B57" s="454"/>
      <c r="C57" s="454"/>
      <c r="D57" s="454"/>
      <c r="E57" s="455"/>
      <c r="F57" s="107"/>
      <c r="V57" s="16"/>
      <c r="W57" s="6"/>
      <c r="X57" s="6"/>
      <c r="AA57" s="6"/>
      <c r="AJ57" s="159" t="s">
        <v>248</v>
      </c>
      <c r="AK57" s="160" t="s">
        <v>220</v>
      </c>
      <c r="AL57" s="160" t="s">
        <v>220</v>
      </c>
      <c r="AM57" s="159" t="s">
        <v>248</v>
      </c>
      <c r="AR57" s="99"/>
      <c r="AU57" s="442"/>
      <c r="AV57" s="443"/>
      <c r="AW57" s="444"/>
      <c r="BC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13"/>
    </row>
    <row r="58" spans="1:79" ht="15.75" x14ac:dyDescent="0.25">
      <c r="A58" s="453"/>
      <c r="B58" s="454"/>
      <c r="C58" s="454"/>
      <c r="D58" s="454"/>
      <c r="E58" s="455"/>
      <c r="F58" s="157" t="s">
        <v>214</v>
      </c>
      <c r="I58" s="139" t="s">
        <v>208</v>
      </c>
      <c r="J58" s="139" t="s">
        <v>208</v>
      </c>
      <c r="L58" s="425" t="s">
        <v>203</v>
      </c>
      <c r="M58" s="425"/>
      <c r="N58" s="425"/>
      <c r="O58" s="425"/>
      <c r="P58" s="19" t="s">
        <v>204</v>
      </c>
      <c r="Q58" s="425" t="s">
        <v>203</v>
      </c>
      <c r="R58" s="425"/>
      <c r="S58" s="425"/>
      <c r="T58" s="425"/>
      <c r="U58" s="6"/>
      <c r="V58" s="6"/>
      <c r="W58" s="6"/>
      <c r="X58" s="6"/>
      <c r="Y58" s="6"/>
      <c r="Z58" s="6"/>
      <c r="AA58" s="6"/>
      <c r="AJ58" s="111"/>
      <c r="AK58" s="159"/>
      <c r="AL58" s="159"/>
      <c r="AM58" s="111"/>
      <c r="AR58" s="99"/>
      <c r="AU58" s="442"/>
      <c r="AV58" s="443"/>
      <c r="AW58" s="444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13"/>
    </row>
    <row r="59" spans="1:79" ht="21" x14ac:dyDescent="0.25">
      <c r="A59" s="453"/>
      <c r="B59" s="454"/>
      <c r="C59" s="454"/>
      <c r="D59" s="454"/>
      <c r="E59" s="455"/>
      <c r="F59" s="157" t="s">
        <v>214</v>
      </c>
      <c r="I59" s="139" t="s">
        <v>208</v>
      </c>
      <c r="J59" s="139" t="s">
        <v>208</v>
      </c>
      <c r="M59" s="72"/>
      <c r="N59" s="62"/>
      <c r="Q59" t="s">
        <v>205</v>
      </c>
      <c r="R59" s="112"/>
      <c r="S59" s="112"/>
      <c r="U59" s="6"/>
      <c r="V59" s="6"/>
      <c r="X59" s="146" t="s">
        <v>238</v>
      </c>
      <c r="Y59" s="158"/>
      <c r="Z59" s="158"/>
      <c r="AA59" s="147" t="s">
        <v>242</v>
      </c>
      <c r="AK59" s="163">
        <v>1</v>
      </c>
      <c r="AL59" s="163">
        <v>2</v>
      </c>
      <c r="AR59" s="99"/>
      <c r="AU59" s="442"/>
      <c r="AV59" s="443"/>
      <c r="AW59" s="444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13"/>
    </row>
    <row r="60" spans="1:79" ht="23.25" x14ac:dyDescent="0.25">
      <c r="A60" s="453"/>
      <c r="B60" s="454"/>
      <c r="C60" s="454"/>
      <c r="D60" s="454"/>
      <c r="E60" s="455"/>
      <c r="F60" s="157" t="s">
        <v>214</v>
      </c>
      <c r="I60" s="139" t="s">
        <v>208</v>
      </c>
      <c r="J60" s="139" t="s">
        <v>208</v>
      </c>
      <c r="K60" s="19">
        <v>1</v>
      </c>
      <c r="L60" s="72" t="s">
        <v>184</v>
      </c>
      <c r="M60" s="73" t="s">
        <v>112</v>
      </c>
      <c r="N60" s="36" t="s">
        <v>11</v>
      </c>
      <c r="O60" s="62" t="s">
        <v>184</v>
      </c>
      <c r="P60" s="29">
        <v>1</v>
      </c>
      <c r="Q60" s="112" t="s">
        <v>184</v>
      </c>
      <c r="R60" s="113" t="s">
        <v>151</v>
      </c>
      <c r="S60" s="113" t="s">
        <v>151</v>
      </c>
      <c r="T60" s="112" t="s">
        <v>184</v>
      </c>
      <c r="U60" s="34">
        <v>6</v>
      </c>
      <c r="V60" s="6"/>
      <c r="X60" s="158"/>
      <c r="Y60" s="159"/>
      <c r="Z60" s="159"/>
      <c r="AA60" s="111"/>
      <c r="AR60" s="99"/>
      <c r="AU60" s="442"/>
      <c r="AV60" s="443"/>
      <c r="AW60" s="444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13"/>
    </row>
    <row r="61" spans="1:79" ht="23.25" x14ac:dyDescent="0.25">
      <c r="A61" s="453"/>
      <c r="B61" s="454"/>
      <c r="C61" s="454"/>
      <c r="D61" s="454"/>
      <c r="E61" s="455"/>
      <c r="F61" s="157" t="s">
        <v>214</v>
      </c>
      <c r="I61" s="481" t="s">
        <v>222</v>
      </c>
      <c r="J61" s="481"/>
      <c r="K61" s="19">
        <v>2</v>
      </c>
      <c r="L61" s="72" t="s">
        <v>184</v>
      </c>
      <c r="M61" s="73" t="s">
        <v>112</v>
      </c>
      <c r="N61" s="36" t="s">
        <v>11</v>
      </c>
      <c r="O61" s="62" t="s">
        <v>184</v>
      </c>
      <c r="P61" s="29">
        <v>2</v>
      </c>
      <c r="Q61" s="112" t="s">
        <v>184</v>
      </c>
      <c r="R61" s="113" t="s">
        <v>151</v>
      </c>
      <c r="S61" s="113" t="s">
        <v>151</v>
      </c>
      <c r="T61" s="112" t="s">
        <v>184</v>
      </c>
      <c r="U61" s="34">
        <v>5</v>
      </c>
      <c r="V61" s="6"/>
      <c r="W61" s="158"/>
      <c r="X61" s="159" t="s">
        <v>244</v>
      </c>
      <c r="Y61" s="160" t="s">
        <v>220</v>
      </c>
      <c r="Z61" s="160" t="s">
        <v>220</v>
      </c>
      <c r="AA61" s="159" t="s">
        <v>244</v>
      </c>
      <c r="AB61" s="161">
        <v>6</v>
      </c>
      <c r="AE61" s="155" t="s">
        <v>239</v>
      </c>
      <c r="AF61" s="155" t="s">
        <v>239</v>
      </c>
      <c r="AR61" s="99"/>
      <c r="AU61" s="442"/>
      <c r="AV61" s="443"/>
      <c r="AW61" s="444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13"/>
    </row>
    <row r="62" spans="1:79" ht="23.25" x14ac:dyDescent="0.25">
      <c r="A62" s="453"/>
      <c r="B62" s="454"/>
      <c r="C62" s="454"/>
      <c r="D62" s="454"/>
      <c r="E62" s="455"/>
      <c r="F62" s="107"/>
      <c r="K62" s="19">
        <v>3</v>
      </c>
      <c r="L62" s="72" t="s">
        <v>184</v>
      </c>
      <c r="M62" s="73" t="s">
        <v>112</v>
      </c>
      <c r="N62" s="36" t="s">
        <v>11</v>
      </c>
      <c r="O62" s="62" t="s">
        <v>184</v>
      </c>
      <c r="P62" s="29">
        <v>3</v>
      </c>
      <c r="Q62" s="112" t="s">
        <v>184</v>
      </c>
      <c r="R62" s="113" t="s">
        <v>151</v>
      </c>
      <c r="S62" s="113" t="s">
        <v>151</v>
      </c>
      <c r="T62" s="112" t="s">
        <v>184</v>
      </c>
      <c r="U62" s="34">
        <v>4</v>
      </c>
      <c r="V62" s="6"/>
      <c r="W62" s="158"/>
      <c r="X62" s="159" t="s">
        <v>244</v>
      </c>
      <c r="Y62" s="160" t="s">
        <v>220</v>
      </c>
      <c r="Z62" s="160" t="s">
        <v>220</v>
      </c>
      <c r="AA62" s="159" t="s">
        <v>244</v>
      </c>
      <c r="AB62" s="161">
        <v>3</v>
      </c>
      <c r="AE62" s="155" t="s">
        <v>239</v>
      </c>
      <c r="AF62" s="155" t="s">
        <v>239</v>
      </c>
      <c r="AK62" s="155" t="s">
        <v>239</v>
      </c>
      <c r="AL62" s="155" t="s">
        <v>239</v>
      </c>
      <c r="AR62" s="99"/>
      <c r="AU62" s="442"/>
      <c r="AV62" s="443"/>
      <c r="AW62" s="444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13"/>
    </row>
    <row r="63" spans="1:79" ht="21" x14ac:dyDescent="0.25">
      <c r="A63" s="453"/>
      <c r="B63" s="454"/>
      <c r="C63" s="454"/>
      <c r="D63" s="454"/>
      <c r="E63" s="455"/>
      <c r="F63" s="107"/>
      <c r="K63" s="19"/>
      <c r="M63" s="72"/>
      <c r="N63" s="62"/>
      <c r="P63" s="85"/>
      <c r="R63" s="112"/>
      <c r="S63" s="112"/>
      <c r="U63" s="6"/>
      <c r="V63" s="6"/>
      <c r="X63" s="159" t="s">
        <v>244</v>
      </c>
      <c r="Y63" s="160" t="s">
        <v>220</v>
      </c>
      <c r="Z63" s="160" t="s">
        <v>220</v>
      </c>
      <c r="AA63" s="159" t="s">
        <v>244</v>
      </c>
      <c r="AB63" s="108"/>
      <c r="AE63" s="155" t="s">
        <v>239</v>
      </c>
      <c r="AF63" s="155" t="s">
        <v>239</v>
      </c>
      <c r="AK63" s="155" t="s">
        <v>239</v>
      </c>
      <c r="AL63" s="155" t="s">
        <v>239</v>
      </c>
      <c r="AR63" s="99"/>
      <c r="AU63" s="442"/>
      <c r="AV63" s="443"/>
      <c r="AW63" s="444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13"/>
    </row>
    <row r="64" spans="1:79" ht="15.75" x14ac:dyDescent="0.25">
      <c r="A64" s="453"/>
      <c r="B64" s="454"/>
      <c r="C64" s="454"/>
      <c r="D64" s="454"/>
      <c r="E64" s="455"/>
      <c r="F64" s="107"/>
      <c r="G64" s="114"/>
      <c r="P64" s="6"/>
      <c r="Q64" s="6"/>
      <c r="U64" s="6"/>
      <c r="V64" s="6"/>
      <c r="X64" s="158"/>
      <c r="Y64" s="159"/>
      <c r="Z64" s="159"/>
      <c r="AA64" s="158"/>
      <c r="AI64" s="6"/>
      <c r="AR64" s="99"/>
      <c r="AU64" s="442"/>
      <c r="AV64" s="443"/>
      <c r="AW64" s="444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13"/>
    </row>
    <row r="65" spans="1:79" ht="15.75" x14ac:dyDescent="0.25">
      <c r="A65" s="453"/>
      <c r="B65" s="454"/>
      <c r="C65" s="454"/>
      <c r="D65" s="454"/>
      <c r="E65" s="455"/>
      <c r="F65" s="107"/>
      <c r="G65" s="114"/>
      <c r="H65" s="114"/>
      <c r="I65" s="114"/>
      <c r="J65" s="114"/>
      <c r="K65" s="114"/>
      <c r="M65" s="6"/>
      <c r="N65" s="6"/>
      <c r="P65" s="6"/>
      <c r="Q65" s="6"/>
      <c r="U65" s="6"/>
      <c r="V65" s="6"/>
      <c r="W65" s="6"/>
      <c r="X65" s="6"/>
      <c r="Y65" s="158"/>
      <c r="Z65" s="158"/>
      <c r="AA65" s="6"/>
      <c r="AB65" s="6"/>
      <c r="AC65" s="6"/>
      <c r="AD65" s="6"/>
      <c r="AH65" s="6"/>
      <c r="AI65" s="6"/>
      <c r="AR65" s="99"/>
      <c r="AU65" s="442"/>
      <c r="AV65" s="443"/>
      <c r="AW65" s="444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13"/>
    </row>
    <row r="66" spans="1:79" ht="15.75" x14ac:dyDescent="0.25">
      <c r="A66" s="453"/>
      <c r="B66" s="454"/>
      <c r="C66" s="454"/>
      <c r="D66" s="454"/>
      <c r="E66" s="455"/>
      <c r="F66" s="107"/>
      <c r="G66" s="6"/>
      <c r="H66" s="6"/>
      <c r="I66" s="6"/>
      <c r="J66" s="6"/>
      <c r="K66" s="6"/>
      <c r="L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H66" s="6"/>
      <c r="AI66" s="6"/>
      <c r="AJ66" s="6"/>
      <c r="AK66" s="6"/>
      <c r="AR66" s="99"/>
      <c r="AU66" s="442"/>
      <c r="AV66" s="443"/>
      <c r="AW66" s="444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13"/>
    </row>
    <row r="67" spans="1:79" ht="15.75" x14ac:dyDescent="0.25">
      <c r="A67" s="453"/>
      <c r="B67" s="454"/>
      <c r="C67" s="454"/>
      <c r="D67" s="454"/>
      <c r="E67" s="455"/>
      <c r="F67" s="107"/>
      <c r="J67" s="6"/>
      <c r="L67" s="6"/>
      <c r="M67" s="462" t="s">
        <v>206</v>
      </c>
      <c r="N67" s="462"/>
      <c r="O67" s="462"/>
      <c r="P67" s="462" t="s">
        <v>198</v>
      </c>
      <c r="Q67" s="462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R67" s="99"/>
      <c r="AU67" s="442"/>
      <c r="AV67" s="443"/>
      <c r="AW67" s="444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13"/>
    </row>
    <row r="68" spans="1:79" ht="15.75" x14ac:dyDescent="0.25">
      <c r="A68" s="453"/>
      <c r="B68" s="454"/>
      <c r="C68" s="454"/>
      <c r="D68" s="454"/>
      <c r="E68" s="455"/>
      <c r="F68" s="6"/>
      <c r="J68" s="1"/>
      <c r="M68" s="16">
        <v>4</v>
      </c>
      <c r="N68" s="16">
        <v>3</v>
      </c>
      <c r="O68" s="16">
        <v>2</v>
      </c>
      <c r="P68" s="16">
        <v>1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410" t="s">
        <v>171</v>
      </c>
      <c r="AH68" s="410"/>
      <c r="AI68" s="410"/>
      <c r="AJ68" s="410"/>
      <c r="AK68" s="410"/>
      <c r="AL68" s="6"/>
      <c r="AM68" s="6"/>
      <c r="AN68" s="6"/>
      <c r="AR68" s="99"/>
      <c r="AU68" s="442"/>
      <c r="AV68" s="443"/>
      <c r="AW68" s="444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13"/>
    </row>
    <row r="69" spans="1:79" ht="23.25" x14ac:dyDescent="0.25">
      <c r="A69" s="453"/>
      <c r="B69" s="454"/>
      <c r="C69" s="454"/>
      <c r="D69" s="454"/>
      <c r="E69" s="455"/>
      <c r="F69" s="482" t="s">
        <v>227</v>
      </c>
      <c r="G69" s="483"/>
      <c r="H69" s="483"/>
      <c r="I69" s="483"/>
      <c r="J69" s="483"/>
      <c r="K69" s="483"/>
      <c r="L69" s="14" t="s">
        <v>207</v>
      </c>
      <c r="M69" s="15" t="s">
        <v>169</v>
      </c>
      <c r="N69" s="15" t="s">
        <v>169</v>
      </c>
      <c r="O69" s="15" t="s">
        <v>169</v>
      </c>
      <c r="P69" s="15" t="s">
        <v>169</v>
      </c>
      <c r="Q69" s="15" t="s">
        <v>169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115" t="s">
        <v>169</v>
      </c>
      <c r="AH69" s="115" t="s">
        <v>169</v>
      </c>
      <c r="AI69" s="115" t="s">
        <v>169</v>
      </c>
      <c r="AJ69" s="115" t="s">
        <v>169</v>
      </c>
      <c r="AK69" s="6"/>
      <c r="AL69" s="6"/>
      <c r="AM69" s="6"/>
      <c r="AN69" s="6"/>
      <c r="AR69" s="99"/>
      <c r="AU69" s="442"/>
      <c r="AV69" s="443"/>
      <c r="AW69" s="444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13"/>
    </row>
    <row r="70" spans="1:79" ht="24" thickBot="1" x14ac:dyDescent="0.3">
      <c r="A70" s="456"/>
      <c r="B70" s="457"/>
      <c r="C70" s="457"/>
      <c r="D70" s="457"/>
      <c r="E70" s="458"/>
      <c r="F70" s="137" t="s">
        <v>223</v>
      </c>
      <c r="G70" s="137" t="s">
        <v>223</v>
      </c>
      <c r="H70" s="137" t="s">
        <v>223</v>
      </c>
      <c r="I70" s="137" t="s">
        <v>223</v>
      </c>
      <c r="J70" s="137" t="s">
        <v>223</v>
      </c>
      <c r="K70" s="137" t="s">
        <v>223</v>
      </c>
      <c r="L70" s="116"/>
      <c r="M70" s="95" t="s">
        <v>84</v>
      </c>
      <c r="N70" s="95" t="s">
        <v>84</v>
      </c>
      <c r="O70" s="95" t="s">
        <v>84</v>
      </c>
      <c r="P70" s="96" t="s">
        <v>114</v>
      </c>
      <c r="Q70" s="96" t="s">
        <v>114</v>
      </c>
      <c r="R70" s="15"/>
      <c r="S70" s="125" t="s">
        <v>213</v>
      </c>
      <c r="T70" s="125" t="s">
        <v>213</v>
      </c>
      <c r="U70" s="125" t="s">
        <v>213</v>
      </c>
      <c r="V70" s="125" t="s">
        <v>213</v>
      </c>
      <c r="W70" s="6"/>
      <c r="X70" s="6"/>
      <c r="Y70" s="6"/>
      <c r="Z70" s="6"/>
      <c r="AA70" s="6"/>
      <c r="AB70" s="6"/>
      <c r="AC70" s="6"/>
      <c r="AD70" s="6"/>
      <c r="AE70" s="6"/>
      <c r="AF70" s="115"/>
      <c r="AG70" s="97" t="s">
        <v>158</v>
      </c>
      <c r="AH70" s="97" t="s">
        <v>158</v>
      </c>
      <c r="AI70" s="97" t="s">
        <v>158</v>
      </c>
      <c r="AJ70" s="97" t="s">
        <v>158</v>
      </c>
      <c r="AK70" s="115"/>
      <c r="AL70" s="6"/>
      <c r="AM70" s="6"/>
      <c r="AN70" s="6"/>
      <c r="AR70" s="99"/>
      <c r="AT70" s="117"/>
      <c r="AU70" s="445"/>
      <c r="AV70" s="446"/>
      <c r="AW70" s="447"/>
      <c r="AX70" s="117"/>
      <c r="AY70" s="117"/>
      <c r="AZ70" s="117"/>
      <c r="BA70" s="117"/>
      <c r="BB70" s="117"/>
      <c r="BC70" s="117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9"/>
    </row>
    <row r="71" spans="1:79" x14ac:dyDescent="0.25">
      <c r="D71" s="100"/>
      <c r="E71" s="100"/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</row>
    <row r="87" spans="1:29" ht="15.75" thickBot="1" x14ac:dyDescent="0.3"/>
    <row r="88" spans="1:29" ht="24" thickBot="1" x14ac:dyDescent="0.3">
      <c r="A88" s="488" t="s">
        <v>249</v>
      </c>
      <c r="B88" s="489"/>
      <c r="C88" s="489"/>
      <c r="D88" s="489"/>
      <c r="E88" s="489"/>
      <c r="F88" s="489"/>
      <c r="G88" s="489"/>
      <c r="H88" s="489"/>
      <c r="I88" s="490"/>
      <c r="J88" s="491">
        <f>SUM(F96,O96,F201,O201)</f>
        <v>452</v>
      </c>
      <c r="K88" s="492"/>
      <c r="L88" s="492"/>
      <c r="M88" s="493"/>
      <c r="N88" s="164"/>
      <c r="O88" s="164"/>
      <c r="P88" s="164"/>
      <c r="Q88" s="164"/>
      <c r="R88" s="164"/>
      <c r="S88" s="164"/>
      <c r="T88" s="494" t="s">
        <v>250</v>
      </c>
      <c r="U88" s="494"/>
      <c r="V88" s="494"/>
      <c r="W88" s="494"/>
      <c r="X88" s="164"/>
      <c r="Y88" s="164"/>
      <c r="Z88" s="494" t="s">
        <v>251</v>
      </c>
      <c r="AA88" s="494"/>
      <c r="AB88" s="494"/>
      <c r="AC88" s="494"/>
    </row>
    <row r="89" spans="1:29" ht="23.25" x14ac:dyDescent="0.3">
      <c r="A89" s="165" t="s">
        <v>252</v>
      </c>
      <c r="B89" s="166"/>
      <c r="C89" s="166"/>
      <c r="D89" s="166"/>
      <c r="E89" s="166"/>
      <c r="F89" s="166"/>
      <c r="G89" s="166"/>
      <c r="H89" s="166"/>
      <c r="I89" s="166"/>
      <c r="J89" s="167"/>
      <c r="K89" s="167"/>
      <c r="L89" s="167"/>
      <c r="M89" s="167"/>
      <c r="N89" s="164"/>
      <c r="O89" s="164"/>
      <c r="P89" s="164"/>
      <c r="Q89" s="164"/>
      <c r="R89" s="164"/>
      <c r="S89" s="164"/>
      <c r="T89" s="495" t="s">
        <v>253</v>
      </c>
      <c r="U89" s="495"/>
      <c r="V89" s="495" t="s">
        <v>254</v>
      </c>
      <c r="W89" s="495"/>
      <c r="X89" s="164"/>
      <c r="Y89" s="164"/>
      <c r="Z89" s="495" t="s">
        <v>253</v>
      </c>
      <c r="AA89" s="495"/>
      <c r="AB89" s="495" t="s">
        <v>254</v>
      </c>
      <c r="AC89" s="495"/>
    </row>
    <row r="90" spans="1:29" ht="17.25" x14ac:dyDescent="0.3">
      <c r="A90" s="164"/>
      <c r="B90" s="164"/>
      <c r="C90" s="164"/>
      <c r="D90" s="164"/>
      <c r="E90" s="164"/>
      <c r="F90" s="164"/>
      <c r="G90" s="164"/>
      <c r="H90" s="164"/>
      <c r="I90" s="164"/>
      <c r="K90" s="164"/>
      <c r="L90" s="164"/>
      <c r="M90" s="168"/>
      <c r="N90" s="164"/>
      <c r="O90" s="164"/>
      <c r="P90" s="164"/>
      <c r="Q90" s="164"/>
      <c r="R90" s="164"/>
      <c r="S90" s="164"/>
      <c r="T90" s="504">
        <v>44939</v>
      </c>
      <c r="U90" s="504"/>
      <c r="V90" s="484" t="s">
        <v>746</v>
      </c>
      <c r="W90" s="484"/>
      <c r="X90" s="164"/>
      <c r="Y90" s="164"/>
      <c r="Z90" s="504">
        <v>45240</v>
      </c>
      <c r="AA90" s="504"/>
      <c r="AB90" s="484" t="s">
        <v>747</v>
      </c>
      <c r="AC90" s="484"/>
    </row>
    <row r="91" spans="1:29" ht="23.25" x14ac:dyDescent="0.35">
      <c r="K91" s="164"/>
      <c r="L91" s="169"/>
      <c r="M91" s="170"/>
      <c r="N91" s="164"/>
      <c r="O91" s="164"/>
      <c r="P91" s="164"/>
      <c r="Q91" s="164"/>
      <c r="R91" s="164"/>
      <c r="S91" s="164"/>
      <c r="T91" s="172" t="s">
        <v>748</v>
      </c>
      <c r="U91" s="171" t="s">
        <v>255</v>
      </c>
      <c r="X91" s="485" t="s">
        <v>143</v>
      </c>
      <c r="Y91" s="486"/>
      <c r="Z91" s="172" t="s">
        <v>749</v>
      </c>
      <c r="AA91" s="171" t="s">
        <v>255</v>
      </c>
    </row>
    <row r="92" spans="1:29" ht="33.75" x14ac:dyDescent="0.25">
      <c r="A92" s="487" t="s">
        <v>256</v>
      </c>
      <c r="B92" s="487"/>
      <c r="C92" s="487"/>
      <c r="D92" s="487"/>
      <c r="E92" s="487"/>
      <c r="F92" s="487"/>
      <c r="G92" s="487"/>
      <c r="H92" s="487"/>
      <c r="I92" s="487"/>
      <c r="J92" s="487"/>
      <c r="K92" s="487"/>
      <c r="L92" s="487"/>
      <c r="M92" s="487"/>
      <c r="N92" s="487"/>
      <c r="O92" s="487"/>
      <c r="P92" s="487"/>
      <c r="Q92" s="487"/>
      <c r="R92" s="164"/>
      <c r="S92" s="164"/>
      <c r="T92" s="173" t="s">
        <v>257</v>
      </c>
      <c r="U92" s="174" t="str">
        <f>IF(ISBLANK(U91)," ",IFERROR(VLOOKUP(U91,#REF!,13,0),""))</f>
        <v/>
      </c>
      <c r="V92" s="164"/>
      <c r="W92" s="164"/>
      <c r="X92" s="164"/>
      <c r="Y92" s="164"/>
      <c r="Z92" s="175" t="s">
        <v>257</v>
      </c>
      <c r="AA92" s="174" t="str">
        <f>IF(ISBLANK(AA91)," ",IFERROR(VLOOKUP(AA91,#REF!,13,0),""))</f>
        <v/>
      </c>
      <c r="AB92" s="176"/>
      <c r="AC92" s="176"/>
    </row>
    <row r="93" spans="1:29" ht="34.5" thickBot="1" x14ac:dyDescent="0.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64"/>
      <c r="S93" s="164"/>
      <c r="T93" s="178" t="s">
        <v>258</v>
      </c>
      <c r="U93" s="179" t="str">
        <f>IF(ISBLANK(U91)," ",IFERROR(VLOOKUP(U91,#REF!,4,0),""))</f>
        <v/>
      </c>
      <c r="V93" s="164"/>
      <c r="W93" s="164"/>
      <c r="X93" s="164"/>
      <c r="Y93" s="164"/>
      <c r="Z93" s="178" t="s">
        <v>258</v>
      </c>
      <c r="AA93" s="179" t="str">
        <f>IF(ISBLANK(AA91)," ",IFERROR(VLOOKUP(AA91,#REF!,4,0),""))</f>
        <v/>
      </c>
      <c r="AB93" s="176"/>
      <c r="AC93" s="176"/>
    </row>
    <row r="94" spans="1:29" ht="34.5" thickBot="1" x14ac:dyDescent="0.3">
      <c r="A94" s="177"/>
      <c r="B94" s="177"/>
      <c r="C94" s="177"/>
      <c r="D94" s="177"/>
      <c r="E94" s="496" t="s">
        <v>259</v>
      </c>
      <c r="F94" s="497"/>
      <c r="G94" s="497"/>
      <c r="H94" s="497"/>
      <c r="I94" s="498"/>
      <c r="J94" s="499">
        <f>SUM(F96,O96)</f>
        <v>150</v>
      </c>
      <c r="K94" s="500"/>
      <c r="L94" s="177"/>
      <c r="M94" s="177"/>
      <c r="N94" s="177"/>
      <c r="O94" s="177"/>
      <c r="P94" s="177"/>
      <c r="Q94" s="177"/>
      <c r="R94" s="164"/>
      <c r="S94" s="164"/>
      <c r="T94" s="180" t="s">
        <v>260</v>
      </c>
      <c r="U94" s="181" t="str">
        <f>IF(ISBLANK(U91)," ",IFERROR(VLOOKUP(U91,#REF!,14,0),""))</f>
        <v/>
      </c>
      <c r="X94" s="164"/>
      <c r="Y94" s="164"/>
      <c r="Z94" s="180" t="s">
        <v>260</v>
      </c>
      <c r="AA94" s="181" t="str">
        <f>IF(ISBLANK(AA91)," ",IFERROR(VLOOKUP(AA91,#REF!,14,0),""))</f>
        <v/>
      </c>
    </row>
    <row r="95" spans="1:29" ht="32.25" thickBot="1" x14ac:dyDescent="0.3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64"/>
      <c r="S95" s="164"/>
      <c r="T95" s="183" t="s">
        <v>261</v>
      </c>
      <c r="U95" s="184" t="str">
        <f>IF(ISBLANK(U91)," ",IFERROR(VLOOKUP(U91,#REF!,11,0),""))</f>
        <v/>
      </c>
      <c r="Z95" s="183" t="s">
        <v>261</v>
      </c>
      <c r="AA95" s="184" t="str">
        <f>IF(ISBLANK(AA91)," ",IFERROR(VLOOKUP(AA91,#REF!,11,0),""))</f>
        <v/>
      </c>
    </row>
    <row r="96" spans="1:29" ht="21.75" thickBot="1" x14ac:dyDescent="0.4">
      <c r="A96" s="501" t="s">
        <v>262</v>
      </c>
      <c r="B96" s="502"/>
      <c r="C96" s="502"/>
      <c r="D96" s="502"/>
      <c r="E96" s="503"/>
      <c r="F96" s="499">
        <f>G190</f>
        <v>90</v>
      </c>
      <c r="G96" s="500"/>
      <c r="H96" s="164"/>
      <c r="I96" s="164"/>
      <c r="J96" s="501" t="s">
        <v>263</v>
      </c>
      <c r="K96" s="502"/>
      <c r="L96" s="502"/>
      <c r="M96" s="502"/>
      <c r="N96" s="503"/>
      <c r="O96" s="499">
        <f>P190</f>
        <v>60</v>
      </c>
      <c r="P96" s="500"/>
      <c r="Q96" s="164"/>
      <c r="R96" s="164"/>
      <c r="S96" s="164"/>
      <c r="T96" s="185" t="s">
        <v>264</v>
      </c>
      <c r="U96" s="186" t="str">
        <f>IF(ISBLANK(U91)," ",IFERROR(VLOOKUP(U91,#REF!,15,0),""))</f>
        <v/>
      </c>
      <c r="Z96" s="185" t="s">
        <v>264</v>
      </c>
      <c r="AA96" s="186" t="str">
        <f>IF(ISBLANK(AA91)," ",IFERROR(VLOOKUP(AA91,#REF!,15,0),""))</f>
        <v/>
      </c>
    </row>
    <row r="97" spans="1:29" ht="30" x14ac:dyDescent="0.3">
      <c r="R97" s="164"/>
      <c r="S97" s="164"/>
      <c r="T97" s="187" t="s">
        <v>265</v>
      </c>
      <c r="U97" s="188" t="str">
        <f>IF(ISBLANK(U91)," ",IFERROR(VLOOKUP(U91,#REF!,16,0),""))</f>
        <v/>
      </c>
      <c r="V97" s="189"/>
      <c r="W97" s="164"/>
      <c r="X97" s="164"/>
      <c r="Y97" s="168"/>
      <c r="Z97" s="187" t="s">
        <v>265</v>
      </c>
      <c r="AA97" s="188" t="str">
        <f>IF(ISBLANK(AA91)," ",IFERROR(VLOOKUP(AA91,#REF!,16,0),""))</f>
        <v/>
      </c>
      <c r="AB97" s="176"/>
      <c r="AC97" s="176"/>
    </row>
    <row r="98" spans="1:29" ht="17.25" x14ac:dyDescent="0.3">
      <c r="R98" s="164"/>
      <c r="S98" s="164"/>
      <c r="T98" s="190" t="s">
        <v>266</v>
      </c>
      <c r="U98" s="191" t="str">
        <f>IF(ISBLANK(U91)," ",IFERROR(VLOOKUP(U91,#REF!,17,0),""))</f>
        <v/>
      </c>
      <c r="V98" s="189"/>
      <c r="W98" s="164"/>
      <c r="X98" s="164"/>
      <c r="Y98" s="168"/>
      <c r="Z98" s="190" t="s">
        <v>266</v>
      </c>
      <c r="AA98" s="191" t="str">
        <f>IF(ISBLANK(AA91)," ",IFERROR(VLOOKUP(AA91,#REF!,17,0),""))</f>
        <v/>
      </c>
      <c r="AB98" s="176"/>
      <c r="AC98" s="176"/>
    </row>
    <row r="99" spans="1:29" ht="18" thickBot="1" x14ac:dyDescent="0.35">
      <c r="R99" s="164"/>
      <c r="S99" s="164"/>
      <c r="T99" s="192"/>
      <c r="U99" s="189"/>
      <c r="V99" s="189"/>
      <c r="W99" s="164"/>
      <c r="X99" s="164"/>
      <c r="Y99" s="168"/>
      <c r="Z99" s="169"/>
      <c r="AA99" s="170"/>
      <c r="AB99" s="176"/>
      <c r="AC99" s="176"/>
    </row>
    <row r="100" spans="1:29" ht="29.25" thickBot="1" x14ac:dyDescent="0.3">
      <c r="A100" s="505" t="s">
        <v>2</v>
      </c>
      <c r="B100" s="506"/>
      <c r="C100" s="506"/>
      <c r="D100" s="506"/>
      <c r="E100" s="506"/>
      <c r="F100" s="507"/>
      <c r="G100" s="193" t="s">
        <v>255</v>
      </c>
      <c r="J100" s="505" t="s">
        <v>2</v>
      </c>
      <c r="K100" s="506"/>
      <c r="L100" s="506"/>
      <c r="M100" s="506"/>
      <c r="N100" s="506"/>
      <c r="O100" s="507"/>
      <c r="P100" s="193" t="s">
        <v>255</v>
      </c>
      <c r="Q100" s="194" t="s">
        <v>267</v>
      </c>
      <c r="R100" s="164"/>
      <c r="S100" s="164"/>
      <c r="T100" s="508" t="s">
        <v>268</v>
      </c>
      <c r="U100" s="509"/>
      <c r="V100" s="509"/>
      <c r="W100" s="509"/>
      <c r="X100" s="509"/>
      <c r="Y100" s="509"/>
      <c r="Z100" s="509"/>
      <c r="AA100" s="509"/>
      <c r="AB100" s="509"/>
      <c r="AC100" s="510"/>
    </row>
    <row r="101" spans="1:29" ht="23.25" x14ac:dyDescent="0.25">
      <c r="A101" s="511" t="s">
        <v>4</v>
      </c>
      <c r="B101" s="512"/>
      <c r="C101" s="512"/>
      <c r="D101" s="197" t="s">
        <v>269</v>
      </c>
      <c r="E101" s="198"/>
      <c r="F101" s="199" t="s">
        <v>5</v>
      </c>
      <c r="G101" s="200">
        <f>COUNTIF($AO$3:$CC$42,F101)</f>
        <v>2</v>
      </c>
      <c r="J101" s="511" t="s">
        <v>4</v>
      </c>
      <c r="K101" s="512"/>
      <c r="L101" s="512"/>
      <c r="M101" s="197" t="s">
        <v>269</v>
      </c>
      <c r="N101" s="198"/>
      <c r="O101" s="199" t="s">
        <v>5</v>
      </c>
      <c r="P101" s="200">
        <f>COUNTIF($A$3:$AN$71,O101)</f>
        <v>3</v>
      </c>
      <c r="Q101" s="201">
        <f t="shared" ref="Q101:Q189" si="0">G101+P101</f>
        <v>5</v>
      </c>
      <c r="R101" s="164"/>
      <c r="S101" s="164"/>
      <c r="T101" s="513"/>
      <c r="U101" s="514"/>
      <c r="V101" s="514"/>
      <c r="W101" s="514"/>
      <c r="X101" s="514"/>
      <c r="Y101" s="514"/>
      <c r="Z101" s="514"/>
      <c r="AA101" s="514"/>
      <c r="AB101" s="514"/>
      <c r="AC101" s="515"/>
    </row>
    <row r="102" spans="1:29" ht="23.25" x14ac:dyDescent="0.25">
      <c r="A102" s="511" t="s">
        <v>6</v>
      </c>
      <c r="B102" s="512"/>
      <c r="C102" s="512"/>
      <c r="D102" s="197" t="s">
        <v>269</v>
      </c>
      <c r="E102" s="198"/>
      <c r="F102" s="59" t="s">
        <v>7</v>
      </c>
      <c r="G102" s="200">
        <f>COUNTIF($AO$3:$CC$42,F102)</f>
        <v>2</v>
      </c>
      <c r="J102" s="511" t="s">
        <v>6</v>
      </c>
      <c r="K102" s="512"/>
      <c r="L102" s="512"/>
      <c r="M102" s="197" t="s">
        <v>269</v>
      </c>
      <c r="N102" s="198"/>
      <c r="O102" s="59" t="s">
        <v>7</v>
      </c>
      <c r="P102" s="200">
        <f>COUNTIF($A$3:$AN$71,O102)</f>
        <v>3</v>
      </c>
      <c r="Q102" s="202">
        <f t="shared" si="0"/>
        <v>5</v>
      </c>
      <c r="R102" s="164"/>
      <c r="S102" s="164"/>
      <c r="T102" s="516"/>
      <c r="U102" s="517"/>
      <c r="V102" s="517"/>
      <c r="W102" s="517"/>
      <c r="X102" s="517"/>
      <c r="Y102" s="517"/>
      <c r="Z102" s="517"/>
      <c r="AA102" s="517"/>
      <c r="AB102" s="517"/>
      <c r="AC102" s="518"/>
    </row>
    <row r="103" spans="1:29" ht="23.25" x14ac:dyDescent="0.25">
      <c r="A103" s="511" t="s">
        <v>8</v>
      </c>
      <c r="B103" s="512"/>
      <c r="C103" s="512"/>
      <c r="D103" s="197" t="s">
        <v>269</v>
      </c>
      <c r="E103" s="198"/>
      <c r="F103" s="203" t="s">
        <v>9</v>
      </c>
      <c r="G103" s="200">
        <f>COUNTIF($AO$3:$CC$42,F103)</f>
        <v>0</v>
      </c>
      <c r="J103" s="511" t="s">
        <v>8</v>
      </c>
      <c r="K103" s="512"/>
      <c r="L103" s="512"/>
      <c r="M103" s="197" t="s">
        <v>269</v>
      </c>
      <c r="N103" s="198"/>
      <c r="O103" s="203" t="s">
        <v>9</v>
      </c>
      <c r="P103" s="200">
        <f>COUNTIF($A$3:$AN$71,O103)</f>
        <v>2</v>
      </c>
      <c r="Q103" s="202">
        <f t="shared" si="0"/>
        <v>2</v>
      </c>
      <c r="R103" s="164"/>
      <c r="S103" s="164"/>
      <c r="T103" s="516"/>
      <c r="U103" s="517"/>
      <c r="V103" s="517"/>
      <c r="W103" s="517"/>
      <c r="X103" s="517"/>
      <c r="Y103" s="517"/>
      <c r="Z103" s="517"/>
      <c r="AA103" s="517"/>
      <c r="AB103" s="517"/>
      <c r="AC103" s="518"/>
    </row>
    <row r="104" spans="1:29" ht="23.25" x14ac:dyDescent="0.25">
      <c r="A104" s="511" t="s">
        <v>161</v>
      </c>
      <c r="B104" s="512"/>
      <c r="C104" s="512"/>
      <c r="D104" s="197" t="s">
        <v>273</v>
      </c>
      <c r="E104" s="198"/>
      <c r="F104" s="373" t="s">
        <v>162</v>
      </c>
      <c r="G104" s="200">
        <f>COUNTIF($AO$3:$CC$42,F104)</f>
        <v>0</v>
      </c>
      <c r="J104" s="511" t="s">
        <v>161</v>
      </c>
      <c r="K104" s="512"/>
      <c r="L104" s="512"/>
      <c r="M104" s="197" t="s">
        <v>273</v>
      </c>
      <c r="N104" s="198"/>
      <c r="O104" s="373" t="s">
        <v>162</v>
      </c>
      <c r="P104" s="200">
        <f>COUNTIF($A$3:$AN$71,O104)</f>
        <v>0</v>
      </c>
      <c r="Q104" s="202">
        <f t="shared" si="0"/>
        <v>0</v>
      </c>
      <c r="R104" s="164"/>
      <c r="S104" s="164"/>
      <c r="T104" s="516"/>
      <c r="U104" s="517"/>
      <c r="V104" s="517"/>
      <c r="W104" s="517"/>
      <c r="X104" s="517"/>
      <c r="Y104" s="517"/>
      <c r="Z104" s="517"/>
      <c r="AA104" s="517"/>
      <c r="AB104" s="517"/>
      <c r="AC104" s="518"/>
    </row>
    <row r="105" spans="1:29" ht="18" x14ac:dyDescent="0.25">
      <c r="A105" s="522"/>
      <c r="B105" s="523"/>
      <c r="C105" s="523"/>
      <c r="D105" s="204"/>
      <c r="E105" s="205"/>
      <c r="F105" s="206"/>
      <c r="G105" s="207"/>
      <c r="J105" s="522"/>
      <c r="K105" s="523"/>
      <c r="L105" s="523"/>
      <c r="M105" s="204"/>
      <c r="N105" s="205"/>
      <c r="O105" s="206"/>
      <c r="P105" s="207"/>
      <c r="Q105" s="208"/>
      <c r="R105" s="164"/>
      <c r="S105" s="164"/>
      <c r="T105" s="516"/>
      <c r="U105" s="517"/>
      <c r="V105" s="517"/>
      <c r="W105" s="517"/>
      <c r="X105" s="517"/>
      <c r="Y105" s="517"/>
      <c r="Z105" s="517"/>
      <c r="AA105" s="517"/>
      <c r="AB105" s="517"/>
      <c r="AC105" s="518"/>
    </row>
    <row r="106" spans="1:29" ht="23.25" x14ac:dyDescent="0.25">
      <c r="A106" s="511" t="s">
        <v>10</v>
      </c>
      <c r="B106" s="512"/>
      <c r="C106" s="512"/>
      <c r="D106" s="197" t="s">
        <v>270</v>
      </c>
      <c r="E106" s="198"/>
      <c r="F106" s="36" t="s">
        <v>11</v>
      </c>
      <c r="G106" s="200">
        <f>COUNTIF($AO$3:$CC$42,F106)</f>
        <v>3</v>
      </c>
      <c r="J106" s="511" t="s">
        <v>10</v>
      </c>
      <c r="K106" s="512"/>
      <c r="L106" s="512"/>
      <c r="M106" s="197" t="s">
        <v>270</v>
      </c>
      <c r="N106" s="198"/>
      <c r="O106" s="36" t="s">
        <v>11</v>
      </c>
      <c r="P106" s="200">
        <f>COUNTIF($A$3:$AN$71,O106)</f>
        <v>3</v>
      </c>
      <c r="Q106" s="202">
        <f t="shared" ref="Q106:Q108" si="1">G106+P106</f>
        <v>6</v>
      </c>
      <c r="R106" s="164"/>
      <c r="S106" s="164"/>
      <c r="T106" s="516"/>
      <c r="U106" s="517"/>
      <c r="V106" s="517"/>
      <c r="W106" s="517"/>
      <c r="X106" s="517"/>
      <c r="Y106" s="517"/>
      <c r="Z106" s="517"/>
      <c r="AA106" s="517"/>
      <c r="AB106" s="517"/>
      <c r="AC106" s="518"/>
    </row>
    <row r="107" spans="1:29" ht="23.25" x14ac:dyDescent="0.25">
      <c r="A107" s="511" t="s">
        <v>12</v>
      </c>
      <c r="B107" s="512"/>
      <c r="C107" s="512"/>
      <c r="D107" s="197" t="s">
        <v>271</v>
      </c>
      <c r="E107" s="198"/>
      <c r="F107" s="209" t="s">
        <v>13</v>
      </c>
      <c r="G107" s="200">
        <f>COUNTIF($AO$3:$CC$42,F107)</f>
        <v>0</v>
      </c>
      <c r="J107" s="511" t="s">
        <v>12</v>
      </c>
      <c r="K107" s="512"/>
      <c r="L107" s="512"/>
      <c r="M107" s="197" t="s">
        <v>271</v>
      </c>
      <c r="N107" s="198"/>
      <c r="O107" s="209" t="s">
        <v>13</v>
      </c>
      <c r="P107" s="200">
        <f>COUNTIF($A$3:$AN$71,O107)</f>
        <v>0</v>
      </c>
      <c r="Q107" s="202">
        <f t="shared" si="1"/>
        <v>0</v>
      </c>
      <c r="R107" s="164"/>
      <c r="S107" s="164"/>
      <c r="T107" s="516"/>
      <c r="U107" s="517"/>
      <c r="V107" s="517"/>
      <c r="W107" s="517"/>
      <c r="X107" s="517"/>
      <c r="Y107" s="517"/>
      <c r="Z107" s="517"/>
      <c r="AA107" s="517"/>
      <c r="AB107" s="517"/>
      <c r="AC107" s="518"/>
    </row>
    <row r="108" spans="1:29" ht="23.25" x14ac:dyDescent="0.25">
      <c r="A108" s="511" t="s">
        <v>14</v>
      </c>
      <c r="B108" s="512"/>
      <c r="C108" s="512"/>
      <c r="D108" s="197" t="s">
        <v>269</v>
      </c>
      <c r="E108" s="198"/>
      <c r="F108" s="210" t="s">
        <v>15</v>
      </c>
      <c r="G108" s="200">
        <f>COUNTIF($AO$3:$CC$42,F108)</f>
        <v>0</v>
      </c>
      <c r="J108" s="511" t="s">
        <v>14</v>
      </c>
      <c r="K108" s="512"/>
      <c r="L108" s="512"/>
      <c r="M108" s="197" t="s">
        <v>269</v>
      </c>
      <c r="N108" s="198"/>
      <c r="O108" s="210" t="s">
        <v>15</v>
      </c>
      <c r="P108" s="200">
        <f>COUNTIF($A$3:$AN$71,O108)</f>
        <v>0</v>
      </c>
      <c r="Q108" s="202">
        <f t="shared" si="1"/>
        <v>0</v>
      </c>
      <c r="R108" s="164"/>
      <c r="S108" s="164"/>
      <c r="T108" s="516"/>
      <c r="U108" s="517"/>
      <c r="V108" s="517"/>
      <c r="W108" s="517"/>
      <c r="X108" s="517"/>
      <c r="Y108" s="517"/>
      <c r="Z108" s="517"/>
      <c r="AA108" s="517"/>
      <c r="AB108" s="517"/>
      <c r="AC108" s="518"/>
    </row>
    <row r="109" spans="1:29" ht="18" x14ac:dyDescent="0.25">
      <c r="A109" s="522"/>
      <c r="B109" s="523"/>
      <c r="C109" s="523"/>
      <c r="D109" s="204"/>
      <c r="E109" s="205"/>
      <c r="F109" s="206"/>
      <c r="G109" s="207"/>
      <c r="J109" s="522"/>
      <c r="K109" s="523"/>
      <c r="L109" s="523"/>
      <c r="M109" s="204"/>
      <c r="N109" s="205"/>
      <c r="O109" s="206"/>
      <c r="P109" s="207"/>
      <c r="Q109" s="208"/>
      <c r="R109" s="164"/>
      <c r="S109" s="164"/>
      <c r="T109" s="516"/>
      <c r="U109" s="517"/>
      <c r="V109" s="517"/>
      <c r="W109" s="517"/>
      <c r="X109" s="517"/>
      <c r="Y109" s="517"/>
      <c r="Z109" s="517"/>
      <c r="AA109" s="517"/>
      <c r="AB109" s="517"/>
      <c r="AC109" s="518"/>
    </row>
    <row r="110" spans="1:29" ht="23.25" x14ac:dyDescent="0.25">
      <c r="A110" s="511" t="s">
        <v>134</v>
      </c>
      <c r="B110" s="512"/>
      <c r="C110" s="512"/>
      <c r="D110" s="197" t="s">
        <v>272</v>
      </c>
      <c r="E110" s="198"/>
      <c r="F110" s="211" t="s">
        <v>127</v>
      </c>
      <c r="G110" s="200">
        <f>COUNTIF($AO$3:$CC$42,F110)</f>
        <v>0</v>
      </c>
      <c r="J110" s="511" t="s">
        <v>134</v>
      </c>
      <c r="K110" s="512"/>
      <c r="L110" s="512"/>
      <c r="M110" s="197" t="s">
        <v>272</v>
      </c>
      <c r="N110" s="198"/>
      <c r="O110" s="211" t="s">
        <v>127</v>
      </c>
      <c r="P110" s="200">
        <f>COUNTIF($A$3:$AN$71,O110)</f>
        <v>0</v>
      </c>
      <c r="Q110" s="202">
        <f t="shared" ref="Q110:Q113" si="2">G110+P110</f>
        <v>0</v>
      </c>
      <c r="R110" s="164"/>
      <c r="S110" s="164"/>
      <c r="T110" s="516"/>
      <c r="U110" s="517"/>
      <c r="V110" s="517"/>
      <c r="W110" s="517"/>
      <c r="X110" s="517"/>
      <c r="Y110" s="517"/>
      <c r="Z110" s="517"/>
      <c r="AA110" s="517"/>
      <c r="AB110" s="517"/>
      <c r="AC110" s="518"/>
    </row>
    <row r="111" spans="1:29" ht="23.25" x14ac:dyDescent="0.25">
      <c r="A111" s="511" t="s">
        <v>133</v>
      </c>
      <c r="B111" s="512"/>
      <c r="C111" s="512"/>
      <c r="D111" s="197" t="s">
        <v>272</v>
      </c>
      <c r="E111" s="198"/>
      <c r="F111" s="212" t="s">
        <v>76</v>
      </c>
      <c r="G111" s="200">
        <f>COUNTIF($AO$3:$CC$42,F111)</f>
        <v>0</v>
      </c>
      <c r="J111" s="511" t="s">
        <v>133</v>
      </c>
      <c r="K111" s="512"/>
      <c r="L111" s="512"/>
      <c r="M111" s="197" t="s">
        <v>272</v>
      </c>
      <c r="N111" s="198"/>
      <c r="O111" s="212" t="s">
        <v>76</v>
      </c>
      <c r="P111" s="200">
        <f>COUNTIF($A$3:$AN$71,O111)</f>
        <v>0</v>
      </c>
      <c r="Q111" s="202">
        <f t="shared" si="2"/>
        <v>0</v>
      </c>
      <c r="R111" s="164"/>
      <c r="S111" s="164"/>
      <c r="T111" s="516"/>
      <c r="U111" s="517"/>
      <c r="V111" s="517"/>
      <c r="W111" s="517"/>
      <c r="X111" s="517"/>
      <c r="Y111" s="517"/>
      <c r="Z111" s="517"/>
      <c r="AA111" s="517"/>
      <c r="AB111" s="517"/>
      <c r="AC111" s="518"/>
    </row>
    <row r="112" spans="1:29" ht="23.25" x14ac:dyDescent="0.25">
      <c r="A112" s="511" t="s">
        <v>77</v>
      </c>
      <c r="B112" s="512"/>
      <c r="C112" s="512"/>
      <c r="D112" s="197" t="s">
        <v>272</v>
      </c>
      <c r="E112" s="198"/>
      <c r="F112" s="213" t="s">
        <v>78</v>
      </c>
      <c r="G112" s="200">
        <f>COUNTIF($AO$3:$CC$42,F112)</f>
        <v>0</v>
      </c>
      <c r="J112" s="511" t="s">
        <v>77</v>
      </c>
      <c r="K112" s="512"/>
      <c r="L112" s="512"/>
      <c r="M112" s="197" t="s">
        <v>272</v>
      </c>
      <c r="N112" s="198"/>
      <c r="O112" s="213" t="s">
        <v>78</v>
      </c>
      <c r="P112" s="200">
        <f>COUNTIF($A$3:$AN$71,O112)</f>
        <v>0</v>
      </c>
      <c r="Q112" s="202">
        <f t="shared" si="2"/>
        <v>0</v>
      </c>
      <c r="R112" s="164"/>
      <c r="S112" s="164"/>
      <c r="T112" s="516"/>
      <c r="U112" s="517"/>
      <c r="V112" s="517"/>
      <c r="W112" s="517"/>
      <c r="X112" s="517"/>
      <c r="Y112" s="517"/>
      <c r="Z112" s="517"/>
      <c r="AA112" s="517"/>
      <c r="AB112" s="517"/>
      <c r="AC112" s="518"/>
    </row>
    <row r="113" spans="1:29" ht="23.25" x14ac:dyDescent="0.25">
      <c r="A113" s="511" t="s">
        <v>144</v>
      </c>
      <c r="B113" s="512"/>
      <c r="C113" s="512"/>
      <c r="D113" s="197" t="s">
        <v>272</v>
      </c>
      <c r="E113" s="198"/>
      <c r="F113" s="214" t="s">
        <v>130</v>
      </c>
      <c r="G113" s="200">
        <f>COUNTIF($AO$3:$CC$42,F113)</f>
        <v>0</v>
      </c>
      <c r="J113" s="511" t="s">
        <v>144</v>
      </c>
      <c r="K113" s="512"/>
      <c r="L113" s="512"/>
      <c r="M113" s="197" t="s">
        <v>272</v>
      </c>
      <c r="N113" s="198"/>
      <c r="O113" s="214" t="s">
        <v>130</v>
      </c>
      <c r="P113" s="200">
        <f>COUNTIF($A$3:$AN$71,O113)</f>
        <v>0</v>
      </c>
      <c r="Q113" s="202">
        <f t="shared" si="2"/>
        <v>0</v>
      </c>
      <c r="R113" s="164"/>
      <c r="S113" s="164"/>
      <c r="T113" s="516"/>
      <c r="U113" s="517"/>
      <c r="V113" s="517"/>
      <c r="W113" s="517"/>
      <c r="X113" s="517"/>
      <c r="Y113" s="517"/>
      <c r="Z113" s="517"/>
      <c r="AA113" s="517"/>
      <c r="AB113" s="517"/>
      <c r="AC113" s="518"/>
    </row>
    <row r="114" spans="1:29" ht="18" x14ac:dyDescent="0.25">
      <c r="A114" s="522"/>
      <c r="B114" s="523"/>
      <c r="C114" s="523"/>
      <c r="D114" s="204"/>
      <c r="E114" s="205"/>
      <c r="F114" s="206"/>
      <c r="G114" s="207"/>
      <c r="J114" s="522"/>
      <c r="K114" s="523"/>
      <c r="L114" s="523"/>
      <c r="M114" s="204"/>
      <c r="N114" s="205"/>
      <c r="O114" s="206"/>
      <c r="P114" s="207"/>
      <c r="Q114" s="208"/>
      <c r="R114" s="164"/>
      <c r="S114" s="164"/>
      <c r="T114" s="516"/>
      <c r="U114" s="517"/>
      <c r="V114" s="517"/>
      <c r="W114" s="517"/>
      <c r="X114" s="517"/>
      <c r="Y114" s="517"/>
      <c r="Z114" s="517"/>
      <c r="AA114" s="517"/>
      <c r="AB114" s="517"/>
      <c r="AC114" s="518"/>
    </row>
    <row r="115" spans="1:29" ht="24" thickBot="1" x14ac:dyDescent="0.3">
      <c r="A115" s="511" t="s">
        <v>135</v>
      </c>
      <c r="B115" s="512"/>
      <c r="C115" s="512"/>
      <c r="D115" s="197"/>
      <c r="E115" s="198"/>
      <c r="F115" s="215" t="s">
        <v>125</v>
      </c>
      <c r="G115" s="200">
        <f t="shared" ref="G115:G129" si="3">COUNTIF($AO$3:$CC$42,F115)</f>
        <v>0</v>
      </c>
      <c r="J115" s="511" t="s">
        <v>135</v>
      </c>
      <c r="K115" s="512"/>
      <c r="L115" s="512"/>
      <c r="M115" s="197"/>
      <c r="N115" s="198"/>
      <c r="O115" s="215" t="s">
        <v>125</v>
      </c>
      <c r="P115" s="200">
        <f t="shared" ref="P115:P129" si="4">COUNTIF($A$3:$AN$71,O115)</f>
        <v>0</v>
      </c>
      <c r="Q115" s="202">
        <f t="shared" ref="Q115:Q129" si="5">G115+P115</f>
        <v>0</v>
      </c>
      <c r="R115" s="164"/>
      <c r="S115" s="164"/>
      <c r="T115" s="519"/>
      <c r="U115" s="520"/>
      <c r="V115" s="520"/>
      <c r="W115" s="520"/>
      <c r="X115" s="520"/>
      <c r="Y115" s="520"/>
      <c r="Z115" s="520"/>
      <c r="AA115" s="520"/>
      <c r="AB115" s="520"/>
      <c r="AC115" s="521"/>
    </row>
    <row r="116" spans="1:29" ht="23.25" x14ac:dyDescent="0.25">
      <c r="A116" s="511" t="s">
        <v>79</v>
      </c>
      <c r="B116" s="524"/>
      <c r="C116" s="524"/>
      <c r="D116" s="197" t="s">
        <v>271</v>
      </c>
      <c r="E116" s="198"/>
      <c r="F116" s="216" t="s">
        <v>80</v>
      </c>
      <c r="G116" s="200">
        <f t="shared" si="3"/>
        <v>0</v>
      </c>
      <c r="J116" s="511" t="s">
        <v>79</v>
      </c>
      <c r="K116" s="524"/>
      <c r="L116" s="524"/>
      <c r="M116" s="197" t="s">
        <v>271</v>
      </c>
      <c r="N116" s="198"/>
      <c r="O116" s="216" t="s">
        <v>80</v>
      </c>
      <c r="P116" s="200">
        <f t="shared" si="4"/>
        <v>0</v>
      </c>
      <c r="Q116" s="202">
        <f t="shared" si="5"/>
        <v>0</v>
      </c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76"/>
      <c r="AC116" s="176"/>
    </row>
    <row r="117" spans="1:29" ht="23.25" x14ac:dyDescent="0.25">
      <c r="A117" s="511" t="s">
        <v>163</v>
      </c>
      <c r="B117" s="512"/>
      <c r="C117" s="512"/>
      <c r="D117" s="197" t="s">
        <v>269</v>
      </c>
      <c r="E117" s="198"/>
      <c r="F117" s="374" t="s">
        <v>164</v>
      </c>
      <c r="G117" s="200">
        <f t="shared" si="3"/>
        <v>6</v>
      </c>
      <c r="J117" s="511" t="s">
        <v>163</v>
      </c>
      <c r="K117" s="512"/>
      <c r="L117" s="512"/>
      <c r="M117" s="197" t="s">
        <v>269</v>
      </c>
      <c r="N117" s="198"/>
      <c r="O117" s="374" t="s">
        <v>164</v>
      </c>
      <c r="P117" s="200">
        <f t="shared" si="4"/>
        <v>0</v>
      </c>
      <c r="Q117" s="202">
        <f t="shared" si="5"/>
        <v>6</v>
      </c>
      <c r="R117" s="164"/>
      <c r="S117" s="164"/>
      <c r="U117" s="164"/>
      <c r="V117" s="164"/>
      <c r="AC117" s="164"/>
    </row>
    <row r="118" spans="1:29" ht="23.25" x14ac:dyDescent="0.3">
      <c r="A118" s="511" t="s">
        <v>121</v>
      </c>
      <c r="B118" s="524"/>
      <c r="C118" s="524"/>
      <c r="D118" s="197" t="s">
        <v>273</v>
      </c>
      <c r="E118" s="198"/>
      <c r="F118" s="8" t="s">
        <v>122</v>
      </c>
      <c r="G118" s="200">
        <f t="shared" si="3"/>
        <v>3</v>
      </c>
      <c r="J118" s="511" t="s">
        <v>121</v>
      </c>
      <c r="K118" s="524"/>
      <c r="L118" s="524"/>
      <c r="M118" s="197" t="s">
        <v>273</v>
      </c>
      <c r="N118" s="198"/>
      <c r="O118" s="8" t="s">
        <v>122</v>
      </c>
      <c r="P118" s="200">
        <f t="shared" si="4"/>
        <v>3</v>
      </c>
      <c r="Q118" s="202">
        <f t="shared" si="5"/>
        <v>6</v>
      </c>
      <c r="R118" s="164"/>
      <c r="S118" s="192"/>
      <c r="AC118" s="164"/>
    </row>
    <row r="119" spans="1:29" ht="23.25" x14ac:dyDescent="0.3">
      <c r="A119" s="511" t="s">
        <v>160</v>
      </c>
      <c r="B119" s="524"/>
      <c r="C119" s="524"/>
      <c r="D119" s="197"/>
      <c r="E119" s="198"/>
      <c r="F119" s="217" t="s">
        <v>156</v>
      </c>
      <c r="G119" s="200">
        <f t="shared" si="3"/>
        <v>0</v>
      </c>
      <c r="J119" s="511" t="s">
        <v>160</v>
      </c>
      <c r="K119" s="524"/>
      <c r="L119" s="524"/>
      <c r="M119" s="197"/>
      <c r="N119" s="198"/>
      <c r="O119" s="217" t="s">
        <v>156</v>
      </c>
      <c r="P119" s="200">
        <f t="shared" si="4"/>
        <v>0</v>
      </c>
      <c r="Q119" s="202">
        <f t="shared" si="5"/>
        <v>0</v>
      </c>
      <c r="R119" s="164"/>
      <c r="S119" s="192"/>
      <c r="AC119" s="164"/>
    </row>
    <row r="120" spans="1:29" ht="23.25" x14ac:dyDescent="0.3">
      <c r="A120" s="511" t="s">
        <v>150</v>
      </c>
      <c r="B120" s="524"/>
      <c r="C120" s="524"/>
      <c r="D120" s="197"/>
      <c r="E120" s="198"/>
      <c r="F120" s="113" t="s">
        <v>151</v>
      </c>
      <c r="G120" s="200">
        <f t="shared" si="3"/>
        <v>6</v>
      </c>
      <c r="J120" s="511" t="s">
        <v>150</v>
      </c>
      <c r="K120" s="524"/>
      <c r="L120" s="524"/>
      <c r="M120" s="197"/>
      <c r="N120" s="198"/>
      <c r="O120" s="113" t="s">
        <v>151</v>
      </c>
      <c r="P120" s="200">
        <f t="shared" si="4"/>
        <v>6</v>
      </c>
      <c r="Q120" s="202">
        <f t="shared" si="5"/>
        <v>12</v>
      </c>
      <c r="R120" s="164"/>
      <c r="S120" s="192"/>
      <c r="AC120" s="164"/>
    </row>
    <row r="121" spans="1:29" ht="23.25" x14ac:dyDescent="0.3">
      <c r="A121" s="511" t="s">
        <v>155</v>
      </c>
      <c r="B121" s="524"/>
      <c r="C121" s="524"/>
      <c r="D121" s="197"/>
      <c r="E121" s="198"/>
      <c r="F121" s="218" t="s">
        <v>148</v>
      </c>
      <c r="G121" s="200">
        <f t="shared" si="3"/>
        <v>0</v>
      </c>
      <c r="J121" s="511" t="s">
        <v>155</v>
      </c>
      <c r="K121" s="524"/>
      <c r="L121" s="524"/>
      <c r="M121" s="197"/>
      <c r="N121" s="198"/>
      <c r="O121" s="218" t="s">
        <v>148</v>
      </c>
      <c r="P121" s="200">
        <f t="shared" si="4"/>
        <v>6</v>
      </c>
      <c r="Q121" s="202">
        <f t="shared" si="5"/>
        <v>6</v>
      </c>
      <c r="R121" s="164"/>
      <c r="S121" s="192"/>
      <c r="AC121" s="164"/>
    </row>
    <row r="122" spans="1:29" ht="23.25" x14ac:dyDescent="0.3">
      <c r="A122" s="511" t="s">
        <v>154</v>
      </c>
      <c r="B122" s="524"/>
      <c r="C122" s="524"/>
      <c r="D122" s="197" t="s">
        <v>273</v>
      </c>
      <c r="E122" s="198"/>
      <c r="F122" s="219" t="s">
        <v>113</v>
      </c>
      <c r="G122" s="200">
        <f t="shared" si="3"/>
        <v>0</v>
      </c>
      <c r="J122" s="511" t="s">
        <v>154</v>
      </c>
      <c r="K122" s="524"/>
      <c r="L122" s="524"/>
      <c r="M122" s="197" t="s">
        <v>273</v>
      </c>
      <c r="N122" s="198"/>
      <c r="O122" s="219" t="s">
        <v>113</v>
      </c>
      <c r="P122" s="200">
        <f t="shared" si="4"/>
        <v>0</v>
      </c>
      <c r="Q122" s="202">
        <f t="shared" si="5"/>
        <v>0</v>
      </c>
      <c r="R122" s="164"/>
      <c r="S122" s="192"/>
      <c r="AC122" s="164"/>
    </row>
    <row r="123" spans="1:29" ht="23.25" x14ac:dyDescent="0.3">
      <c r="A123" s="511" t="s">
        <v>274</v>
      </c>
      <c r="B123" s="524"/>
      <c r="C123" s="524"/>
      <c r="D123" s="197"/>
      <c r="E123" s="198"/>
      <c r="F123" s="220" t="s">
        <v>149</v>
      </c>
      <c r="G123" s="200">
        <f t="shared" si="3"/>
        <v>0</v>
      </c>
      <c r="J123" s="511" t="s">
        <v>274</v>
      </c>
      <c r="K123" s="524"/>
      <c r="L123" s="524"/>
      <c r="M123" s="197"/>
      <c r="N123" s="198"/>
      <c r="O123" s="220" t="s">
        <v>149</v>
      </c>
      <c r="P123" s="221">
        <f t="shared" si="4"/>
        <v>0</v>
      </c>
      <c r="Q123" s="202">
        <f t="shared" si="5"/>
        <v>0</v>
      </c>
      <c r="R123" s="164"/>
      <c r="S123" s="192"/>
      <c r="AC123" s="164"/>
    </row>
    <row r="124" spans="1:29" ht="23.25" x14ac:dyDescent="0.3">
      <c r="A124" s="511" t="s">
        <v>750</v>
      </c>
      <c r="B124" s="524"/>
      <c r="C124" s="524"/>
      <c r="D124" s="197" t="s">
        <v>269</v>
      </c>
      <c r="E124" s="198"/>
      <c r="F124" s="375" t="s">
        <v>751</v>
      </c>
      <c r="G124" s="200">
        <f t="shared" si="3"/>
        <v>0</v>
      </c>
      <c r="J124" s="511" t="s">
        <v>750</v>
      </c>
      <c r="K124" s="524"/>
      <c r="L124" s="524"/>
      <c r="M124" s="197" t="s">
        <v>269</v>
      </c>
      <c r="N124" s="198"/>
      <c r="O124" s="375" t="s">
        <v>751</v>
      </c>
      <c r="P124" s="221">
        <f t="shared" si="4"/>
        <v>0</v>
      </c>
      <c r="Q124" s="202">
        <f t="shared" si="5"/>
        <v>0</v>
      </c>
      <c r="R124" s="164"/>
      <c r="S124" s="192"/>
      <c r="AC124" s="164"/>
    </row>
    <row r="125" spans="1:29" ht="23.25" x14ac:dyDescent="0.3">
      <c r="A125" s="511" t="s">
        <v>81</v>
      </c>
      <c r="B125" s="524"/>
      <c r="C125" s="524"/>
      <c r="D125" s="197" t="s">
        <v>269</v>
      </c>
      <c r="E125" s="198"/>
      <c r="F125" s="222" t="s">
        <v>82</v>
      </c>
      <c r="G125" s="200">
        <f t="shared" si="3"/>
        <v>0</v>
      </c>
      <c r="J125" s="511" t="s">
        <v>81</v>
      </c>
      <c r="K125" s="524"/>
      <c r="L125" s="524"/>
      <c r="M125" s="197" t="s">
        <v>269</v>
      </c>
      <c r="N125" s="198"/>
      <c r="O125" s="222" t="s">
        <v>82</v>
      </c>
      <c r="P125" s="221">
        <f t="shared" si="4"/>
        <v>0</v>
      </c>
      <c r="Q125" s="202">
        <f t="shared" si="5"/>
        <v>0</v>
      </c>
      <c r="R125" s="164"/>
      <c r="S125" s="192"/>
      <c r="AC125" s="164"/>
    </row>
    <row r="126" spans="1:29" ht="23.25" x14ac:dyDescent="0.3">
      <c r="A126" s="511" t="s">
        <v>275</v>
      </c>
      <c r="B126" s="524"/>
      <c r="C126" s="524"/>
      <c r="D126" s="197"/>
      <c r="E126" s="198"/>
      <c r="F126" s="223" t="s">
        <v>157</v>
      </c>
      <c r="G126" s="200">
        <f t="shared" si="3"/>
        <v>0</v>
      </c>
      <c r="J126" s="511" t="s">
        <v>275</v>
      </c>
      <c r="K126" s="524"/>
      <c r="L126" s="524"/>
      <c r="M126" s="197"/>
      <c r="N126" s="198"/>
      <c r="O126" s="223" t="s">
        <v>157</v>
      </c>
      <c r="P126" s="221">
        <f t="shared" si="4"/>
        <v>0</v>
      </c>
      <c r="Q126" s="202">
        <f t="shared" si="5"/>
        <v>0</v>
      </c>
      <c r="R126" s="164"/>
      <c r="S126" s="192"/>
      <c r="U126" s="164"/>
      <c r="V126" s="164"/>
      <c r="AC126" s="164"/>
    </row>
    <row r="127" spans="1:29" ht="23.25" x14ac:dyDescent="0.3">
      <c r="A127" s="511" t="s">
        <v>109</v>
      </c>
      <c r="B127" s="524"/>
      <c r="C127" s="524"/>
      <c r="D127" s="197"/>
      <c r="E127" s="198"/>
      <c r="F127" s="224" t="s">
        <v>110</v>
      </c>
      <c r="G127" s="200">
        <f t="shared" si="3"/>
        <v>0</v>
      </c>
      <c r="J127" s="511" t="s">
        <v>109</v>
      </c>
      <c r="K127" s="524"/>
      <c r="L127" s="524"/>
      <c r="M127" s="197"/>
      <c r="N127" s="198"/>
      <c r="O127" s="224" t="s">
        <v>110</v>
      </c>
      <c r="P127" s="221">
        <f t="shared" si="4"/>
        <v>0</v>
      </c>
      <c r="Q127" s="202">
        <f t="shared" si="5"/>
        <v>0</v>
      </c>
      <c r="R127" s="164"/>
      <c r="S127" s="192"/>
      <c r="U127" s="164"/>
      <c r="V127" s="164"/>
      <c r="AC127" s="164"/>
    </row>
    <row r="128" spans="1:29" ht="23.25" x14ac:dyDescent="0.3">
      <c r="A128" s="511" t="s">
        <v>147</v>
      </c>
      <c r="B128" s="524"/>
      <c r="C128" s="524"/>
      <c r="D128" s="197" t="s">
        <v>273</v>
      </c>
      <c r="E128" s="198"/>
      <c r="F128" s="96" t="s">
        <v>114</v>
      </c>
      <c r="G128" s="200">
        <f t="shared" si="3"/>
        <v>1</v>
      </c>
      <c r="J128" s="511" t="s">
        <v>147</v>
      </c>
      <c r="K128" s="524"/>
      <c r="L128" s="524"/>
      <c r="M128" s="197" t="s">
        <v>273</v>
      </c>
      <c r="N128" s="198"/>
      <c r="O128" s="96" t="s">
        <v>114</v>
      </c>
      <c r="P128" s="221">
        <f t="shared" si="4"/>
        <v>2</v>
      </c>
      <c r="Q128" s="202">
        <f t="shared" si="5"/>
        <v>3</v>
      </c>
      <c r="R128" s="164"/>
      <c r="S128" s="192"/>
      <c r="U128" s="164"/>
      <c r="V128" s="164"/>
      <c r="AC128" s="164"/>
    </row>
    <row r="129" spans="1:29" ht="23.25" x14ac:dyDescent="0.3">
      <c r="A129" s="511" t="s">
        <v>83</v>
      </c>
      <c r="B129" s="524"/>
      <c r="C129" s="524"/>
      <c r="D129" s="197" t="s">
        <v>273</v>
      </c>
      <c r="E129" s="198"/>
      <c r="F129" s="225" t="s">
        <v>84</v>
      </c>
      <c r="G129" s="200">
        <f t="shared" si="3"/>
        <v>2</v>
      </c>
      <c r="J129" s="511" t="s">
        <v>83</v>
      </c>
      <c r="K129" s="524"/>
      <c r="L129" s="524"/>
      <c r="M129" s="197" t="s">
        <v>273</v>
      </c>
      <c r="N129" s="198"/>
      <c r="O129" s="225" t="s">
        <v>84</v>
      </c>
      <c r="P129" s="221">
        <f t="shared" si="4"/>
        <v>3</v>
      </c>
      <c r="Q129" s="202">
        <f t="shared" si="5"/>
        <v>5</v>
      </c>
      <c r="R129" s="164"/>
      <c r="S129" s="192"/>
      <c r="U129" s="164"/>
      <c r="V129" s="164"/>
      <c r="AC129" s="164"/>
    </row>
    <row r="130" spans="1:29" ht="18" x14ac:dyDescent="0.25">
      <c r="A130" s="522"/>
      <c r="B130" s="523"/>
      <c r="C130" s="523"/>
      <c r="D130" s="204"/>
      <c r="E130" s="205"/>
      <c r="F130" s="226"/>
      <c r="G130" s="207"/>
      <c r="J130" s="522"/>
      <c r="K130" s="523"/>
      <c r="L130" s="523"/>
      <c r="M130" s="204"/>
      <c r="N130" s="205"/>
      <c r="O130" s="206"/>
      <c r="P130" s="227"/>
      <c r="Q130" s="208"/>
      <c r="U130" s="164"/>
      <c r="V130" s="164"/>
      <c r="AC130" s="164"/>
    </row>
    <row r="131" spans="1:29" ht="23.25" x14ac:dyDescent="0.25">
      <c r="A131" s="511" t="s">
        <v>34</v>
      </c>
      <c r="B131" s="512"/>
      <c r="C131" s="512"/>
      <c r="D131" s="228"/>
      <c r="E131" s="229"/>
      <c r="F131" s="230" t="s">
        <v>35</v>
      </c>
      <c r="G131" s="200">
        <f>COUNTIF($AO$3:$CC$42,F131)</f>
        <v>3</v>
      </c>
      <c r="J131" s="511" t="s">
        <v>34</v>
      </c>
      <c r="K131" s="512"/>
      <c r="L131" s="512"/>
      <c r="M131" s="228"/>
      <c r="N131" s="229"/>
      <c r="O131" s="230" t="s">
        <v>35</v>
      </c>
      <c r="P131" s="200">
        <f>COUNTIF($A$3:$AN$71,O131)</f>
        <v>0</v>
      </c>
      <c r="Q131" s="202">
        <f t="shared" ref="Q131:Q132" si="6">G131+P131</f>
        <v>3</v>
      </c>
      <c r="U131" s="164"/>
      <c r="V131" s="164"/>
      <c r="AC131" s="164"/>
    </row>
    <row r="132" spans="1:29" ht="23.25" x14ac:dyDescent="0.25">
      <c r="A132" s="511" t="s">
        <v>85</v>
      </c>
      <c r="B132" s="512"/>
      <c r="C132" s="512"/>
      <c r="D132" s="228" t="s">
        <v>270</v>
      </c>
      <c r="E132" s="229"/>
      <c r="F132" s="231" t="s">
        <v>86</v>
      </c>
      <c r="G132" s="200">
        <f>COUNTIF($AO$3:$CC$42,F132)</f>
        <v>0</v>
      </c>
      <c r="J132" s="511" t="s">
        <v>85</v>
      </c>
      <c r="K132" s="512"/>
      <c r="L132" s="512"/>
      <c r="M132" s="228" t="s">
        <v>270</v>
      </c>
      <c r="N132" s="229"/>
      <c r="O132" s="231" t="s">
        <v>86</v>
      </c>
      <c r="P132" s="200">
        <f>COUNTIF($A$3:$AN$71,O132)</f>
        <v>0</v>
      </c>
      <c r="Q132" s="202">
        <f t="shared" si="6"/>
        <v>0</v>
      </c>
      <c r="U132" s="164"/>
      <c r="V132" s="164"/>
      <c r="AC132" s="164"/>
    </row>
    <row r="133" spans="1:29" ht="18" x14ac:dyDescent="0.25">
      <c r="A133" s="522"/>
      <c r="B133" s="523"/>
      <c r="C133" s="523"/>
      <c r="D133" s="204"/>
      <c r="E133" s="205"/>
      <c r="F133" s="206"/>
      <c r="G133" s="207"/>
      <c r="J133" s="522"/>
      <c r="K133" s="523"/>
      <c r="L133" s="523"/>
      <c r="M133" s="204"/>
      <c r="N133" s="205"/>
      <c r="O133" s="206"/>
      <c r="P133" s="207"/>
      <c r="Q133" s="208"/>
      <c r="U133" s="164"/>
      <c r="V133" s="164"/>
      <c r="AC133" s="164"/>
    </row>
    <row r="134" spans="1:29" ht="23.25" x14ac:dyDescent="0.25">
      <c r="A134" s="511" t="s">
        <v>87</v>
      </c>
      <c r="B134" s="512"/>
      <c r="C134" s="512"/>
      <c r="D134" s="197" t="s">
        <v>269</v>
      </c>
      <c r="E134" s="198"/>
      <c r="F134" s="232" t="s">
        <v>88</v>
      </c>
      <c r="G134" s="200">
        <f t="shared" ref="G134:G143" si="7">COUNTIF($AO$3:$CC$42,F134)</f>
        <v>0</v>
      </c>
      <c r="J134" s="511" t="s">
        <v>87</v>
      </c>
      <c r="K134" s="512"/>
      <c r="L134" s="512"/>
      <c r="M134" s="197" t="s">
        <v>269</v>
      </c>
      <c r="N134" s="198"/>
      <c r="O134" s="232" t="s">
        <v>88</v>
      </c>
      <c r="P134" s="200">
        <f t="shared" ref="P134:P143" si="8">COUNTIF($A$3:$AN$71,O134)</f>
        <v>0</v>
      </c>
      <c r="Q134" s="202">
        <f t="shared" ref="Q134:Q143" si="9">G134+P134</f>
        <v>0</v>
      </c>
      <c r="U134" s="164"/>
      <c r="V134" s="164"/>
      <c r="AC134" s="164"/>
    </row>
    <row r="135" spans="1:29" ht="23.25" x14ac:dyDescent="0.25">
      <c r="A135" s="511" t="s">
        <v>89</v>
      </c>
      <c r="B135" s="512"/>
      <c r="C135" s="512"/>
      <c r="D135" s="197" t="s">
        <v>270</v>
      </c>
      <c r="E135" s="198"/>
      <c r="F135" s="233" t="s">
        <v>90</v>
      </c>
      <c r="G135" s="200">
        <f t="shared" si="7"/>
        <v>0</v>
      </c>
      <c r="J135" s="511" t="s">
        <v>89</v>
      </c>
      <c r="K135" s="512"/>
      <c r="L135" s="512"/>
      <c r="M135" s="197" t="s">
        <v>270</v>
      </c>
      <c r="N135" s="198"/>
      <c r="O135" s="233" t="s">
        <v>90</v>
      </c>
      <c r="P135" s="200">
        <f t="shared" si="8"/>
        <v>0</v>
      </c>
      <c r="Q135" s="202">
        <f t="shared" si="9"/>
        <v>0</v>
      </c>
      <c r="R135" s="164"/>
      <c r="S135" s="164"/>
      <c r="U135" s="164"/>
      <c r="V135" s="164"/>
      <c r="AC135" s="164"/>
    </row>
    <row r="136" spans="1:29" ht="23.25" x14ac:dyDescent="0.25">
      <c r="A136" s="511" t="s">
        <v>115</v>
      </c>
      <c r="B136" s="512"/>
      <c r="C136" s="512"/>
      <c r="D136" s="197"/>
      <c r="E136" s="198"/>
      <c r="F136" s="63" t="s">
        <v>116</v>
      </c>
      <c r="G136" s="200">
        <f t="shared" si="7"/>
        <v>6</v>
      </c>
      <c r="J136" s="511" t="s">
        <v>115</v>
      </c>
      <c r="K136" s="512"/>
      <c r="L136" s="512"/>
      <c r="M136" s="197"/>
      <c r="N136" s="198"/>
      <c r="O136" s="63" t="s">
        <v>116</v>
      </c>
      <c r="P136" s="200">
        <f t="shared" si="8"/>
        <v>0</v>
      </c>
      <c r="Q136" s="202">
        <f t="shared" si="9"/>
        <v>6</v>
      </c>
      <c r="U136" s="164"/>
      <c r="V136" s="164"/>
      <c r="AC136" s="164"/>
    </row>
    <row r="137" spans="1:29" ht="23.25" x14ac:dyDescent="0.25">
      <c r="A137" s="511" t="s">
        <v>101</v>
      </c>
      <c r="B137" s="512"/>
      <c r="C137" s="512"/>
      <c r="D137" s="197"/>
      <c r="E137" s="198"/>
      <c r="F137" s="234" t="s">
        <v>102</v>
      </c>
      <c r="G137" s="200">
        <f t="shared" si="7"/>
        <v>0</v>
      </c>
      <c r="J137" s="511" t="s">
        <v>101</v>
      </c>
      <c r="K137" s="512"/>
      <c r="L137" s="512"/>
      <c r="M137" s="197"/>
      <c r="N137" s="198"/>
      <c r="O137" s="234" t="s">
        <v>102</v>
      </c>
      <c r="P137" s="200">
        <f t="shared" si="8"/>
        <v>0</v>
      </c>
      <c r="Q137" s="202">
        <f t="shared" si="9"/>
        <v>0</v>
      </c>
      <c r="U137" s="164"/>
      <c r="V137" s="164"/>
      <c r="AC137" s="164"/>
    </row>
    <row r="138" spans="1:29" ht="23.25" x14ac:dyDescent="0.25">
      <c r="A138" s="511" t="s">
        <v>91</v>
      </c>
      <c r="B138" s="512"/>
      <c r="C138" s="512"/>
      <c r="D138" s="197"/>
      <c r="E138" s="229"/>
      <c r="F138" s="235" t="s">
        <v>92</v>
      </c>
      <c r="G138" s="200">
        <f t="shared" si="7"/>
        <v>0</v>
      </c>
      <c r="J138" s="511" t="s">
        <v>91</v>
      </c>
      <c r="K138" s="512"/>
      <c r="L138" s="512"/>
      <c r="M138" s="197"/>
      <c r="N138" s="229"/>
      <c r="O138" s="235" t="s">
        <v>92</v>
      </c>
      <c r="P138" s="200">
        <f t="shared" si="8"/>
        <v>0</v>
      </c>
      <c r="Q138" s="202">
        <f t="shared" si="9"/>
        <v>0</v>
      </c>
      <c r="U138" s="164"/>
      <c r="V138" s="164"/>
      <c r="AC138" s="164"/>
    </row>
    <row r="139" spans="1:29" ht="23.25" x14ac:dyDescent="0.25">
      <c r="A139" s="511" t="s">
        <v>93</v>
      </c>
      <c r="B139" s="512"/>
      <c r="C139" s="512"/>
      <c r="D139" s="197"/>
      <c r="E139" s="229"/>
      <c r="F139" s="236" t="s">
        <v>94</v>
      </c>
      <c r="G139" s="200">
        <f t="shared" si="7"/>
        <v>0</v>
      </c>
      <c r="J139" s="511" t="s">
        <v>93</v>
      </c>
      <c r="K139" s="512"/>
      <c r="L139" s="512"/>
      <c r="M139" s="197"/>
      <c r="N139" s="229"/>
      <c r="O139" s="236" t="s">
        <v>94</v>
      </c>
      <c r="P139" s="200">
        <f t="shared" si="8"/>
        <v>0</v>
      </c>
      <c r="Q139" s="202">
        <f t="shared" si="9"/>
        <v>0</v>
      </c>
      <c r="U139" s="164"/>
      <c r="V139" s="164"/>
      <c r="AC139" s="164"/>
    </row>
    <row r="140" spans="1:29" ht="23.25" x14ac:dyDescent="0.25">
      <c r="A140" s="511" t="s">
        <v>95</v>
      </c>
      <c r="B140" s="512"/>
      <c r="C140" s="512"/>
      <c r="D140" s="197"/>
      <c r="E140" s="229"/>
      <c r="F140" s="237" t="s">
        <v>96</v>
      </c>
      <c r="G140" s="200">
        <f t="shared" si="7"/>
        <v>0</v>
      </c>
      <c r="J140" s="511" t="s">
        <v>95</v>
      </c>
      <c r="K140" s="512"/>
      <c r="L140" s="512"/>
      <c r="M140" s="197"/>
      <c r="N140" s="229"/>
      <c r="O140" s="237" t="s">
        <v>96</v>
      </c>
      <c r="P140" s="200">
        <f t="shared" si="8"/>
        <v>0</v>
      </c>
      <c r="Q140" s="202">
        <f t="shared" si="9"/>
        <v>0</v>
      </c>
      <c r="U140" s="164"/>
      <c r="V140" s="164"/>
      <c r="AC140" s="164"/>
    </row>
    <row r="141" spans="1:29" ht="23.25" x14ac:dyDescent="0.25">
      <c r="A141" s="511" t="s">
        <v>97</v>
      </c>
      <c r="B141" s="512"/>
      <c r="C141" s="512"/>
      <c r="D141" s="197"/>
      <c r="E141" s="229"/>
      <c r="F141" s="238" t="s">
        <v>98</v>
      </c>
      <c r="G141" s="200">
        <f t="shared" si="7"/>
        <v>0</v>
      </c>
      <c r="J141" s="511" t="s">
        <v>97</v>
      </c>
      <c r="K141" s="512"/>
      <c r="L141" s="512"/>
      <c r="M141" s="197"/>
      <c r="N141" s="229"/>
      <c r="O141" s="238" t="s">
        <v>98</v>
      </c>
      <c r="P141" s="200">
        <f t="shared" si="8"/>
        <v>0</v>
      </c>
      <c r="Q141" s="202">
        <f t="shared" si="9"/>
        <v>0</v>
      </c>
      <c r="U141" s="164"/>
      <c r="V141" s="164"/>
      <c r="AC141" s="164"/>
    </row>
    <row r="142" spans="1:29" ht="23.25" x14ac:dyDescent="0.25">
      <c r="A142" s="511" t="s">
        <v>145</v>
      </c>
      <c r="B142" s="512"/>
      <c r="C142" s="512"/>
      <c r="D142" s="197" t="s">
        <v>269</v>
      </c>
      <c r="E142" s="198"/>
      <c r="F142" s="239" t="s">
        <v>112</v>
      </c>
      <c r="G142" s="200">
        <f t="shared" si="7"/>
        <v>8</v>
      </c>
      <c r="J142" s="511" t="s">
        <v>145</v>
      </c>
      <c r="K142" s="512"/>
      <c r="L142" s="512"/>
      <c r="M142" s="197" t="s">
        <v>269</v>
      </c>
      <c r="N142" s="198"/>
      <c r="O142" s="239" t="s">
        <v>112</v>
      </c>
      <c r="P142" s="200">
        <f t="shared" si="8"/>
        <v>9</v>
      </c>
      <c r="Q142" s="202">
        <f t="shared" si="9"/>
        <v>17</v>
      </c>
      <c r="U142" s="164"/>
      <c r="V142" s="164"/>
      <c r="AC142" s="164"/>
    </row>
    <row r="143" spans="1:29" ht="23.25" x14ac:dyDescent="0.25">
      <c r="A143" s="511" t="s">
        <v>141</v>
      </c>
      <c r="B143" s="512"/>
      <c r="C143" s="512"/>
      <c r="D143" s="197" t="s">
        <v>269</v>
      </c>
      <c r="E143" s="229"/>
      <c r="F143" s="240" t="s">
        <v>142</v>
      </c>
      <c r="G143" s="200">
        <f t="shared" si="7"/>
        <v>0</v>
      </c>
      <c r="J143" s="511" t="s">
        <v>141</v>
      </c>
      <c r="K143" s="512"/>
      <c r="L143" s="512"/>
      <c r="M143" s="197" t="s">
        <v>269</v>
      </c>
      <c r="N143" s="229"/>
      <c r="O143" s="240" t="s">
        <v>142</v>
      </c>
      <c r="P143" s="200">
        <f t="shared" si="8"/>
        <v>0</v>
      </c>
      <c r="Q143" s="202">
        <f t="shared" si="9"/>
        <v>0</v>
      </c>
      <c r="U143" s="164"/>
      <c r="V143" s="164"/>
      <c r="AC143" s="164"/>
    </row>
    <row r="144" spans="1:29" ht="18" x14ac:dyDescent="0.25">
      <c r="A144" s="522"/>
      <c r="B144" s="523"/>
      <c r="C144" s="523"/>
      <c r="D144" s="204"/>
      <c r="E144" s="205"/>
      <c r="F144" s="206"/>
      <c r="G144" s="207"/>
      <c r="J144" s="522"/>
      <c r="K144" s="523"/>
      <c r="L144" s="523"/>
      <c r="M144" s="204"/>
      <c r="N144" s="205"/>
      <c r="O144" s="206"/>
      <c r="P144" s="207"/>
      <c r="Q144" s="208"/>
      <c r="U144" s="164"/>
      <c r="V144" s="164"/>
      <c r="AC144" s="164"/>
    </row>
    <row r="145" spans="1:29" ht="23.25" x14ac:dyDescent="0.25">
      <c r="A145" s="511" t="s">
        <v>16</v>
      </c>
      <c r="B145" s="512"/>
      <c r="C145" s="512"/>
      <c r="D145" s="197" t="s">
        <v>276</v>
      </c>
      <c r="E145" s="198"/>
      <c r="F145" s="241" t="s">
        <v>17</v>
      </c>
      <c r="G145" s="200">
        <f>COUNTIF($AO$3:$CC$42,F145)</f>
        <v>0</v>
      </c>
      <c r="J145" s="511" t="s">
        <v>16</v>
      </c>
      <c r="K145" s="512"/>
      <c r="L145" s="512"/>
      <c r="M145" s="197" t="s">
        <v>276</v>
      </c>
      <c r="N145" s="198"/>
      <c r="O145" s="241" t="s">
        <v>17</v>
      </c>
      <c r="P145" s="200">
        <f>COUNTIF($A$3:$AN$71,O145)</f>
        <v>0</v>
      </c>
      <c r="Q145" s="202">
        <f t="shared" ref="Q145" si="10">G145+P145</f>
        <v>0</v>
      </c>
      <c r="U145" s="164"/>
      <c r="V145" s="164"/>
      <c r="AC145" s="164"/>
    </row>
    <row r="146" spans="1:29" ht="23.25" x14ac:dyDescent="0.25">
      <c r="A146" s="511" t="s">
        <v>18</v>
      </c>
      <c r="B146" s="512"/>
      <c r="C146" s="512"/>
      <c r="D146" s="197" t="s">
        <v>276</v>
      </c>
      <c r="E146" s="229"/>
      <c r="F146" s="242" t="s">
        <v>19</v>
      </c>
      <c r="G146" s="200">
        <f>COUNTIF($AO$3:$CC$42,F146)</f>
        <v>0</v>
      </c>
      <c r="J146" s="511" t="s">
        <v>18</v>
      </c>
      <c r="K146" s="512"/>
      <c r="L146" s="512"/>
      <c r="M146" s="197" t="s">
        <v>276</v>
      </c>
      <c r="N146" s="229"/>
      <c r="O146" s="242" t="s">
        <v>19</v>
      </c>
      <c r="P146" s="200">
        <f>COUNTIF($A$3:$AN$71,O146)</f>
        <v>0</v>
      </c>
      <c r="Q146" s="202">
        <f t="shared" si="0"/>
        <v>0</v>
      </c>
      <c r="AC146" s="176"/>
    </row>
    <row r="147" spans="1:29" ht="23.25" x14ac:dyDescent="0.25">
      <c r="A147" s="511" t="s">
        <v>20</v>
      </c>
      <c r="B147" s="512"/>
      <c r="C147" s="512"/>
      <c r="D147" s="197" t="s">
        <v>276</v>
      </c>
      <c r="E147" s="229"/>
      <c r="F147" s="243" t="s">
        <v>21</v>
      </c>
      <c r="G147" s="200">
        <f>COUNTIF($AO$3:$CC$42,F147)</f>
        <v>0</v>
      </c>
      <c r="J147" s="511" t="s">
        <v>20</v>
      </c>
      <c r="K147" s="512"/>
      <c r="L147" s="512"/>
      <c r="M147" s="197" t="s">
        <v>276</v>
      </c>
      <c r="N147" s="229"/>
      <c r="O147" s="243" t="s">
        <v>21</v>
      </c>
      <c r="P147" s="200">
        <f>COUNTIF($A$3:$AN$71,O147)</f>
        <v>0</v>
      </c>
      <c r="Q147" s="202">
        <f t="shared" si="0"/>
        <v>0</v>
      </c>
      <c r="R147" s="164"/>
      <c r="AC147" s="176"/>
    </row>
    <row r="148" spans="1:29" ht="23.25" x14ac:dyDescent="0.25">
      <c r="A148" s="511" t="s">
        <v>22</v>
      </c>
      <c r="B148" s="512"/>
      <c r="C148" s="512"/>
      <c r="D148" s="197" t="s">
        <v>276</v>
      </c>
      <c r="E148" s="229"/>
      <c r="F148" s="244" t="s">
        <v>23</v>
      </c>
      <c r="G148" s="200">
        <f>COUNTIF($AO$3:$CC$42,F148)</f>
        <v>4</v>
      </c>
      <c r="J148" s="511" t="s">
        <v>22</v>
      </c>
      <c r="K148" s="512"/>
      <c r="L148" s="512"/>
      <c r="M148" s="197" t="s">
        <v>276</v>
      </c>
      <c r="N148" s="229"/>
      <c r="O148" s="244" t="s">
        <v>23</v>
      </c>
      <c r="P148" s="200">
        <f>COUNTIF($A$3:$AN$71,O148)</f>
        <v>0</v>
      </c>
      <c r="Q148" s="202">
        <f t="shared" si="0"/>
        <v>4</v>
      </c>
      <c r="R148" s="164"/>
      <c r="AB148" s="176"/>
      <c r="AC148" s="176"/>
    </row>
    <row r="149" spans="1:29" ht="23.25" x14ac:dyDescent="0.25">
      <c r="A149" s="511" t="s">
        <v>24</v>
      </c>
      <c r="B149" s="512"/>
      <c r="C149" s="512"/>
      <c r="D149" s="197" t="s">
        <v>276</v>
      </c>
      <c r="E149" s="229"/>
      <c r="F149" s="245" t="s">
        <v>25</v>
      </c>
      <c r="G149" s="200">
        <f>COUNTIF($AO$3:$CC$42,F149)</f>
        <v>0</v>
      </c>
      <c r="J149" s="511" t="s">
        <v>24</v>
      </c>
      <c r="K149" s="512"/>
      <c r="L149" s="512"/>
      <c r="M149" s="197" t="s">
        <v>276</v>
      </c>
      <c r="N149" s="229"/>
      <c r="O149" s="245" t="s">
        <v>25</v>
      </c>
      <c r="P149" s="200">
        <f>COUNTIF($A$3:$AN$71,O149)</f>
        <v>0</v>
      </c>
      <c r="Q149" s="202">
        <f t="shared" si="0"/>
        <v>0</v>
      </c>
      <c r="R149" s="164"/>
      <c r="AB149" s="176"/>
      <c r="AC149" s="176"/>
    </row>
    <row r="150" spans="1:29" ht="18" x14ac:dyDescent="0.25">
      <c r="A150" s="522"/>
      <c r="B150" s="523"/>
      <c r="C150" s="523"/>
      <c r="D150" s="204"/>
      <c r="E150" s="205"/>
      <c r="F150" s="206"/>
      <c r="G150" s="207"/>
      <c r="J150" s="522"/>
      <c r="K150" s="523"/>
      <c r="L150" s="523"/>
      <c r="M150" s="204"/>
      <c r="N150" s="205"/>
      <c r="O150" s="206"/>
      <c r="P150" s="207"/>
      <c r="Q150" s="208"/>
      <c r="R150" s="164"/>
      <c r="AB150" s="176"/>
      <c r="AC150" s="176"/>
    </row>
    <row r="151" spans="1:29" ht="23.25" x14ac:dyDescent="0.25">
      <c r="A151" s="511" t="s">
        <v>26</v>
      </c>
      <c r="B151" s="512"/>
      <c r="C151" s="512"/>
      <c r="D151" s="197"/>
      <c r="E151" s="198"/>
      <c r="F151" s="246" t="s">
        <v>27</v>
      </c>
      <c r="G151" s="200">
        <f t="shared" ref="G151:G189" si="11">COUNTIF($AO$3:$CC$42,F151)</f>
        <v>0</v>
      </c>
      <c r="J151" s="511" t="s">
        <v>26</v>
      </c>
      <c r="K151" s="512"/>
      <c r="L151" s="512"/>
      <c r="M151" s="197"/>
      <c r="N151" s="198"/>
      <c r="O151" s="246" t="s">
        <v>27</v>
      </c>
      <c r="P151" s="200">
        <f t="shared" ref="P151:P189" si="12">COUNTIF($A$3:$AN$71,O151)</f>
        <v>0</v>
      </c>
      <c r="Q151" s="202">
        <f t="shared" ref="Q151" si="13">G151+P151</f>
        <v>0</v>
      </c>
      <c r="R151" s="164"/>
      <c r="AB151" s="176"/>
      <c r="AC151" s="176"/>
    </row>
    <row r="152" spans="1:29" ht="23.25" x14ac:dyDescent="0.25">
      <c r="A152" s="511" t="s">
        <v>28</v>
      </c>
      <c r="B152" s="512"/>
      <c r="C152" s="512"/>
      <c r="D152" s="197"/>
      <c r="E152" s="198"/>
      <c r="F152" s="247" t="s">
        <v>29</v>
      </c>
      <c r="G152" s="200">
        <f t="shared" si="11"/>
        <v>0</v>
      </c>
      <c r="J152" s="511" t="s">
        <v>28</v>
      </c>
      <c r="K152" s="512"/>
      <c r="L152" s="512"/>
      <c r="M152" s="197"/>
      <c r="N152" s="198"/>
      <c r="O152" s="247" t="s">
        <v>29</v>
      </c>
      <c r="P152" s="221">
        <f t="shared" si="12"/>
        <v>0</v>
      </c>
      <c r="Q152" s="202">
        <f t="shared" si="0"/>
        <v>0</v>
      </c>
      <c r="R152" s="164"/>
      <c r="AB152" s="176"/>
      <c r="AC152" s="176"/>
    </row>
    <row r="153" spans="1:29" ht="23.25" x14ac:dyDescent="0.25">
      <c r="A153" s="511" t="s">
        <v>139</v>
      </c>
      <c r="B153" s="512"/>
      <c r="C153" s="512"/>
      <c r="D153" s="197"/>
      <c r="E153" s="198"/>
      <c r="F153" s="248" t="s">
        <v>131</v>
      </c>
      <c r="G153" s="200">
        <f t="shared" si="11"/>
        <v>0</v>
      </c>
      <c r="J153" s="511" t="s">
        <v>139</v>
      </c>
      <c r="K153" s="512"/>
      <c r="L153" s="512"/>
      <c r="M153" s="197"/>
      <c r="N153" s="198"/>
      <c r="O153" s="248" t="s">
        <v>131</v>
      </c>
      <c r="P153" s="200">
        <f t="shared" si="12"/>
        <v>0</v>
      </c>
      <c r="Q153" s="202">
        <f t="shared" si="0"/>
        <v>0</v>
      </c>
      <c r="R153" s="164"/>
      <c r="AB153" s="176"/>
      <c r="AC153" s="176"/>
    </row>
    <row r="154" spans="1:29" ht="23.25" x14ac:dyDescent="0.25">
      <c r="A154" s="511" t="s">
        <v>30</v>
      </c>
      <c r="B154" s="512"/>
      <c r="C154" s="512"/>
      <c r="D154" s="197"/>
      <c r="E154" s="198"/>
      <c r="F154" s="249" t="s">
        <v>31</v>
      </c>
      <c r="G154" s="200">
        <f t="shared" si="11"/>
        <v>0</v>
      </c>
      <c r="J154" s="511" t="s">
        <v>30</v>
      </c>
      <c r="K154" s="512"/>
      <c r="L154" s="512"/>
      <c r="M154" s="197"/>
      <c r="N154" s="198"/>
      <c r="O154" s="249" t="s">
        <v>31</v>
      </c>
      <c r="P154" s="200">
        <f t="shared" si="12"/>
        <v>0</v>
      </c>
      <c r="Q154" s="202">
        <f t="shared" si="0"/>
        <v>0</v>
      </c>
      <c r="R154" s="164"/>
      <c r="AB154" s="176"/>
      <c r="AC154" s="176"/>
    </row>
    <row r="155" spans="1:29" ht="23.25" x14ac:dyDescent="0.25">
      <c r="A155" s="511" t="s">
        <v>32</v>
      </c>
      <c r="B155" s="512"/>
      <c r="C155" s="512"/>
      <c r="D155" s="197"/>
      <c r="E155" s="198"/>
      <c r="F155" s="250" t="s">
        <v>33</v>
      </c>
      <c r="G155" s="200">
        <f t="shared" si="11"/>
        <v>0</v>
      </c>
      <c r="J155" s="511" t="s">
        <v>32</v>
      </c>
      <c r="K155" s="512"/>
      <c r="L155" s="512"/>
      <c r="M155" s="197"/>
      <c r="N155" s="198"/>
      <c r="O155" s="250" t="s">
        <v>33</v>
      </c>
      <c r="P155" s="200">
        <f t="shared" si="12"/>
        <v>0</v>
      </c>
      <c r="Q155" s="202">
        <f t="shared" si="0"/>
        <v>0</v>
      </c>
      <c r="R155" s="164"/>
      <c r="AB155" s="176"/>
      <c r="AC155" s="176"/>
    </row>
    <row r="156" spans="1:29" ht="23.25" x14ac:dyDescent="0.25">
      <c r="A156" s="511" t="s">
        <v>152</v>
      </c>
      <c r="B156" s="512"/>
      <c r="C156" s="512"/>
      <c r="D156" s="197"/>
      <c r="E156" s="198"/>
      <c r="F156" s="251" t="s">
        <v>153</v>
      </c>
      <c r="G156" s="200">
        <f t="shared" si="11"/>
        <v>0</v>
      </c>
      <c r="J156" s="511" t="s">
        <v>152</v>
      </c>
      <c r="K156" s="512"/>
      <c r="L156" s="512"/>
      <c r="M156" s="197"/>
      <c r="N156" s="198"/>
      <c r="O156" s="251" t="s">
        <v>153</v>
      </c>
      <c r="P156" s="200">
        <f t="shared" si="12"/>
        <v>0</v>
      </c>
      <c r="Q156" s="202">
        <f t="shared" si="0"/>
        <v>0</v>
      </c>
      <c r="R156" s="164"/>
      <c r="AB156" s="176"/>
      <c r="AC156" s="176"/>
    </row>
    <row r="157" spans="1:29" ht="23.25" x14ac:dyDescent="0.25">
      <c r="A157" s="195" t="s">
        <v>136</v>
      </c>
      <c r="B157" s="196"/>
      <c r="C157" s="196"/>
      <c r="D157" s="197"/>
      <c r="E157" s="198"/>
      <c r="F157" s="252" t="s">
        <v>128</v>
      </c>
      <c r="G157" s="200">
        <f t="shared" si="11"/>
        <v>0</v>
      </c>
      <c r="J157" s="195" t="s">
        <v>136</v>
      </c>
      <c r="K157" s="196"/>
      <c r="L157" s="196"/>
      <c r="M157" s="197"/>
      <c r="N157" s="198"/>
      <c r="O157" s="252" t="s">
        <v>128</v>
      </c>
      <c r="P157" s="200">
        <f t="shared" si="12"/>
        <v>0</v>
      </c>
      <c r="Q157" s="202">
        <f t="shared" si="0"/>
        <v>0</v>
      </c>
      <c r="R157" s="164"/>
      <c r="AB157" s="176"/>
      <c r="AC157" s="176"/>
    </row>
    <row r="158" spans="1:29" ht="23.25" x14ac:dyDescent="0.25">
      <c r="A158" s="511" t="s">
        <v>137</v>
      </c>
      <c r="B158" s="512"/>
      <c r="C158" s="512"/>
      <c r="D158" s="197"/>
      <c r="E158" s="198"/>
      <c r="F158" s="253" t="s">
        <v>129</v>
      </c>
      <c r="G158" s="200">
        <f t="shared" si="11"/>
        <v>0</v>
      </c>
      <c r="J158" s="511" t="s">
        <v>137</v>
      </c>
      <c r="K158" s="512"/>
      <c r="L158" s="512"/>
      <c r="M158" s="197"/>
      <c r="N158" s="198"/>
      <c r="O158" s="253" t="s">
        <v>129</v>
      </c>
      <c r="P158" s="200">
        <f t="shared" si="12"/>
        <v>0</v>
      </c>
      <c r="Q158" s="202">
        <f t="shared" si="0"/>
        <v>0</v>
      </c>
      <c r="R158" s="164"/>
      <c r="AB158" s="176"/>
      <c r="AC158" s="176"/>
    </row>
    <row r="159" spans="1:29" ht="23.25" x14ac:dyDescent="0.25">
      <c r="A159" s="511" t="s">
        <v>36</v>
      </c>
      <c r="B159" s="512"/>
      <c r="C159" s="512"/>
      <c r="D159" s="228"/>
      <c r="E159" s="229"/>
      <c r="F159" s="254" t="s">
        <v>37</v>
      </c>
      <c r="G159" s="200">
        <f t="shared" si="11"/>
        <v>0</v>
      </c>
      <c r="J159" s="511" t="s">
        <v>36</v>
      </c>
      <c r="K159" s="512"/>
      <c r="L159" s="512"/>
      <c r="M159" s="228"/>
      <c r="N159" s="229"/>
      <c r="O159" s="254" t="s">
        <v>37</v>
      </c>
      <c r="P159" s="200">
        <f t="shared" si="12"/>
        <v>0</v>
      </c>
      <c r="Q159" s="202">
        <f t="shared" si="0"/>
        <v>0</v>
      </c>
      <c r="R159" s="164"/>
      <c r="AB159" s="176"/>
      <c r="AC159" s="176"/>
    </row>
    <row r="160" spans="1:29" ht="23.25" x14ac:dyDescent="0.25">
      <c r="A160" s="511" t="s">
        <v>38</v>
      </c>
      <c r="B160" s="512"/>
      <c r="C160" s="512"/>
      <c r="D160" s="228"/>
      <c r="E160" s="229"/>
      <c r="F160" s="255" t="s">
        <v>39</v>
      </c>
      <c r="G160" s="200">
        <f t="shared" si="11"/>
        <v>0</v>
      </c>
      <c r="J160" s="511" t="s">
        <v>38</v>
      </c>
      <c r="K160" s="512"/>
      <c r="L160" s="512"/>
      <c r="M160" s="228"/>
      <c r="N160" s="229"/>
      <c r="O160" s="255" t="s">
        <v>39</v>
      </c>
      <c r="P160" s="200">
        <f t="shared" si="12"/>
        <v>0</v>
      </c>
      <c r="Q160" s="202">
        <f t="shared" si="0"/>
        <v>0</v>
      </c>
      <c r="R160" s="164"/>
      <c r="AB160" s="176"/>
      <c r="AC160" s="176"/>
    </row>
    <row r="161" spans="1:29" ht="23.25" x14ac:dyDescent="0.25">
      <c r="A161" s="511" t="s">
        <v>40</v>
      </c>
      <c r="B161" s="512"/>
      <c r="C161" s="512"/>
      <c r="D161" s="228"/>
      <c r="E161" s="229"/>
      <c r="F161" s="256" t="s">
        <v>41</v>
      </c>
      <c r="G161" s="200">
        <f t="shared" si="11"/>
        <v>0</v>
      </c>
      <c r="J161" s="511" t="s">
        <v>40</v>
      </c>
      <c r="K161" s="512"/>
      <c r="L161" s="512"/>
      <c r="M161" s="228"/>
      <c r="N161" s="229"/>
      <c r="O161" s="256" t="s">
        <v>41</v>
      </c>
      <c r="P161" s="200">
        <f t="shared" si="12"/>
        <v>0</v>
      </c>
      <c r="Q161" s="202">
        <f t="shared" si="0"/>
        <v>0</v>
      </c>
      <c r="R161" s="164"/>
      <c r="AB161" s="176"/>
      <c r="AC161" s="176"/>
    </row>
    <row r="162" spans="1:29" ht="23.25" x14ac:dyDescent="0.25">
      <c r="A162" s="511" t="s">
        <v>42</v>
      </c>
      <c r="B162" s="512"/>
      <c r="C162" s="512"/>
      <c r="D162" s="228"/>
      <c r="E162" s="229"/>
      <c r="F162" s="257" t="s">
        <v>43</v>
      </c>
      <c r="G162" s="200">
        <f t="shared" si="11"/>
        <v>0</v>
      </c>
      <c r="J162" s="511" t="s">
        <v>42</v>
      </c>
      <c r="K162" s="512"/>
      <c r="L162" s="512"/>
      <c r="M162" s="228"/>
      <c r="N162" s="229"/>
      <c r="O162" s="257" t="s">
        <v>43</v>
      </c>
      <c r="P162" s="221">
        <f t="shared" si="12"/>
        <v>0</v>
      </c>
      <c r="Q162" s="202">
        <f t="shared" si="0"/>
        <v>0</v>
      </c>
      <c r="R162" s="164"/>
      <c r="AB162" s="176"/>
      <c r="AC162" s="176"/>
    </row>
    <row r="163" spans="1:29" ht="23.25" x14ac:dyDescent="0.25">
      <c r="A163" s="511" t="s">
        <v>44</v>
      </c>
      <c r="B163" s="512"/>
      <c r="C163" s="512"/>
      <c r="D163" s="228"/>
      <c r="E163" s="229"/>
      <c r="F163" s="258" t="s">
        <v>45</v>
      </c>
      <c r="G163" s="200">
        <f t="shared" si="11"/>
        <v>0</v>
      </c>
      <c r="J163" s="511" t="s">
        <v>44</v>
      </c>
      <c r="K163" s="512"/>
      <c r="L163" s="512"/>
      <c r="M163" s="228"/>
      <c r="N163" s="229"/>
      <c r="O163" s="258" t="s">
        <v>45</v>
      </c>
      <c r="P163" s="221">
        <f t="shared" si="12"/>
        <v>0</v>
      </c>
      <c r="Q163" s="202">
        <f t="shared" si="0"/>
        <v>0</v>
      </c>
      <c r="R163" s="164"/>
      <c r="AB163" s="176"/>
      <c r="AC163" s="176"/>
    </row>
    <row r="164" spans="1:29" ht="23.25" x14ac:dyDescent="0.25">
      <c r="A164" s="511" t="s">
        <v>46</v>
      </c>
      <c r="B164" s="512"/>
      <c r="C164" s="512"/>
      <c r="D164" s="228"/>
      <c r="E164" s="229"/>
      <c r="F164" s="259" t="s">
        <v>47</v>
      </c>
      <c r="G164" s="200">
        <f t="shared" si="11"/>
        <v>0</v>
      </c>
      <c r="J164" s="511" t="s">
        <v>46</v>
      </c>
      <c r="K164" s="512"/>
      <c r="L164" s="512"/>
      <c r="M164" s="228"/>
      <c r="N164" s="229"/>
      <c r="O164" s="259" t="s">
        <v>47</v>
      </c>
      <c r="P164" s="221">
        <f t="shared" si="12"/>
        <v>0</v>
      </c>
      <c r="Q164" s="202">
        <f t="shared" si="0"/>
        <v>0</v>
      </c>
      <c r="R164" s="164"/>
      <c r="AB164" s="176"/>
      <c r="AC164" s="176"/>
    </row>
    <row r="165" spans="1:29" ht="23.25" x14ac:dyDescent="0.25">
      <c r="A165" s="511" t="s">
        <v>107</v>
      </c>
      <c r="B165" s="512"/>
      <c r="C165" s="512"/>
      <c r="D165" s="228"/>
      <c r="E165" s="229"/>
      <c r="F165" s="260" t="s">
        <v>108</v>
      </c>
      <c r="G165" s="200">
        <f t="shared" si="11"/>
        <v>0</v>
      </c>
      <c r="J165" s="511" t="s">
        <v>107</v>
      </c>
      <c r="K165" s="512"/>
      <c r="L165" s="512"/>
      <c r="M165" s="228"/>
      <c r="N165" s="229"/>
      <c r="O165" s="260" t="s">
        <v>108</v>
      </c>
      <c r="P165" s="221">
        <f t="shared" si="12"/>
        <v>0</v>
      </c>
      <c r="Q165" s="202">
        <f t="shared" si="0"/>
        <v>0</v>
      </c>
      <c r="R165" s="164"/>
      <c r="AB165" s="176"/>
      <c r="AC165" s="176"/>
    </row>
    <row r="166" spans="1:29" ht="23.25" x14ac:dyDescent="0.25">
      <c r="A166" s="511" t="s">
        <v>140</v>
      </c>
      <c r="B166" s="512"/>
      <c r="C166" s="512"/>
      <c r="D166" s="228"/>
      <c r="E166" s="229"/>
      <c r="F166" s="261" t="s">
        <v>132</v>
      </c>
      <c r="G166" s="200">
        <f t="shared" si="11"/>
        <v>0</v>
      </c>
      <c r="J166" s="511" t="s">
        <v>140</v>
      </c>
      <c r="K166" s="512"/>
      <c r="L166" s="512"/>
      <c r="M166" s="228"/>
      <c r="N166" s="229"/>
      <c r="O166" s="261" t="s">
        <v>132</v>
      </c>
      <c r="P166" s="221">
        <f t="shared" si="12"/>
        <v>0</v>
      </c>
      <c r="Q166" s="202">
        <f t="shared" si="0"/>
        <v>0</v>
      </c>
      <c r="R166" s="164"/>
      <c r="AB166" s="176"/>
      <c r="AC166" s="176"/>
    </row>
    <row r="167" spans="1:29" ht="23.25" x14ac:dyDescent="0.25">
      <c r="A167" s="511" t="s">
        <v>48</v>
      </c>
      <c r="B167" s="512"/>
      <c r="C167" s="512"/>
      <c r="D167" s="228"/>
      <c r="E167" s="229"/>
      <c r="F167" s="262" t="s">
        <v>49</v>
      </c>
      <c r="G167" s="200">
        <f t="shared" si="11"/>
        <v>0</v>
      </c>
      <c r="J167" s="511" t="s">
        <v>48</v>
      </c>
      <c r="K167" s="512"/>
      <c r="L167" s="512"/>
      <c r="M167" s="228"/>
      <c r="N167" s="229"/>
      <c r="O167" s="262" t="s">
        <v>49</v>
      </c>
      <c r="P167" s="221">
        <f t="shared" si="12"/>
        <v>0</v>
      </c>
      <c r="Q167" s="202">
        <f t="shared" si="0"/>
        <v>0</v>
      </c>
      <c r="R167" s="164"/>
      <c r="AB167" s="176"/>
      <c r="AC167" s="176"/>
    </row>
    <row r="168" spans="1:29" ht="23.25" x14ac:dyDescent="0.25">
      <c r="A168" s="511" t="s">
        <v>50</v>
      </c>
      <c r="B168" s="512"/>
      <c r="C168" s="512"/>
      <c r="D168" s="228"/>
      <c r="E168" s="229"/>
      <c r="F168" s="234" t="s">
        <v>51</v>
      </c>
      <c r="G168" s="200">
        <f t="shared" si="11"/>
        <v>8</v>
      </c>
      <c r="J168" s="511" t="s">
        <v>50</v>
      </c>
      <c r="K168" s="512"/>
      <c r="L168" s="512"/>
      <c r="M168" s="228"/>
      <c r="N168" s="229"/>
      <c r="O168" s="234" t="s">
        <v>51</v>
      </c>
      <c r="P168" s="200">
        <f t="shared" si="12"/>
        <v>2</v>
      </c>
      <c r="Q168" s="202">
        <f t="shared" si="0"/>
        <v>10</v>
      </c>
      <c r="R168" s="164"/>
      <c r="AB168" s="176"/>
      <c r="AC168" s="176"/>
    </row>
    <row r="169" spans="1:29" ht="23.25" x14ac:dyDescent="0.25">
      <c r="A169" s="511" t="s">
        <v>52</v>
      </c>
      <c r="B169" s="512"/>
      <c r="C169" s="512"/>
      <c r="D169" s="228"/>
      <c r="E169" s="229"/>
      <c r="F169" s="32" t="s">
        <v>53</v>
      </c>
      <c r="G169" s="200">
        <f t="shared" si="11"/>
        <v>4</v>
      </c>
      <c r="J169" s="511" t="s">
        <v>52</v>
      </c>
      <c r="K169" s="512"/>
      <c r="L169" s="512"/>
      <c r="M169" s="228"/>
      <c r="N169" s="229"/>
      <c r="O169" s="32" t="s">
        <v>53</v>
      </c>
      <c r="P169" s="200">
        <f t="shared" si="12"/>
        <v>0</v>
      </c>
      <c r="Q169" s="202">
        <f t="shared" si="0"/>
        <v>4</v>
      </c>
      <c r="R169" s="164"/>
      <c r="AB169" s="176"/>
      <c r="AC169" s="176"/>
    </row>
    <row r="170" spans="1:29" ht="23.25" x14ac:dyDescent="0.25">
      <c r="A170" s="511" t="s">
        <v>117</v>
      </c>
      <c r="B170" s="512"/>
      <c r="C170" s="512"/>
      <c r="D170" s="228"/>
      <c r="E170" s="229"/>
      <c r="F170" s="90" t="s">
        <v>118</v>
      </c>
      <c r="G170" s="200">
        <f t="shared" si="11"/>
        <v>0</v>
      </c>
      <c r="J170" s="511" t="s">
        <v>117</v>
      </c>
      <c r="K170" s="512"/>
      <c r="L170" s="512"/>
      <c r="M170" s="228"/>
      <c r="N170" s="229"/>
      <c r="O170" s="90" t="s">
        <v>118</v>
      </c>
      <c r="P170" s="200">
        <f t="shared" si="12"/>
        <v>3</v>
      </c>
      <c r="Q170" s="202">
        <f>G170+P170</f>
        <v>3</v>
      </c>
      <c r="R170" s="164"/>
      <c r="AB170" s="176"/>
      <c r="AC170" s="176"/>
    </row>
    <row r="171" spans="1:29" ht="23.25" x14ac:dyDescent="0.25">
      <c r="A171" s="511" t="s">
        <v>54</v>
      </c>
      <c r="B171" s="512"/>
      <c r="C171" s="512"/>
      <c r="D171" s="228"/>
      <c r="E171" s="229"/>
      <c r="F171" s="263" t="s">
        <v>55</v>
      </c>
      <c r="G171" s="200">
        <f t="shared" si="11"/>
        <v>8</v>
      </c>
      <c r="J171" s="511" t="s">
        <v>54</v>
      </c>
      <c r="K171" s="512"/>
      <c r="L171" s="512"/>
      <c r="M171" s="228"/>
      <c r="N171" s="229"/>
      <c r="O171" s="263" t="s">
        <v>55</v>
      </c>
      <c r="P171" s="200">
        <f t="shared" si="12"/>
        <v>2</v>
      </c>
      <c r="Q171" s="202">
        <f t="shared" si="0"/>
        <v>10</v>
      </c>
      <c r="R171" s="164"/>
      <c r="AB171" s="176"/>
      <c r="AC171" s="176"/>
    </row>
    <row r="172" spans="1:29" ht="23.25" x14ac:dyDescent="0.25">
      <c r="A172" s="511" t="s">
        <v>56</v>
      </c>
      <c r="B172" s="512"/>
      <c r="C172" s="512"/>
      <c r="D172" s="228"/>
      <c r="E172" s="229"/>
      <c r="F172" s="264" t="s">
        <v>57</v>
      </c>
      <c r="G172" s="200">
        <f t="shared" si="11"/>
        <v>0</v>
      </c>
      <c r="J172" s="511" t="s">
        <v>56</v>
      </c>
      <c r="K172" s="512"/>
      <c r="L172" s="512"/>
      <c r="M172" s="228"/>
      <c r="N172" s="229"/>
      <c r="O172" s="264" t="s">
        <v>57</v>
      </c>
      <c r="P172" s="200">
        <f t="shared" si="12"/>
        <v>0</v>
      </c>
      <c r="Q172" s="202">
        <f t="shared" si="0"/>
        <v>0</v>
      </c>
      <c r="R172" s="164"/>
      <c r="AB172" s="176"/>
      <c r="AC172" s="176"/>
    </row>
    <row r="173" spans="1:29" ht="23.25" x14ac:dyDescent="0.25">
      <c r="A173" s="511" t="s">
        <v>119</v>
      </c>
      <c r="B173" s="512"/>
      <c r="C173" s="512"/>
      <c r="D173" s="228"/>
      <c r="E173" s="229"/>
      <c r="F173" s="91" t="s">
        <v>120</v>
      </c>
      <c r="G173" s="200">
        <f t="shared" si="11"/>
        <v>0</v>
      </c>
      <c r="J173" s="511" t="s">
        <v>119</v>
      </c>
      <c r="K173" s="512"/>
      <c r="L173" s="512"/>
      <c r="M173" s="228"/>
      <c r="N173" s="229"/>
      <c r="O173" s="91" t="s">
        <v>120</v>
      </c>
      <c r="P173" s="200">
        <f t="shared" si="12"/>
        <v>3</v>
      </c>
      <c r="Q173" s="202">
        <f t="shared" si="0"/>
        <v>3</v>
      </c>
      <c r="R173" s="164"/>
      <c r="AB173" s="176"/>
      <c r="AC173" s="176"/>
    </row>
    <row r="174" spans="1:29" ht="23.25" x14ac:dyDescent="0.25">
      <c r="A174" s="511" t="s">
        <v>58</v>
      </c>
      <c r="B174" s="512"/>
      <c r="C174" s="512"/>
      <c r="D174" s="197"/>
      <c r="E174" s="198"/>
      <c r="F174" s="265" t="s">
        <v>59</v>
      </c>
      <c r="G174" s="200">
        <f t="shared" si="11"/>
        <v>0</v>
      </c>
      <c r="J174" s="511" t="s">
        <v>58</v>
      </c>
      <c r="K174" s="512"/>
      <c r="L174" s="512"/>
      <c r="M174" s="197"/>
      <c r="N174" s="198"/>
      <c r="O174" s="265" t="s">
        <v>59</v>
      </c>
      <c r="P174" s="221">
        <f t="shared" si="12"/>
        <v>0</v>
      </c>
      <c r="Q174" s="202">
        <f t="shared" si="0"/>
        <v>0</v>
      </c>
      <c r="R174" s="164"/>
      <c r="AB174" s="176"/>
      <c r="AC174" s="176"/>
    </row>
    <row r="175" spans="1:29" ht="23.25" x14ac:dyDescent="0.25">
      <c r="A175" s="511" t="s">
        <v>159</v>
      </c>
      <c r="B175" s="512"/>
      <c r="C175" s="512"/>
      <c r="D175" s="197"/>
      <c r="E175" s="229"/>
      <c r="F175" s="97" t="s">
        <v>158</v>
      </c>
      <c r="G175" s="200">
        <f t="shared" si="11"/>
        <v>4</v>
      </c>
      <c r="J175" s="511" t="s">
        <v>159</v>
      </c>
      <c r="K175" s="512"/>
      <c r="L175" s="512"/>
      <c r="M175" s="197"/>
      <c r="N175" s="229"/>
      <c r="O175" s="97" t="s">
        <v>158</v>
      </c>
      <c r="P175" s="200">
        <f t="shared" si="12"/>
        <v>4</v>
      </c>
      <c r="Q175" s="202">
        <f t="shared" si="0"/>
        <v>8</v>
      </c>
      <c r="R175" s="164"/>
      <c r="AB175" s="176"/>
      <c r="AC175" s="176"/>
    </row>
    <row r="176" spans="1:29" ht="23.25" x14ac:dyDescent="0.25">
      <c r="A176" s="511" t="s">
        <v>60</v>
      </c>
      <c r="B176" s="512"/>
      <c r="C176" s="512"/>
      <c r="D176" s="197"/>
      <c r="E176" s="198"/>
      <c r="F176" s="266" t="s">
        <v>61</v>
      </c>
      <c r="G176" s="200">
        <f t="shared" si="11"/>
        <v>3</v>
      </c>
      <c r="J176" s="511" t="s">
        <v>60</v>
      </c>
      <c r="K176" s="512"/>
      <c r="L176" s="512"/>
      <c r="M176" s="197"/>
      <c r="N176" s="198"/>
      <c r="O176" s="266" t="s">
        <v>61</v>
      </c>
      <c r="P176" s="221">
        <f t="shared" si="12"/>
        <v>0</v>
      </c>
      <c r="Q176" s="202">
        <f t="shared" si="0"/>
        <v>3</v>
      </c>
      <c r="R176" s="164"/>
      <c r="AB176" s="176"/>
      <c r="AC176" s="176"/>
    </row>
    <row r="177" spans="1:29" ht="23.25" x14ac:dyDescent="0.25">
      <c r="A177" s="511" t="s">
        <v>62</v>
      </c>
      <c r="B177" s="512"/>
      <c r="C177" s="512"/>
      <c r="D177" s="197"/>
      <c r="E177" s="198"/>
      <c r="F177" s="267" t="s">
        <v>63</v>
      </c>
      <c r="G177" s="200">
        <f t="shared" si="11"/>
        <v>2</v>
      </c>
      <c r="J177" s="511" t="s">
        <v>62</v>
      </c>
      <c r="K177" s="512"/>
      <c r="L177" s="512"/>
      <c r="M177" s="197"/>
      <c r="N177" s="198"/>
      <c r="O177" s="267" t="s">
        <v>63</v>
      </c>
      <c r="P177" s="221">
        <f t="shared" si="12"/>
        <v>0</v>
      </c>
      <c r="Q177" s="202">
        <f t="shared" si="0"/>
        <v>2</v>
      </c>
      <c r="R177" s="164"/>
      <c r="AB177" s="176"/>
      <c r="AC177" s="176"/>
    </row>
    <row r="178" spans="1:29" ht="23.25" x14ac:dyDescent="0.25">
      <c r="A178" s="511" t="s">
        <v>64</v>
      </c>
      <c r="B178" s="512"/>
      <c r="C178" s="512"/>
      <c r="D178" s="197"/>
      <c r="E178" s="198"/>
      <c r="F178" s="268" t="s">
        <v>65</v>
      </c>
      <c r="G178" s="200">
        <f t="shared" si="11"/>
        <v>0</v>
      </c>
      <c r="J178" s="511" t="s">
        <v>64</v>
      </c>
      <c r="K178" s="512"/>
      <c r="L178" s="512"/>
      <c r="M178" s="197"/>
      <c r="N178" s="198"/>
      <c r="O178" s="268" t="s">
        <v>65</v>
      </c>
      <c r="P178" s="200">
        <f t="shared" si="12"/>
        <v>0</v>
      </c>
      <c r="Q178" s="202">
        <f t="shared" si="0"/>
        <v>0</v>
      </c>
      <c r="R178" s="164"/>
      <c r="AB178" s="176"/>
      <c r="AC178" s="176"/>
    </row>
    <row r="179" spans="1:29" ht="23.25" x14ac:dyDescent="0.25">
      <c r="A179" s="511" t="s">
        <v>99</v>
      </c>
      <c r="B179" s="512"/>
      <c r="C179" s="512"/>
      <c r="D179" s="197"/>
      <c r="E179" s="198"/>
      <c r="F179" s="268" t="s">
        <v>66</v>
      </c>
      <c r="G179" s="200">
        <f t="shared" si="11"/>
        <v>0</v>
      </c>
      <c r="J179" s="511" t="s">
        <v>99</v>
      </c>
      <c r="K179" s="512"/>
      <c r="L179" s="512"/>
      <c r="M179" s="197"/>
      <c r="N179" s="198"/>
      <c r="O179" s="268" t="s">
        <v>66</v>
      </c>
      <c r="P179" s="221">
        <f t="shared" si="12"/>
        <v>0</v>
      </c>
      <c r="Q179" s="202">
        <f t="shared" si="0"/>
        <v>0</v>
      </c>
      <c r="R179" s="164"/>
      <c r="AB179" s="176"/>
      <c r="AC179" s="176"/>
    </row>
    <row r="180" spans="1:29" ht="23.25" x14ac:dyDescent="0.25">
      <c r="A180" s="511" t="s">
        <v>100</v>
      </c>
      <c r="B180" s="512"/>
      <c r="C180" s="512"/>
      <c r="D180" s="197"/>
      <c r="E180" s="198"/>
      <c r="F180" s="268" t="s">
        <v>67</v>
      </c>
      <c r="G180" s="200">
        <f t="shared" si="11"/>
        <v>0</v>
      </c>
      <c r="J180" s="511" t="s">
        <v>100</v>
      </c>
      <c r="K180" s="512"/>
      <c r="L180" s="512"/>
      <c r="M180" s="197"/>
      <c r="N180" s="198"/>
      <c r="O180" s="268" t="s">
        <v>67</v>
      </c>
      <c r="P180" s="200">
        <f t="shared" si="12"/>
        <v>0</v>
      </c>
      <c r="Q180" s="202">
        <f t="shared" si="0"/>
        <v>0</v>
      </c>
      <c r="R180" s="164"/>
      <c r="AB180" s="176"/>
      <c r="AC180" s="176"/>
    </row>
    <row r="181" spans="1:29" ht="23.25" x14ac:dyDescent="0.25">
      <c r="A181" s="511" t="s">
        <v>1</v>
      </c>
      <c r="B181" s="512"/>
      <c r="C181" s="512"/>
      <c r="D181" s="197"/>
      <c r="E181" s="198"/>
      <c r="F181" s="269" t="s">
        <v>0</v>
      </c>
      <c r="G181" s="200">
        <f t="shared" si="11"/>
        <v>7</v>
      </c>
      <c r="J181" s="511" t="s">
        <v>1</v>
      </c>
      <c r="K181" s="512"/>
      <c r="L181" s="512"/>
      <c r="M181" s="197"/>
      <c r="N181" s="198"/>
      <c r="O181" s="269" t="s">
        <v>0</v>
      </c>
      <c r="P181" s="221">
        <f t="shared" si="12"/>
        <v>0</v>
      </c>
      <c r="Q181" s="202">
        <f t="shared" si="0"/>
        <v>7</v>
      </c>
      <c r="R181" s="164"/>
      <c r="AB181" s="176"/>
      <c r="AC181" s="176"/>
    </row>
    <row r="182" spans="1:29" ht="23.25" x14ac:dyDescent="0.25">
      <c r="A182" s="511" t="s">
        <v>68</v>
      </c>
      <c r="B182" s="512"/>
      <c r="C182" s="512"/>
      <c r="D182" s="197"/>
      <c r="E182" s="198"/>
      <c r="F182" s="214" t="s">
        <v>69</v>
      </c>
      <c r="G182" s="200">
        <f t="shared" si="11"/>
        <v>0</v>
      </c>
      <c r="J182" s="511" t="s">
        <v>68</v>
      </c>
      <c r="K182" s="512"/>
      <c r="L182" s="512"/>
      <c r="M182" s="197"/>
      <c r="N182" s="198"/>
      <c r="O182" s="214" t="s">
        <v>69</v>
      </c>
      <c r="P182" s="221">
        <f t="shared" si="12"/>
        <v>0</v>
      </c>
      <c r="Q182" s="202">
        <f t="shared" si="0"/>
        <v>0</v>
      </c>
      <c r="R182" s="164"/>
      <c r="AB182" s="176"/>
      <c r="AC182" s="176"/>
    </row>
    <row r="183" spans="1:29" ht="23.25" x14ac:dyDescent="0.25">
      <c r="A183" s="195" t="s">
        <v>105</v>
      </c>
      <c r="B183" s="196"/>
      <c r="C183" s="196"/>
      <c r="D183" s="197"/>
      <c r="E183" s="229"/>
      <c r="F183" s="270" t="s">
        <v>106</v>
      </c>
      <c r="G183" s="200">
        <f t="shared" si="11"/>
        <v>0</v>
      </c>
      <c r="J183" s="195" t="s">
        <v>105</v>
      </c>
      <c r="K183" s="196"/>
      <c r="L183" s="196"/>
      <c r="M183" s="197"/>
      <c r="N183" s="229"/>
      <c r="O183" s="270" t="s">
        <v>106</v>
      </c>
      <c r="P183" s="221">
        <f t="shared" si="12"/>
        <v>0</v>
      </c>
      <c r="Q183" s="202">
        <f t="shared" si="0"/>
        <v>0</v>
      </c>
      <c r="R183" s="164"/>
      <c r="AB183" s="176"/>
      <c r="AC183" s="176"/>
    </row>
    <row r="184" spans="1:29" ht="23.25" x14ac:dyDescent="0.25">
      <c r="A184" s="511" t="s">
        <v>123</v>
      </c>
      <c r="B184" s="512"/>
      <c r="C184" s="512"/>
      <c r="D184" s="197"/>
      <c r="E184" s="198"/>
      <c r="F184" s="271" t="s">
        <v>124</v>
      </c>
      <c r="G184" s="200">
        <f t="shared" si="11"/>
        <v>0</v>
      </c>
      <c r="J184" s="511" t="s">
        <v>123</v>
      </c>
      <c r="K184" s="512"/>
      <c r="L184" s="512"/>
      <c r="M184" s="197"/>
      <c r="N184" s="198"/>
      <c r="O184" s="271" t="s">
        <v>124</v>
      </c>
      <c r="P184" s="221">
        <f t="shared" si="12"/>
        <v>0</v>
      </c>
      <c r="Q184" s="202">
        <f t="shared" si="0"/>
        <v>0</v>
      </c>
      <c r="R184" s="164"/>
      <c r="AB184" s="176"/>
      <c r="AC184" s="176"/>
    </row>
    <row r="185" spans="1:29" ht="23.25" x14ac:dyDescent="0.25">
      <c r="A185" s="195" t="s">
        <v>103</v>
      </c>
      <c r="B185" s="196"/>
      <c r="C185" s="196"/>
      <c r="D185" s="197"/>
      <c r="E185" s="229"/>
      <c r="F185" s="78" t="s">
        <v>104</v>
      </c>
      <c r="G185" s="200">
        <f t="shared" si="11"/>
        <v>8</v>
      </c>
      <c r="J185" s="195" t="s">
        <v>103</v>
      </c>
      <c r="K185" s="196"/>
      <c r="L185" s="196"/>
      <c r="M185" s="197"/>
      <c r="N185" s="229"/>
      <c r="O185" s="78" t="s">
        <v>104</v>
      </c>
      <c r="P185" s="221">
        <f t="shared" si="12"/>
        <v>6</v>
      </c>
      <c r="Q185" s="202">
        <f t="shared" si="0"/>
        <v>14</v>
      </c>
      <c r="R185" s="164"/>
      <c r="AB185" s="176"/>
      <c r="AC185" s="176"/>
    </row>
    <row r="186" spans="1:29" ht="23.25" x14ac:dyDescent="0.25">
      <c r="A186" s="511" t="s">
        <v>70</v>
      </c>
      <c r="B186" s="512"/>
      <c r="C186" s="512"/>
      <c r="D186" s="228"/>
      <c r="E186" s="229"/>
      <c r="F186" s="272" t="s">
        <v>71</v>
      </c>
      <c r="G186" s="200">
        <f t="shared" si="11"/>
        <v>0</v>
      </c>
      <c r="J186" s="511" t="s">
        <v>70</v>
      </c>
      <c r="K186" s="512"/>
      <c r="L186" s="512"/>
      <c r="M186" s="228"/>
      <c r="N186" s="229"/>
      <c r="O186" s="272" t="s">
        <v>71</v>
      </c>
      <c r="P186" s="221">
        <f t="shared" si="12"/>
        <v>0</v>
      </c>
      <c r="Q186" s="202">
        <f t="shared" si="0"/>
        <v>0</v>
      </c>
      <c r="R186" s="164"/>
      <c r="AB186" s="176"/>
      <c r="AC186" s="176"/>
    </row>
    <row r="187" spans="1:29" ht="23.25" x14ac:dyDescent="0.25">
      <c r="A187" s="511" t="s">
        <v>72</v>
      </c>
      <c r="B187" s="512"/>
      <c r="C187" s="512"/>
      <c r="D187" s="228"/>
      <c r="E187" s="229"/>
      <c r="F187" s="273" t="s">
        <v>73</v>
      </c>
      <c r="G187" s="200">
        <f t="shared" si="11"/>
        <v>0</v>
      </c>
      <c r="J187" s="511" t="s">
        <v>72</v>
      </c>
      <c r="K187" s="512"/>
      <c r="L187" s="512"/>
      <c r="M187" s="228"/>
      <c r="N187" s="229"/>
      <c r="O187" s="273" t="s">
        <v>73</v>
      </c>
      <c r="P187" s="221">
        <f t="shared" si="12"/>
        <v>0</v>
      </c>
      <c r="Q187" s="202">
        <f t="shared" si="0"/>
        <v>0</v>
      </c>
      <c r="R187" s="164"/>
      <c r="AB187" s="176"/>
      <c r="AC187" s="176"/>
    </row>
    <row r="188" spans="1:29" ht="23.25" x14ac:dyDescent="0.25">
      <c r="A188" s="511" t="s">
        <v>74</v>
      </c>
      <c r="B188" s="512"/>
      <c r="C188" s="512"/>
      <c r="D188" s="228"/>
      <c r="E188" s="229"/>
      <c r="F188" s="274" t="s">
        <v>75</v>
      </c>
      <c r="G188" s="200">
        <f t="shared" si="11"/>
        <v>0</v>
      </c>
      <c r="J188" s="511" t="s">
        <v>74</v>
      </c>
      <c r="K188" s="512"/>
      <c r="L188" s="512"/>
      <c r="M188" s="228"/>
      <c r="N188" s="229"/>
      <c r="O188" s="274" t="s">
        <v>75</v>
      </c>
      <c r="P188" s="221">
        <f t="shared" si="12"/>
        <v>0</v>
      </c>
      <c r="Q188" s="202">
        <f t="shared" si="0"/>
        <v>0</v>
      </c>
      <c r="R188" s="164"/>
      <c r="AB188" s="176"/>
      <c r="AC188" s="176"/>
    </row>
    <row r="189" spans="1:29" ht="23.25" x14ac:dyDescent="0.25">
      <c r="A189" s="511" t="s">
        <v>138</v>
      </c>
      <c r="B189" s="512"/>
      <c r="C189" s="512"/>
      <c r="D189" s="228"/>
      <c r="E189" s="229"/>
      <c r="F189" s="275" t="s">
        <v>126</v>
      </c>
      <c r="G189" s="200">
        <f t="shared" si="11"/>
        <v>0</v>
      </c>
      <c r="J189" s="511" t="s">
        <v>138</v>
      </c>
      <c r="K189" s="512"/>
      <c r="L189" s="512"/>
      <c r="M189" s="228"/>
      <c r="N189" s="229"/>
      <c r="O189" s="275" t="s">
        <v>126</v>
      </c>
      <c r="P189" s="221">
        <f t="shared" si="12"/>
        <v>0</v>
      </c>
      <c r="Q189" s="202">
        <f t="shared" si="0"/>
        <v>0</v>
      </c>
      <c r="R189" s="164"/>
      <c r="AB189" s="176"/>
      <c r="AC189" s="176"/>
    </row>
    <row r="190" spans="1:29" ht="18" x14ac:dyDescent="0.25">
      <c r="A190" s="525" t="s">
        <v>255</v>
      </c>
      <c r="B190" s="526"/>
      <c r="C190" s="527"/>
      <c r="D190" s="276"/>
      <c r="E190" s="198"/>
      <c r="F190" s="277"/>
      <c r="G190" s="202">
        <f>SUM(G101:G189)</f>
        <v>90</v>
      </c>
      <c r="J190" s="525" t="s">
        <v>255</v>
      </c>
      <c r="K190" s="526"/>
      <c r="L190" s="526"/>
      <c r="M190" s="276"/>
      <c r="N190" s="198"/>
      <c r="O190" s="278"/>
      <c r="P190" s="202">
        <f>SUM(P101:P189)</f>
        <v>60</v>
      </c>
      <c r="Q190" s="202">
        <f>SUM(Q101:Q189)</f>
        <v>150</v>
      </c>
      <c r="R190" s="164"/>
      <c r="AB190" s="176"/>
      <c r="AC190" s="176"/>
    </row>
    <row r="191" spans="1:29" x14ac:dyDescent="0.25">
      <c r="R191" s="164"/>
      <c r="AB191" s="176"/>
      <c r="AC191" s="176"/>
    </row>
    <row r="192" spans="1:29" x14ac:dyDescent="0.25">
      <c r="A192" s="531" t="s">
        <v>277</v>
      </c>
      <c r="B192" s="531"/>
      <c r="C192" s="531"/>
      <c r="D192" s="531"/>
      <c r="E192" s="531"/>
      <c r="F192" s="531"/>
      <c r="G192" s="531"/>
      <c r="H192" s="531"/>
      <c r="I192" s="531"/>
      <c r="J192" s="531"/>
      <c r="K192" s="531"/>
      <c r="L192" s="531"/>
      <c r="M192" s="531"/>
      <c r="N192" s="531"/>
      <c r="O192" s="531"/>
      <c r="P192" s="531"/>
      <c r="Q192" s="531"/>
      <c r="R192" s="164"/>
      <c r="AB192" s="176"/>
      <c r="AC192" s="176"/>
    </row>
    <row r="193" spans="1:29" x14ac:dyDescent="0.25">
      <c r="A193" s="531"/>
      <c r="B193" s="531"/>
      <c r="C193" s="531"/>
      <c r="D193" s="531"/>
      <c r="E193" s="531"/>
      <c r="F193" s="531"/>
      <c r="G193" s="531"/>
      <c r="H193" s="531"/>
      <c r="I193" s="531"/>
      <c r="J193" s="531"/>
      <c r="K193" s="531"/>
      <c r="L193" s="531"/>
      <c r="M193" s="531"/>
      <c r="N193" s="531"/>
      <c r="O193" s="531"/>
      <c r="P193" s="531"/>
      <c r="Q193" s="531"/>
      <c r="R193" s="164"/>
      <c r="AB193" s="176"/>
      <c r="AC193" s="176"/>
    </row>
    <row r="194" spans="1:29" x14ac:dyDescent="0.25">
      <c r="R194" s="164"/>
      <c r="AB194" s="176"/>
      <c r="AC194" s="176"/>
    </row>
    <row r="195" spans="1:29" x14ac:dyDescent="0.25">
      <c r="R195" s="164"/>
      <c r="AB195" s="176"/>
      <c r="AC195" s="176"/>
    </row>
    <row r="196" spans="1:29" x14ac:dyDescent="0.25">
      <c r="A196" s="532" t="s">
        <v>278</v>
      </c>
      <c r="B196" s="532"/>
      <c r="C196" s="532"/>
      <c r="D196" s="532"/>
      <c r="E196" s="532"/>
      <c r="F196" s="532"/>
      <c r="G196" s="532"/>
      <c r="H196" s="532"/>
      <c r="I196" s="532"/>
      <c r="J196" s="532"/>
      <c r="K196" s="532"/>
      <c r="L196" s="532"/>
      <c r="M196" s="532"/>
      <c r="N196" s="532"/>
      <c r="O196" s="532"/>
      <c r="P196" s="532"/>
      <c r="Q196" s="532"/>
      <c r="R196" s="164"/>
      <c r="AB196" s="176"/>
      <c r="AC196" s="176"/>
    </row>
    <row r="197" spans="1:29" x14ac:dyDescent="0.25">
      <c r="A197" s="532"/>
      <c r="B197" s="532"/>
      <c r="C197" s="532"/>
      <c r="D197" s="532"/>
      <c r="E197" s="532"/>
      <c r="F197" s="532"/>
      <c r="G197" s="532"/>
      <c r="H197" s="532"/>
      <c r="I197" s="532"/>
      <c r="J197" s="532"/>
      <c r="K197" s="532"/>
      <c r="L197" s="532"/>
      <c r="M197" s="532"/>
      <c r="N197" s="532"/>
      <c r="O197" s="532"/>
      <c r="P197" s="532"/>
      <c r="Q197" s="532"/>
      <c r="R197" s="164"/>
      <c r="AB197" s="176"/>
      <c r="AC197" s="176"/>
    </row>
    <row r="198" spans="1:29" x14ac:dyDescent="0.25">
      <c r="Q198" s="164"/>
      <c r="R198" s="164"/>
      <c r="AB198" s="176"/>
      <c r="AC198" s="176"/>
    </row>
    <row r="199" spans="1:29" x14ac:dyDescent="0.25">
      <c r="R199" s="164"/>
      <c r="AB199" s="176"/>
      <c r="AC199" s="176"/>
    </row>
    <row r="200" spans="1:29" ht="15.75" thickBot="1" x14ac:dyDescent="0.3">
      <c r="R200" s="164"/>
      <c r="AB200" s="176"/>
      <c r="AC200" s="176"/>
    </row>
    <row r="201" spans="1:29" ht="21.75" thickBot="1" x14ac:dyDescent="0.4">
      <c r="A201" s="528" t="s">
        <v>279</v>
      </c>
      <c r="B201" s="529"/>
      <c r="C201" s="529"/>
      <c r="D201" s="529"/>
      <c r="E201" s="530"/>
      <c r="F201" s="499">
        <f>SUM(F203,F205)</f>
        <v>114</v>
      </c>
      <c r="G201" s="500"/>
      <c r="J201" s="528" t="s">
        <v>280</v>
      </c>
      <c r="K201" s="529"/>
      <c r="L201" s="529"/>
      <c r="M201" s="529"/>
      <c r="N201" s="530"/>
      <c r="O201" s="499">
        <f>SUM(O203,O205)</f>
        <v>188</v>
      </c>
      <c r="P201" s="500"/>
      <c r="R201" s="164"/>
      <c r="AB201" s="176"/>
      <c r="AC201" s="176"/>
    </row>
    <row r="202" spans="1:29" ht="21.75" thickBot="1" x14ac:dyDescent="0.4">
      <c r="A202" s="281"/>
      <c r="B202" s="281"/>
      <c r="C202" s="281"/>
      <c r="D202" s="281"/>
      <c r="E202" s="281"/>
      <c r="F202" s="282"/>
      <c r="G202" s="282"/>
      <c r="J202" s="281"/>
      <c r="K202" s="281"/>
      <c r="L202" s="281"/>
      <c r="M202" s="281"/>
      <c r="N202" s="281"/>
      <c r="O202" s="282"/>
      <c r="P202" s="282"/>
      <c r="R202" s="164"/>
      <c r="AB202" s="176"/>
      <c r="AC202" s="176"/>
    </row>
    <row r="203" spans="1:29" ht="21.75" thickBot="1" x14ac:dyDescent="0.4">
      <c r="A203" s="528" t="s">
        <v>281</v>
      </c>
      <c r="B203" s="529"/>
      <c r="C203" s="529"/>
      <c r="D203" s="529"/>
      <c r="E203" s="530"/>
      <c r="F203" s="499">
        <f>SUM(D211:D234)</f>
        <v>46</v>
      </c>
      <c r="G203" s="500"/>
      <c r="J203" s="528" t="s">
        <v>282</v>
      </c>
      <c r="K203" s="529"/>
      <c r="L203" s="529"/>
      <c r="M203" s="529"/>
      <c r="N203" s="530"/>
      <c r="O203" s="499">
        <f>SUM(M211:M234)</f>
        <v>58</v>
      </c>
      <c r="P203" s="500"/>
      <c r="R203" s="164"/>
      <c r="AB203" s="176"/>
      <c r="AC203" s="176"/>
    </row>
    <row r="204" spans="1:29" ht="21.75" thickBot="1" x14ac:dyDescent="0.4">
      <c r="A204" s="281"/>
      <c r="B204" s="281"/>
      <c r="C204" s="281"/>
      <c r="D204" s="281"/>
      <c r="E204" s="281"/>
      <c r="F204" s="282"/>
      <c r="G204" s="282"/>
      <c r="J204" s="281"/>
      <c r="K204" s="281"/>
      <c r="L204" s="281"/>
      <c r="M204" s="281"/>
      <c r="N204" s="281"/>
      <c r="O204" s="282"/>
      <c r="P204" s="282"/>
      <c r="R204" s="164"/>
    </row>
    <row r="205" spans="1:29" ht="21.75" thickBot="1" x14ac:dyDescent="0.4">
      <c r="A205" s="528" t="s">
        <v>283</v>
      </c>
      <c r="B205" s="529"/>
      <c r="C205" s="529"/>
      <c r="D205" s="529"/>
      <c r="E205" s="530"/>
      <c r="F205" s="499">
        <f>SUM(D236:D307)</f>
        <v>68</v>
      </c>
      <c r="G205" s="500"/>
      <c r="J205" s="528" t="s">
        <v>284</v>
      </c>
      <c r="K205" s="529"/>
      <c r="L205" s="529"/>
      <c r="M205" s="529"/>
      <c r="N205" s="530"/>
      <c r="O205" s="499">
        <f>SUM(M236:M307)</f>
        <v>130</v>
      </c>
      <c r="P205" s="500"/>
      <c r="R205" s="164"/>
    </row>
    <row r="206" spans="1:29" x14ac:dyDescent="0.25">
      <c r="A206" s="164"/>
      <c r="B206" s="164"/>
      <c r="C206" s="164"/>
      <c r="D206" s="164"/>
      <c r="E206" s="164"/>
      <c r="F206" s="164"/>
      <c r="G206" s="164"/>
      <c r="I206" s="164"/>
      <c r="J206" s="164"/>
      <c r="K206" s="164"/>
      <c r="L206" s="164"/>
      <c r="M206" s="168"/>
      <c r="N206" s="164"/>
      <c r="O206" s="164"/>
      <c r="P206" s="164"/>
      <c r="Q206" s="164"/>
      <c r="R206" s="164"/>
    </row>
    <row r="207" spans="1:29" ht="21.75" thickBot="1" x14ac:dyDescent="0.4">
      <c r="A207" s="281"/>
      <c r="B207" s="281"/>
      <c r="C207" s="281"/>
      <c r="D207" s="281"/>
      <c r="E207" s="281"/>
      <c r="F207" s="282"/>
      <c r="G207" s="282"/>
      <c r="J207" s="281"/>
      <c r="K207" s="281"/>
      <c r="L207" s="281"/>
      <c r="M207" s="281"/>
      <c r="N207" s="281"/>
      <c r="O207" s="282"/>
      <c r="P207" s="282"/>
    </row>
    <row r="208" spans="1:29" ht="20.25" thickTop="1" thickBot="1" x14ac:dyDescent="0.3">
      <c r="O208" s="164"/>
      <c r="P208" s="537" t="s">
        <v>285</v>
      </c>
      <c r="Q208" s="538"/>
    </row>
    <row r="209" spans="1:17" ht="20.25" thickTop="1" thickBot="1" x14ac:dyDescent="0.35">
      <c r="A209" s="539" t="s">
        <v>286</v>
      </c>
      <c r="B209" s="540"/>
      <c r="C209" s="540"/>
      <c r="D209" s="283" t="s">
        <v>287</v>
      </c>
      <c r="E209" s="541" t="s">
        <v>255</v>
      </c>
      <c r="F209" s="542"/>
      <c r="J209" s="539" t="s">
        <v>286</v>
      </c>
      <c r="K209" s="540"/>
      <c r="L209" s="540"/>
      <c r="M209" s="283" t="s">
        <v>287</v>
      </c>
      <c r="N209" s="541" t="s">
        <v>255</v>
      </c>
      <c r="O209" s="542"/>
      <c r="P209" s="284" t="s">
        <v>287</v>
      </c>
      <c r="Q209" s="285" t="s">
        <v>288</v>
      </c>
    </row>
    <row r="210" spans="1:17" ht="21.75" thickBot="1" x14ac:dyDescent="0.3">
      <c r="A210" s="543" t="s">
        <v>289</v>
      </c>
      <c r="B210" s="543"/>
      <c r="C210" s="544"/>
      <c r="D210" s="543"/>
      <c r="E210" s="499">
        <f>SUM(D211:D234)</f>
        <v>46</v>
      </c>
      <c r="F210" s="500"/>
      <c r="J210" s="543" t="s">
        <v>289</v>
      </c>
      <c r="K210" s="543"/>
      <c r="L210" s="544"/>
      <c r="M210" s="543"/>
      <c r="N210" s="499">
        <f>SUM(M211:M234)</f>
        <v>58</v>
      </c>
      <c r="O210" s="500"/>
      <c r="P210" s="545" t="s">
        <v>146</v>
      </c>
      <c r="Q210" s="546"/>
    </row>
    <row r="211" spans="1:17" ht="18" x14ac:dyDescent="0.25">
      <c r="A211" s="533" t="s">
        <v>290</v>
      </c>
      <c r="B211" s="534"/>
      <c r="C211" s="286" t="s">
        <v>220</v>
      </c>
      <c r="D211" s="200">
        <f t="shared" ref="D211:D234" si="14">COUNTIF($AO$3:$CC$42,C211)</f>
        <v>40</v>
      </c>
      <c r="J211" s="533" t="s">
        <v>290</v>
      </c>
      <c r="K211" s="534"/>
      <c r="L211" s="286" t="s">
        <v>220</v>
      </c>
      <c r="M211" s="200">
        <f t="shared" ref="M211:M234" si="15">COUNTIF($A$3:$AN$71,L211)</f>
        <v>34</v>
      </c>
      <c r="N211" s="164"/>
      <c r="O211" s="164"/>
      <c r="P211" s="287">
        <f>D211+M211</f>
        <v>74</v>
      </c>
      <c r="Q211" s="288" t="str">
        <f>IFERROR(P211/$J$4,"")</f>
        <v/>
      </c>
    </row>
    <row r="212" spans="1:17" ht="15.75" x14ac:dyDescent="0.25">
      <c r="A212" s="535" t="s">
        <v>218</v>
      </c>
      <c r="B212" s="536"/>
      <c r="C212" s="129" t="s">
        <v>218</v>
      </c>
      <c r="D212" s="221">
        <f t="shared" si="14"/>
        <v>6</v>
      </c>
      <c r="J212" s="535" t="s">
        <v>218</v>
      </c>
      <c r="K212" s="536"/>
      <c r="L212" s="129" t="s">
        <v>218</v>
      </c>
      <c r="M212" s="221">
        <f t="shared" si="15"/>
        <v>14</v>
      </c>
      <c r="N212" s="164"/>
      <c r="O212" s="164"/>
      <c r="P212" s="287">
        <f t="shared" ref="P212:P234" si="16">D212+M212</f>
        <v>20</v>
      </c>
      <c r="Q212" s="288" t="str">
        <f t="shared" ref="Q212:Q279" si="17">IFERROR(P212/$J$4,"")</f>
        <v/>
      </c>
    </row>
    <row r="213" spans="1:17" ht="15.75" x14ac:dyDescent="0.25">
      <c r="A213" s="535" t="s">
        <v>291</v>
      </c>
      <c r="B213" s="536" t="s">
        <v>291</v>
      </c>
      <c r="C213" s="289" t="s">
        <v>292</v>
      </c>
      <c r="D213" s="221">
        <f t="shared" si="14"/>
        <v>0</v>
      </c>
      <c r="J213" s="535" t="s">
        <v>291</v>
      </c>
      <c r="K213" s="536" t="s">
        <v>291</v>
      </c>
      <c r="L213" s="289" t="s">
        <v>292</v>
      </c>
      <c r="M213" s="221">
        <f t="shared" si="15"/>
        <v>0</v>
      </c>
      <c r="N213" s="164"/>
      <c r="O213" s="164"/>
      <c r="P213" s="287">
        <f t="shared" si="16"/>
        <v>0</v>
      </c>
      <c r="Q213" s="288" t="str">
        <f t="shared" si="17"/>
        <v/>
      </c>
    </row>
    <row r="214" spans="1:17" ht="15.75" x14ac:dyDescent="0.25">
      <c r="A214" s="535" t="s">
        <v>293</v>
      </c>
      <c r="B214" s="536" t="s">
        <v>293</v>
      </c>
      <c r="C214" s="290" t="s">
        <v>294</v>
      </c>
      <c r="D214" s="221">
        <f t="shared" si="14"/>
        <v>0</v>
      </c>
      <c r="J214" s="535" t="s">
        <v>293</v>
      </c>
      <c r="K214" s="536" t="s">
        <v>293</v>
      </c>
      <c r="L214" s="290" t="s">
        <v>294</v>
      </c>
      <c r="M214" s="221">
        <f t="shared" si="15"/>
        <v>0</v>
      </c>
      <c r="N214" s="164"/>
      <c r="O214" s="164"/>
      <c r="P214" s="287">
        <f t="shared" si="16"/>
        <v>0</v>
      </c>
      <c r="Q214" s="288" t="str">
        <f t="shared" si="17"/>
        <v/>
      </c>
    </row>
    <row r="215" spans="1:17" ht="15.75" x14ac:dyDescent="0.25">
      <c r="A215" s="535" t="s">
        <v>295</v>
      </c>
      <c r="B215" s="536" t="s">
        <v>295</v>
      </c>
      <c r="C215" s="291" t="s">
        <v>296</v>
      </c>
      <c r="D215" s="221">
        <f t="shared" si="14"/>
        <v>0</v>
      </c>
      <c r="J215" s="535" t="s">
        <v>295</v>
      </c>
      <c r="K215" s="536" t="s">
        <v>295</v>
      </c>
      <c r="L215" s="291" t="s">
        <v>296</v>
      </c>
      <c r="M215" s="221">
        <f t="shared" si="15"/>
        <v>0</v>
      </c>
      <c r="N215" s="164"/>
      <c r="O215" s="164"/>
      <c r="P215" s="287">
        <f t="shared" si="16"/>
        <v>0</v>
      </c>
      <c r="Q215" s="288" t="str">
        <f t="shared" si="17"/>
        <v/>
      </c>
    </row>
    <row r="216" spans="1:17" ht="15.75" x14ac:dyDescent="0.25">
      <c r="A216" s="535" t="s">
        <v>297</v>
      </c>
      <c r="B216" s="536" t="s">
        <v>297</v>
      </c>
      <c r="C216" s="292" t="s">
        <v>297</v>
      </c>
      <c r="D216" s="221">
        <f t="shared" si="14"/>
        <v>0</v>
      </c>
      <c r="J216" s="535" t="s">
        <v>297</v>
      </c>
      <c r="K216" s="536" t="s">
        <v>297</v>
      </c>
      <c r="L216" s="292" t="s">
        <v>297</v>
      </c>
      <c r="M216" s="221">
        <f t="shared" si="15"/>
        <v>0</v>
      </c>
      <c r="N216" s="164"/>
      <c r="O216" s="164"/>
      <c r="P216" s="287">
        <f t="shared" si="16"/>
        <v>0</v>
      </c>
      <c r="Q216" s="288" t="str">
        <f t="shared" si="17"/>
        <v/>
      </c>
    </row>
    <row r="217" spans="1:17" ht="15.75" x14ac:dyDescent="0.25">
      <c r="A217" s="535" t="s">
        <v>298</v>
      </c>
      <c r="B217" s="536" t="s">
        <v>298</v>
      </c>
      <c r="C217" s="293" t="s">
        <v>298</v>
      </c>
      <c r="D217" s="221">
        <f t="shared" si="14"/>
        <v>0</v>
      </c>
      <c r="J217" s="535" t="s">
        <v>298</v>
      </c>
      <c r="K217" s="536" t="s">
        <v>298</v>
      </c>
      <c r="L217" s="293" t="s">
        <v>298</v>
      </c>
      <c r="M217" s="221">
        <f t="shared" si="15"/>
        <v>0</v>
      </c>
      <c r="N217" s="164"/>
      <c r="O217" s="164"/>
      <c r="P217" s="287">
        <f t="shared" si="16"/>
        <v>0</v>
      </c>
      <c r="Q217" s="288" t="str">
        <f t="shared" si="17"/>
        <v/>
      </c>
    </row>
    <row r="218" spans="1:17" ht="15.75" x14ac:dyDescent="0.25">
      <c r="A218" s="535" t="s">
        <v>299</v>
      </c>
      <c r="B218" s="536" t="s">
        <v>299</v>
      </c>
      <c r="C218" s="294" t="s">
        <v>300</v>
      </c>
      <c r="D218" s="221">
        <f t="shared" si="14"/>
        <v>0</v>
      </c>
      <c r="J218" s="535" t="s">
        <v>299</v>
      </c>
      <c r="K218" s="536" t="s">
        <v>299</v>
      </c>
      <c r="L218" s="294" t="s">
        <v>300</v>
      </c>
      <c r="M218" s="221">
        <f t="shared" si="15"/>
        <v>0</v>
      </c>
      <c r="N218" s="164"/>
      <c r="O218" s="164"/>
      <c r="P218" s="287">
        <f t="shared" si="16"/>
        <v>0</v>
      </c>
      <c r="Q218" s="288" t="str">
        <f t="shared" si="17"/>
        <v/>
      </c>
    </row>
    <row r="219" spans="1:17" ht="15.75" x14ac:dyDescent="0.25">
      <c r="A219" s="535" t="s">
        <v>301</v>
      </c>
      <c r="B219" s="536" t="s">
        <v>301</v>
      </c>
      <c r="C219" s="145" t="s">
        <v>302</v>
      </c>
      <c r="D219" s="221">
        <f t="shared" si="14"/>
        <v>0</v>
      </c>
      <c r="J219" s="535" t="s">
        <v>301</v>
      </c>
      <c r="K219" s="536" t="s">
        <v>301</v>
      </c>
      <c r="L219" s="145" t="s">
        <v>302</v>
      </c>
      <c r="M219" s="221">
        <f t="shared" si="15"/>
        <v>0</v>
      </c>
      <c r="N219" s="164"/>
      <c r="O219" s="164"/>
      <c r="P219" s="287">
        <f t="shared" si="16"/>
        <v>0</v>
      </c>
      <c r="Q219" s="288" t="str">
        <f t="shared" si="17"/>
        <v/>
      </c>
    </row>
    <row r="220" spans="1:17" ht="15.75" x14ac:dyDescent="0.25">
      <c r="A220" s="535" t="s">
        <v>303</v>
      </c>
      <c r="B220" s="536" t="s">
        <v>303</v>
      </c>
      <c r="C220" s="140" t="s">
        <v>304</v>
      </c>
      <c r="D220" s="221">
        <f t="shared" si="14"/>
        <v>0</v>
      </c>
      <c r="J220" s="535" t="s">
        <v>303</v>
      </c>
      <c r="K220" s="536" t="s">
        <v>303</v>
      </c>
      <c r="L220" s="140" t="s">
        <v>304</v>
      </c>
      <c r="M220" s="221">
        <f t="shared" si="15"/>
        <v>0</v>
      </c>
      <c r="N220" s="164"/>
      <c r="O220" s="164"/>
      <c r="P220" s="287">
        <f t="shared" si="16"/>
        <v>0</v>
      </c>
      <c r="Q220" s="288" t="str">
        <f t="shared" si="17"/>
        <v/>
      </c>
    </row>
    <row r="221" spans="1:17" ht="15.75" x14ac:dyDescent="0.25">
      <c r="A221" s="535" t="s">
        <v>305</v>
      </c>
      <c r="B221" s="536" t="s">
        <v>305</v>
      </c>
      <c r="C221" s="295" t="s">
        <v>3</v>
      </c>
      <c r="D221" s="221">
        <f t="shared" si="14"/>
        <v>0</v>
      </c>
      <c r="J221" s="535" t="s">
        <v>305</v>
      </c>
      <c r="K221" s="536" t="s">
        <v>305</v>
      </c>
      <c r="L221" s="295" t="s">
        <v>3</v>
      </c>
      <c r="M221" s="221">
        <f t="shared" si="15"/>
        <v>0</v>
      </c>
      <c r="N221" s="164"/>
      <c r="O221" s="164"/>
      <c r="P221" s="287">
        <f t="shared" si="16"/>
        <v>0</v>
      </c>
      <c r="Q221" s="288" t="str">
        <f t="shared" si="17"/>
        <v/>
      </c>
    </row>
    <row r="222" spans="1:17" ht="15.75" x14ac:dyDescent="0.25">
      <c r="A222" s="535" t="s">
        <v>306</v>
      </c>
      <c r="B222" s="536" t="s">
        <v>306</v>
      </c>
      <c r="C222" s="296" t="s">
        <v>306</v>
      </c>
      <c r="D222" s="221">
        <f t="shared" si="14"/>
        <v>0</v>
      </c>
      <c r="J222" s="535" t="s">
        <v>306</v>
      </c>
      <c r="K222" s="536" t="s">
        <v>306</v>
      </c>
      <c r="L222" s="296" t="s">
        <v>306</v>
      </c>
      <c r="M222" s="221">
        <f t="shared" si="15"/>
        <v>0</v>
      </c>
      <c r="N222" s="164"/>
      <c r="O222" s="164"/>
      <c r="P222" s="287">
        <f t="shared" si="16"/>
        <v>0</v>
      </c>
      <c r="Q222" s="288" t="str">
        <f t="shared" si="17"/>
        <v/>
      </c>
    </row>
    <row r="223" spans="1:17" ht="15.75" x14ac:dyDescent="0.25">
      <c r="A223" s="535" t="s">
        <v>307</v>
      </c>
      <c r="B223" s="536" t="s">
        <v>307</v>
      </c>
      <c r="C223" s="297" t="s">
        <v>308</v>
      </c>
      <c r="D223" s="221">
        <f t="shared" si="14"/>
        <v>0</v>
      </c>
      <c r="J223" s="535" t="s">
        <v>307</v>
      </c>
      <c r="K223" s="536" t="s">
        <v>307</v>
      </c>
      <c r="L223" s="297" t="s">
        <v>308</v>
      </c>
      <c r="M223" s="221">
        <f t="shared" si="15"/>
        <v>0</v>
      </c>
      <c r="N223" s="164"/>
      <c r="O223" s="164"/>
      <c r="P223" s="287">
        <f t="shared" si="16"/>
        <v>0</v>
      </c>
      <c r="Q223" s="288" t="str">
        <f t="shared" si="17"/>
        <v/>
      </c>
    </row>
    <row r="224" spans="1:17" ht="15.75" x14ac:dyDescent="0.25">
      <c r="A224" s="535" t="s">
        <v>309</v>
      </c>
      <c r="B224" s="536" t="s">
        <v>309</v>
      </c>
      <c r="C224" s="298" t="s">
        <v>310</v>
      </c>
      <c r="D224" s="221">
        <f t="shared" si="14"/>
        <v>0</v>
      </c>
      <c r="J224" s="535" t="s">
        <v>309</v>
      </c>
      <c r="K224" s="536" t="s">
        <v>309</v>
      </c>
      <c r="L224" s="298" t="s">
        <v>310</v>
      </c>
      <c r="M224" s="221">
        <f t="shared" si="15"/>
        <v>0</v>
      </c>
      <c r="N224" s="164"/>
      <c r="O224" s="164"/>
      <c r="P224" s="287">
        <f t="shared" si="16"/>
        <v>0</v>
      </c>
      <c r="Q224" s="288" t="str">
        <f t="shared" si="17"/>
        <v/>
      </c>
    </row>
    <row r="225" spans="1:17" ht="15.75" x14ac:dyDescent="0.25">
      <c r="A225" s="535" t="s">
        <v>311</v>
      </c>
      <c r="B225" s="536" t="s">
        <v>311</v>
      </c>
      <c r="C225" s="299" t="s">
        <v>312</v>
      </c>
      <c r="D225" s="221">
        <f t="shared" si="14"/>
        <v>0</v>
      </c>
      <c r="J225" s="535" t="s">
        <v>311</v>
      </c>
      <c r="K225" s="536" t="s">
        <v>311</v>
      </c>
      <c r="L225" s="299" t="s">
        <v>312</v>
      </c>
      <c r="M225" s="221">
        <f t="shared" si="15"/>
        <v>0</v>
      </c>
      <c r="N225" s="164"/>
      <c r="O225" s="164"/>
      <c r="P225" s="287">
        <f t="shared" si="16"/>
        <v>0</v>
      </c>
      <c r="Q225" s="288" t="str">
        <f t="shared" si="17"/>
        <v/>
      </c>
    </row>
    <row r="226" spans="1:17" ht="15.75" x14ac:dyDescent="0.25">
      <c r="A226" s="535" t="s">
        <v>313</v>
      </c>
      <c r="B226" s="536" t="s">
        <v>313</v>
      </c>
      <c r="C226" s="300" t="s">
        <v>314</v>
      </c>
      <c r="D226" s="221">
        <f t="shared" si="14"/>
        <v>0</v>
      </c>
      <c r="J226" s="535" t="s">
        <v>313</v>
      </c>
      <c r="K226" s="536" t="s">
        <v>313</v>
      </c>
      <c r="L226" s="300" t="s">
        <v>314</v>
      </c>
      <c r="M226" s="221">
        <f t="shared" si="15"/>
        <v>0</v>
      </c>
      <c r="N226" s="164"/>
      <c r="O226" s="164"/>
      <c r="P226" s="287">
        <f t="shared" si="16"/>
        <v>0</v>
      </c>
      <c r="Q226" s="288" t="str">
        <f t="shared" si="17"/>
        <v/>
      </c>
    </row>
    <row r="227" spans="1:17" ht="15.75" x14ac:dyDescent="0.25">
      <c r="A227" s="535" t="s">
        <v>315</v>
      </c>
      <c r="B227" s="536"/>
      <c r="C227" s="155" t="s">
        <v>239</v>
      </c>
      <c r="D227" s="221">
        <f t="shared" si="14"/>
        <v>0</v>
      </c>
      <c r="J227" s="535" t="s">
        <v>315</v>
      </c>
      <c r="K227" s="536"/>
      <c r="L227" s="155" t="s">
        <v>239</v>
      </c>
      <c r="M227" s="221">
        <f t="shared" si="15"/>
        <v>10</v>
      </c>
      <c r="N227" s="164"/>
      <c r="O227" s="164"/>
      <c r="P227" s="287">
        <f t="shared" si="16"/>
        <v>10</v>
      </c>
      <c r="Q227" s="288" t="str">
        <f t="shared" si="17"/>
        <v/>
      </c>
    </row>
    <row r="228" spans="1:17" ht="15.75" x14ac:dyDescent="0.25">
      <c r="A228" s="535" t="s">
        <v>233</v>
      </c>
      <c r="B228" s="536" t="s">
        <v>233</v>
      </c>
      <c r="C228" s="148" t="s">
        <v>316</v>
      </c>
      <c r="D228" s="221">
        <f t="shared" si="14"/>
        <v>0</v>
      </c>
      <c r="J228" s="535" t="s">
        <v>233</v>
      </c>
      <c r="K228" s="536" t="s">
        <v>233</v>
      </c>
      <c r="L228" s="148" t="s">
        <v>316</v>
      </c>
      <c r="M228" s="221">
        <f t="shared" si="15"/>
        <v>0</v>
      </c>
      <c r="N228" s="164"/>
      <c r="O228" s="164"/>
      <c r="P228" s="287">
        <f t="shared" si="16"/>
        <v>0</v>
      </c>
      <c r="Q228" s="288" t="str">
        <f t="shared" si="17"/>
        <v/>
      </c>
    </row>
    <row r="229" spans="1:17" ht="15.75" x14ac:dyDescent="0.25">
      <c r="A229" s="535" t="s">
        <v>317</v>
      </c>
      <c r="B229" s="536" t="s">
        <v>317</v>
      </c>
      <c r="C229" s="301" t="s">
        <v>318</v>
      </c>
      <c r="D229" s="221">
        <f t="shared" si="14"/>
        <v>0</v>
      </c>
      <c r="J229" s="535" t="s">
        <v>317</v>
      </c>
      <c r="K229" s="536" t="s">
        <v>317</v>
      </c>
      <c r="L229" s="301" t="s">
        <v>318</v>
      </c>
      <c r="M229" s="221">
        <f t="shared" si="15"/>
        <v>0</v>
      </c>
      <c r="N229" s="164"/>
      <c r="O229" s="164"/>
      <c r="P229" s="287">
        <f t="shared" si="16"/>
        <v>0</v>
      </c>
      <c r="Q229" s="288" t="str">
        <f t="shared" si="17"/>
        <v/>
      </c>
    </row>
    <row r="230" spans="1:17" ht="15.75" x14ac:dyDescent="0.25">
      <c r="A230" s="535" t="s">
        <v>319</v>
      </c>
      <c r="B230" s="536"/>
      <c r="C230" s="302" t="s">
        <v>320</v>
      </c>
      <c r="D230" s="221">
        <f t="shared" si="14"/>
        <v>0</v>
      </c>
      <c r="J230" s="535" t="s">
        <v>319</v>
      </c>
      <c r="K230" s="536"/>
      <c r="L230" s="302" t="s">
        <v>320</v>
      </c>
      <c r="M230" s="221">
        <f t="shared" si="15"/>
        <v>0</v>
      </c>
      <c r="N230" s="164"/>
      <c r="O230" s="164"/>
      <c r="P230" s="287">
        <f t="shared" si="16"/>
        <v>0</v>
      </c>
      <c r="Q230" s="288" t="str">
        <f t="shared" si="17"/>
        <v/>
      </c>
    </row>
    <row r="231" spans="1:17" ht="15.75" x14ac:dyDescent="0.25">
      <c r="A231" s="535" t="s">
        <v>321</v>
      </c>
      <c r="B231" s="536" t="s">
        <v>321</v>
      </c>
      <c r="C231" s="303" t="s">
        <v>322</v>
      </c>
      <c r="D231" s="221">
        <f t="shared" si="14"/>
        <v>0</v>
      </c>
      <c r="J231" s="535" t="s">
        <v>321</v>
      </c>
      <c r="K231" s="536" t="s">
        <v>321</v>
      </c>
      <c r="L231" s="303" t="s">
        <v>322</v>
      </c>
      <c r="M231" s="221">
        <f t="shared" si="15"/>
        <v>0</v>
      </c>
      <c r="N231" s="164"/>
      <c r="O231" s="164"/>
      <c r="P231" s="287">
        <f t="shared" si="16"/>
        <v>0</v>
      </c>
      <c r="Q231" s="288" t="str">
        <f t="shared" si="17"/>
        <v/>
      </c>
    </row>
    <row r="232" spans="1:17" ht="15.75" x14ac:dyDescent="0.25">
      <c r="A232" s="535" t="s">
        <v>323</v>
      </c>
      <c r="B232" s="536" t="s">
        <v>324</v>
      </c>
      <c r="C232" s="304" t="s">
        <v>325</v>
      </c>
      <c r="D232" s="221">
        <f t="shared" si="14"/>
        <v>0</v>
      </c>
      <c r="J232" s="535" t="s">
        <v>323</v>
      </c>
      <c r="K232" s="536" t="s">
        <v>324</v>
      </c>
      <c r="L232" s="304" t="s">
        <v>325</v>
      </c>
      <c r="M232" s="221">
        <f t="shared" si="15"/>
        <v>0</v>
      </c>
      <c r="N232" s="164"/>
      <c r="O232" s="164"/>
      <c r="P232" s="287">
        <f t="shared" si="16"/>
        <v>0</v>
      </c>
      <c r="Q232" s="288" t="str">
        <f t="shared" si="17"/>
        <v/>
      </c>
    </row>
    <row r="233" spans="1:17" ht="15.75" x14ac:dyDescent="0.25">
      <c r="A233" s="535" t="s">
        <v>326</v>
      </c>
      <c r="B233" s="536" t="s">
        <v>327</v>
      </c>
      <c r="C233" s="305" t="s">
        <v>328</v>
      </c>
      <c r="D233" s="221">
        <f t="shared" si="14"/>
        <v>0</v>
      </c>
      <c r="J233" s="535" t="s">
        <v>326</v>
      </c>
      <c r="K233" s="536"/>
      <c r="L233" s="305" t="s">
        <v>328</v>
      </c>
      <c r="M233" s="221">
        <f t="shared" si="15"/>
        <v>0</v>
      </c>
      <c r="N233" s="164"/>
      <c r="O233" s="164"/>
      <c r="P233" s="287">
        <f t="shared" si="16"/>
        <v>0</v>
      </c>
      <c r="Q233" s="288" t="str">
        <f t="shared" si="17"/>
        <v/>
      </c>
    </row>
    <row r="234" spans="1:17" ht="16.5" thickBot="1" x14ac:dyDescent="0.3">
      <c r="A234" s="535" t="s">
        <v>329</v>
      </c>
      <c r="B234" s="536" t="s">
        <v>327</v>
      </c>
      <c r="C234" s="304" t="s">
        <v>330</v>
      </c>
      <c r="D234" s="221">
        <f t="shared" si="14"/>
        <v>0</v>
      </c>
      <c r="J234" s="535" t="s">
        <v>329</v>
      </c>
      <c r="K234" s="536" t="s">
        <v>327</v>
      </c>
      <c r="L234" s="304" t="s">
        <v>330</v>
      </c>
      <c r="M234" s="221">
        <f t="shared" si="15"/>
        <v>0</v>
      </c>
      <c r="N234" s="164"/>
      <c r="O234" s="164"/>
      <c r="P234" s="287">
        <f t="shared" si="16"/>
        <v>0</v>
      </c>
      <c r="Q234" s="288" t="str">
        <f t="shared" si="17"/>
        <v/>
      </c>
    </row>
    <row r="235" spans="1:17" ht="21.75" thickBot="1" x14ac:dyDescent="0.3">
      <c r="A235" s="547" t="s">
        <v>331</v>
      </c>
      <c r="B235" s="547"/>
      <c r="C235" s="547"/>
      <c r="D235" s="547"/>
      <c r="E235" s="499">
        <f>SUM(D236:D303)</f>
        <v>64</v>
      </c>
      <c r="F235" s="500"/>
      <c r="J235" s="547" t="s">
        <v>331</v>
      </c>
      <c r="K235" s="547"/>
      <c r="L235" s="547"/>
      <c r="M235" s="548"/>
      <c r="N235" s="499">
        <f>SUM(M236:M303)</f>
        <v>119</v>
      </c>
      <c r="O235" s="500"/>
      <c r="P235" s="545" t="s">
        <v>332</v>
      </c>
      <c r="Q235" s="546"/>
    </row>
    <row r="236" spans="1:17" ht="15.75" x14ac:dyDescent="0.25">
      <c r="A236" s="535" t="s">
        <v>333</v>
      </c>
      <c r="B236" s="536"/>
      <c r="C236" s="125" t="s">
        <v>213</v>
      </c>
      <c r="D236" s="221">
        <f t="shared" ref="D236:D299" si="18">COUNTIF($AO$3:$CC$42,C236)</f>
        <v>6</v>
      </c>
      <c r="J236" s="535" t="s">
        <v>333</v>
      </c>
      <c r="K236" s="536"/>
      <c r="L236" s="125" t="s">
        <v>213</v>
      </c>
      <c r="M236" s="221">
        <f t="shared" ref="M236:M299" si="19">COUNTIF($A$3:$AN$71,L236)</f>
        <v>28</v>
      </c>
      <c r="N236" s="164"/>
      <c r="O236" s="164"/>
      <c r="P236" s="287">
        <f t="shared" ref="P236:P299" si="20">D236+M236</f>
        <v>34</v>
      </c>
      <c r="Q236" s="288" t="str">
        <f t="shared" si="17"/>
        <v/>
      </c>
    </row>
    <row r="237" spans="1:17" ht="15.75" x14ac:dyDescent="0.25">
      <c r="A237" s="535" t="s">
        <v>334</v>
      </c>
      <c r="B237" s="536"/>
      <c r="C237" s="306" t="s">
        <v>335</v>
      </c>
      <c r="D237" s="221">
        <f t="shared" si="18"/>
        <v>0</v>
      </c>
      <c r="J237" s="535" t="s">
        <v>334</v>
      </c>
      <c r="K237" s="536"/>
      <c r="L237" s="306" t="s">
        <v>335</v>
      </c>
      <c r="M237" s="221">
        <f t="shared" si="19"/>
        <v>0</v>
      </c>
      <c r="N237" s="164"/>
      <c r="O237" s="164"/>
      <c r="P237" s="287">
        <f t="shared" si="20"/>
        <v>0</v>
      </c>
      <c r="Q237" s="288" t="str">
        <f t="shared" si="17"/>
        <v/>
      </c>
    </row>
    <row r="238" spans="1:17" ht="15.75" x14ac:dyDescent="0.25">
      <c r="A238" s="535" t="s">
        <v>336</v>
      </c>
      <c r="B238" s="536"/>
      <c r="C238" s="307" t="s">
        <v>337</v>
      </c>
      <c r="D238" s="221">
        <f t="shared" si="18"/>
        <v>0</v>
      </c>
      <c r="J238" s="535" t="s">
        <v>336</v>
      </c>
      <c r="K238" s="536"/>
      <c r="L238" s="307" t="s">
        <v>337</v>
      </c>
      <c r="M238" s="221">
        <f t="shared" si="19"/>
        <v>0</v>
      </c>
      <c r="N238" s="164"/>
      <c r="O238" s="164"/>
      <c r="P238" s="287">
        <f t="shared" si="20"/>
        <v>0</v>
      </c>
      <c r="Q238" s="288" t="str">
        <f t="shared" si="17"/>
        <v/>
      </c>
    </row>
    <row r="239" spans="1:17" ht="15.75" x14ac:dyDescent="0.25">
      <c r="A239" s="535" t="s">
        <v>338</v>
      </c>
      <c r="B239" s="536"/>
      <c r="C239" s="308" t="s">
        <v>339</v>
      </c>
      <c r="D239" s="221">
        <f t="shared" si="18"/>
        <v>0</v>
      </c>
      <c r="J239" s="535" t="s">
        <v>338</v>
      </c>
      <c r="K239" s="536"/>
      <c r="L239" s="308" t="s">
        <v>339</v>
      </c>
      <c r="M239" s="221">
        <f t="shared" si="19"/>
        <v>0</v>
      </c>
      <c r="N239" s="164"/>
      <c r="O239" s="164"/>
      <c r="P239" s="287">
        <f t="shared" si="20"/>
        <v>0</v>
      </c>
      <c r="Q239" s="288" t="str">
        <f t="shared" si="17"/>
        <v/>
      </c>
    </row>
    <row r="240" spans="1:17" ht="15.75" x14ac:dyDescent="0.25">
      <c r="A240" s="535" t="s">
        <v>233</v>
      </c>
      <c r="B240" s="536"/>
      <c r="C240" s="148" t="s">
        <v>233</v>
      </c>
      <c r="D240" s="221">
        <f t="shared" si="18"/>
        <v>0</v>
      </c>
      <c r="J240" s="535" t="s">
        <v>233</v>
      </c>
      <c r="K240" s="536"/>
      <c r="L240" s="148" t="s">
        <v>233</v>
      </c>
      <c r="M240" s="221">
        <f t="shared" si="19"/>
        <v>0</v>
      </c>
      <c r="N240" s="164"/>
      <c r="O240" s="164"/>
      <c r="P240" s="287">
        <f t="shared" si="20"/>
        <v>0</v>
      </c>
      <c r="Q240" s="288" t="str">
        <f t="shared" si="17"/>
        <v/>
      </c>
    </row>
    <row r="241" spans="1:17" ht="15.75" x14ac:dyDescent="0.25">
      <c r="A241" s="535" t="s">
        <v>340</v>
      </c>
      <c r="B241" s="536"/>
      <c r="C241" s="309" t="s">
        <v>341</v>
      </c>
      <c r="D241" s="221">
        <f t="shared" si="18"/>
        <v>0</v>
      </c>
      <c r="J241" s="535" t="s">
        <v>340</v>
      </c>
      <c r="K241" s="536"/>
      <c r="L241" s="309" t="s">
        <v>341</v>
      </c>
      <c r="M241" s="221">
        <f t="shared" si="19"/>
        <v>0</v>
      </c>
      <c r="N241" s="164"/>
      <c r="O241" s="164"/>
      <c r="P241" s="287">
        <f t="shared" si="20"/>
        <v>0</v>
      </c>
      <c r="Q241" s="288" t="str">
        <f t="shared" si="17"/>
        <v/>
      </c>
    </row>
    <row r="242" spans="1:17" ht="15.75" x14ac:dyDescent="0.25">
      <c r="A242" s="535" t="s">
        <v>342</v>
      </c>
      <c r="B242" s="536"/>
      <c r="C242" s="310" t="s">
        <v>343</v>
      </c>
      <c r="D242" s="221">
        <f t="shared" si="18"/>
        <v>0</v>
      </c>
      <c r="J242" s="535" t="s">
        <v>342</v>
      </c>
      <c r="K242" s="536"/>
      <c r="L242" s="310" t="s">
        <v>343</v>
      </c>
      <c r="M242" s="221">
        <f t="shared" si="19"/>
        <v>0</v>
      </c>
      <c r="N242" s="164"/>
      <c r="O242" s="164"/>
      <c r="P242" s="287">
        <f t="shared" si="20"/>
        <v>0</v>
      </c>
      <c r="Q242" s="288" t="str">
        <f t="shared" si="17"/>
        <v/>
      </c>
    </row>
    <row r="243" spans="1:17" ht="15.75" x14ac:dyDescent="0.25">
      <c r="A243" s="535" t="s">
        <v>208</v>
      </c>
      <c r="B243" s="536"/>
      <c r="C243" s="139" t="s">
        <v>208</v>
      </c>
      <c r="D243" s="221">
        <f t="shared" si="18"/>
        <v>12</v>
      </c>
      <c r="J243" s="535" t="s">
        <v>208</v>
      </c>
      <c r="K243" s="536"/>
      <c r="L243" s="139" t="s">
        <v>208</v>
      </c>
      <c r="M243" s="221">
        <f t="shared" si="19"/>
        <v>11</v>
      </c>
      <c r="N243" s="164"/>
      <c r="O243" s="164"/>
      <c r="P243" s="287">
        <f t="shared" si="20"/>
        <v>23</v>
      </c>
      <c r="Q243" s="288" t="str">
        <f t="shared" si="17"/>
        <v/>
      </c>
    </row>
    <row r="244" spans="1:17" ht="15.75" x14ac:dyDescent="0.25">
      <c r="A244" s="535" t="s">
        <v>344</v>
      </c>
      <c r="B244" s="536"/>
      <c r="C244" s="126" t="s">
        <v>214</v>
      </c>
      <c r="D244" s="221">
        <f t="shared" si="18"/>
        <v>6</v>
      </c>
      <c r="J244" s="535" t="s">
        <v>344</v>
      </c>
      <c r="K244" s="536"/>
      <c r="L244" s="126" t="s">
        <v>214</v>
      </c>
      <c r="M244" s="221">
        <f t="shared" si="19"/>
        <v>18</v>
      </c>
      <c r="N244" s="164"/>
      <c r="O244" s="164"/>
      <c r="P244" s="287">
        <f t="shared" si="20"/>
        <v>24</v>
      </c>
      <c r="Q244" s="288" t="str">
        <f t="shared" si="17"/>
        <v/>
      </c>
    </row>
    <row r="245" spans="1:17" ht="15.75" x14ac:dyDescent="0.25">
      <c r="A245" s="535" t="s">
        <v>345</v>
      </c>
      <c r="B245" s="536"/>
      <c r="C245" s="127" t="s">
        <v>215</v>
      </c>
      <c r="D245" s="221">
        <f t="shared" si="18"/>
        <v>0</v>
      </c>
      <c r="J245" s="535" t="s">
        <v>345</v>
      </c>
      <c r="K245" s="536"/>
      <c r="L245" s="127" t="s">
        <v>215</v>
      </c>
      <c r="M245" s="221">
        <f t="shared" si="19"/>
        <v>0</v>
      </c>
      <c r="N245" s="164"/>
      <c r="O245" s="164"/>
      <c r="P245" s="287">
        <f t="shared" si="20"/>
        <v>0</v>
      </c>
      <c r="Q245" s="288" t="str">
        <f t="shared" si="17"/>
        <v/>
      </c>
    </row>
    <row r="246" spans="1:17" ht="15.75" x14ac:dyDescent="0.25">
      <c r="A246" s="535" t="s">
        <v>346</v>
      </c>
      <c r="B246" s="536"/>
      <c r="C246" s="311" t="s">
        <v>346</v>
      </c>
      <c r="D246" s="221">
        <f t="shared" si="18"/>
        <v>0</v>
      </c>
      <c r="J246" s="535" t="s">
        <v>346</v>
      </c>
      <c r="K246" s="536"/>
      <c r="L246" s="311" t="s">
        <v>346</v>
      </c>
      <c r="M246" s="221">
        <f t="shared" si="19"/>
        <v>0</v>
      </c>
      <c r="N246" s="164"/>
      <c r="O246" s="164"/>
      <c r="P246" s="287">
        <f t="shared" si="20"/>
        <v>0</v>
      </c>
      <c r="Q246" s="288" t="str">
        <f t="shared" si="17"/>
        <v/>
      </c>
    </row>
    <row r="247" spans="1:17" ht="15.75" x14ac:dyDescent="0.25">
      <c r="A247" s="535" t="s">
        <v>347</v>
      </c>
      <c r="B247" s="536"/>
      <c r="C247" s="312" t="s">
        <v>348</v>
      </c>
      <c r="D247" s="221">
        <f t="shared" si="18"/>
        <v>0</v>
      </c>
      <c r="J247" s="535" t="s">
        <v>347</v>
      </c>
      <c r="K247" s="536"/>
      <c r="L247" s="312" t="s">
        <v>348</v>
      </c>
      <c r="M247" s="221">
        <f t="shared" si="19"/>
        <v>0</v>
      </c>
      <c r="N247" s="164"/>
      <c r="O247" s="164"/>
      <c r="P247" s="287">
        <f t="shared" si="20"/>
        <v>0</v>
      </c>
      <c r="Q247" s="288" t="str">
        <f t="shared" si="17"/>
        <v/>
      </c>
    </row>
    <row r="248" spans="1:17" ht="15.75" x14ac:dyDescent="0.25">
      <c r="A248" s="535" t="s">
        <v>349</v>
      </c>
      <c r="B248" s="536"/>
      <c r="C248" s="313" t="s">
        <v>212</v>
      </c>
      <c r="D248" s="221">
        <f t="shared" si="18"/>
        <v>4</v>
      </c>
      <c r="J248" s="535" t="s">
        <v>349</v>
      </c>
      <c r="K248" s="536"/>
      <c r="L248" s="313" t="s">
        <v>212</v>
      </c>
      <c r="M248" s="221">
        <f t="shared" si="19"/>
        <v>6</v>
      </c>
      <c r="N248" s="164"/>
      <c r="O248" s="164"/>
      <c r="P248" s="287">
        <f t="shared" si="20"/>
        <v>10</v>
      </c>
      <c r="Q248" s="288" t="str">
        <f t="shared" si="17"/>
        <v/>
      </c>
    </row>
    <row r="249" spans="1:17" ht="15.75" x14ac:dyDescent="0.25">
      <c r="A249" s="535" t="s">
        <v>350</v>
      </c>
      <c r="B249" s="536"/>
      <c r="C249" s="306" t="s">
        <v>351</v>
      </c>
      <c r="D249" s="221">
        <f t="shared" si="18"/>
        <v>0</v>
      </c>
      <c r="J249" s="535" t="s">
        <v>350</v>
      </c>
      <c r="K249" s="536"/>
      <c r="L249" s="306" t="s">
        <v>351</v>
      </c>
      <c r="M249" s="221">
        <f t="shared" si="19"/>
        <v>0</v>
      </c>
      <c r="N249" s="164"/>
      <c r="O249" s="164"/>
      <c r="P249" s="287">
        <f t="shared" si="20"/>
        <v>0</v>
      </c>
      <c r="Q249" s="288"/>
    </row>
    <row r="250" spans="1:17" ht="15.75" x14ac:dyDescent="0.25">
      <c r="A250" s="535" t="s">
        <v>352</v>
      </c>
      <c r="B250" s="536"/>
      <c r="C250" s="314" t="s">
        <v>353</v>
      </c>
      <c r="D250" s="221">
        <f t="shared" si="18"/>
        <v>0</v>
      </c>
      <c r="J250" s="535" t="s">
        <v>352</v>
      </c>
      <c r="K250" s="536"/>
      <c r="L250" s="314" t="s">
        <v>353</v>
      </c>
      <c r="M250" s="221">
        <f t="shared" si="19"/>
        <v>0</v>
      </c>
      <c r="N250" s="164"/>
      <c r="O250" s="164"/>
      <c r="P250" s="287">
        <f t="shared" si="20"/>
        <v>0</v>
      </c>
      <c r="Q250" s="288" t="str">
        <f t="shared" si="17"/>
        <v/>
      </c>
    </row>
    <row r="251" spans="1:17" ht="15.75" x14ac:dyDescent="0.25">
      <c r="A251" s="535" t="s">
        <v>354</v>
      </c>
      <c r="B251" s="536"/>
      <c r="C251" s="298" t="s">
        <v>355</v>
      </c>
      <c r="D251" s="221">
        <f t="shared" si="18"/>
        <v>0</v>
      </c>
      <c r="J251" s="535" t="s">
        <v>354</v>
      </c>
      <c r="K251" s="536"/>
      <c r="L251" s="298" t="s">
        <v>355</v>
      </c>
      <c r="M251" s="221">
        <f t="shared" si="19"/>
        <v>0</v>
      </c>
      <c r="N251" s="164"/>
      <c r="O251" s="164"/>
      <c r="P251" s="287">
        <f t="shared" si="20"/>
        <v>0</v>
      </c>
      <c r="Q251" s="288" t="str">
        <f t="shared" si="17"/>
        <v/>
      </c>
    </row>
    <row r="252" spans="1:17" ht="15.75" x14ac:dyDescent="0.25">
      <c r="A252" s="535" t="s">
        <v>307</v>
      </c>
      <c r="B252" s="536"/>
      <c r="C252" s="315" t="s">
        <v>356</v>
      </c>
      <c r="D252" s="221">
        <f t="shared" si="18"/>
        <v>0</v>
      </c>
      <c r="J252" s="535" t="s">
        <v>307</v>
      </c>
      <c r="K252" s="536"/>
      <c r="L252" s="315" t="s">
        <v>356</v>
      </c>
      <c r="M252" s="221">
        <f t="shared" si="19"/>
        <v>0</v>
      </c>
      <c r="N252" s="164"/>
      <c r="O252" s="164"/>
      <c r="P252" s="287">
        <f t="shared" si="20"/>
        <v>0</v>
      </c>
      <c r="Q252" s="288" t="str">
        <f t="shared" si="17"/>
        <v/>
      </c>
    </row>
    <row r="253" spans="1:17" ht="15.75" x14ac:dyDescent="0.25">
      <c r="A253" s="535" t="s">
        <v>357</v>
      </c>
      <c r="B253" s="536"/>
      <c r="C253" s="316" t="s">
        <v>358</v>
      </c>
      <c r="D253" s="221">
        <f t="shared" si="18"/>
        <v>0</v>
      </c>
      <c r="J253" s="535" t="s">
        <v>357</v>
      </c>
      <c r="K253" s="536"/>
      <c r="L253" s="316" t="s">
        <v>358</v>
      </c>
      <c r="M253" s="221">
        <f t="shared" si="19"/>
        <v>0</v>
      </c>
      <c r="N253" s="164"/>
      <c r="O253" s="164"/>
      <c r="P253" s="287">
        <f t="shared" si="20"/>
        <v>0</v>
      </c>
      <c r="Q253" s="288" t="str">
        <f t="shared" si="17"/>
        <v/>
      </c>
    </row>
    <row r="254" spans="1:17" ht="15.75" x14ac:dyDescent="0.25">
      <c r="A254" s="535" t="s">
        <v>359</v>
      </c>
      <c r="B254" s="536"/>
      <c r="C254" s="317" t="s">
        <v>360</v>
      </c>
      <c r="D254" s="221">
        <f t="shared" si="18"/>
        <v>0</v>
      </c>
      <c r="J254" s="535" t="s">
        <v>359</v>
      </c>
      <c r="K254" s="536"/>
      <c r="L254" s="317" t="s">
        <v>360</v>
      </c>
      <c r="M254" s="221">
        <f t="shared" si="19"/>
        <v>0</v>
      </c>
      <c r="N254" s="164"/>
      <c r="O254" s="164"/>
      <c r="P254" s="287">
        <f t="shared" si="20"/>
        <v>0</v>
      </c>
      <c r="Q254" s="288" t="str">
        <f t="shared" si="17"/>
        <v/>
      </c>
    </row>
    <row r="255" spans="1:17" ht="15.75" x14ac:dyDescent="0.25">
      <c r="A255" s="535" t="s">
        <v>361</v>
      </c>
      <c r="B255" s="536"/>
      <c r="C255" s="318" t="s">
        <v>362</v>
      </c>
      <c r="D255" s="221">
        <f t="shared" si="18"/>
        <v>0</v>
      </c>
      <c r="J255" s="535" t="s">
        <v>361</v>
      </c>
      <c r="K255" s="536"/>
      <c r="L255" s="318" t="s">
        <v>362</v>
      </c>
      <c r="M255" s="221">
        <f t="shared" si="19"/>
        <v>0</v>
      </c>
      <c r="N255" s="164"/>
      <c r="O255" s="164"/>
      <c r="P255" s="287">
        <f t="shared" si="20"/>
        <v>0</v>
      </c>
      <c r="Q255" s="288" t="str">
        <f t="shared" si="17"/>
        <v/>
      </c>
    </row>
    <row r="256" spans="1:17" ht="15.75" x14ac:dyDescent="0.25">
      <c r="A256" s="535" t="s">
        <v>363</v>
      </c>
      <c r="B256" s="536"/>
      <c r="C256" s="319" t="s">
        <v>364</v>
      </c>
      <c r="D256" s="221">
        <f t="shared" si="18"/>
        <v>0</v>
      </c>
      <c r="J256" s="535" t="s">
        <v>363</v>
      </c>
      <c r="K256" s="536"/>
      <c r="L256" s="319" t="s">
        <v>364</v>
      </c>
      <c r="M256" s="221">
        <f t="shared" si="19"/>
        <v>0</v>
      </c>
      <c r="N256" s="164"/>
      <c r="O256" s="164"/>
      <c r="P256" s="287">
        <f t="shared" si="20"/>
        <v>0</v>
      </c>
      <c r="Q256" s="288" t="str">
        <f t="shared" si="17"/>
        <v/>
      </c>
    </row>
    <row r="257" spans="1:17" ht="15.75" x14ac:dyDescent="0.25">
      <c r="A257" s="535" t="s">
        <v>365</v>
      </c>
      <c r="B257" s="536"/>
      <c r="C257" s="320" t="s">
        <v>366</v>
      </c>
      <c r="D257" s="221">
        <f t="shared" si="18"/>
        <v>0</v>
      </c>
      <c r="J257" s="535" t="s">
        <v>365</v>
      </c>
      <c r="K257" s="536"/>
      <c r="L257" s="320" t="s">
        <v>366</v>
      </c>
      <c r="M257" s="221">
        <f t="shared" si="19"/>
        <v>0</v>
      </c>
      <c r="N257" s="164"/>
      <c r="O257" s="164"/>
      <c r="P257" s="287">
        <f t="shared" si="20"/>
        <v>0</v>
      </c>
      <c r="Q257" s="288" t="str">
        <f t="shared" si="17"/>
        <v/>
      </c>
    </row>
    <row r="258" spans="1:17" ht="15.75" x14ac:dyDescent="0.25">
      <c r="A258" s="535" t="s">
        <v>367</v>
      </c>
      <c r="B258" s="536"/>
      <c r="C258" s="321" t="s">
        <v>367</v>
      </c>
      <c r="D258" s="221">
        <f t="shared" si="18"/>
        <v>0</v>
      </c>
      <c r="J258" s="535" t="s">
        <v>367</v>
      </c>
      <c r="K258" s="536"/>
      <c r="L258" s="321" t="s">
        <v>367</v>
      </c>
      <c r="M258" s="221">
        <f t="shared" si="19"/>
        <v>0</v>
      </c>
      <c r="N258" s="164"/>
      <c r="O258" s="164"/>
      <c r="P258" s="287">
        <f t="shared" si="20"/>
        <v>0</v>
      </c>
      <c r="Q258" s="288" t="str">
        <f t="shared" si="17"/>
        <v/>
      </c>
    </row>
    <row r="259" spans="1:17" ht="15.75" x14ac:dyDescent="0.25">
      <c r="A259" s="535" t="s">
        <v>368</v>
      </c>
      <c r="B259" s="536"/>
      <c r="C259" s="322" t="s">
        <v>369</v>
      </c>
      <c r="D259" s="221">
        <f t="shared" si="18"/>
        <v>0</v>
      </c>
      <c r="J259" s="535" t="s">
        <v>368</v>
      </c>
      <c r="K259" s="536"/>
      <c r="L259" s="322" t="s">
        <v>369</v>
      </c>
      <c r="M259" s="221">
        <f t="shared" si="19"/>
        <v>0</v>
      </c>
      <c r="N259" s="164"/>
      <c r="O259" s="164"/>
      <c r="P259" s="287">
        <f t="shared" si="20"/>
        <v>0</v>
      </c>
      <c r="Q259" s="288" t="str">
        <f t="shared" si="17"/>
        <v/>
      </c>
    </row>
    <row r="260" spans="1:17" ht="15.75" x14ac:dyDescent="0.25">
      <c r="A260" s="535" t="s">
        <v>370</v>
      </c>
      <c r="B260" s="536"/>
      <c r="C260" s="323" t="s">
        <v>371</v>
      </c>
      <c r="D260" s="221">
        <f t="shared" si="18"/>
        <v>0</v>
      </c>
      <c r="J260" s="535" t="s">
        <v>370</v>
      </c>
      <c r="K260" s="536"/>
      <c r="L260" s="323" t="s">
        <v>371</v>
      </c>
      <c r="M260" s="221">
        <f t="shared" si="19"/>
        <v>0</v>
      </c>
      <c r="N260" s="164"/>
      <c r="O260" s="164"/>
      <c r="P260" s="287">
        <f t="shared" si="20"/>
        <v>0</v>
      </c>
      <c r="Q260" s="288" t="str">
        <f t="shared" si="17"/>
        <v/>
      </c>
    </row>
    <row r="261" spans="1:17" ht="15.75" x14ac:dyDescent="0.25">
      <c r="A261" s="535" t="s">
        <v>372</v>
      </c>
      <c r="B261" s="536"/>
      <c r="C261" s="133" t="s">
        <v>221</v>
      </c>
      <c r="D261" s="221">
        <f t="shared" si="18"/>
        <v>0</v>
      </c>
      <c r="J261" s="535" t="s">
        <v>372</v>
      </c>
      <c r="K261" s="536"/>
      <c r="L261" s="133" t="s">
        <v>221</v>
      </c>
      <c r="M261" s="221">
        <f t="shared" si="19"/>
        <v>6</v>
      </c>
      <c r="N261" s="164"/>
      <c r="O261" s="164"/>
      <c r="P261" s="287">
        <f t="shared" si="20"/>
        <v>6</v>
      </c>
      <c r="Q261" s="288"/>
    </row>
    <row r="262" spans="1:17" ht="15.75" x14ac:dyDescent="0.25">
      <c r="A262" s="535" t="s">
        <v>373</v>
      </c>
      <c r="B262" s="536"/>
      <c r="C262" s="324" t="s">
        <v>374</v>
      </c>
      <c r="D262" s="221">
        <f t="shared" si="18"/>
        <v>0</v>
      </c>
      <c r="J262" s="535" t="s">
        <v>373</v>
      </c>
      <c r="K262" s="536"/>
      <c r="L262" s="324" t="s">
        <v>374</v>
      </c>
      <c r="M262" s="221">
        <f t="shared" si="19"/>
        <v>0</v>
      </c>
      <c r="N262" s="164"/>
      <c r="O262" s="164"/>
      <c r="P262" s="287">
        <f t="shared" si="20"/>
        <v>0</v>
      </c>
      <c r="Q262" s="288" t="str">
        <f t="shared" ref="Q262" si="21">IFERROR(P262/$J$4,"")</f>
        <v/>
      </c>
    </row>
    <row r="263" spans="1:17" ht="15.75" x14ac:dyDescent="0.25">
      <c r="A263" s="535" t="s">
        <v>375</v>
      </c>
      <c r="B263" s="536"/>
      <c r="C263" s="325" t="s">
        <v>376</v>
      </c>
      <c r="D263" s="221">
        <f t="shared" si="18"/>
        <v>0</v>
      </c>
      <c r="J263" s="535" t="s">
        <v>375</v>
      </c>
      <c r="K263" s="536"/>
      <c r="L263" s="325" t="s">
        <v>376</v>
      </c>
      <c r="M263" s="221">
        <f t="shared" si="19"/>
        <v>0</v>
      </c>
      <c r="N263" s="164"/>
      <c r="O263" s="164"/>
      <c r="P263" s="287">
        <f t="shared" si="20"/>
        <v>0</v>
      </c>
      <c r="Q263" s="288" t="str">
        <f t="shared" si="17"/>
        <v/>
      </c>
    </row>
    <row r="264" spans="1:17" ht="15.75" x14ac:dyDescent="0.25">
      <c r="A264" s="535" t="s">
        <v>377</v>
      </c>
      <c r="B264" s="536"/>
      <c r="C264" s="326" t="s">
        <v>378</v>
      </c>
      <c r="D264" s="221">
        <f t="shared" si="18"/>
        <v>0</v>
      </c>
      <c r="J264" s="535" t="s">
        <v>377</v>
      </c>
      <c r="K264" s="536"/>
      <c r="L264" s="326" t="s">
        <v>378</v>
      </c>
      <c r="M264" s="221">
        <f t="shared" si="19"/>
        <v>0</v>
      </c>
      <c r="N264" s="164"/>
      <c r="O264" s="164"/>
      <c r="P264" s="287">
        <f t="shared" si="20"/>
        <v>0</v>
      </c>
      <c r="Q264" s="288" t="str">
        <f t="shared" si="17"/>
        <v/>
      </c>
    </row>
    <row r="265" spans="1:17" ht="15.75" x14ac:dyDescent="0.25">
      <c r="A265" s="535" t="s">
        <v>209</v>
      </c>
      <c r="B265" s="536"/>
      <c r="C265" s="121" t="s">
        <v>209</v>
      </c>
      <c r="D265" s="221">
        <f t="shared" si="18"/>
        <v>20</v>
      </c>
      <c r="J265" s="535" t="s">
        <v>209</v>
      </c>
      <c r="K265" s="536"/>
      <c r="L265" s="121" t="s">
        <v>209</v>
      </c>
      <c r="M265" s="221">
        <f t="shared" si="19"/>
        <v>12</v>
      </c>
      <c r="N265" s="164"/>
      <c r="O265" s="164"/>
      <c r="P265" s="287">
        <f t="shared" si="20"/>
        <v>32</v>
      </c>
      <c r="Q265" s="288" t="str">
        <f t="shared" si="17"/>
        <v/>
      </c>
    </row>
    <row r="266" spans="1:17" ht="15.75" x14ac:dyDescent="0.25">
      <c r="A266" s="535" t="s">
        <v>379</v>
      </c>
      <c r="B266" s="536"/>
      <c r="C266" s="327" t="s">
        <v>380</v>
      </c>
      <c r="D266" s="221">
        <f t="shared" si="18"/>
        <v>0</v>
      </c>
      <c r="J266" s="535" t="s">
        <v>379</v>
      </c>
      <c r="K266" s="536"/>
      <c r="L266" s="327" t="s">
        <v>380</v>
      </c>
      <c r="M266" s="221">
        <f t="shared" si="19"/>
        <v>0</v>
      </c>
      <c r="N266" s="164"/>
      <c r="O266" s="164"/>
      <c r="P266" s="287">
        <f t="shared" si="20"/>
        <v>0</v>
      </c>
      <c r="Q266" s="288" t="str">
        <f t="shared" si="17"/>
        <v/>
      </c>
    </row>
    <row r="267" spans="1:17" ht="15.75" x14ac:dyDescent="0.25">
      <c r="A267" s="535" t="s">
        <v>381</v>
      </c>
      <c r="B267" s="536"/>
      <c r="C267" s="141" t="s">
        <v>226</v>
      </c>
      <c r="D267" s="221">
        <f t="shared" si="18"/>
        <v>0</v>
      </c>
      <c r="J267" s="535" t="s">
        <v>381</v>
      </c>
      <c r="K267" s="536"/>
      <c r="L267" s="141" t="s">
        <v>226</v>
      </c>
      <c r="M267" s="221">
        <f t="shared" si="19"/>
        <v>8</v>
      </c>
      <c r="N267" s="164"/>
      <c r="O267" s="164"/>
      <c r="P267" s="287">
        <f t="shared" si="20"/>
        <v>8</v>
      </c>
      <c r="Q267" s="288" t="str">
        <f t="shared" si="17"/>
        <v/>
      </c>
    </row>
    <row r="268" spans="1:17" ht="15.75" x14ac:dyDescent="0.25">
      <c r="A268" s="535" t="s">
        <v>382</v>
      </c>
      <c r="B268" s="536"/>
      <c r="C268" s="328" t="s">
        <v>383</v>
      </c>
      <c r="D268" s="221">
        <f t="shared" si="18"/>
        <v>0</v>
      </c>
      <c r="J268" s="535" t="s">
        <v>382</v>
      </c>
      <c r="K268" s="536"/>
      <c r="L268" s="328" t="s">
        <v>383</v>
      </c>
      <c r="M268" s="221">
        <f t="shared" si="19"/>
        <v>0</v>
      </c>
      <c r="N268" s="164"/>
      <c r="O268" s="164"/>
      <c r="P268" s="287">
        <f t="shared" si="20"/>
        <v>0</v>
      </c>
      <c r="Q268" s="288" t="str">
        <f t="shared" si="17"/>
        <v/>
      </c>
    </row>
    <row r="269" spans="1:17" ht="15.75" x14ac:dyDescent="0.25">
      <c r="A269" s="535" t="s">
        <v>384</v>
      </c>
      <c r="B269" s="536"/>
      <c r="C269" s="328" t="s">
        <v>385</v>
      </c>
      <c r="D269" s="221">
        <f t="shared" si="18"/>
        <v>0</v>
      </c>
      <c r="J269" s="535" t="s">
        <v>384</v>
      </c>
      <c r="K269" s="536"/>
      <c r="L269" s="328" t="s">
        <v>385</v>
      </c>
      <c r="M269" s="221">
        <f t="shared" si="19"/>
        <v>0</v>
      </c>
      <c r="N269" s="164"/>
      <c r="O269" s="164"/>
      <c r="P269" s="287">
        <f t="shared" si="20"/>
        <v>0</v>
      </c>
      <c r="Q269" s="288" t="str">
        <f t="shared" si="17"/>
        <v/>
      </c>
    </row>
    <row r="270" spans="1:17" ht="15.75" x14ac:dyDescent="0.25">
      <c r="A270" s="535" t="s">
        <v>386</v>
      </c>
      <c r="B270" s="536"/>
      <c r="C270" s="151" t="s">
        <v>387</v>
      </c>
      <c r="D270" s="221">
        <f t="shared" si="18"/>
        <v>0</v>
      </c>
      <c r="J270" s="535" t="s">
        <v>386</v>
      </c>
      <c r="K270" s="536"/>
      <c r="L270" s="151" t="s">
        <v>387</v>
      </c>
      <c r="M270" s="221">
        <f t="shared" si="19"/>
        <v>0</v>
      </c>
      <c r="N270" s="164"/>
      <c r="O270" s="164"/>
      <c r="P270" s="287">
        <f t="shared" si="20"/>
        <v>0</v>
      </c>
      <c r="Q270" s="288" t="str">
        <f t="shared" si="17"/>
        <v/>
      </c>
    </row>
    <row r="271" spans="1:17" ht="15.75" x14ac:dyDescent="0.25">
      <c r="A271" s="535" t="s">
        <v>388</v>
      </c>
      <c r="B271" s="536"/>
      <c r="C271" s="329" t="s">
        <v>389</v>
      </c>
      <c r="D271" s="221">
        <f t="shared" si="18"/>
        <v>0</v>
      </c>
      <c r="J271" s="535" t="s">
        <v>388</v>
      </c>
      <c r="K271" s="536"/>
      <c r="L271" s="329" t="s">
        <v>389</v>
      </c>
      <c r="M271" s="221">
        <f t="shared" si="19"/>
        <v>0</v>
      </c>
      <c r="N271" s="164"/>
      <c r="O271" s="164"/>
      <c r="P271" s="287">
        <f t="shared" si="20"/>
        <v>0</v>
      </c>
      <c r="Q271" s="288" t="str">
        <f t="shared" si="17"/>
        <v/>
      </c>
    </row>
    <row r="272" spans="1:17" ht="15.75" x14ac:dyDescent="0.25">
      <c r="A272" s="535" t="s">
        <v>390</v>
      </c>
      <c r="B272" s="536"/>
      <c r="C272" s="329" t="s">
        <v>391</v>
      </c>
      <c r="D272" s="221">
        <f t="shared" si="18"/>
        <v>0</v>
      </c>
      <c r="J272" s="535" t="s">
        <v>390</v>
      </c>
      <c r="K272" s="536"/>
      <c r="L272" s="329" t="s">
        <v>391</v>
      </c>
      <c r="M272" s="221">
        <f t="shared" si="19"/>
        <v>0</v>
      </c>
      <c r="N272" s="164"/>
      <c r="O272" s="164"/>
      <c r="P272" s="287">
        <f t="shared" si="20"/>
        <v>0</v>
      </c>
      <c r="Q272" s="288" t="str">
        <f t="shared" si="17"/>
        <v/>
      </c>
    </row>
    <row r="273" spans="1:17" ht="15.75" x14ac:dyDescent="0.25">
      <c r="A273" s="535" t="s">
        <v>392</v>
      </c>
      <c r="B273" s="536"/>
      <c r="C273" s="330" t="s">
        <v>393</v>
      </c>
      <c r="D273" s="221">
        <f t="shared" si="18"/>
        <v>0</v>
      </c>
      <c r="J273" s="535" t="s">
        <v>392</v>
      </c>
      <c r="K273" s="536"/>
      <c r="L273" s="330" t="s">
        <v>393</v>
      </c>
      <c r="M273" s="221">
        <f t="shared" si="19"/>
        <v>0</v>
      </c>
      <c r="N273" s="164"/>
      <c r="O273" s="164"/>
      <c r="P273" s="287">
        <f t="shared" si="20"/>
        <v>0</v>
      </c>
      <c r="Q273" s="288" t="str">
        <f t="shared" si="17"/>
        <v/>
      </c>
    </row>
    <row r="274" spans="1:17" ht="15.75" x14ac:dyDescent="0.25">
      <c r="A274" s="535" t="s">
        <v>394</v>
      </c>
      <c r="B274" s="536"/>
      <c r="C274" s="331" t="s">
        <v>395</v>
      </c>
      <c r="D274" s="221">
        <f t="shared" si="18"/>
        <v>0</v>
      </c>
      <c r="J274" s="535" t="s">
        <v>394</v>
      </c>
      <c r="K274" s="536"/>
      <c r="L274" s="331" t="s">
        <v>395</v>
      </c>
      <c r="M274" s="221">
        <f t="shared" si="19"/>
        <v>0</v>
      </c>
      <c r="N274" s="164"/>
      <c r="O274" s="164"/>
      <c r="P274" s="287">
        <f t="shared" si="20"/>
        <v>0</v>
      </c>
      <c r="Q274" s="288" t="str">
        <f t="shared" si="17"/>
        <v/>
      </c>
    </row>
    <row r="275" spans="1:17" ht="15.75" x14ac:dyDescent="0.25">
      <c r="A275" s="535" t="s">
        <v>396</v>
      </c>
      <c r="B275" s="536"/>
      <c r="C275" s="332" t="s">
        <v>397</v>
      </c>
      <c r="D275" s="221">
        <f t="shared" si="18"/>
        <v>0</v>
      </c>
      <c r="J275" s="535" t="s">
        <v>396</v>
      </c>
      <c r="K275" s="536"/>
      <c r="L275" s="332" t="s">
        <v>397</v>
      </c>
      <c r="M275" s="221">
        <f t="shared" si="19"/>
        <v>0</v>
      </c>
      <c r="N275" s="164"/>
      <c r="O275" s="164"/>
      <c r="P275" s="287">
        <f t="shared" si="20"/>
        <v>0</v>
      </c>
      <c r="Q275" s="288" t="str">
        <f t="shared" si="17"/>
        <v/>
      </c>
    </row>
    <row r="276" spans="1:17" ht="15.75" x14ac:dyDescent="0.25">
      <c r="A276" s="535" t="s">
        <v>223</v>
      </c>
      <c r="B276" s="536"/>
      <c r="C276" s="333" t="s">
        <v>223</v>
      </c>
      <c r="D276" s="221">
        <f t="shared" si="18"/>
        <v>12</v>
      </c>
      <c r="J276" s="535" t="s">
        <v>223</v>
      </c>
      <c r="K276" s="536"/>
      <c r="L276" s="333" t="s">
        <v>223</v>
      </c>
      <c r="M276" s="221">
        <f t="shared" si="19"/>
        <v>18</v>
      </c>
      <c r="N276" s="164"/>
      <c r="O276" s="164"/>
      <c r="P276" s="287">
        <f t="shared" si="20"/>
        <v>30</v>
      </c>
      <c r="Q276" s="288" t="str">
        <f t="shared" si="17"/>
        <v/>
      </c>
    </row>
    <row r="277" spans="1:17" ht="15.75" x14ac:dyDescent="0.25">
      <c r="A277" s="535" t="s">
        <v>398</v>
      </c>
      <c r="B277" s="536"/>
      <c r="C277" s="334" t="s">
        <v>399</v>
      </c>
      <c r="D277" s="221">
        <f t="shared" si="18"/>
        <v>0</v>
      </c>
      <c r="J277" s="535" t="s">
        <v>398</v>
      </c>
      <c r="K277" s="536"/>
      <c r="L277" s="334" t="s">
        <v>399</v>
      </c>
      <c r="M277" s="221">
        <f t="shared" si="19"/>
        <v>0</v>
      </c>
      <c r="N277" s="164"/>
      <c r="O277" s="164"/>
      <c r="P277" s="287">
        <f t="shared" si="20"/>
        <v>0</v>
      </c>
      <c r="Q277" s="288" t="str">
        <f t="shared" si="17"/>
        <v/>
      </c>
    </row>
    <row r="278" spans="1:17" ht="15.75" x14ac:dyDescent="0.25">
      <c r="A278" s="535" t="s">
        <v>400</v>
      </c>
      <c r="B278" s="536"/>
      <c r="C278" s="335" t="s">
        <v>401</v>
      </c>
      <c r="D278" s="221">
        <f t="shared" si="18"/>
        <v>0</v>
      </c>
      <c r="J278" s="535" t="s">
        <v>400</v>
      </c>
      <c r="K278" s="536"/>
      <c r="L278" s="335" t="s">
        <v>401</v>
      </c>
      <c r="M278" s="221">
        <f t="shared" si="19"/>
        <v>0</v>
      </c>
      <c r="N278" s="164"/>
      <c r="O278" s="164"/>
      <c r="P278" s="287">
        <f t="shared" si="20"/>
        <v>0</v>
      </c>
      <c r="Q278" s="288" t="str">
        <f t="shared" si="17"/>
        <v/>
      </c>
    </row>
    <row r="279" spans="1:17" ht="15.75" x14ac:dyDescent="0.25">
      <c r="A279" s="535" t="s">
        <v>402</v>
      </c>
      <c r="B279" s="536"/>
      <c r="C279" s="305" t="s">
        <v>403</v>
      </c>
      <c r="D279" s="221">
        <f t="shared" si="18"/>
        <v>0</v>
      </c>
      <c r="J279" s="535" t="s">
        <v>402</v>
      </c>
      <c r="K279" s="536"/>
      <c r="L279" s="305" t="s">
        <v>403</v>
      </c>
      <c r="M279" s="221">
        <f t="shared" si="19"/>
        <v>0</v>
      </c>
      <c r="N279" s="164"/>
      <c r="O279" s="164"/>
      <c r="P279" s="287">
        <f t="shared" si="20"/>
        <v>0</v>
      </c>
      <c r="Q279" s="288" t="str">
        <f t="shared" si="17"/>
        <v/>
      </c>
    </row>
    <row r="280" spans="1:17" ht="15.75" x14ac:dyDescent="0.25">
      <c r="A280" s="535" t="s">
        <v>327</v>
      </c>
      <c r="B280" s="536"/>
      <c r="C280" s="305" t="s">
        <v>404</v>
      </c>
      <c r="D280" s="221">
        <f t="shared" si="18"/>
        <v>0</v>
      </c>
      <c r="J280" s="535" t="s">
        <v>327</v>
      </c>
      <c r="K280" s="536"/>
      <c r="L280" s="305" t="s">
        <v>404</v>
      </c>
      <c r="M280" s="221">
        <f t="shared" si="19"/>
        <v>0</v>
      </c>
      <c r="N280" s="164"/>
      <c r="O280" s="164"/>
      <c r="P280" s="287">
        <f t="shared" si="20"/>
        <v>0</v>
      </c>
      <c r="Q280" s="288" t="str">
        <f t="shared" ref="Q280:Q307" si="22">IFERROR(P280/$J$4,"")</f>
        <v/>
      </c>
    </row>
    <row r="281" spans="1:17" ht="15.75" x14ac:dyDescent="0.25">
      <c r="A281" s="535" t="s">
        <v>405</v>
      </c>
      <c r="B281" s="536"/>
      <c r="C281" s="305" t="s">
        <v>406</v>
      </c>
      <c r="D281" s="221">
        <f t="shared" si="18"/>
        <v>0</v>
      </c>
      <c r="J281" s="535" t="s">
        <v>405</v>
      </c>
      <c r="K281" s="536"/>
      <c r="L281" s="305" t="s">
        <v>406</v>
      </c>
      <c r="M281" s="221">
        <f t="shared" si="19"/>
        <v>0</v>
      </c>
      <c r="N281" s="164"/>
      <c r="O281" s="164"/>
      <c r="P281" s="287">
        <f t="shared" si="20"/>
        <v>0</v>
      </c>
      <c r="Q281" s="288" t="str">
        <f t="shared" si="22"/>
        <v/>
      </c>
    </row>
    <row r="282" spans="1:17" ht="15.75" x14ac:dyDescent="0.25">
      <c r="A282" s="535" t="s">
        <v>407</v>
      </c>
      <c r="B282" s="536"/>
      <c r="C282" s="336" t="s">
        <v>408</v>
      </c>
      <c r="D282" s="221">
        <f t="shared" si="18"/>
        <v>0</v>
      </c>
      <c r="J282" s="535" t="s">
        <v>407</v>
      </c>
      <c r="K282" s="536"/>
      <c r="L282" s="336" t="s">
        <v>408</v>
      </c>
      <c r="M282" s="221">
        <f t="shared" si="19"/>
        <v>0</v>
      </c>
      <c r="N282" s="164"/>
      <c r="O282" s="164"/>
      <c r="P282" s="287">
        <f t="shared" si="20"/>
        <v>0</v>
      </c>
      <c r="Q282" s="288" t="str">
        <f t="shared" si="22"/>
        <v/>
      </c>
    </row>
    <row r="283" spans="1:17" ht="15.75" x14ac:dyDescent="0.25">
      <c r="A283" s="535" t="s">
        <v>409</v>
      </c>
      <c r="B283" s="536"/>
      <c r="C283" s="337" t="s">
        <v>409</v>
      </c>
      <c r="D283" s="221">
        <f t="shared" si="18"/>
        <v>0</v>
      </c>
      <c r="J283" s="535" t="s">
        <v>409</v>
      </c>
      <c r="K283" s="536"/>
      <c r="L283" s="337" t="s">
        <v>409</v>
      </c>
      <c r="M283" s="221">
        <f t="shared" si="19"/>
        <v>0</v>
      </c>
      <c r="N283" s="164"/>
      <c r="O283" s="164"/>
      <c r="P283" s="287">
        <f t="shared" si="20"/>
        <v>0</v>
      </c>
      <c r="Q283" s="288" t="str">
        <f t="shared" si="22"/>
        <v/>
      </c>
    </row>
    <row r="284" spans="1:17" ht="15.75" x14ac:dyDescent="0.25">
      <c r="A284" s="535" t="s">
        <v>410</v>
      </c>
      <c r="B284" s="536"/>
      <c r="C284" s="145" t="s">
        <v>230</v>
      </c>
      <c r="D284" s="221">
        <f t="shared" si="18"/>
        <v>2</v>
      </c>
      <c r="J284" s="535" t="s">
        <v>410</v>
      </c>
      <c r="K284" s="536"/>
      <c r="L284" s="145" t="s">
        <v>230</v>
      </c>
      <c r="M284" s="221">
        <f t="shared" si="19"/>
        <v>0</v>
      </c>
      <c r="N284" s="164"/>
      <c r="O284" s="164"/>
      <c r="P284" s="287">
        <f t="shared" si="20"/>
        <v>2</v>
      </c>
      <c r="Q284" s="288" t="str">
        <f t="shared" si="22"/>
        <v/>
      </c>
    </row>
    <row r="285" spans="1:17" ht="15.75" x14ac:dyDescent="0.25">
      <c r="A285" s="535" t="s">
        <v>411</v>
      </c>
      <c r="B285" s="536"/>
      <c r="C285" s="338" t="s">
        <v>412</v>
      </c>
      <c r="D285" s="221">
        <f t="shared" si="18"/>
        <v>0</v>
      </c>
      <c r="J285" s="535" t="s">
        <v>411</v>
      </c>
      <c r="K285" s="536"/>
      <c r="L285" s="338" t="s">
        <v>412</v>
      </c>
      <c r="M285" s="221">
        <f t="shared" si="19"/>
        <v>0</v>
      </c>
      <c r="N285" s="164"/>
      <c r="O285" s="164"/>
      <c r="P285" s="287">
        <f t="shared" si="20"/>
        <v>0</v>
      </c>
      <c r="Q285" s="288" t="str">
        <f t="shared" si="22"/>
        <v/>
      </c>
    </row>
    <row r="286" spans="1:17" ht="15.75" x14ac:dyDescent="0.25">
      <c r="A286" s="535" t="s">
        <v>413</v>
      </c>
      <c r="B286" s="536"/>
      <c r="C286" s="124" t="s">
        <v>211</v>
      </c>
      <c r="D286" s="221">
        <f t="shared" si="18"/>
        <v>2</v>
      </c>
      <c r="J286" s="535" t="s">
        <v>413</v>
      </c>
      <c r="K286" s="536"/>
      <c r="L286" s="124" t="s">
        <v>211</v>
      </c>
      <c r="M286" s="221">
        <f t="shared" si="19"/>
        <v>12</v>
      </c>
      <c r="N286" s="164"/>
      <c r="O286" s="164"/>
      <c r="P286" s="287">
        <f t="shared" si="20"/>
        <v>14</v>
      </c>
      <c r="Q286" s="288" t="str">
        <f t="shared" si="22"/>
        <v/>
      </c>
    </row>
    <row r="287" spans="1:17" ht="15.75" x14ac:dyDescent="0.25">
      <c r="A287" s="535" t="s">
        <v>414</v>
      </c>
      <c r="B287" s="536"/>
      <c r="C287" s="339" t="s">
        <v>415</v>
      </c>
      <c r="D287" s="221">
        <f t="shared" si="18"/>
        <v>0</v>
      </c>
      <c r="J287" s="535" t="s">
        <v>414</v>
      </c>
      <c r="K287" s="536"/>
      <c r="L287" s="339" t="s">
        <v>415</v>
      </c>
      <c r="M287" s="221">
        <f t="shared" si="19"/>
        <v>0</v>
      </c>
      <c r="N287" s="164"/>
      <c r="O287" s="164"/>
      <c r="P287" s="287">
        <f t="shared" si="20"/>
        <v>0</v>
      </c>
      <c r="Q287" s="288" t="str">
        <f t="shared" si="22"/>
        <v/>
      </c>
    </row>
    <row r="288" spans="1:17" ht="15.75" x14ac:dyDescent="0.25">
      <c r="A288" s="535" t="s">
        <v>416</v>
      </c>
      <c r="B288" s="536"/>
      <c r="C288" s="340" t="s">
        <v>417</v>
      </c>
      <c r="D288" s="221">
        <f t="shared" si="18"/>
        <v>0</v>
      </c>
      <c r="J288" s="535" t="s">
        <v>416</v>
      </c>
      <c r="K288" s="536"/>
      <c r="L288" s="340" t="s">
        <v>417</v>
      </c>
      <c r="M288" s="221">
        <f t="shared" si="19"/>
        <v>0</v>
      </c>
      <c r="N288" s="164"/>
      <c r="O288" s="164"/>
      <c r="P288" s="287">
        <f t="shared" si="20"/>
        <v>0</v>
      </c>
      <c r="Q288" s="288" t="str">
        <f t="shared" si="22"/>
        <v/>
      </c>
    </row>
    <row r="289" spans="1:17" ht="15.75" x14ac:dyDescent="0.25">
      <c r="A289" s="535" t="s">
        <v>418</v>
      </c>
      <c r="B289" s="536"/>
      <c r="C289" s="338" t="s">
        <v>419</v>
      </c>
      <c r="D289" s="221">
        <f t="shared" si="18"/>
        <v>0</v>
      </c>
      <c r="J289" s="535" t="s">
        <v>418</v>
      </c>
      <c r="K289" s="536"/>
      <c r="L289" s="338" t="s">
        <v>419</v>
      </c>
      <c r="M289" s="221">
        <f t="shared" si="19"/>
        <v>0</v>
      </c>
      <c r="N289" s="164"/>
      <c r="O289" s="164"/>
      <c r="P289" s="287">
        <f t="shared" si="20"/>
        <v>0</v>
      </c>
      <c r="Q289" s="288" t="str">
        <f t="shared" si="22"/>
        <v/>
      </c>
    </row>
    <row r="290" spans="1:17" ht="15.75" x14ac:dyDescent="0.25">
      <c r="A290" s="535" t="s">
        <v>420</v>
      </c>
      <c r="B290" s="536"/>
      <c r="C290" s="341" t="s">
        <v>421</v>
      </c>
      <c r="D290" s="221">
        <f t="shared" si="18"/>
        <v>0</v>
      </c>
      <c r="J290" s="535" t="s">
        <v>420</v>
      </c>
      <c r="K290" s="536"/>
      <c r="L290" s="341" t="s">
        <v>421</v>
      </c>
      <c r="M290" s="221">
        <f t="shared" si="19"/>
        <v>0</v>
      </c>
      <c r="N290" s="164"/>
      <c r="O290" s="164"/>
      <c r="P290" s="287">
        <f t="shared" si="20"/>
        <v>0</v>
      </c>
      <c r="Q290" s="288" t="str">
        <f t="shared" si="22"/>
        <v/>
      </c>
    </row>
    <row r="291" spans="1:17" ht="15.75" x14ac:dyDescent="0.25">
      <c r="A291" s="535" t="s">
        <v>422</v>
      </c>
      <c r="B291" s="536"/>
      <c r="C291" s="342" t="s">
        <v>423</v>
      </c>
      <c r="D291" s="221">
        <f t="shared" si="18"/>
        <v>0</v>
      </c>
      <c r="J291" s="535" t="s">
        <v>422</v>
      </c>
      <c r="K291" s="536"/>
      <c r="L291" s="342" t="s">
        <v>423</v>
      </c>
      <c r="M291" s="221">
        <f t="shared" si="19"/>
        <v>0</v>
      </c>
      <c r="N291" s="164"/>
      <c r="O291" s="164"/>
      <c r="P291" s="287">
        <f t="shared" si="20"/>
        <v>0</v>
      </c>
      <c r="Q291" s="288" t="str">
        <f t="shared" si="22"/>
        <v/>
      </c>
    </row>
    <row r="292" spans="1:17" ht="15.75" x14ac:dyDescent="0.25">
      <c r="A292" s="535" t="s">
        <v>424</v>
      </c>
      <c r="B292" s="536"/>
      <c r="C292" s="343" t="s">
        <v>425</v>
      </c>
      <c r="D292" s="221">
        <f t="shared" si="18"/>
        <v>0</v>
      </c>
      <c r="J292" s="535" t="s">
        <v>424</v>
      </c>
      <c r="K292" s="536"/>
      <c r="L292" s="343" t="s">
        <v>425</v>
      </c>
      <c r="M292" s="221">
        <f t="shared" si="19"/>
        <v>0</v>
      </c>
      <c r="N292" s="164"/>
      <c r="O292" s="164"/>
      <c r="P292" s="287">
        <f t="shared" si="20"/>
        <v>0</v>
      </c>
      <c r="Q292" s="288" t="str">
        <f t="shared" si="22"/>
        <v/>
      </c>
    </row>
    <row r="293" spans="1:17" ht="15.75" x14ac:dyDescent="0.25">
      <c r="A293" s="535" t="s">
        <v>426</v>
      </c>
      <c r="B293" s="536"/>
      <c r="C293" s="344" t="s">
        <v>427</v>
      </c>
      <c r="D293" s="221">
        <f t="shared" si="18"/>
        <v>0</v>
      </c>
      <c r="J293" s="535" t="s">
        <v>426</v>
      </c>
      <c r="K293" s="536"/>
      <c r="L293" s="344" t="s">
        <v>427</v>
      </c>
      <c r="M293" s="221">
        <f t="shared" si="19"/>
        <v>0</v>
      </c>
      <c r="N293" s="164"/>
      <c r="O293" s="164"/>
      <c r="P293" s="287">
        <f t="shared" si="20"/>
        <v>0</v>
      </c>
      <c r="Q293" s="288" t="str">
        <f t="shared" si="22"/>
        <v/>
      </c>
    </row>
    <row r="294" spans="1:17" ht="15.75" x14ac:dyDescent="0.25">
      <c r="A294" s="535" t="s">
        <v>324</v>
      </c>
      <c r="B294" s="536"/>
      <c r="C294" s="344" t="s">
        <v>324</v>
      </c>
      <c r="D294" s="221">
        <f t="shared" si="18"/>
        <v>0</v>
      </c>
      <c r="J294" s="535" t="s">
        <v>324</v>
      </c>
      <c r="K294" s="536"/>
      <c r="L294" s="344" t="s">
        <v>324</v>
      </c>
      <c r="M294" s="221">
        <f t="shared" si="19"/>
        <v>0</v>
      </c>
      <c r="N294" s="164"/>
      <c r="O294" s="164"/>
      <c r="P294" s="287">
        <f t="shared" si="20"/>
        <v>0</v>
      </c>
      <c r="Q294" s="288" t="str">
        <f t="shared" si="22"/>
        <v/>
      </c>
    </row>
    <row r="295" spans="1:17" ht="15.75" x14ac:dyDescent="0.25">
      <c r="A295" s="535" t="s">
        <v>295</v>
      </c>
      <c r="B295" s="536"/>
      <c r="C295" s="345" t="s">
        <v>428</v>
      </c>
      <c r="D295" s="221">
        <f t="shared" si="18"/>
        <v>0</v>
      </c>
      <c r="J295" s="535" t="s">
        <v>295</v>
      </c>
      <c r="K295" s="536"/>
      <c r="L295" s="345" t="s">
        <v>428</v>
      </c>
      <c r="M295" s="221">
        <f t="shared" si="19"/>
        <v>0</v>
      </c>
      <c r="N295" s="164"/>
      <c r="O295" s="164"/>
      <c r="P295" s="287">
        <f t="shared" si="20"/>
        <v>0</v>
      </c>
      <c r="Q295" s="288" t="str">
        <f t="shared" si="22"/>
        <v/>
      </c>
    </row>
    <row r="296" spans="1:17" ht="15.75" x14ac:dyDescent="0.25">
      <c r="A296" s="535" t="s">
        <v>429</v>
      </c>
      <c r="B296" s="536"/>
      <c r="C296" s="346" t="s">
        <v>430</v>
      </c>
      <c r="D296" s="221">
        <f t="shared" si="18"/>
        <v>0</v>
      </c>
      <c r="J296" s="535" t="s">
        <v>429</v>
      </c>
      <c r="K296" s="536"/>
      <c r="L296" s="346" t="s">
        <v>430</v>
      </c>
      <c r="M296" s="221">
        <f t="shared" si="19"/>
        <v>0</v>
      </c>
      <c r="N296" s="164"/>
      <c r="O296" s="164"/>
      <c r="P296" s="287">
        <f t="shared" si="20"/>
        <v>0</v>
      </c>
      <c r="Q296" s="288" t="str">
        <f t="shared" si="22"/>
        <v/>
      </c>
    </row>
    <row r="297" spans="1:17" ht="15.75" x14ac:dyDescent="0.25">
      <c r="A297" s="535" t="s">
        <v>431</v>
      </c>
      <c r="B297" s="536"/>
      <c r="C297" s="347" t="s">
        <v>432</v>
      </c>
      <c r="D297" s="221">
        <f t="shared" si="18"/>
        <v>0</v>
      </c>
      <c r="J297" s="535" t="s">
        <v>431</v>
      </c>
      <c r="K297" s="536"/>
      <c r="L297" s="347" t="s">
        <v>432</v>
      </c>
      <c r="M297" s="221">
        <f t="shared" si="19"/>
        <v>0</v>
      </c>
      <c r="N297" s="164"/>
      <c r="O297" s="164"/>
      <c r="P297" s="287">
        <f t="shared" si="20"/>
        <v>0</v>
      </c>
      <c r="Q297" s="288" t="str">
        <f t="shared" si="22"/>
        <v/>
      </c>
    </row>
    <row r="298" spans="1:17" ht="15.75" x14ac:dyDescent="0.25">
      <c r="A298" s="535" t="s">
        <v>433</v>
      </c>
      <c r="B298" s="536"/>
      <c r="C298" s="348" t="s">
        <v>434</v>
      </c>
      <c r="D298" s="221">
        <f t="shared" si="18"/>
        <v>0</v>
      </c>
      <c r="J298" s="535" t="s">
        <v>433</v>
      </c>
      <c r="K298" s="536"/>
      <c r="L298" s="348" t="s">
        <v>434</v>
      </c>
      <c r="M298" s="221">
        <f t="shared" si="19"/>
        <v>0</v>
      </c>
      <c r="N298" s="164"/>
      <c r="O298" s="164"/>
      <c r="P298" s="287">
        <f t="shared" si="20"/>
        <v>0</v>
      </c>
      <c r="Q298" s="288" t="str">
        <f t="shared" si="22"/>
        <v/>
      </c>
    </row>
    <row r="299" spans="1:17" ht="15.75" x14ac:dyDescent="0.25">
      <c r="A299" s="535" t="s">
        <v>435</v>
      </c>
      <c r="B299" s="536"/>
      <c r="C299" s="348" t="s">
        <v>436</v>
      </c>
      <c r="D299" s="221">
        <f t="shared" si="18"/>
        <v>0</v>
      </c>
      <c r="J299" s="535" t="s">
        <v>435</v>
      </c>
      <c r="K299" s="536"/>
      <c r="L299" s="348" t="s">
        <v>436</v>
      </c>
      <c r="M299" s="221">
        <f t="shared" si="19"/>
        <v>0</v>
      </c>
      <c r="N299" s="164"/>
      <c r="O299" s="164"/>
      <c r="P299" s="287">
        <f t="shared" si="20"/>
        <v>0</v>
      </c>
      <c r="Q299" s="288" t="str">
        <f t="shared" si="22"/>
        <v/>
      </c>
    </row>
    <row r="300" spans="1:17" ht="15.75" x14ac:dyDescent="0.25">
      <c r="A300" s="535" t="s">
        <v>437</v>
      </c>
      <c r="B300" s="536"/>
      <c r="C300" s="349" t="s">
        <v>438</v>
      </c>
      <c r="D300" s="221">
        <f t="shared" ref="D300:D307" si="23">COUNTIF($AO$3:$CC$42,C300)</f>
        <v>0</v>
      </c>
      <c r="J300" s="535" t="s">
        <v>437</v>
      </c>
      <c r="K300" s="536"/>
      <c r="L300" s="349" t="s">
        <v>438</v>
      </c>
      <c r="M300" s="221">
        <f t="shared" ref="M300:M307" si="24">COUNTIF($A$3:$AN$71,L300)</f>
        <v>0</v>
      </c>
      <c r="N300" s="164"/>
      <c r="O300" s="164"/>
      <c r="P300" s="287">
        <f t="shared" ref="P300:P307" si="25">D300+M300</f>
        <v>0</v>
      </c>
      <c r="Q300" s="288" t="str">
        <f t="shared" si="22"/>
        <v/>
      </c>
    </row>
    <row r="301" spans="1:17" ht="15.75" x14ac:dyDescent="0.25">
      <c r="A301" s="535" t="s">
        <v>439</v>
      </c>
      <c r="B301" s="536"/>
      <c r="C301" s="340" t="s">
        <v>440</v>
      </c>
      <c r="D301" s="221">
        <f t="shared" si="23"/>
        <v>0</v>
      </c>
      <c r="J301" s="535" t="s">
        <v>439</v>
      </c>
      <c r="K301" s="536"/>
      <c r="L301" s="340" t="s">
        <v>440</v>
      </c>
      <c r="M301" s="221">
        <f t="shared" si="24"/>
        <v>0</v>
      </c>
      <c r="N301" s="164"/>
      <c r="O301" s="164"/>
      <c r="P301" s="287">
        <f t="shared" si="25"/>
        <v>0</v>
      </c>
      <c r="Q301" s="288" t="str">
        <f t="shared" si="22"/>
        <v/>
      </c>
    </row>
    <row r="302" spans="1:17" ht="15.75" x14ac:dyDescent="0.25">
      <c r="A302" s="535" t="s">
        <v>441</v>
      </c>
      <c r="B302" s="536"/>
      <c r="C302" s="347" t="s">
        <v>442</v>
      </c>
      <c r="D302" s="221">
        <f t="shared" si="23"/>
        <v>0</v>
      </c>
      <c r="J302" s="535" t="s">
        <v>441</v>
      </c>
      <c r="K302" s="536"/>
      <c r="L302" s="347" t="s">
        <v>442</v>
      </c>
      <c r="M302" s="221">
        <f t="shared" si="24"/>
        <v>0</v>
      </c>
      <c r="N302" s="164"/>
      <c r="O302" s="164"/>
      <c r="P302" s="287">
        <f t="shared" si="25"/>
        <v>0</v>
      </c>
      <c r="Q302" s="288" t="str">
        <f t="shared" si="22"/>
        <v/>
      </c>
    </row>
    <row r="303" spans="1:17" ht="15.75" x14ac:dyDescent="0.25">
      <c r="A303" s="535" t="s">
        <v>443</v>
      </c>
      <c r="B303" s="536"/>
      <c r="C303" s="350" t="s">
        <v>444</v>
      </c>
      <c r="D303" s="221">
        <f t="shared" si="23"/>
        <v>0</v>
      </c>
      <c r="J303" s="535" t="s">
        <v>443</v>
      </c>
      <c r="K303" s="536"/>
      <c r="L303" s="350" t="s">
        <v>444</v>
      </c>
      <c r="M303" s="221">
        <f t="shared" si="24"/>
        <v>0</v>
      </c>
      <c r="P303" s="287">
        <f t="shared" si="25"/>
        <v>0</v>
      </c>
      <c r="Q303" s="288" t="str">
        <f t="shared" si="22"/>
        <v/>
      </c>
    </row>
    <row r="304" spans="1:17" ht="15.75" x14ac:dyDescent="0.25">
      <c r="A304" s="535" t="s">
        <v>445</v>
      </c>
      <c r="B304" s="536"/>
      <c r="C304" s="351" t="s">
        <v>445</v>
      </c>
      <c r="D304" s="221">
        <f t="shared" si="23"/>
        <v>0</v>
      </c>
      <c r="J304" s="535" t="s">
        <v>445</v>
      </c>
      <c r="K304" s="536"/>
      <c r="L304" s="351" t="s">
        <v>445</v>
      </c>
      <c r="M304" s="221">
        <f t="shared" si="24"/>
        <v>0</v>
      </c>
      <c r="P304" s="287">
        <f t="shared" si="25"/>
        <v>0</v>
      </c>
      <c r="Q304" s="288" t="str">
        <f t="shared" si="22"/>
        <v/>
      </c>
    </row>
    <row r="305" spans="1:17" ht="15.75" x14ac:dyDescent="0.25">
      <c r="A305" s="535" t="s">
        <v>446</v>
      </c>
      <c r="B305" s="536"/>
      <c r="C305" s="140" t="s">
        <v>225</v>
      </c>
      <c r="D305" s="221">
        <f t="shared" si="23"/>
        <v>4</v>
      </c>
      <c r="J305" s="535" t="s">
        <v>446</v>
      </c>
      <c r="K305" s="536"/>
      <c r="L305" s="140" t="s">
        <v>225</v>
      </c>
      <c r="M305" s="221">
        <f t="shared" si="24"/>
        <v>10</v>
      </c>
      <c r="P305" s="287">
        <f t="shared" si="25"/>
        <v>14</v>
      </c>
      <c r="Q305" s="288" t="str">
        <f t="shared" si="22"/>
        <v/>
      </c>
    </row>
    <row r="306" spans="1:17" ht="15.75" x14ac:dyDescent="0.25">
      <c r="A306" s="535" t="s">
        <v>447</v>
      </c>
      <c r="B306" s="536"/>
      <c r="C306" s="151" t="s">
        <v>237</v>
      </c>
      <c r="D306" s="221">
        <f t="shared" si="23"/>
        <v>0</v>
      </c>
      <c r="J306" s="535" t="s">
        <v>447</v>
      </c>
      <c r="K306" s="536"/>
      <c r="L306" s="151" t="s">
        <v>237</v>
      </c>
      <c r="M306" s="221">
        <f t="shared" si="24"/>
        <v>1</v>
      </c>
      <c r="P306" s="287">
        <f t="shared" si="25"/>
        <v>1</v>
      </c>
      <c r="Q306" s="288" t="str">
        <f t="shared" si="22"/>
        <v/>
      </c>
    </row>
    <row r="307" spans="1:17" ht="16.5" thickBot="1" x14ac:dyDescent="0.3">
      <c r="A307" s="535" t="s">
        <v>448</v>
      </c>
      <c r="B307" s="536"/>
      <c r="C307" s="352" t="s">
        <v>449</v>
      </c>
      <c r="D307" s="221">
        <f t="shared" si="23"/>
        <v>0</v>
      </c>
      <c r="J307" s="535" t="s">
        <v>448</v>
      </c>
      <c r="K307" s="536"/>
      <c r="L307" s="352" t="s">
        <v>449</v>
      </c>
      <c r="M307" s="221">
        <f t="shared" si="24"/>
        <v>0</v>
      </c>
      <c r="P307" s="287">
        <f t="shared" si="25"/>
        <v>0</v>
      </c>
      <c r="Q307" s="353" t="str">
        <f t="shared" si="22"/>
        <v/>
      </c>
    </row>
    <row r="308" spans="1:17" ht="15.75" thickTop="1" x14ac:dyDescent="0.25"/>
    <row r="313" spans="1:17" x14ac:dyDescent="0.25">
      <c r="A313" s="552" t="s">
        <v>450</v>
      </c>
      <c r="B313" s="552"/>
      <c r="C313" s="552"/>
      <c r="D313" s="552"/>
      <c r="E313" s="552"/>
      <c r="F313" s="552"/>
      <c r="G313" s="552"/>
      <c r="H313" s="552"/>
      <c r="I313" s="552"/>
      <c r="J313" s="552"/>
      <c r="K313" s="552"/>
      <c r="L313" s="552"/>
      <c r="M313" s="552"/>
      <c r="N313" s="552"/>
      <c r="O313" s="552"/>
      <c r="P313" s="552"/>
      <c r="Q313" s="552"/>
    </row>
    <row r="314" spans="1:17" x14ac:dyDescent="0.25">
      <c r="A314" s="552"/>
      <c r="B314" s="552"/>
      <c r="C314" s="552"/>
      <c r="D314" s="552"/>
      <c r="E314" s="552"/>
      <c r="F314" s="552"/>
      <c r="G314" s="552"/>
      <c r="H314" s="552"/>
      <c r="I314" s="552"/>
      <c r="J314" s="552"/>
      <c r="K314" s="552"/>
      <c r="L314" s="552"/>
      <c r="M314" s="552"/>
      <c r="N314" s="552"/>
      <c r="O314" s="552"/>
      <c r="P314" s="552"/>
      <c r="Q314" s="552"/>
    </row>
    <row r="315" spans="1:17" ht="15.75" thickBot="1" x14ac:dyDescent="0.3"/>
    <row r="316" spans="1:17" ht="27" thickBot="1" x14ac:dyDescent="0.3">
      <c r="A316" s="553" t="s">
        <v>451</v>
      </c>
      <c r="B316" s="554"/>
      <c r="C316" s="554"/>
      <c r="D316" s="555"/>
      <c r="E316" s="354">
        <f>F318+O318</f>
        <v>8</v>
      </c>
    </row>
    <row r="317" spans="1:17" ht="15.75" thickBot="1" x14ac:dyDescent="0.3"/>
    <row r="318" spans="1:17" ht="21.75" thickBot="1" x14ac:dyDescent="0.4">
      <c r="A318" s="528" t="s">
        <v>452</v>
      </c>
      <c r="B318" s="529"/>
      <c r="C318" s="529"/>
      <c r="D318" s="529"/>
      <c r="E318" s="530"/>
      <c r="F318" s="499">
        <f>SUM(E432,E349,E461,E469,E475,E489,E501)</f>
        <v>6</v>
      </c>
      <c r="G318" s="500"/>
      <c r="J318" s="528" t="s">
        <v>453</v>
      </c>
      <c r="K318" s="529"/>
      <c r="L318" s="529"/>
      <c r="M318" s="529"/>
      <c r="N318" s="530"/>
      <c r="O318" s="499">
        <f>SUM(N349,N432,N461,N469,N475,N489,N501)</f>
        <v>2</v>
      </c>
      <c r="P318" s="500"/>
    </row>
    <row r="319" spans="1:17" ht="21.75" thickBot="1" x14ac:dyDescent="0.4">
      <c r="A319" s="279"/>
      <c r="B319" s="280"/>
      <c r="C319" s="280"/>
      <c r="D319" s="280"/>
      <c r="E319" s="281"/>
      <c r="F319" s="281"/>
      <c r="G319" s="281"/>
      <c r="J319" s="281"/>
      <c r="K319" s="281"/>
      <c r="L319" s="281"/>
      <c r="M319" s="281"/>
      <c r="N319" s="281"/>
      <c r="O319" s="281"/>
      <c r="P319" s="281"/>
      <c r="Q319" s="281"/>
    </row>
    <row r="320" spans="1:17" ht="18.75" thickBot="1" x14ac:dyDescent="0.3">
      <c r="A320" s="549" t="s">
        <v>454</v>
      </c>
      <c r="B320" s="550"/>
      <c r="C320" s="550"/>
      <c r="D320" s="551"/>
      <c r="J320" s="549" t="s">
        <v>454</v>
      </c>
      <c r="K320" s="550"/>
      <c r="L320" s="550"/>
      <c r="M320" s="551"/>
    </row>
    <row r="321" spans="1:14" ht="15.75" x14ac:dyDescent="0.25">
      <c r="A321" s="556" t="s">
        <v>455</v>
      </c>
      <c r="B321" s="557"/>
      <c r="C321" s="558"/>
      <c r="D321" s="26" t="s">
        <v>456</v>
      </c>
      <c r="E321" s="221">
        <f t="shared" ref="E321:E348" si="26">COUNTIF($AO$3:$CC$42,D321)</f>
        <v>0</v>
      </c>
      <c r="J321" s="556" t="s">
        <v>455</v>
      </c>
      <c r="K321" s="557"/>
      <c r="L321" s="558"/>
      <c r="M321" s="26" t="s">
        <v>456</v>
      </c>
      <c r="N321" s="221">
        <f t="shared" ref="N321:N348" si="27">COUNTIF($A$3:$AN$71,M321)</f>
        <v>0</v>
      </c>
    </row>
    <row r="322" spans="1:14" ht="15.75" x14ac:dyDescent="0.25">
      <c r="A322" s="556" t="s">
        <v>457</v>
      </c>
      <c r="B322" s="557"/>
      <c r="C322" s="558"/>
      <c r="D322" s="26" t="s">
        <v>458</v>
      </c>
      <c r="E322" s="221">
        <f t="shared" si="26"/>
        <v>0</v>
      </c>
      <c r="J322" s="556" t="s">
        <v>457</v>
      </c>
      <c r="K322" s="557"/>
      <c r="L322" s="558"/>
      <c r="M322" s="26" t="s">
        <v>458</v>
      </c>
      <c r="N322" s="221">
        <f t="shared" si="27"/>
        <v>0</v>
      </c>
    </row>
    <row r="323" spans="1:14" ht="15.75" x14ac:dyDescent="0.25">
      <c r="A323" s="556" t="s">
        <v>459</v>
      </c>
      <c r="B323" s="557"/>
      <c r="C323" s="558"/>
      <c r="D323" s="26" t="s">
        <v>460</v>
      </c>
      <c r="E323" s="221">
        <f t="shared" si="26"/>
        <v>0</v>
      </c>
      <c r="J323" s="556" t="s">
        <v>459</v>
      </c>
      <c r="K323" s="557"/>
      <c r="L323" s="558"/>
      <c r="M323" s="26" t="s">
        <v>460</v>
      </c>
      <c r="N323" s="221">
        <f t="shared" si="27"/>
        <v>0</v>
      </c>
    </row>
    <row r="324" spans="1:14" ht="15.75" x14ac:dyDescent="0.25">
      <c r="A324" s="556" t="s">
        <v>461</v>
      </c>
      <c r="B324" s="557"/>
      <c r="C324" s="558"/>
      <c r="D324" s="26" t="s">
        <v>462</v>
      </c>
      <c r="E324" s="221">
        <f t="shared" si="26"/>
        <v>0</v>
      </c>
      <c r="J324" s="556" t="s">
        <v>461</v>
      </c>
      <c r="K324" s="557"/>
      <c r="L324" s="558"/>
      <c r="M324" s="26" t="s">
        <v>462</v>
      </c>
      <c r="N324" s="221">
        <f t="shared" si="27"/>
        <v>0</v>
      </c>
    </row>
    <row r="325" spans="1:14" ht="15.75" x14ac:dyDescent="0.25">
      <c r="A325" s="556" t="s">
        <v>463</v>
      </c>
      <c r="B325" s="557"/>
      <c r="C325" s="558"/>
      <c r="D325" s="26" t="s">
        <v>464</v>
      </c>
      <c r="E325" s="221">
        <f t="shared" si="26"/>
        <v>0</v>
      </c>
      <c r="J325" s="556" t="s">
        <v>463</v>
      </c>
      <c r="K325" s="557"/>
      <c r="L325" s="558"/>
      <c r="M325" s="26" t="s">
        <v>464</v>
      </c>
      <c r="N325" s="221">
        <f t="shared" si="27"/>
        <v>0</v>
      </c>
    </row>
    <row r="326" spans="1:14" ht="15.75" x14ac:dyDescent="0.25">
      <c r="A326" s="556" t="s">
        <v>465</v>
      </c>
      <c r="B326" s="557"/>
      <c r="C326" s="558"/>
      <c r="D326" s="26" t="s">
        <v>466</v>
      </c>
      <c r="E326" s="221">
        <f t="shared" si="26"/>
        <v>0</v>
      </c>
      <c r="J326" s="556" t="s">
        <v>465</v>
      </c>
      <c r="K326" s="557"/>
      <c r="L326" s="558"/>
      <c r="M326" s="26" t="s">
        <v>466</v>
      </c>
      <c r="N326" s="221">
        <f t="shared" si="27"/>
        <v>0</v>
      </c>
    </row>
    <row r="327" spans="1:14" ht="15.75" x14ac:dyDescent="0.25">
      <c r="A327" s="556" t="s">
        <v>467</v>
      </c>
      <c r="B327" s="557"/>
      <c r="C327" s="558"/>
      <c r="D327" s="26" t="s">
        <v>468</v>
      </c>
      <c r="E327" s="221">
        <f t="shared" si="26"/>
        <v>0</v>
      </c>
      <c r="J327" s="556" t="s">
        <v>467</v>
      </c>
      <c r="K327" s="557"/>
      <c r="L327" s="558"/>
      <c r="M327" s="26" t="s">
        <v>468</v>
      </c>
      <c r="N327" s="221">
        <f t="shared" si="27"/>
        <v>0</v>
      </c>
    </row>
    <row r="328" spans="1:14" ht="15.75" x14ac:dyDescent="0.25">
      <c r="A328" s="556" t="s">
        <v>469</v>
      </c>
      <c r="B328" s="557"/>
      <c r="C328" s="558"/>
      <c r="D328" s="26" t="s">
        <v>470</v>
      </c>
      <c r="E328" s="221">
        <f t="shared" si="26"/>
        <v>0</v>
      </c>
      <c r="J328" s="556" t="s">
        <v>469</v>
      </c>
      <c r="K328" s="557"/>
      <c r="L328" s="558"/>
      <c r="M328" s="26" t="s">
        <v>470</v>
      </c>
      <c r="N328" s="221">
        <f t="shared" si="27"/>
        <v>0</v>
      </c>
    </row>
    <row r="329" spans="1:14" ht="15.75" x14ac:dyDescent="0.25">
      <c r="A329" s="556" t="s">
        <v>471</v>
      </c>
      <c r="B329" s="557"/>
      <c r="C329" s="558"/>
      <c r="D329" s="26" t="s">
        <v>472</v>
      </c>
      <c r="E329" s="221">
        <f t="shared" si="26"/>
        <v>0</v>
      </c>
      <c r="J329" s="556" t="s">
        <v>471</v>
      </c>
      <c r="K329" s="557"/>
      <c r="L329" s="558"/>
      <c r="M329" s="26" t="s">
        <v>472</v>
      </c>
      <c r="N329" s="221">
        <f t="shared" si="27"/>
        <v>0</v>
      </c>
    </row>
    <row r="330" spans="1:14" ht="15.75" x14ac:dyDescent="0.25">
      <c r="A330" s="556" t="s">
        <v>473</v>
      </c>
      <c r="B330" s="557"/>
      <c r="C330" s="558"/>
      <c r="D330" s="26" t="s">
        <v>474</v>
      </c>
      <c r="E330" s="221">
        <f t="shared" si="26"/>
        <v>0</v>
      </c>
      <c r="J330" s="556" t="s">
        <v>473</v>
      </c>
      <c r="K330" s="557"/>
      <c r="L330" s="558"/>
      <c r="M330" s="26" t="s">
        <v>474</v>
      </c>
      <c r="N330" s="221">
        <f t="shared" si="27"/>
        <v>0</v>
      </c>
    </row>
    <row r="331" spans="1:14" ht="15.75" x14ac:dyDescent="0.25">
      <c r="A331" s="556" t="s">
        <v>475</v>
      </c>
      <c r="B331" s="557"/>
      <c r="C331" s="558"/>
      <c r="D331" s="26" t="s">
        <v>476</v>
      </c>
      <c r="E331" s="221">
        <f t="shared" si="26"/>
        <v>0</v>
      </c>
      <c r="J331" s="556" t="s">
        <v>475</v>
      </c>
      <c r="K331" s="557"/>
      <c r="L331" s="558"/>
      <c r="M331" s="26" t="s">
        <v>476</v>
      </c>
      <c r="N331" s="221">
        <f t="shared" si="27"/>
        <v>0</v>
      </c>
    </row>
    <row r="332" spans="1:14" ht="15.75" x14ac:dyDescent="0.25">
      <c r="A332" s="556" t="s">
        <v>477</v>
      </c>
      <c r="B332" s="557"/>
      <c r="C332" s="558"/>
      <c r="D332" s="26" t="s">
        <v>478</v>
      </c>
      <c r="E332" s="221">
        <f t="shared" si="26"/>
        <v>0</v>
      </c>
      <c r="J332" s="556" t="s">
        <v>477</v>
      </c>
      <c r="K332" s="557"/>
      <c r="L332" s="558"/>
      <c r="M332" s="26" t="s">
        <v>478</v>
      </c>
      <c r="N332" s="221">
        <f t="shared" si="27"/>
        <v>0</v>
      </c>
    </row>
    <row r="333" spans="1:14" ht="15.75" x14ac:dyDescent="0.25">
      <c r="A333" s="556" t="s">
        <v>479</v>
      </c>
      <c r="B333" s="557"/>
      <c r="C333" s="558"/>
      <c r="D333" s="26" t="s">
        <v>480</v>
      </c>
      <c r="E333" s="221">
        <f t="shared" si="26"/>
        <v>0</v>
      </c>
      <c r="J333" s="556" t="s">
        <v>479</v>
      </c>
      <c r="K333" s="557"/>
      <c r="L333" s="558"/>
      <c r="M333" s="26" t="s">
        <v>480</v>
      </c>
      <c r="N333" s="221">
        <f t="shared" si="27"/>
        <v>0</v>
      </c>
    </row>
    <row r="334" spans="1:14" ht="15.75" x14ac:dyDescent="0.25">
      <c r="A334" s="556" t="s">
        <v>481</v>
      </c>
      <c r="B334" s="557"/>
      <c r="C334" s="558"/>
      <c r="D334" s="26" t="s">
        <v>482</v>
      </c>
      <c r="E334" s="221">
        <f t="shared" si="26"/>
        <v>0</v>
      </c>
      <c r="J334" s="556" t="s">
        <v>481</v>
      </c>
      <c r="K334" s="557"/>
      <c r="L334" s="558"/>
      <c r="M334" s="26" t="s">
        <v>482</v>
      </c>
      <c r="N334" s="221">
        <f t="shared" si="27"/>
        <v>0</v>
      </c>
    </row>
    <row r="335" spans="1:14" ht="15.75" x14ac:dyDescent="0.25">
      <c r="A335" s="556" t="s">
        <v>483</v>
      </c>
      <c r="B335" s="557"/>
      <c r="C335" s="558"/>
      <c r="D335" s="26" t="s">
        <v>484</v>
      </c>
      <c r="E335" s="221">
        <f t="shared" si="26"/>
        <v>0</v>
      </c>
      <c r="J335" s="556" t="s">
        <v>483</v>
      </c>
      <c r="K335" s="557"/>
      <c r="L335" s="558"/>
      <c r="M335" s="26" t="s">
        <v>484</v>
      </c>
      <c r="N335" s="221">
        <f t="shared" si="27"/>
        <v>0</v>
      </c>
    </row>
    <row r="336" spans="1:14" ht="15.75" x14ac:dyDescent="0.25">
      <c r="A336" s="556" t="s">
        <v>485</v>
      </c>
      <c r="B336" s="557"/>
      <c r="C336" s="558"/>
      <c r="D336" s="26" t="s">
        <v>486</v>
      </c>
      <c r="E336" s="221">
        <f t="shared" si="26"/>
        <v>0</v>
      </c>
      <c r="J336" s="556" t="s">
        <v>485</v>
      </c>
      <c r="K336" s="557"/>
      <c r="L336" s="558"/>
      <c r="M336" s="26" t="s">
        <v>486</v>
      </c>
      <c r="N336" s="221">
        <f t="shared" si="27"/>
        <v>0</v>
      </c>
    </row>
    <row r="337" spans="1:14" ht="15.75" x14ac:dyDescent="0.25">
      <c r="A337" s="556" t="s">
        <v>487</v>
      </c>
      <c r="B337" s="557"/>
      <c r="C337" s="558"/>
      <c r="D337" s="26" t="s">
        <v>488</v>
      </c>
      <c r="E337" s="221">
        <f t="shared" si="26"/>
        <v>0</v>
      </c>
      <c r="J337" s="556" t="s">
        <v>487</v>
      </c>
      <c r="K337" s="557"/>
      <c r="L337" s="558"/>
      <c r="M337" s="26" t="s">
        <v>488</v>
      </c>
      <c r="N337" s="221">
        <f t="shared" si="27"/>
        <v>0</v>
      </c>
    </row>
    <row r="338" spans="1:14" ht="15.75" x14ac:dyDescent="0.25">
      <c r="A338" s="556" t="s">
        <v>489</v>
      </c>
      <c r="B338" s="557"/>
      <c r="C338" s="558"/>
      <c r="D338" s="26" t="s">
        <v>490</v>
      </c>
      <c r="E338" s="221">
        <f t="shared" si="26"/>
        <v>0</v>
      </c>
      <c r="J338" s="556" t="s">
        <v>489</v>
      </c>
      <c r="K338" s="557"/>
      <c r="L338" s="558"/>
      <c r="M338" s="26" t="s">
        <v>490</v>
      </c>
      <c r="N338" s="221">
        <f t="shared" si="27"/>
        <v>0</v>
      </c>
    </row>
    <row r="339" spans="1:14" ht="15.75" x14ac:dyDescent="0.25">
      <c r="A339" s="556" t="s">
        <v>491</v>
      </c>
      <c r="B339" s="557"/>
      <c r="C339" s="558"/>
      <c r="D339" s="26" t="s">
        <v>492</v>
      </c>
      <c r="E339" s="221">
        <f t="shared" si="26"/>
        <v>0</v>
      </c>
      <c r="J339" s="556" t="s">
        <v>491</v>
      </c>
      <c r="K339" s="557"/>
      <c r="L339" s="558"/>
      <c r="M339" s="26" t="s">
        <v>492</v>
      </c>
      <c r="N339" s="221">
        <f t="shared" si="27"/>
        <v>0</v>
      </c>
    </row>
    <row r="340" spans="1:14" ht="15.75" x14ac:dyDescent="0.25">
      <c r="A340" s="556" t="s">
        <v>493</v>
      </c>
      <c r="B340" s="557"/>
      <c r="C340" s="558"/>
      <c r="D340" s="26" t="s">
        <v>494</v>
      </c>
      <c r="E340" s="221">
        <f t="shared" si="26"/>
        <v>0</v>
      </c>
      <c r="J340" s="556" t="s">
        <v>493</v>
      </c>
      <c r="K340" s="557"/>
      <c r="L340" s="558"/>
      <c r="M340" s="26" t="s">
        <v>494</v>
      </c>
      <c r="N340" s="221">
        <f t="shared" si="27"/>
        <v>0</v>
      </c>
    </row>
    <row r="341" spans="1:14" ht="15.75" x14ac:dyDescent="0.25">
      <c r="A341" s="556" t="s">
        <v>495</v>
      </c>
      <c r="B341" s="557"/>
      <c r="C341" s="558"/>
      <c r="D341" s="26" t="s">
        <v>496</v>
      </c>
      <c r="E341" s="221">
        <f t="shared" si="26"/>
        <v>0</v>
      </c>
      <c r="J341" s="556" t="s">
        <v>495</v>
      </c>
      <c r="K341" s="557"/>
      <c r="L341" s="558"/>
      <c r="M341" s="26" t="s">
        <v>496</v>
      </c>
      <c r="N341" s="221">
        <f t="shared" si="27"/>
        <v>0</v>
      </c>
    </row>
    <row r="342" spans="1:14" ht="15.75" x14ac:dyDescent="0.25">
      <c r="A342" s="556" t="s">
        <v>497</v>
      </c>
      <c r="B342" s="557"/>
      <c r="C342" s="558"/>
      <c r="D342" s="26" t="s">
        <v>498</v>
      </c>
      <c r="E342" s="221">
        <f t="shared" si="26"/>
        <v>0</v>
      </c>
      <c r="J342" s="556" t="s">
        <v>497</v>
      </c>
      <c r="K342" s="557"/>
      <c r="L342" s="558"/>
      <c r="M342" s="26" t="s">
        <v>498</v>
      </c>
      <c r="N342" s="221">
        <f t="shared" si="27"/>
        <v>0</v>
      </c>
    </row>
    <row r="343" spans="1:14" ht="15.75" x14ac:dyDescent="0.25">
      <c r="A343" s="556" t="s">
        <v>499</v>
      </c>
      <c r="B343" s="557"/>
      <c r="C343" s="558"/>
      <c r="D343" s="26" t="s">
        <v>500</v>
      </c>
      <c r="E343" s="221">
        <f t="shared" si="26"/>
        <v>0</v>
      </c>
      <c r="J343" s="556" t="s">
        <v>499</v>
      </c>
      <c r="K343" s="557"/>
      <c r="L343" s="558"/>
      <c r="M343" s="26" t="s">
        <v>500</v>
      </c>
      <c r="N343" s="221">
        <f t="shared" si="27"/>
        <v>0</v>
      </c>
    </row>
    <row r="344" spans="1:14" ht="15.75" x14ac:dyDescent="0.25">
      <c r="A344" s="556" t="s">
        <v>501</v>
      </c>
      <c r="B344" s="557"/>
      <c r="C344" s="558"/>
      <c r="D344" s="26" t="s">
        <v>502</v>
      </c>
      <c r="E344" s="221">
        <f t="shared" si="26"/>
        <v>0</v>
      </c>
      <c r="J344" s="556" t="s">
        <v>501</v>
      </c>
      <c r="K344" s="557"/>
      <c r="L344" s="558"/>
      <c r="M344" s="26" t="s">
        <v>502</v>
      </c>
      <c r="N344" s="221">
        <f t="shared" si="27"/>
        <v>0</v>
      </c>
    </row>
    <row r="345" spans="1:14" ht="15.75" x14ac:dyDescent="0.25">
      <c r="A345" s="556" t="s">
        <v>503</v>
      </c>
      <c r="B345" s="557"/>
      <c r="C345" s="558"/>
      <c r="D345" s="26" t="s">
        <v>504</v>
      </c>
      <c r="E345" s="221">
        <f t="shared" si="26"/>
        <v>0</v>
      </c>
      <c r="J345" s="556" t="s">
        <v>503</v>
      </c>
      <c r="K345" s="557"/>
      <c r="L345" s="558"/>
      <c r="M345" s="26" t="s">
        <v>504</v>
      </c>
      <c r="N345" s="221">
        <f t="shared" si="27"/>
        <v>0</v>
      </c>
    </row>
    <row r="346" spans="1:14" ht="15.75" x14ac:dyDescent="0.25">
      <c r="A346" s="556" t="s">
        <v>505</v>
      </c>
      <c r="B346" s="557"/>
      <c r="C346" s="558"/>
      <c r="D346" s="26" t="s">
        <v>506</v>
      </c>
      <c r="E346" s="221">
        <f t="shared" si="26"/>
        <v>0</v>
      </c>
      <c r="J346" s="556" t="s">
        <v>505</v>
      </c>
      <c r="K346" s="557"/>
      <c r="L346" s="558"/>
      <c r="M346" s="26" t="s">
        <v>506</v>
      </c>
      <c r="N346" s="221">
        <f t="shared" si="27"/>
        <v>0</v>
      </c>
    </row>
    <row r="347" spans="1:14" ht="15.75" x14ac:dyDescent="0.25">
      <c r="A347" s="556" t="s">
        <v>507</v>
      </c>
      <c r="B347" s="557"/>
      <c r="C347" s="558"/>
      <c r="D347" s="26" t="s">
        <v>508</v>
      </c>
      <c r="E347" s="221">
        <f t="shared" si="26"/>
        <v>0</v>
      </c>
      <c r="J347" s="556" t="s">
        <v>507</v>
      </c>
      <c r="K347" s="557"/>
      <c r="L347" s="558"/>
      <c r="M347" s="26" t="s">
        <v>508</v>
      </c>
      <c r="N347" s="221">
        <f t="shared" si="27"/>
        <v>0</v>
      </c>
    </row>
    <row r="348" spans="1:14" ht="15.75" x14ac:dyDescent="0.25">
      <c r="A348" s="556" t="s">
        <v>509</v>
      </c>
      <c r="B348" s="557"/>
      <c r="C348" s="558"/>
      <c r="D348" s="26" t="s">
        <v>510</v>
      </c>
      <c r="E348" s="221">
        <f t="shared" si="26"/>
        <v>0</v>
      </c>
      <c r="J348" s="556" t="s">
        <v>509</v>
      </c>
      <c r="K348" s="557"/>
      <c r="L348" s="558"/>
      <c r="M348" s="26" t="s">
        <v>510</v>
      </c>
      <c r="N348" s="221">
        <f t="shared" si="27"/>
        <v>0</v>
      </c>
    </row>
    <row r="349" spans="1:14" ht="18.75" thickBot="1" x14ac:dyDescent="0.3">
      <c r="A349" s="559" t="s">
        <v>255</v>
      </c>
      <c r="B349" s="559"/>
      <c r="C349" s="559"/>
      <c r="D349" s="559"/>
      <c r="E349" s="355">
        <f>SUM(E321:E348)</f>
        <v>0</v>
      </c>
      <c r="J349" s="559" t="s">
        <v>255</v>
      </c>
      <c r="K349" s="559"/>
      <c r="L349" s="559"/>
      <c r="M349" s="559"/>
      <c r="N349" s="355">
        <f>SUM(N321:N348)</f>
        <v>0</v>
      </c>
    </row>
    <row r="350" spans="1:14" ht="18.75" thickBot="1" x14ac:dyDescent="0.3">
      <c r="A350" s="549" t="s">
        <v>511</v>
      </c>
      <c r="B350" s="550"/>
      <c r="C350" s="550"/>
      <c r="D350" s="551"/>
      <c r="J350" s="549" t="s">
        <v>511</v>
      </c>
      <c r="K350" s="550"/>
      <c r="L350" s="550"/>
      <c r="M350" s="551"/>
    </row>
    <row r="351" spans="1:14" ht="15.75" x14ac:dyDescent="0.25">
      <c r="A351" s="556" t="s">
        <v>512</v>
      </c>
      <c r="B351" s="557"/>
      <c r="C351" s="558"/>
      <c r="D351" s="26" t="s">
        <v>513</v>
      </c>
      <c r="E351" s="221">
        <f t="shared" ref="E351:E414" si="28">COUNTIF($AO$3:$CC$42,D351)</f>
        <v>0</v>
      </c>
      <c r="J351" s="556" t="s">
        <v>512</v>
      </c>
      <c r="K351" s="557"/>
      <c r="L351" s="558"/>
      <c r="M351" s="26" t="s">
        <v>513</v>
      </c>
      <c r="N351" s="221">
        <f t="shared" ref="N351:N414" si="29">COUNTIF($A$3:$AN$71,M351)</f>
        <v>0</v>
      </c>
    </row>
    <row r="352" spans="1:14" ht="15.75" x14ac:dyDescent="0.25">
      <c r="A352" s="556" t="s">
        <v>514</v>
      </c>
      <c r="B352" s="557"/>
      <c r="C352" s="558"/>
      <c r="D352" s="26" t="s">
        <v>515</v>
      </c>
      <c r="E352" s="221">
        <f t="shared" si="28"/>
        <v>0</v>
      </c>
      <c r="J352" s="556" t="s">
        <v>514</v>
      </c>
      <c r="K352" s="557"/>
      <c r="L352" s="558"/>
      <c r="M352" s="26" t="s">
        <v>515</v>
      </c>
      <c r="N352" s="221">
        <f t="shared" si="29"/>
        <v>0</v>
      </c>
    </row>
    <row r="353" spans="1:17" ht="15.75" x14ac:dyDescent="0.25">
      <c r="A353" s="556" t="s">
        <v>516</v>
      </c>
      <c r="B353" s="557"/>
      <c r="C353" s="558"/>
      <c r="D353" s="26" t="s">
        <v>517</v>
      </c>
      <c r="E353" s="221">
        <f t="shared" si="28"/>
        <v>0</v>
      </c>
      <c r="J353" s="556" t="s">
        <v>516</v>
      </c>
      <c r="K353" s="557"/>
      <c r="L353" s="558"/>
      <c r="M353" s="26" t="s">
        <v>517</v>
      </c>
      <c r="N353" s="221">
        <f t="shared" si="29"/>
        <v>0</v>
      </c>
    </row>
    <row r="354" spans="1:17" ht="15.75" x14ac:dyDescent="0.25">
      <c r="A354" s="556" t="s">
        <v>518</v>
      </c>
      <c r="B354" s="557"/>
      <c r="C354" s="558"/>
      <c r="D354" s="26" t="s">
        <v>519</v>
      </c>
      <c r="E354" s="221">
        <f t="shared" si="28"/>
        <v>0</v>
      </c>
      <c r="J354" s="556" t="s">
        <v>518</v>
      </c>
      <c r="K354" s="557"/>
      <c r="L354" s="558"/>
      <c r="M354" s="26" t="s">
        <v>519</v>
      </c>
      <c r="N354" s="221">
        <f t="shared" si="29"/>
        <v>0</v>
      </c>
    </row>
    <row r="355" spans="1:17" ht="15.75" x14ac:dyDescent="0.25">
      <c r="A355" s="556" t="s">
        <v>520</v>
      </c>
      <c r="B355" s="557"/>
      <c r="C355" s="558"/>
      <c r="D355" s="26" t="s">
        <v>521</v>
      </c>
      <c r="E355" s="221">
        <f t="shared" si="28"/>
        <v>0</v>
      </c>
      <c r="J355" s="556" t="s">
        <v>520</v>
      </c>
      <c r="K355" s="557"/>
      <c r="L355" s="558"/>
      <c r="M355" s="26" t="s">
        <v>521</v>
      </c>
      <c r="N355" s="221">
        <f t="shared" si="29"/>
        <v>0</v>
      </c>
    </row>
    <row r="356" spans="1:17" ht="15.75" x14ac:dyDescent="0.25">
      <c r="A356" s="556" t="s">
        <v>522</v>
      </c>
      <c r="B356" s="557"/>
      <c r="C356" s="558"/>
      <c r="D356" s="26" t="s">
        <v>523</v>
      </c>
      <c r="E356" s="221">
        <f t="shared" si="28"/>
        <v>0</v>
      </c>
      <c r="J356" s="556" t="s">
        <v>522</v>
      </c>
      <c r="K356" s="557"/>
      <c r="L356" s="558"/>
      <c r="M356" s="26" t="s">
        <v>523</v>
      </c>
      <c r="N356" s="221">
        <f t="shared" si="29"/>
        <v>0</v>
      </c>
    </row>
    <row r="357" spans="1:17" ht="15.75" x14ac:dyDescent="0.25">
      <c r="A357" s="556" t="s">
        <v>524</v>
      </c>
      <c r="B357" s="557"/>
      <c r="C357" s="558"/>
      <c r="D357" s="26" t="s">
        <v>183</v>
      </c>
      <c r="E357" s="221">
        <f t="shared" si="28"/>
        <v>1</v>
      </c>
      <c r="J357" s="556" t="s">
        <v>524</v>
      </c>
      <c r="K357" s="557"/>
      <c r="L357" s="558"/>
      <c r="M357" s="26" t="s">
        <v>183</v>
      </c>
      <c r="N357" s="221">
        <f t="shared" si="29"/>
        <v>0</v>
      </c>
    </row>
    <row r="358" spans="1:17" ht="15.75" x14ac:dyDescent="0.25">
      <c r="A358" s="556" t="s">
        <v>525</v>
      </c>
      <c r="B358" s="557"/>
      <c r="C358" s="558"/>
      <c r="D358" s="26" t="s">
        <v>526</v>
      </c>
      <c r="E358" s="221">
        <f t="shared" si="28"/>
        <v>0</v>
      </c>
      <c r="J358" s="556" t="s">
        <v>525</v>
      </c>
      <c r="K358" s="557"/>
      <c r="L358" s="558"/>
      <c r="M358" s="26" t="s">
        <v>526</v>
      </c>
      <c r="N358" s="221">
        <f t="shared" si="29"/>
        <v>0</v>
      </c>
    </row>
    <row r="359" spans="1:17" ht="15.75" x14ac:dyDescent="0.25">
      <c r="A359" s="556" t="s">
        <v>527</v>
      </c>
      <c r="B359" s="557"/>
      <c r="C359" s="558"/>
      <c r="D359" s="26" t="s">
        <v>528</v>
      </c>
      <c r="E359" s="221">
        <f t="shared" si="28"/>
        <v>0</v>
      </c>
      <c r="J359" s="556" t="s">
        <v>527</v>
      </c>
      <c r="K359" s="557"/>
      <c r="L359" s="558"/>
      <c r="M359" s="26" t="s">
        <v>528</v>
      </c>
      <c r="N359" s="221">
        <f t="shared" si="29"/>
        <v>0</v>
      </c>
    </row>
    <row r="360" spans="1:17" ht="15.75" x14ac:dyDescent="0.25">
      <c r="A360" s="556" t="s">
        <v>529</v>
      </c>
      <c r="B360" s="557"/>
      <c r="C360" s="558"/>
      <c r="D360" s="26" t="s">
        <v>530</v>
      </c>
      <c r="E360" s="221">
        <f t="shared" si="28"/>
        <v>0</v>
      </c>
      <c r="J360" s="556" t="s">
        <v>529</v>
      </c>
      <c r="K360" s="557"/>
      <c r="L360" s="558"/>
      <c r="M360" s="26" t="s">
        <v>530</v>
      </c>
      <c r="N360" s="221">
        <f t="shared" si="29"/>
        <v>0</v>
      </c>
    </row>
    <row r="361" spans="1:17" ht="15.75" x14ac:dyDescent="0.25">
      <c r="A361" s="556" t="s">
        <v>531</v>
      </c>
      <c r="B361" s="557"/>
      <c r="C361" s="558"/>
      <c r="D361" s="26" t="s">
        <v>532</v>
      </c>
      <c r="E361" s="221">
        <f t="shared" si="28"/>
        <v>0</v>
      </c>
      <c r="J361" s="556" t="s">
        <v>531</v>
      </c>
      <c r="K361" s="557"/>
      <c r="L361" s="558"/>
      <c r="M361" s="26" t="s">
        <v>532</v>
      </c>
      <c r="N361" s="221">
        <f t="shared" si="29"/>
        <v>0</v>
      </c>
    </row>
    <row r="362" spans="1:17" ht="15.75" x14ac:dyDescent="0.25">
      <c r="A362" s="556" t="s">
        <v>533</v>
      </c>
      <c r="B362" s="557"/>
      <c r="C362" s="558"/>
      <c r="D362" s="26" t="s">
        <v>534</v>
      </c>
      <c r="E362" s="221">
        <f t="shared" si="28"/>
        <v>0</v>
      </c>
      <c r="J362" s="556" t="s">
        <v>533</v>
      </c>
      <c r="K362" s="557"/>
      <c r="L362" s="558"/>
      <c r="M362" s="26" t="s">
        <v>534</v>
      </c>
      <c r="N362" s="221">
        <f t="shared" si="29"/>
        <v>0</v>
      </c>
    </row>
    <row r="363" spans="1:17" ht="15.75" x14ac:dyDescent="0.25">
      <c r="A363" s="556" t="s">
        <v>752</v>
      </c>
      <c r="B363" s="557"/>
      <c r="C363" s="558"/>
      <c r="D363" s="26" t="s">
        <v>753</v>
      </c>
      <c r="E363" s="221">
        <f t="shared" si="28"/>
        <v>0</v>
      </c>
      <c r="J363" s="556" t="s">
        <v>752</v>
      </c>
      <c r="K363" s="557"/>
      <c r="L363" s="558"/>
      <c r="M363" s="26" t="s">
        <v>753</v>
      </c>
      <c r="N363" s="221">
        <f t="shared" si="29"/>
        <v>0</v>
      </c>
    </row>
    <row r="364" spans="1:17" ht="15.75" x14ac:dyDescent="0.25">
      <c r="A364" s="556" t="s">
        <v>754</v>
      </c>
      <c r="B364" s="557"/>
      <c r="C364" s="558"/>
      <c r="D364" s="26" t="s">
        <v>755</v>
      </c>
      <c r="E364" s="221">
        <f t="shared" si="28"/>
        <v>0</v>
      </c>
      <c r="J364" s="556" t="s">
        <v>754</v>
      </c>
      <c r="K364" s="557"/>
      <c r="L364" s="558"/>
      <c r="M364" s="26" t="s">
        <v>755</v>
      </c>
      <c r="N364" s="221">
        <f t="shared" si="29"/>
        <v>0</v>
      </c>
    </row>
    <row r="365" spans="1:17" ht="15.75" x14ac:dyDescent="0.25">
      <c r="A365" s="556" t="s">
        <v>535</v>
      </c>
      <c r="B365" s="557"/>
      <c r="C365" s="558"/>
      <c r="D365" s="26" t="s">
        <v>536</v>
      </c>
      <c r="E365" s="221">
        <f t="shared" si="28"/>
        <v>0</v>
      </c>
      <c r="J365" s="556" t="s">
        <v>535</v>
      </c>
      <c r="K365" s="557"/>
      <c r="L365" s="558"/>
      <c r="M365" s="26" t="s">
        <v>536</v>
      </c>
      <c r="N365" s="221">
        <f t="shared" si="29"/>
        <v>0</v>
      </c>
    </row>
    <row r="366" spans="1:17" ht="15.75" x14ac:dyDescent="0.25">
      <c r="A366" s="556" t="s">
        <v>537</v>
      </c>
      <c r="B366" s="557"/>
      <c r="C366" s="558"/>
      <c r="D366" s="26" t="s">
        <v>538</v>
      </c>
      <c r="E366" s="221">
        <f t="shared" si="28"/>
        <v>0</v>
      </c>
      <c r="J366" s="556" t="s">
        <v>537</v>
      </c>
      <c r="K366" s="557"/>
      <c r="L366" s="558"/>
      <c r="M366" s="26" t="s">
        <v>538</v>
      </c>
      <c r="N366" s="221">
        <f t="shared" si="29"/>
        <v>0</v>
      </c>
    </row>
    <row r="367" spans="1:17" ht="15.75" x14ac:dyDescent="0.25">
      <c r="A367" s="556" t="s">
        <v>539</v>
      </c>
      <c r="B367" s="557"/>
      <c r="C367" s="558"/>
      <c r="D367" s="26" t="s">
        <v>540</v>
      </c>
      <c r="E367" s="221">
        <f t="shared" si="28"/>
        <v>0</v>
      </c>
      <c r="J367" s="556" t="s">
        <v>539</v>
      </c>
      <c r="K367" s="557"/>
      <c r="L367" s="558"/>
      <c r="M367" s="26" t="s">
        <v>540</v>
      </c>
      <c r="N367" s="221">
        <f t="shared" si="29"/>
        <v>0</v>
      </c>
    </row>
    <row r="368" spans="1:17" ht="15.75" x14ac:dyDescent="0.25">
      <c r="A368" s="556" t="s">
        <v>541</v>
      </c>
      <c r="B368" s="557"/>
      <c r="C368" s="558"/>
      <c r="D368" s="26" t="s">
        <v>542</v>
      </c>
      <c r="E368" s="221">
        <f t="shared" si="28"/>
        <v>0</v>
      </c>
      <c r="J368" s="556" t="s">
        <v>541</v>
      </c>
      <c r="K368" s="557"/>
      <c r="L368" s="558"/>
      <c r="M368" s="26" t="s">
        <v>542</v>
      </c>
      <c r="N368" s="221">
        <f t="shared" si="29"/>
        <v>0</v>
      </c>
      <c r="O368" s="24"/>
      <c r="P368" s="24"/>
      <c r="Q368" s="24"/>
    </row>
    <row r="369" spans="1:14" ht="15.75" x14ac:dyDescent="0.25">
      <c r="A369" s="556" t="s">
        <v>543</v>
      </c>
      <c r="B369" s="557"/>
      <c r="C369" s="558"/>
      <c r="D369" s="26" t="s">
        <v>180</v>
      </c>
      <c r="E369" s="221">
        <f t="shared" si="28"/>
        <v>1</v>
      </c>
      <c r="J369" s="556" t="s">
        <v>543</v>
      </c>
      <c r="K369" s="557"/>
      <c r="L369" s="558"/>
      <c r="M369" s="26" t="s">
        <v>180</v>
      </c>
      <c r="N369" s="221">
        <f t="shared" si="29"/>
        <v>0</v>
      </c>
    </row>
    <row r="370" spans="1:14" ht="15.75" x14ac:dyDescent="0.25">
      <c r="A370" s="556" t="s">
        <v>544</v>
      </c>
      <c r="B370" s="557"/>
      <c r="C370" s="558"/>
      <c r="D370" s="26" t="s">
        <v>545</v>
      </c>
      <c r="E370" s="221">
        <f t="shared" si="28"/>
        <v>0</v>
      </c>
      <c r="J370" s="556" t="s">
        <v>544</v>
      </c>
      <c r="K370" s="557"/>
      <c r="L370" s="558"/>
      <c r="M370" s="26" t="s">
        <v>545</v>
      </c>
      <c r="N370" s="221">
        <f t="shared" si="29"/>
        <v>0</v>
      </c>
    </row>
    <row r="371" spans="1:14" ht="15.75" x14ac:dyDescent="0.25">
      <c r="A371" s="556" t="s">
        <v>546</v>
      </c>
      <c r="B371" s="557"/>
      <c r="C371" s="558"/>
      <c r="D371" s="26" t="s">
        <v>547</v>
      </c>
      <c r="E371" s="221">
        <f t="shared" si="28"/>
        <v>0</v>
      </c>
      <c r="J371" s="556" t="s">
        <v>546</v>
      </c>
      <c r="K371" s="557"/>
      <c r="L371" s="558"/>
      <c r="M371" s="26" t="s">
        <v>547</v>
      </c>
      <c r="N371" s="221">
        <f t="shared" si="29"/>
        <v>0</v>
      </c>
    </row>
    <row r="372" spans="1:14" ht="15.75" x14ac:dyDescent="0.25">
      <c r="A372" s="556" t="s">
        <v>548</v>
      </c>
      <c r="B372" s="557"/>
      <c r="C372" s="558"/>
      <c r="D372" s="26" t="s">
        <v>191</v>
      </c>
      <c r="E372" s="221">
        <f t="shared" si="28"/>
        <v>1</v>
      </c>
      <c r="J372" s="556" t="s">
        <v>548</v>
      </c>
      <c r="K372" s="557"/>
      <c r="L372" s="558"/>
      <c r="M372" s="26" t="s">
        <v>191</v>
      </c>
      <c r="N372" s="221">
        <f t="shared" si="29"/>
        <v>0</v>
      </c>
    </row>
    <row r="373" spans="1:14" ht="15.75" x14ac:dyDescent="0.25">
      <c r="A373" s="556" t="s">
        <v>549</v>
      </c>
      <c r="B373" s="557"/>
      <c r="C373" s="558"/>
      <c r="D373" s="26" t="s">
        <v>550</v>
      </c>
      <c r="E373" s="221">
        <f t="shared" si="28"/>
        <v>0</v>
      </c>
      <c r="J373" s="556" t="s">
        <v>549</v>
      </c>
      <c r="K373" s="557"/>
      <c r="L373" s="558"/>
      <c r="M373" s="26" t="s">
        <v>550</v>
      </c>
      <c r="N373" s="221">
        <f t="shared" si="29"/>
        <v>0</v>
      </c>
    </row>
    <row r="374" spans="1:14" ht="15.75" x14ac:dyDescent="0.25">
      <c r="A374" s="556" t="s">
        <v>551</v>
      </c>
      <c r="B374" s="557"/>
      <c r="C374" s="558"/>
      <c r="D374" s="26" t="s">
        <v>552</v>
      </c>
      <c r="E374" s="221">
        <f t="shared" si="28"/>
        <v>0</v>
      </c>
      <c r="J374" s="556" t="s">
        <v>551</v>
      </c>
      <c r="K374" s="557"/>
      <c r="L374" s="558"/>
      <c r="M374" s="26" t="s">
        <v>552</v>
      </c>
      <c r="N374" s="221">
        <f t="shared" si="29"/>
        <v>0</v>
      </c>
    </row>
    <row r="375" spans="1:14" ht="15.75" x14ac:dyDescent="0.25">
      <c r="A375" s="556" t="s">
        <v>553</v>
      </c>
      <c r="B375" s="557"/>
      <c r="C375" s="558"/>
      <c r="D375" s="26" t="s">
        <v>554</v>
      </c>
      <c r="E375" s="221">
        <f t="shared" si="28"/>
        <v>0</v>
      </c>
      <c r="J375" s="556" t="s">
        <v>553</v>
      </c>
      <c r="K375" s="557"/>
      <c r="L375" s="558"/>
      <c r="M375" s="26" t="s">
        <v>554</v>
      </c>
      <c r="N375" s="221">
        <f t="shared" si="29"/>
        <v>0</v>
      </c>
    </row>
    <row r="376" spans="1:14" ht="15.75" x14ac:dyDescent="0.25">
      <c r="A376" s="556" t="s">
        <v>555</v>
      </c>
      <c r="B376" s="557"/>
      <c r="C376" s="558"/>
      <c r="D376" s="26" t="s">
        <v>556</v>
      </c>
      <c r="E376" s="221">
        <f t="shared" si="28"/>
        <v>0</v>
      </c>
      <c r="J376" s="556" t="s">
        <v>555</v>
      </c>
      <c r="K376" s="557"/>
      <c r="L376" s="558"/>
      <c r="M376" s="26" t="s">
        <v>556</v>
      </c>
      <c r="N376" s="221">
        <f t="shared" si="29"/>
        <v>0</v>
      </c>
    </row>
    <row r="377" spans="1:14" ht="15.75" x14ac:dyDescent="0.25">
      <c r="A377" s="556" t="s">
        <v>557</v>
      </c>
      <c r="B377" s="557"/>
      <c r="C377" s="558"/>
      <c r="D377" s="26" t="s">
        <v>558</v>
      </c>
      <c r="E377" s="221">
        <f t="shared" si="28"/>
        <v>0</v>
      </c>
      <c r="J377" s="556" t="s">
        <v>557</v>
      </c>
      <c r="K377" s="557"/>
      <c r="L377" s="558"/>
      <c r="M377" s="26" t="s">
        <v>558</v>
      </c>
      <c r="N377" s="221">
        <f t="shared" si="29"/>
        <v>0</v>
      </c>
    </row>
    <row r="378" spans="1:14" ht="15.75" x14ac:dyDescent="0.25">
      <c r="A378" s="556" t="s">
        <v>559</v>
      </c>
      <c r="B378" s="557"/>
      <c r="C378" s="558"/>
      <c r="D378" s="26" t="s">
        <v>560</v>
      </c>
      <c r="E378" s="221">
        <f t="shared" si="28"/>
        <v>0</v>
      </c>
      <c r="J378" s="556" t="s">
        <v>559</v>
      </c>
      <c r="K378" s="557"/>
      <c r="L378" s="558"/>
      <c r="M378" s="26" t="s">
        <v>560</v>
      </c>
      <c r="N378" s="221">
        <f t="shared" si="29"/>
        <v>0</v>
      </c>
    </row>
    <row r="379" spans="1:14" ht="15.75" x14ac:dyDescent="0.25">
      <c r="A379" s="556" t="s">
        <v>561</v>
      </c>
      <c r="B379" s="557"/>
      <c r="C379" s="558"/>
      <c r="D379" s="26" t="s">
        <v>562</v>
      </c>
      <c r="E379" s="221">
        <f t="shared" si="28"/>
        <v>0</v>
      </c>
      <c r="J379" s="556" t="s">
        <v>561</v>
      </c>
      <c r="K379" s="557"/>
      <c r="L379" s="558"/>
      <c r="M379" s="26" t="s">
        <v>562</v>
      </c>
      <c r="N379" s="221">
        <f t="shared" si="29"/>
        <v>0</v>
      </c>
    </row>
    <row r="380" spans="1:14" ht="15.75" x14ac:dyDescent="0.25">
      <c r="A380" s="556" t="s">
        <v>563</v>
      </c>
      <c r="B380" s="557"/>
      <c r="C380" s="558"/>
      <c r="D380" s="26" t="s">
        <v>564</v>
      </c>
      <c r="E380" s="221">
        <f t="shared" si="28"/>
        <v>0</v>
      </c>
      <c r="J380" s="556" t="s">
        <v>563</v>
      </c>
      <c r="K380" s="557"/>
      <c r="L380" s="558"/>
      <c r="M380" s="26" t="s">
        <v>564</v>
      </c>
      <c r="N380" s="221">
        <f t="shared" si="29"/>
        <v>0</v>
      </c>
    </row>
    <row r="381" spans="1:14" ht="15.75" x14ac:dyDescent="0.25">
      <c r="A381" s="556" t="s">
        <v>565</v>
      </c>
      <c r="B381" s="557"/>
      <c r="C381" s="558"/>
      <c r="D381" s="26" t="s">
        <v>566</v>
      </c>
      <c r="E381" s="221">
        <f t="shared" si="28"/>
        <v>0</v>
      </c>
      <c r="J381" s="556" t="s">
        <v>565</v>
      </c>
      <c r="K381" s="557"/>
      <c r="L381" s="558"/>
      <c r="M381" s="26" t="s">
        <v>566</v>
      </c>
      <c r="N381" s="221">
        <f t="shared" si="29"/>
        <v>0</v>
      </c>
    </row>
    <row r="382" spans="1:14" ht="15.75" x14ac:dyDescent="0.25">
      <c r="A382" s="556" t="s">
        <v>567</v>
      </c>
      <c r="B382" s="557"/>
      <c r="C382" s="558"/>
      <c r="D382" s="26" t="s">
        <v>568</v>
      </c>
      <c r="E382" s="221">
        <f t="shared" si="28"/>
        <v>0</v>
      </c>
      <c r="J382" s="556" t="s">
        <v>567</v>
      </c>
      <c r="K382" s="557"/>
      <c r="L382" s="558"/>
      <c r="M382" s="26" t="s">
        <v>568</v>
      </c>
      <c r="N382" s="221">
        <f t="shared" si="29"/>
        <v>0</v>
      </c>
    </row>
    <row r="383" spans="1:14" ht="15.75" x14ac:dyDescent="0.25">
      <c r="A383" s="556" t="s">
        <v>569</v>
      </c>
      <c r="B383" s="557"/>
      <c r="C383" s="558"/>
      <c r="D383" s="26" t="s">
        <v>201</v>
      </c>
      <c r="E383" s="221">
        <f t="shared" si="28"/>
        <v>0</v>
      </c>
      <c r="J383" s="556" t="s">
        <v>569</v>
      </c>
      <c r="K383" s="557"/>
      <c r="L383" s="558"/>
      <c r="M383" s="26" t="s">
        <v>201</v>
      </c>
      <c r="N383" s="221">
        <f t="shared" si="29"/>
        <v>1</v>
      </c>
    </row>
    <row r="384" spans="1:14" ht="15.75" x14ac:dyDescent="0.25">
      <c r="A384" s="556" t="s">
        <v>570</v>
      </c>
      <c r="B384" s="557"/>
      <c r="C384" s="558"/>
      <c r="D384" s="26" t="s">
        <v>571</v>
      </c>
      <c r="E384" s="221">
        <f t="shared" si="28"/>
        <v>0</v>
      </c>
      <c r="J384" s="556" t="s">
        <v>570</v>
      </c>
      <c r="K384" s="557"/>
      <c r="L384" s="558"/>
      <c r="M384" s="26" t="s">
        <v>571</v>
      </c>
      <c r="N384" s="221">
        <f t="shared" si="29"/>
        <v>0</v>
      </c>
    </row>
    <row r="385" spans="1:14" ht="15.75" x14ac:dyDescent="0.25">
      <c r="A385" s="556" t="s">
        <v>572</v>
      </c>
      <c r="B385" s="557"/>
      <c r="C385" s="558"/>
      <c r="D385" s="26" t="s">
        <v>573</v>
      </c>
      <c r="E385" s="221">
        <f t="shared" si="28"/>
        <v>0</v>
      </c>
      <c r="J385" s="556" t="s">
        <v>572</v>
      </c>
      <c r="K385" s="557"/>
      <c r="L385" s="558"/>
      <c r="M385" s="26" t="s">
        <v>573</v>
      </c>
      <c r="N385" s="221">
        <f t="shared" si="29"/>
        <v>0</v>
      </c>
    </row>
    <row r="386" spans="1:14" ht="15.75" x14ac:dyDescent="0.25">
      <c r="A386" s="556" t="s">
        <v>574</v>
      </c>
      <c r="B386" s="557"/>
      <c r="C386" s="558"/>
      <c r="D386" s="26" t="s">
        <v>575</v>
      </c>
      <c r="E386" s="221">
        <f t="shared" si="28"/>
        <v>0</v>
      </c>
      <c r="J386" s="556" t="s">
        <v>574</v>
      </c>
      <c r="K386" s="557"/>
      <c r="L386" s="558"/>
      <c r="M386" s="26" t="s">
        <v>575</v>
      </c>
      <c r="N386" s="221">
        <f t="shared" si="29"/>
        <v>0</v>
      </c>
    </row>
    <row r="387" spans="1:14" ht="15.75" x14ac:dyDescent="0.25">
      <c r="A387" s="556" t="s">
        <v>576</v>
      </c>
      <c r="B387" s="557"/>
      <c r="C387" s="558"/>
      <c r="D387" s="26" t="s">
        <v>577</v>
      </c>
      <c r="E387" s="221">
        <f t="shared" si="28"/>
        <v>0</v>
      </c>
      <c r="J387" s="556" t="s">
        <v>576</v>
      </c>
      <c r="K387" s="557"/>
      <c r="L387" s="558"/>
      <c r="M387" s="26" t="s">
        <v>577</v>
      </c>
      <c r="N387" s="221">
        <f t="shared" si="29"/>
        <v>0</v>
      </c>
    </row>
    <row r="388" spans="1:14" ht="15.75" x14ac:dyDescent="0.25">
      <c r="A388" s="556" t="s">
        <v>578</v>
      </c>
      <c r="B388" s="557"/>
      <c r="C388" s="558"/>
      <c r="D388" s="26" t="s">
        <v>175</v>
      </c>
      <c r="E388" s="221">
        <f t="shared" si="28"/>
        <v>1</v>
      </c>
      <c r="J388" s="556" t="s">
        <v>578</v>
      </c>
      <c r="K388" s="557"/>
      <c r="L388" s="558"/>
      <c r="M388" s="26" t="s">
        <v>175</v>
      </c>
      <c r="N388" s="221">
        <f t="shared" si="29"/>
        <v>0</v>
      </c>
    </row>
    <row r="389" spans="1:14" ht="15.75" x14ac:dyDescent="0.25">
      <c r="A389" s="556" t="s">
        <v>579</v>
      </c>
      <c r="B389" s="557"/>
      <c r="C389" s="558"/>
      <c r="D389" s="26" t="s">
        <v>580</v>
      </c>
      <c r="E389" s="221">
        <f t="shared" si="28"/>
        <v>0</v>
      </c>
      <c r="J389" s="556" t="s">
        <v>579</v>
      </c>
      <c r="K389" s="557"/>
      <c r="L389" s="558"/>
      <c r="M389" s="26" t="s">
        <v>580</v>
      </c>
      <c r="N389" s="221">
        <f t="shared" si="29"/>
        <v>0</v>
      </c>
    </row>
    <row r="390" spans="1:14" ht="15.75" x14ac:dyDescent="0.25">
      <c r="A390" s="556" t="s">
        <v>581</v>
      </c>
      <c r="B390" s="557"/>
      <c r="C390" s="558"/>
      <c r="D390" s="26" t="s">
        <v>582</v>
      </c>
      <c r="E390" s="221">
        <f t="shared" si="28"/>
        <v>0</v>
      </c>
      <c r="J390" s="556" t="s">
        <v>581</v>
      </c>
      <c r="K390" s="557"/>
      <c r="L390" s="558"/>
      <c r="M390" s="26" t="s">
        <v>582</v>
      </c>
      <c r="N390" s="221">
        <f t="shared" si="29"/>
        <v>0</v>
      </c>
    </row>
    <row r="391" spans="1:14" ht="15.75" x14ac:dyDescent="0.25">
      <c r="A391" s="556" t="s">
        <v>583</v>
      </c>
      <c r="B391" s="557"/>
      <c r="C391" s="558"/>
      <c r="D391" s="26" t="s">
        <v>584</v>
      </c>
      <c r="E391" s="221">
        <f t="shared" si="28"/>
        <v>0</v>
      </c>
      <c r="J391" s="556" t="s">
        <v>583</v>
      </c>
      <c r="K391" s="557"/>
      <c r="L391" s="558"/>
      <c r="M391" s="26" t="s">
        <v>584</v>
      </c>
      <c r="N391" s="221">
        <f t="shared" si="29"/>
        <v>0</v>
      </c>
    </row>
    <row r="392" spans="1:14" ht="15.75" x14ac:dyDescent="0.25">
      <c r="A392" s="556" t="s">
        <v>585</v>
      </c>
      <c r="B392" s="557"/>
      <c r="C392" s="558"/>
      <c r="D392" s="26" t="s">
        <v>586</v>
      </c>
      <c r="E392" s="221">
        <f t="shared" si="28"/>
        <v>0</v>
      </c>
      <c r="J392" s="556" t="s">
        <v>585</v>
      </c>
      <c r="K392" s="557"/>
      <c r="L392" s="558"/>
      <c r="M392" s="26" t="s">
        <v>586</v>
      </c>
      <c r="N392" s="221">
        <f t="shared" si="29"/>
        <v>0</v>
      </c>
    </row>
    <row r="393" spans="1:14" ht="15.75" x14ac:dyDescent="0.25">
      <c r="A393" s="556" t="s">
        <v>756</v>
      </c>
      <c r="B393" s="557"/>
      <c r="C393" s="558"/>
      <c r="D393" s="26" t="s">
        <v>757</v>
      </c>
      <c r="E393" s="221">
        <f t="shared" si="28"/>
        <v>0</v>
      </c>
      <c r="J393" s="556" t="s">
        <v>756</v>
      </c>
      <c r="K393" s="557"/>
      <c r="L393" s="558"/>
      <c r="M393" s="26" t="s">
        <v>757</v>
      </c>
      <c r="N393" s="221">
        <f t="shared" si="29"/>
        <v>0</v>
      </c>
    </row>
    <row r="394" spans="1:14" ht="15.75" x14ac:dyDescent="0.25">
      <c r="A394" s="556" t="s">
        <v>758</v>
      </c>
      <c r="B394" s="557"/>
      <c r="C394" s="558"/>
      <c r="D394" s="26" t="s">
        <v>759</v>
      </c>
      <c r="E394" s="221">
        <f t="shared" si="28"/>
        <v>0</v>
      </c>
      <c r="J394" s="556" t="s">
        <v>758</v>
      </c>
      <c r="K394" s="557"/>
      <c r="L394" s="558"/>
      <c r="M394" s="26" t="s">
        <v>759</v>
      </c>
      <c r="N394" s="221">
        <f t="shared" si="29"/>
        <v>0</v>
      </c>
    </row>
    <row r="395" spans="1:14" ht="15.75" x14ac:dyDescent="0.25">
      <c r="A395" s="556" t="s">
        <v>587</v>
      </c>
      <c r="B395" s="557"/>
      <c r="C395" s="558"/>
      <c r="D395" s="26" t="s">
        <v>588</v>
      </c>
      <c r="E395" s="221">
        <f t="shared" si="28"/>
        <v>0</v>
      </c>
      <c r="J395" s="556" t="s">
        <v>587</v>
      </c>
      <c r="K395" s="557"/>
      <c r="L395" s="558"/>
      <c r="M395" s="26" t="s">
        <v>588</v>
      </c>
      <c r="N395" s="221">
        <f t="shared" si="29"/>
        <v>0</v>
      </c>
    </row>
    <row r="396" spans="1:14" ht="15.75" x14ac:dyDescent="0.25">
      <c r="A396" s="556" t="s">
        <v>589</v>
      </c>
      <c r="B396" s="557"/>
      <c r="C396" s="558"/>
      <c r="D396" s="26" t="s">
        <v>590</v>
      </c>
      <c r="E396" s="221">
        <f t="shared" si="28"/>
        <v>0</v>
      </c>
      <c r="J396" s="556" t="s">
        <v>589</v>
      </c>
      <c r="K396" s="557"/>
      <c r="L396" s="558"/>
      <c r="M396" s="26" t="s">
        <v>590</v>
      </c>
      <c r="N396" s="221">
        <f t="shared" si="29"/>
        <v>0</v>
      </c>
    </row>
    <row r="397" spans="1:14" ht="15.75" x14ac:dyDescent="0.25">
      <c r="A397" s="556" t="s">
        <v>591</v>
      </c>
      <c r="B397" s="557"/>
      <c r="C397" s="558"/>
      <c r="D397" s="26" t="s">
        <v>592</v>
      </c>
      <c r="E397" s="221">
        <f t="shared" si="28"/>
        <v>0</v>
      </c>
      <c r="J397" s="556" t="s">
        <v>591</v>
      </c>
      <c r="K397" s="557"/>
      <c r="L397" s="558"/>
      <c r="M397" s="26" t="s">
        <v>592</v>
      </c>
      <c r="N397" s="221">
        <f t="shared" si="29"/>
        <v>0</v>
      </c>
    </row>
    <row r="398" spans="1:14" ht="15.75" x14ac:dyDescent="0.25">
      <c r="A398" s="556" t="s">
        <v>593</v>
      </c>
      <c r="B398" s="557"/>
      <c r="C398" s="558"/>
      <c r="D398" s="26" t="s">
        <v>594</v>
      </c>
      <c r="E398" s="221">
        <f t="shared" si="28"/>
        <v>0</v>
      </c>
      <c r="F398" s="24"/>
      <c r="G398" s="24"/>
      <c r="H398" s="24"/>
      <c r="I398" s="24"/>
      <c r="J398" s="556" t="s">
        <v>593</v>
      </c>
      <c r="K398" s="557"/>
      <c r="L398" s="558"/>
      <c r="M398" s="26" t="s">
        <v>594</v>
      </c>
      <c r="N398" s="221">
        <f t="shared" si="29"/>
        <v>0</v>
      </c>
    </row>
    <row r="399" spans="1:14" ht="15.75" x14ac:dyDescent="0.25">
      <c r="A399" s="556" t="s">
        <v>595</v>
      </c>
      <c r="B399" s="557"/>
      <c r="C399" s="558"/>
      <c r="D399" s="26" t="s">
        <v>596</v>
      </c>
      <c r="E399" s="221">
        <f t="shared" si="28"/>
        <v>0</v>
      </c>
      <c r="J399" s="556" t="s">
        <v>595</v>
      </c>
      <c r="K399" s="557"/>
      <c r="L399" s="558"/>
      <c r="M399" s="26" t="s">
        <v>596</v>
      </c>
      <c r="N399" s="221">
        <f t="shared" si="29"/>
        <v>0</v>
      </c>
    </row>
    <row r="400" spans="1:14" ht="15.75" x14ac:dyDescent="0.25">
      <c r="A400" s="556" t="s">
        <v>597</v>
      </c>
      <c r="B400" s="557"/>
      <c r="C400" s="558"/>
      <c r="D400" s="26" t="s">
        <v>598</v>
      </c>
      <c r="E400" s="221">
        <f t="shared" si="28"/>
        <v>0</v>
      </c>
      <c r="J400" s="556" t="s">
        <v>597</v>
      </c>
      <c r="K400" s="557"/>
      <c r="L400" s="558"/>
      <c r="M400" s="26" t="s">
        <v>598</v>
      </c>
      <c r="N400" s="221">
        <f t="shared" si="29"/>
        <v>0</v>
      </c>
    </row>
    <row r="401" spans="1:14" ht="15.75" x14ac:dyDescent="0.25">
      <c r="A401" s="556" t="s">
        <v>599</v>
      </c>
      <c r="B401" s="557"/>
      <c r="C401" s="558"/>
      <c r="D401" s="26" t="s">
        <v>600</v>
      </c>
      <c r="E401" s="221">
        <f t="shared" si="28"/>
        <v>0</v>
      </c>
      <c r="J401" s="556" t="s">
        <v>599</v>
      </c>
      <c r="K401" s="557"/>
      <c r="L401" s="558"/>
      <c r="M401" s="26" t="s">
        <v>600</v>
      </c>
      <c r="N401" s="221">
        <f t="shared" si="29"/>
        <v>0</v>
      </c>
    </row>
    <row r="402" spans="1:14" ht="15.75" x14ac:dyDescent="0.25">
      <c r="A402" s="556" t="s">
        <v>601</v>
      </c>
      <c r="B402" s="557"/>
      <c r="C402" s="558"/>
      <c r="D402" s="26" t="s">
        <v>602</v>
      </c>
      <c r="E402" s="221">
        <f t="shared" si="28"/>
        <v>0</v>
      </c>
      <c r="F402" s="24"/>
      <c r="G402" s="24"/>
      <c r="H402" s="24"/>
      <c r="I402" s="24"/>
      <c r="J402" s="556" t="s">
        <v>601</v>
      </c>
      <c r="K402" s="557"/>
      <c r="L402" s="558"/>
      <c r="M402" s="26" t="s">
        <v>602</v>
      </c>
      <c r="N402" s="221">
        <f t="shared" si="29"/>
        <v>0</v>
      </c>
    </row>
    <row r="403" spans="1:14" ht="15.75" x14ac:dyDescent="0.25">
      <c r="A403" s="556" t="s">
        <v>603</v>
      </c>
      <c r="B403" s="557"/>
      <c r="C403" s="558"/>
      <c r="D403" s="26" t="s">
        <v>604</v>
      </c>
      <c r="E403" s="221">
        <f t="shared" si="28"/>
        <v>0</v>
      </c>
      <c r="J403" s="556" t="s">
        <v>603</v>
      </c>
      <c r="K403" s="557"/>
      <c r="L403" s="558"/>
      <c r="M403" s="26" t="s">
        <v>604</v>
      </c>
      <c r="N403" s="221">
        <f t="shared" si="29"/>
        <v>0</v>
      </c>
    </row>
    <row r="404" spans="1:14" ht="15.75" x14ac:dyDescent="0.25">
      <c r="A404" s="556" t="s">
        <v>605</v>
      </c>
      <c r="B404" s="557"/>
      <c r="C404" s="558"/>
      <c r="D404" s="26" t="s">
        <v>606</v>
      </c>
      <c r="E404" s="221">
        <f t="shared" si="28"/>
        <v>0</v>
      </c>
      <c r="J404" s="556" t="s">
        <v>605</v>
      </c>
      <c r="K404" s="557"/>
      <c r="L404" s="558"/>
      <c r="M404" s="26" t="s">
        <v>606</v>
      </c>
      <c r="N404" s="221">
        <f t="shared" si="29"/>
        <v>0</v>
      </c>
    </row>
    <row r="405" spans="1:14" ht="15.75" x14ac:dyDescent="0.25">
      <c r="A405" s="556" t="s">
        <v>607</v>
      </c>
      <c r="B405" s="557"/>
      <c r="C405" s="558"/>
      <c r="D405" s="26" t="s">
        <v>608</v>
      </c>
      <c r="E405" s="221">
        <f t="shared" si="28"/>
        <v>0</v>
      </c>
      <c r="J405" s="556" t="s">
        <v>607</v>
      </c>
      <c r="K405" s="557"/>
      <c r="L405" s="558"/>
      <c r="M405" s="26" t="s">
        <v>608</v>
      </c>
      <c r="N405" s="221">
        <f t="shared" si="29"/>
        <v>0</v>
      </c>
    </row>
    <row r="406" spans="1:14" ht="15.75" x14ac:dyDescent="0.25">
      <c r="A406" s="556" t="s">
        <v>760</v>
      </c>
      <c r="B406" s="557"/>
      <c r="C406" s="558"/>
      <c r="D406" s="26" t="s">
        <v>761</v>
      </c>
      <c r="E406" s="221">
        <f t="shared" si="28"/>
        <v>0</v>
      </c>
      <c r="J406" s="556" t="s">
        <v>760</v>
      </c>
      <c r="K406" s="557"/>
      <c r="L406" s="558"/>
      <c r="M406" s="26" t="s">
        <v>761</v>
      </c>
      <c r="N406" s="221">
        <f t="shared" si="29"/>
        <v>0</v>
      </c>
    </row>
    <row r="407" spans="1:14" ht="15.75" x14ac:dyDescent="0.25">
      <c r="A407" s="556" t="s">
        <v>609</v>
      </c>
      <c r="B407" s="557"/>
      <c r="C407" s="558"/>
      <c r="D407" s="26" t="s">
        <v>610</v>
      </c>
      <c r="E407" s="221">
        <f t="shared" si="28"/>
        <v>0</v>
      </c>
      <c r="J407" s="556" t="s">
        <v>609</v>
      </c>
      <c r="K407" s="557"/>
      <c r="L407" s="558"/>
      <c r="M407" s="26" t="s">
        <v>610</v>
      </c>
      <c r="N407" s="221">
        <f t="shared" si="29"/>
        <v>0</v>
      </c>
    </row>
    <row r="408" spans="1:14" ht="15.75" x14ac:dyDescent="0.25">
      <c r="A408" s="556" t="s">
        <v>611</v>
      </c>
      <c r="B408" s="557"/>
      <c r="C408" s="558"/>
      <c r="D408" s="26" t="s">
        <v>612</v>
      </c>
      <c r="E408" s="221">
        <f t="shared" si="28"/>
        <v>0</v>
      </c>
      <c r="J408" s="556" t="s">
        <v>611</v>
      </c>
      <c r="K408" s="557"/>
      <c r="L408" s="558"/>
      <c r="M408" s="26" t="s">
        <v>612</v>
      </c>
      <c r="N408" s="221">
        <f t="shared" si="29"/>
        <v>0</v>
      </c>
    </row>
    <row r="409" spans="1:14" ht="15.75" x14ac:dyDescent="0.25">
      <c r="A409" s="556" t="s">
        <v>613</v>
      </c>
      <c r="B409" s="557"/>
      <c r="C409" s="558"/>
      <c r="D409" s="26" t="s">
        <v>614</v>
      </c>
      <c r="E409" s="221">
        <f t="shared" si="28"/>
        <v>0</v>
      </c>
      <c r="J409" s="556" t="s">
        <v>613</v>
      </c>
      <c r="K409" s="557"/>
      <c r="L409" s="558"/>
      <c r="M409" s="26" t="s">
        <v>614</v>
      </c>
      <c r="N409" s="221">
        <f t="shared" si="29"/>
        <v>0</v>
      </c>
    </row>
    <row r="410" spans="1:14" ht="15.75" x14ac:dyDescent="0.25">
      <c r="A410" s="556" t="s">
        <v>615</v>
      </c>
      <c r="B410" s="557"/>
      <c r="C410" s="558"/>
      <c r="D410" s="26" t="s">
        <v>616</v>
      </c>
      <c r="E410" s="221">
        <f t="shared" si="28"/>
        <v>0</v>
      </c>
      <c r="J410" s="556" t="s">
        <v>615</v>
      </c>
      <c r="K410" s="557"/>
      <c r="L410" s="558"/>
      <c r="M410" s="26" t="s">
        <v>616</v>
      </c>
      <c r="N410" s="221">
        <f t="shared" si="29"/>
        <v>0</v>
      </c>
    </row>
    <row r="411" spans="1:14" ht="15.75" x14ac:dyDescent="0.25">
      <c r="A411" s="556" t="s">
        <v>617</v>
      </c>
      <c r="B411" s="557"/>
      <c r="C411" s="558"/>
      <c r="D411" s="26" t="s">
        <v>618</v>
      </c>
      <c r="E411" s="221">
        <f t="shared" si="28"/>
        <v>0</v>
      </c>
      <c r="J411" s="556" t="s">
        <v>617</v>
      </c>
      <c r="K411" s="557"/>
      <c r="L411" s="558"/>
      <c r="M411" s="26" t="s">
        <v>618</v>
      </c>
      <c r="N411" s="221">
        <f t="shared" si="29"/>
        <v>0</v>
      </c>
    </row>
    <row r="412" spans="1:14" ht="15.75" x14ac:dyDescent="0.25">
      <c r="A412" s="556" t="s">
        <v>619</v>
      </c>
      <c r="B412" s="557"/>
      <c r="C412" s="558"/>
      <c r="D412" s="26" t="s">
        <v>762</v>
      </c>
      <c r="E412" s="221">
        <f t="shared" si="28"/>
        <v>0</v>
      </c>
      <c r="J412" s="556" t="s">
        <v>619</v>
      </c>
      <c r="K412" s="557"/>
      <c r="L412" s="558"/>
      <c r="M412" s="26" t="s">
        <v>762</v>
      </c>
      <c r="N412" s="221">
        <f t="shared" si="29"/>
        <v>0</v>
      </c>
    </row>
    <row r="413" spans="1:14" ht="15.75" x14ac:dyDescent="0.25">
      <c r="A413" s="556" t="s">
        <v>620</v>
      </c>
      <c r="B413" s="557"/>
      <c r="C413" s="558"/>
      <c r="D413" s="26" t="s">
        <v>196</v>
      </c>
      <c r="E413" s="221">
        <f t="shared" si="28"/>
        <v>1</v>
      </c>
      <c r="J413" s="556" t="s">
        <v>620</v>
      </c>
      <c r="K413" s="557"/>
      <c r="L413" s="558"/>
      <c r="M413" s="26" t="s">
        <v>196</v>
      </c>
      <c r="N413" s="221">
        <f t="shared" si="29"/>
        <v>0</v>
      </c>
    </row>
    <row r="414" spans="1:14" ht="15.75" x14ac:dyDescent="0.25">
      <c r="A414" s="556" t="s">
        <v>621</v>
      </c>
      <c r="B414" s="557"/>
      <c r="C414" s="558"/>
      <c r="D414" s="26" t="s">
        <v>622</v>
      </c>
      <c r="E414" s="221">
        <f t="shared" si="28"/>
        <v>0</v>
      </c>
      <c r="J414" s="556" t="s">
        <v>621</v>
      </c>
      <c r="K414" s="557"/>
      <c r="L414" s="558"/>
      <c r="M414" s="26" t="s">
        <v>622</v>
      </c>
      <c r="N414" s="221">
        <f t="shared" si="29"/>
        <v>0</v>
      </c>
    </row>
    <row r="415" spans="1:14" ht="15.75" x14ac:dyDescent="0.25">
      <c r="A415" s="556" t="s">
        <v>623</v>
      </c>
      <c r="B415" s="557"/>
      <c r="C415" s="558"/>
      <c r="D415" s="26" t="s">
        <v>624</v>
      </c>
      <c r="E415" s="221">
        <f t="shared" ref="E415:E431" si="30">COUNTIF($AO$3:$CC$42,D415)</f>
        <v>0</v>
      </c>
      <c r="J415" s="556" t="s">
        <v>623</v>
      </c>
      <c r="K415" s="557"/>
      <c r="L415" s="558"/>
      <c r="M415" s="26" t="s">
        <v>624</v>
      </c>
      <c r="N415" s="221">
        <f t="shared" ref="N415:N431" si="31">COUNTIF($A$3:$AN$71,M415)</f>
        <v>0</v>
      </c>
    </row>
    <row r="416" spans="1:14" ht="15.75" x14ac:dyDescent="0.25">
      <c r="A416" s="556" t="s">
        <v>625</v>
      </c>
      <c r="B416" s="557"/>
      <c r="C416" s="558"/>
      <c r="D416" s="26" t="s">
        <v>626</v>
      </c>
      <c r="E416" s="221">
        <f t="shared" si="30"/>
        <v>0</v>
      </c>
      <c r="J416" s="556" t="s">
        <v>625</v>
      </c>
      <c r="K416" s="557"/>
      <c r="L416" s="558"/>
      <c r="M416" s="26" t="s">
        <v>626</v>
      </c>
      <c r="N416" s="221">
        <f t="shared" si="31"/>
        <v>0</v>
      </c>
    </row>
    <row r="417" spans="1:17" ht="15.75" x14ac:dyDescent="0.25">
      <c r="A417" s="556" t="s">
        <v>627</v>
      </c>
      <c r="B417" s="557"/>
      <c r="C417" s="558"/>
      <c r="D417" s="26" t="s">
        <v>628</v>
      </c>
      <c r="E417" s="221">
        <f t="shared" si="30"/>
        <v>0</v>
      </c>
      <c r="J417" s="556" t="s">
        <v>627</v>
      </c>
      <c r="K417" s="557"/>
      <c r="L417" s="558"/>
      <c r="M417" s="26" t="s">
        <v>628</v>
      </c>
      <c r="N417" s="221">
        <f t="shared" si="31"/>
        <v>0</v>
      </c>
    </row>
    <row r="418" spans="1:17" ht="15.75" x14ac:dyDescent="0.25">
      <c r="A418" s="556" t="s">
        <v>629</v>
      </c>
      <c r="B418" s="557"/>
      <c r="C418" s="558"/>
      <c r="D418" s="26" t="s">
        <v>630</v>
      </c>
      <c r="E418" s="221">
        <f t="shared" si="30"/>
        <v>0</v>
      </c>
      <c r="J418" s="556" t="s">
        <v>629</v>
      </c>
      <c r="K418" s="557"/>
      <c r="L418" s="558"/>
      <c r="M418" s="26" t="s">
        <v>630</v>
      </c>
      <c r="N418" s="221">
        <f t="shared" si="31"/>
        <v>0</v>
      </c>
    </row>
    <row r="419" spans="1:17" ht="15.75" x14ac:dyDescent="0.25">
      <c r="A419" s="556" t="s">
        <v>631</v>
      </c>
      <c r="B419" s="557"/>
      <c r="C419" s="558"/>
      <c r="D419" s="26" t="s">
        <v>632</v>
      </c>
      <c r="E419" s="221">
        <f t="shared" si="30"/>
        <v>0</v>
      </c>
      <c r="J419" s="556" t="s">
        <v>631</v>
      </c>
      <c r="K419" s="557"/>
      <c r="L419" s="558"/>
      <c r="M419" s="26" t="s">
        <v>632</v>
      </c>
      <c r="N419" s="221">
        <f t="shared" si="31"/>
        <v>0</v>
      </c>
    </row>
    <row r="420" spans="1:17" ht="15.75" x14ac:dyDescent="0.25">
      <c r="A420" s="556" t="s">
        <v>633</v>
      </c>
      <c r="B420" s="557"/>
      <c r="C420" s="558"/>
      <c r="D420" s="26" t="s">
        <v>634</v>
      </c>
      <c r="E420" s="221">
        <f t="shared" si="30"/>
        <v>0</v>
      </c>
      <c r="J420" s="556" t="s">
        <v>633</v>
      </c>
      <c r="K420" s="557"/>
      <c r="L420" s="558"/>
      <c r="M420" s="26" t="s">
        <v>634</v>
      </c>
      <c r="N420" s="221">
        <f t="shared" si="31"/>
        <v>0</v>
      </c>
    </row>
    <row r="421" spans="1:17" ht="15.75" x14ac:dyDescent="0.25">
      <c r="A421" s="556" t="s">
        <v>635</v>
      </c>
      <c r="B421" s="557"/>
      <c r="C421" s="558"/>
      <c r="D421" s="26" t="s">
        <v>636</v>
      </c>
      <c r="E421" s="221">
        <f t="shared" si="30"/>
        <v>0</v>
      </c>
      <c r="J421" s="556" t="s">
        <v>635</v>
      </c>
      <c r="K421" s="557"/>
      <c r="L421" s="558"/>
      <c r="M421" s="26" t="s">
        <v>636</v>
      </c>
      <c r="N421" s="221">
        <f t="shared" si="31"/>
        <v>0</v>
      </c>
    </row>
    <row r="422" spans="1:17" ht="15.75" x14ac:dyDescent="0.25">
      <c r="A422" s="556" t="s">
        <v>637</v>
      </c>
      <c r="B422" s="557"/>
      <c r="C422" s="558"/>
      <c r="D422" s="26" t="s">
        <v>189</v>
      </c>
      <c r="E422" s="221">
        <f t="shared" si="30"/>
        <v>1</v>
      </c>
      <c r="J422" s="556" t="s">
        <v>637</v>
      </c>
      <c r="K422" s="557"/>
      <c r="L422" s="558"/>
      <c r="M422" s="26" t="s">
        <v>189</v>
      </c>
      <c r="N422" s="221">
        <f t="shared" si="31"/>
        <v>1</v>
      </c>
    </row>
    <row r="423" spans="1:17" ht="15.75" x14ac:dyDescent="0.25">
      <c r="A423" s="556" t="s">
        <v>638</v>
      </c>
      <c r="B423" s="557"/>
      <c r="C423" s="558"/>
      <c r="D423" s="26" t="s">
        <v>639</v>
      </c>
      <c r="E423" s="221">
        <f t="shared" si="30"/>
        <v>0</v>
      </c>
      <c r="J423" s="556" t="s">
        <v>638</v>
      </c>
      <c r="K423" s="557"/>
      <c r="L423" s="558"/>
      <c r="M423" s="26" t="s">
        <v>639</v>
      </c>
      <c r="N423" s="221">
        <f t="shared" si="31"/>
        <v>0</v>
      </c>
    </row>
    <row r="424" spans="1:17" ht="15.75" x14ac:dyDescent="0.25">
      <c r="A424" s="556" t="s">
        <v>640</v>
      </c>
      <c r="B424" s="557"/>
      <c r="C424" s="558"/>
      <c r="D424" s="26" t="s">
        <v>641</v>
      </c>
      <c r="E424" s="221">
        <f t="shared" si="30"/>
        <v>0</v>
      </c>
      <c r="J424" s="556" t="s">
        <v>640</v>
      </c>
      <c r="K424" s="557"/>
      <c r="L424" s="558"/>
      <c r="M424" s="26" t="s">
        <v>641</v>
      </c>
      <c r="N424" s="221">
        <f t="shared" si="31"/>
        <v>0</v>
      </c>
      <c r="O424" s="24"/>
      <c r="P424" s="24"/>
      <c r="Q424" s="24"/>
    </row>
    <row r="425" spans="1:17" ht="15.75" x14ac:dyDescent="0.25">
      <c r="A425" s="556" t="s">
        <v>642</v>
      </c>
      <c r="B425" s="557"/>
      <c r="C425" s="558"/>
      <c r="D425" s="26" t="s">
        <v>643</v>
      </c>
      <c r="E425" s="221">
        <f t="shared" si="30"/>
        <v>0</v>
      </c>
      <c r="J425" s="556" t="s">
        <v>642</v>
      </c>
      <c r="K425" s="557"/>
      <c r="L425" s="558"/>
      <c r="M425" s="26" t="s">
        <v>643</v>
      </c>
      <c r="N425" s="221">
        <f t="shared" si="31"/>
        <v>0</v>
      </c>
    </row>
    <row r="426" spans="1:17" ht="15.75" x14ac:dyDescent="0.25">
      <c r="A426" s="556" t="s">
        <v>644</v>
      </c>
      <c r="B426" s="557"/>
      <c r="C426" s="558"/>
      <c r="D426" s="26" t="s">
        <v>645</v>
      </c>
      <c r="E426" s="221">
        <f t="shared" si="30"/>
        <v>0</v>
      </c>
      <c r="J426" s="556" t="s">
        <v>644</v>
      </c>
      <c r="K426" s="557"/>
      <c r="L426" s="558"/>
      <c r="M426" s="26" t="s">
        <v>645</v>
      </c>
      <c r="N426" s="221">
        <f t="shared" si="31"/>
        <v>0</v>
      </c>
    </row>
    <row r="427" spans="1:17" ht="15.75" x14ac:dyDescent="0.25">
      <c r="A427" s="556" t="s">
        <v>646</v>
      </c>
      <c r="B427" s="557"/>
      <c r="C427" s="558"/>
      <c r="D427" s="26" t="s">
        <v>647</v>
      </c>
      <c r="E427" s="221">
        <f t="shared" si="30"/>
        <v>0</v>
      </c>
      <c r="J427" s="556" t="s">
        <v>646</v>
      </c>
      <c r="K427" s="557"/>
      <c r="L427" s="558"/>
      <c r="M427" s="26" t="s">
        <v>647</v>
      </c>
      <c r="N427" s="221">
        <f t="shared" si="31"/>
        <v>0</v>
      </c>
    </row>
    <row r="428" spans="1:17" ht="15.75" x14ac:dyDescent="0.25">
      <c r="A428" s="556" t="s">
        <v>648</v>
      </c>
      <c r="B428" s="557"/>
      <c r="C428" s="558"/>
      <c r="D428" s="26" t="s">
        <v>649</v>
      </c>
      <c r="E428" s="221">
        <f t="shared" si="30"/>
        <v>0</v>
      </c>
      <c r="J428" s="556" t="s">
        <v>648</v>
      </c>
      <c r="K428" s="557"/>
      <c r="L428" s="558"/>
      <c r="M428" s="26" t="s">
        <v>649</v>
      </c>
      <c r="N428" s="221">
        <f t="shared" si="31"/>
        <v>0</v>
      </c>
    </row>
    <row r="429" spans="1:17" ht="15.75" x14ac:dyDescent="0.25">
      <c r="A429" s="556" t="s">
        <v>650</v>
      </c>
      <c r="B429" s="557"/>
      <c r="C429" s="558"/>
      <c r="D429" s="26" t="s">
        <v>651</v>
      </c>
      <c r="E429" s="221">
        <f t="shared" si="30"/>
        <v>0</v>
      </c>
      <c r="J429" s="556" t="s">
        <v>650</v>
      </c>
      <c r="K429" s="557"/>
      <c r="L429" s="558"/>
      <c r="M429" s="26" t="s">
        <v>651</v>
      </c>
      <c r="N429" s="221">
        <f t="shared" si="31"/>
        <v>0</v>
      </c>
    </row>
    <row r="430" spans="1:17" ht="15.75" x14ac:dyDescent="0.25">
      <c r="A430" s="556" t="s">
        <v>652</v>
      </c>
      <c r="B430" s="557"/>
      <c r="C430" s="558"/>
      <c r="D430" s="26" t="s">
        <v>653</v>
      </c>
      <c r="E430" s="221">
        <f t="shared" si="30"/>
        <v>0</v>
      </c>
      <c r="J430" s="556" t="s">
        <v>652</v>
      </c>
      <c r="K430" s="557"/>
      <c r="L430" s="558"/>
      <c r="M430" s="26" t="s">
        <v>653</v>
      </c>
      <c r="N430" s="221">
        <f t="shared" si="31"/>
        <v>0</v>
      </c>
    </row>
    <row r="431" spans="1:17" ht="15.75" x14ac:dyDescent="0.25">
      <c r="A431" s="556" t="s">
        <v>654</v>
      </c>
      <c r="B431" s="557"/>
      <c r="C431" s="558"/>
      <c r="D431" s="26" t="s">
        <v>655</v>
      </c>
      <c r="E431" s="221">
        <f t="shared" si="30"/>
        <v>0</v>
      </c>
      <c r="J431" s="556" t="s">
        <v>654</v>
      </c>
      <c r="K431" s="557"/>
      <c r="L431" s="558"/>
      <c r="M431" s="26" t="s">
        <v>655</v>
      </c>
      <c r="N431" s="221">
        <f t="shared" si="31"/>
        <v>0</v>
      </c>
    </row>
    <row r="432" spans="1:17" ht="18.75" thickBot="1" x14ac:dyDescent="0.3">
      <c r="A432" s="560" t="s">
        <v>255</v>
      </c>
      <c r="B432" s="561"/>
      <c r="C432" s="561"/>
      <c r="D432" s="562"/>
      <c r="E432" s="355">
        <f>SUM(E351:E431)</f>
        <v>6</v>
      </c>
      <c r="J432" s="559" t="s">
        <v>255</v>
      </c>
      <c r="K432" s="559"/>
      <c r="L432" s="559"/>
      <c r="M432" s="559"/>
      <c r="N432" s="355">
        <f>SUM(N351:N431)</f>
        <v>2</v>
      </c>
    </row>
    <row r="433" spans="1:17" ht="18.75" thickBot="1" x14ac:dyDescent="0.3">
      <c r="A433" s="549" t="s">
        <v>656</v>
      </c>
      <c r="B433" s="550"/>
      <c r="C433" s="550"/>
      <c r="D433" s="551"/>
      <c r="J433" s="549" t="s">
        <v>656</v>
      </c>
      <c r="K433" s="550"/>
      <c r="L433" s="550"/>
      <c r="M433" s="551"/>
    </row>
    <row r="434" spans="1:17" ht="15.75" x14ac:dyDescent="0.25">
      <c r="A434" s="556" t="s">
        <v>657</v>
      </c>
      <c r="B434" s="557"/>
      <c r="C434" s="558"/>
      <c r="D434" s="26" t="s">
        <v>658</v>
      </c>
      <c r="E434" s="221">
        <f t="shared" ref="E434:E460" si="32">COUNTIF($AO$3:$CC$42,D434)</f>
        <v>0</v>
      </c>
      <c r="J434" s="556" t="s">
        <v>657</v>
      </c>
      <c r="K434" s="557"/>
      <c r="L434" s="558"/>
      <c r="M434" s="26" t="s">
        <v>658</v>
      </c>
      <c r="N434" s="221">
        <f t="shared" ref="N434:N460" si="33">COUNTIF($A$3:$AN$71,M434)</f>
        <v>0</v>
      </c>
      <c r="O434" s="24"/>
      <c r="P434" s="24"/>
      <c r="Q434" s="24"/>
    </row>
    <row r="435" spans="1:17" ht="15.75" x14ac:dyDescent="0.25">
      <c r="A435" s="556" t="s">
        <v>659</v>
      </c>
      <c r="B435" s="557"/>
      <c r="C435" s="558"/>
      <c r="D435" s="26" t="s">
        <v>660</v>
      </c>
      <c r="E435" s="221">
        <f t="shared" si="32"/>
        <v>0</v>
      </c>
      <c r="J435" s="556" t="s">
        <v>659</v>
      </c>
      <c r="K435" s="557"/>
      <c r="L435" s="558"/>
      <c r="M435" s="26" t="s">
        <v>660</v>
      </c>
      <c r="N435" s="221">
        <f t="shared" si="33"/>
        <v>0</v>
      </c>
    </row>
    <row r="436" spans="1:17" ht="15.75" x14ac:dyDescent="0.25">
      <c r="A436" s="556" t="s">
        <v>661</v>
      </c>
      <c r="B436" s="557"/>
      <c r="C436" s="558"/>
      <c r="D436" s="26" t="s">
        <v>662</v>
      </c>
      <c r="E436" s="221">
        <f t="shared" si="32"/>
        <v>0</v>
      </c>
      <c r="J436" s="556" t="s">
        <v>661</v>
      </c>
      <c r="K436" s="557"/>
      <c r="L436" s="558"/>
      <c r="M436" s="26" t="s">
        <v>662</v>
      </c>
      <c r="N436" s="221">
        <f t="shared" si="33"/>
        <v>0</v>
      </c>
    </row>
    <row r="437" spans="1:17" ht="15.75" x14ac:dyDescent="0.25">
      <c r="A437" s="556" t="s">
        <v>663</v>
      </c>
      <c r="B437" s="557"/>
      <c r="C437" s="558"/>
      <c r="D437" s="26" t="s">
        <v>664</v>
      </c>
      <c r="E437" s="221">
        <f t="shared" si="32"/>
        <v>0</v>
      </c>
      <c r="J437" s="556" t="s">
        <v>663</v>
      </c>
      <c r="K437" s="557"/>
      <c r="L437" s="558"/>
      <c r="M437" s="26" t="s">
        <v>664</v>
      </c>
      <c r="N437" s="221">
        <f t="shared" si="33"/>
        <v>0</v>
      </c>
      <c r="O437" s="24"/>
      <c r="P437" s="24"/>
      <c r="Q437" s="24"/>
    </row>
    <row r="438" spans="1:17" ht="15.75" x14ac:dyDescent="0.25">
      <c r="A438" s="556" t="s">
        <v>665</v>
      </c>
      <c r="B438" s="557"/>
      <c r="C438" s="558"/>
      <c r="D438" s="26" t="s">
        <v>666</v>
      </c>
      <c r="E438" s="221">
        <f t="shared" si="32"/>
        <v>0</v>
      </c>
      <c r="J438" s="556" t="s">
        <v>665</v>
      </c>
      <c r="K438" s="557"/>
      <c r="L438" s="558"/>
      <c r="M438" s="26" t="s">
        <v>666</v>
      </c>
      <c r="N438" s="221">
        <f t="shared" si="33"/>
        <v>0</v>
      </c>
    </row>
    <row r="439" spans="1:17" ht="15.75" x14ac:dyDescent="0.25">
      <c r="A439" s="556" t="s">
        <v>667</v>
      </c>
      <c r="B439" s="557"/>
      <c r="C439" s="558"/>
      <c r="D439" s="26" t="s">
        <v>668</v>
      </c>
      <c r="E439" s="221">
        <f t="shared" si="32"/>
        <v>0</v>
      </c>
      <c r="J439" s="556" t="s">
        <v>667</v>
      </c>
      <c r="K439" s="557"/>
      <c r="L439" s="558"/>
      <c r="M439" s="26" t="s">
        <v>668</v>
      </c>
      <c r="N439" s="221">
        <f t="shared" si="33"/>
        <v>0</v>
      </c>
    </row>
    <row r="440" spans="1:17" ht="15.75" x14ac:dyDescent="0.25">
      <c r="A440" s="556" t="s">
        <v>669</v>
      </c>
      <c r="B440" s="557"/>
      <c r="C440" s="558"/>
      <c r="D440" s="26" t="s">
        <v>670</v>
      </c>
      <c r="E440" s="221">
        <f t="shared" si="32"/>
        <v>0</v>
      </c>
      <c r="J440" s="556" t="s">
        <v>669</v>
      </c>
      <c r="K440" s="557"/>
      <c r="L440" s="558"/>
      <c r="M440" s="26" t="s">
        <v>670</v>
      </c>
      <c r="N440" s="221">
        <f t="shared" si="33"/>
        <v>0</v>
      </c>
    </row>
    <row r="441" spans="1:17" ht="15.75" x14ac:dyDescent="0.25">
      <c r="A441" s="556" t="s">
        <v>671</v>
      </c>
      <c r="B441" s="557"/>
      <c r="C441" s="558"/>
      <c r="D441" s="26" t="s">
        <v>672</v>
      </c>
      <c r="E441" s="221">
        <f t="shared" si="32"/>
        <v>0</v>
      </c>
      <c r="J441" s="556" t="s">
        <v>671</v>
      </c>
      <c r="K441" s="557"/>
      <c r="L441" s="558"/>
      <c r="M441" s="26" t="s">
        <v>672</v>
      </c>
      <c r="N441" s="221">
        <f t="shared" si="33"/>
        <v>0</v>
      </c>
    </row>
    <row r="442" spans="1:17" ht="15.75" x14ac:dyDescent="0.25">
      <c r="A442" s="556" t="s">
        <v>115</v>
      </c>
      <c r="B442" s="557"/>
      <c r="C442" s="558"/>
      <c r="D442" s="26" t="s">
        <v>673</v>
      </c>
      <c r="E442" s="221">
        <f t="shared" si="32"/>
        <v>0</v>
      </c>
      <c r="J442" s="556" t="s">
        <v>115</v>
      </c>
      <c r="K442" s="557"/>
      <c r="L442" s="558"/>
      <c r="M442" s="26" t="s">
        <v>673</v>
      </c>
      <c r="N442" s="221">
        <f t="shared" si="33"/>
        <v>0</v>
      </c>
    </row>
    <row r="443" spans="1:17" ht="15.75" x14ac:dyDescent="0.25">
      <c r="A443" s="556" t="s">
        <v>674</v>
      </c>
      <c r="B443" s="557"/>
      <c r="C443" s="558"/>
      <c r="D443" s="26" t="s">
        <v>675</v>
      </c>
      <c r="E443" s="221">
        <f t="shared" si="32"/>
        <v>0</v>
      </c>
      <c r="J443" s="556" t="s">
        <v>674</v>
      </c>
      <c r="K443" s="557"/>
      <c r="L443" s="558"/>
      <c r="M443" s="26" t="s">
        <v>675</v>
      </c>
      <c r="N443" s="221">
        <f t="shared" si="33"/>
        <v>0</v>
      </c>
    </row>
    <row r="444" spans="1:17" ht="15.75" x14ac:dyDescent="0.25">
      <c r="A444" s="556" t="s">
        <v>676</v>
      </c>
      <c r="B444" s="557"/>
      <c r="C444" s="558"/>
      <c r="D444" s="26" t="s">
        <v>677</v>
      </c>
      <c r="E444" s="221">
        <f t="shared" si="32"/>
        <v>0</v>
      </c>
      <c r="J444" s="556" t="s">
        <v>676</v>
      </c>
      <c r="K444" s="557"/>
      <c r="L444" s="558"/>
      <c r="M444" s="26" t="s">
        <v>677</v>
      </c>
      <c r="N444" s="221">
        <f t="shared" si="33"/>
        <v>0</v>
      </c>
    </row>
    <row r="445" spans="1:17" ht="15.75" x14ac:dyDescent="0.25">
      <c r="A445" s="556" t="s">
        <v>678</v>
      </c>
      <c r="B445" s="557"/>
      <c r="C445" s="558"/>
      <c r="D445" s="26" t="s">
        <v>679</v>
      </c>
      <c r="E445" s="221">
        <f t="shared" si="32"/>
        <v>0</v>
      </c>
      <c r="J445" s="556" t="s">
        <v>678</v>
      </c>
      <c r="K445" s="557"/>
      <c r="L445" s="558"/>
      <c r="M445" s="26" t="s">
        <v>679</v>
      </c>
      <c r="N445" s="221">
        <f t="shared" si="33"/>
        <v>0</v>
      </c>
    </row>
    <row r="446" spans="1:17" ht="15.75" x14ac:dyDescent="0.25">
      <c r="A446" s="556" t="s">
        <v>680</v>
      </c>
      <c r="B446" s="557"/>
      <c r="C446" s="558"/>
      <c r="D446" s="26" t="s">
        <v>681</v>
      </c>
      <c r="E446" s="221">
        <f t="shared" si="32"/>
        <v>0</v>
      </c>
      <c r="J446" s="556" t="s">
        <v>680</v>
      </c>
      <c r="K446" s="557"/>
      <c r="L446" s="558"/>
      <c r="M446" s="26" t="s">
        <v>681</v>
      </c>
      <c r="N446" s="221">
        <f t="shared" si="33"/>
        <v>0</v>
      </c>
    </row>
    <row r="447" spans="1:17" ht="15.75" x14ac:dyDescent="0.25">
      <c r="A447" s="556" t="s">
        <v>150</v>
      </c>
      <c r="B447" s="557"/>
      <c r="C447" s="558"/>
      <c r="D447" s="26" t="s">
        <v>763</v>
      </c>
      <c r="E447" s="221">
        <f t="shared" si="32"/>
        <v>0</v>
      </c>
      <c r="J447" s="556" t="s">
        <v>150</v>
      </c>
      <c r="K447" s="557"/>
      <c r="L447" s="558"/>
      <c r="M447" s="26" t="s">
        <v>763</v>
      </c>
      <c r="N447" s="221">
        <f t="shared" si="33"/>
        <v>0</v>
      </c>
    </row>
    <row r="448" spans="1:17" ht="15.75" x14ac:dyDescent="0.25">
      <c r="A448" s="556" t="s">
        <v>764</v>
      </c>
      <c r="B448" s="557"/>
      <c r="C448" s="558"/>
      <c r="D448" s="26" t="s">
        <v>765</v>
      </c>
      <c r="E448" s="221">
        <f t="shared" si="32"/>
        <v>0</v>
      </c>
      <c r="J448" s="556" t="s">
        <v>764</v>
      </c>
      <c r="K448" s="557"/>
      <c r="L448" s="558"/>
      <c r="M448" s="26" t="s">
        <v>765</v>
      </c>
      <c r="N448" s="221">
        <f t="shared" si="33"/>
        <v>0</v>
      </c>
    </row>
    <row r="449" spans="1:14" ht="15.75" x14ac:dyDescent="0.25">
      <c r="A449" s="556" t="s">
        <v>155</v>
      </c>
      <c r="B449" s="557"/>
      <c r="C449" s="558"/>
      <c r="D449" s="26" t="s">
        <v>766</v>
      </c>
      <c r="E449" s="221">
        <f t="shared" si="32"/>
        <v>0</v>
      </c>
      <c r="J449" s="556" t="s">
        <v>155</v>
      </c>
      <c r="K449" s="557"/>
      <c r="L449" s="558"/>
      <c r="M449" s="26" t="s">
        <v>766</v>
      </c>
      <c r="N449" s="221">
        <f t="shared" si="33"/>
        <v>0</v>
      </c>
    </row>
    <row r="450" spans="1:14" ht="15.75" x14ac:dyDescent="0.25">
      <c r="A450" s="556" t="s">
        <v>767</v>
      </c>
      <c r="B450" s="557"/>
      <c r="C450" s="558"/>
      <c r="D450" s="26" t="s">
        <v>768</v>
      </c>
      <c r="E450" s="221">
        <f t="shared" si="32"/>
        <v>0</v>
      </c>
      <c r="J450" s="556" t="s">
        <v>767</v>
      </c>
      <c r="K450" s="557"/>
      <c r="L450" s="558"/>
      <c r="M450" s="26" t="s">
        <v>768</v>
      </c>
      <c r="N450" s="221">
        <f t="shared" si="33"/>
        <v>0</v>
      </c>
    </row>
    <row r="451" spans="1:14" ht="15.75" x14ac:dyDescent="0.25">
      <c r="A451" s="556" t="s">
        <v>107</v>
      </c>
      <c r="B451" s="557"/>
      <c r="C451" s="558"/>
      <c r="D451" s="26" t="s">
        <v>682</v>
      </c>
      <c r="E451" s="221">
        <f t="shared" si="32"/>
        <v>0</v>
      </c>
      <c r="J451" s="556" t="s">
        <v>107</v>
      </c>
      <c r="K451" s="557"/>
      <c r="L451" s="558"/>
      <c r="M451" s="26" t="s">
        <v>682</v>
      </c>
      <c r="N451" s="221">
        <f t="shared" si="33"/>
        <v>0</v>
      </c>
    </row>
    <row r="452" spans="1:14" ht="15.75" x14ac:dyDescent="0.25">
      <c r="A452" s="556" t="s">
        <v>683</v>
      </c>
      <c r="B452" s="557"/>
      <c r="C452" s="558"/>
      <c r="D452" s="26" t="s">
        <v>684</v>
      </c>
      <c r="E452" s="221">
        <f t="shared" si="32"/>
        <v>0</v>
      </c>
      <c r="J452" s="556" t="s">
        <v>683</v>
      </c>
      <c r="K452" s="557"/>
      <c r="L452" s="558"/>
      <c r="M452" s="26" t="s">
        <v>684</v>
      </c>
      <c r="N452" s="221">
        <f t="shared" si="33"/>
        <v>0</v>
      </c>
    </row>
    <row r="453" spans="1:14" ht="15.75" x14ac:dyDescent="0.25">
      <c r="A453" s="556" t="s">
        <v>685</v>
      </c>
      <c r="B453" s="557"/>
      <c r="C453" s="558"/>
      <c r="D453" s="26" t="s">
        <v>686</v>
      </c>
      <c r="E453" s="221">
        <f t="shared" si="32"/>
        <v>0</v>
      </c>
      <c r="J453" s="556" t="s">
        <v>685</v>
      </c>
      <c r="K453" s="557"/>
      <c r="L453" s="558"/>
      <c r="M453" s="26" t="s">
        <v>686</v>
      </c>
      <c r="N453" s="221">
        <f t="shared" si="33"/>
        <v>0</v>
      </c>
    </row>
    <row r="454" spans="1:14" ht="15.75" x14ac:dyDescent="0.25">
      <c r="A454" s="556" t="s">
        <v>687</v>
      </c>
      <c r="B454" s="557"/>
      <c r="C454" s="558"/>
      <c r="D454" s="26" t="s">
        <v>688</v>
      </c>
      <c r="E454" s="221">
        <f t="shared" si="32"/>
        <v>0</v>
      </c>
      <c r="J454" s="556" t="s">
        <v>687</v>
      </c>
      <c r="K454" s="557"/>
      <c r="L454" s="558"/>
      <c r="M454" s="26" t="s">
        <v>688</v>
      </c>
      <c r="N454" s="221">
        <f t="shared" si="33"/>
        <v>0</v>
      </c>
    </row>
    <row r="455" spans="1:14" ht="15.75" x14ac:dyDescent="0.25">
      <c r="A455" s="556" t="s">
        <v>689</v>
      </c>
      <c r="B455" s="557"/>
      <c r="C455" s="558"/>
      <c r="D455" s="26" t="s">
        <v>690</v>
      </c>
      <c r="E455" s="221">
        <f t="shared" si="32"/>
        <v>0</v>
      </c>
      <c r="J455" s="556" t="s">
        <v>689</v>
      </c>
      <c r="K455" s="557"/>
      <c r="L455" s="558"/>
      <c r="M455" s="26" t="s">
        <v>690</v>
      </c>
      <c r="N455" s="221">
        <f t="shared" si="33"/>
        <v>0</v>
      </c>
    </row>
    <row r="456" spans="1:14" ht="15.75" x14ac:dyDescent="0.25">
      <c r="A456" s="556" t="s">
        <v>691</v>
      </c>
      <c r="B456" s="557"/>
      <c r="C456" s="558"/>
      <c r="D456" s="26" t="s">
        <v>692</v>
      </c>
      <c r="E456" s="221">
        <f t="shared" si="32"/>
        <v>0</v>
      </c>
      <c r="J456" s="556" t="s">
        <v>691</v>
      </c>
      <c r="K456" s="557"/>
      <c r="L456" s="558"/>
      <c r="M456" s="26" t="s">
        <v>692</v>
      </c>
      <c r="N456" s="221">
        <f t="shared" si="33"/>
        <v>0</v>
      </c>
    </row>
    <row r="457" spans="1:14" ht="15.75" x14ac:dyDescent="0.25">
      <c r="A457" s="556" t="s">
        <v>103</v>
      </c>
      <c r="B457" s="557"/>
      <c r="C457" s="558"/>
      <c r="D457" s="26" t="s">
        <v>693</v>
      </c>
      <c r="E457" s="221">
        <f t="shared" si="32"/>
        <v>0</v>
      </c>
      <c r="J457" s="556" t="s">
        <v>103</v>
      </c>
      <c r="K457" s="557"/>
      <c r="L457" s="558"/>
      <c r="M457" s="26" t="s">
        <v>693</v>
      </c>
      <c r="N457" s="221">
        <f t="shared" si="33"/>
        <v>0</v>
      </c>
    </row>
    <row r="458" spans="1:14" ht="15.75" x14ac:dyDescent="0.25">
      <c r="A458" s="556" t="s">
        <v>694</v>
      </c>
      <c r="B458" s="557"/>
      <c r="C458" s="558"/>
      <c r="D458" s="26" t="s">
        <v>695</v>
      </c>
      <c r="E458" s="221">
        <f t="shared" si="32"/>
        <v>0</v>
      </c>
      <c r="J458" s="556" t="s">
        <v>694</v>
      </c>
      <c r="K458" s="557"/>
      <c r="L458" s="558"/>
      <c r="M458" s="26" t="s">
        <v>695</v>
      </c>
      <c r="N458" s="221">
        <f t="shared" si="33"/>
        <v>0</v>
      </c>
    </row>
    <row r="459" spans="1:14" ht="15.75" x14ac:dyDescent="0.25">
      <c r="A459" s="556" t="s">
        <v>111</v>
      </c>
      <c r="B459" s="557"/>
      <c r="C459" s="558"/>
      <c r="D459" s="26" t="s">
        <v>696</v>
      </c>
      <c r="E459" s="221">
        <f t="shared" si="32"/>
        <v>0</v>
      </c>
      <c r="J459" s="556" t="s">
        <v>111</v>
      </c>
      <c r="K459" s="557"/>
      <c r="L459" s="558"/>
      <c r="M459" s="26" t="s">
        <v>696</v>
      </c>
      <c r="N459" s="221">
        <f t="shared" si="33"/>
        <v>0</v>
      </c>
    </row>
    <row r="460" spans="1:14" ht="15.75" x14ac:dyDescent="0.25">
      <c r="A460" s="556" t="s">
        <v>697</v>
      </c>
      <c r="B460" s="557"/>
      <c r="C460" s="558"/>
      <c r="D460" s="26" t="s">
        <v>698</v>
      </c>
      <c r="E460" s="221">
        <f t="shared" si="32"/>
        <v>0</v>
      </c>
      <c r="J460" s="556" t="s">
        <v>697</v>
      </c>
      <c r="K460" s="557"/>
      <c r="L460" s="558"/>
      <c r="M460" s="26" t="s">
        <v>698</v>
      </c>
      <c r="N460" s="221">
        <f t="shared" si="33"/>
        <v>0</v>
      </c>
    </row>
    <row r="461" spans="1:14" ht="18.75" thickBot="1" x14ac:dyDescent="0.3">
      <c r="A461" s="559" t="s">
        <v>255</v>
      </c>
      <c r="B461" s="559"/>
      <c r="C461" s="559"/>
      <c r="D461" s="559"/>
      <c r="E461" s="355">
        <f>SUM(E434:E460)</f>
        <v>0</v>
      </c>
      <c r="J461" s="559" t="s">
        <v>255</v>
      </c>
      <c r="K461" s="559"/>
      <c r="L461" s="559"/>
      <c r="M461" s="559"/>
      <c r="N461" s="355">
        <f>SUM(N434:N460)</f>
        <v>0</v>
      </c>
    </row>
    <row r="462" spans="1:14" ht="18.75" thickBot="1" x14ac:dyDescent="0.3">
      <c r="A462" s="549" t="s">
        <v>699</v>
      </c>
      <c r="B462" s="550"/>
      <c r="C462" s="550"/>
      <c r="D462" s="551"/>
      <c r="F462" s="24"/>
      <c r="G462" s="24"/>
      <c r="H462" s="24"/>
      <c r="I462" s="24"/>
      <c r="J462" s="549" t="s">
        <v>699</v>
      </c>
      <c r="K462" s="550"/>
      <c r="L462" s="550"/>
      <c r="M462" s="551"/>
    </row>
    <row r="463" spans="1:14" ht="15.75" x14ac:dyDescent="0.25">
      <c r="A463" s="556" t="s">
        <v>455</v>
      </c>
      <c r="B463" s="557"/>
      <c r="C463" s="558"/>
      <c r="D463" s="26" t="s">
        <v>700</v>
      </c>
      <c r="E463" s="221">
        <f t="shared" ref="E463:E468" si="34">COUNTIF($AO$3:$CC$42,D463)</f>
        <v>0</v>
      </c>
      <c r="J463" s="556" t="s">
        <v>455</v>
      </c>
      <c r="K463" s="557"/>
      <c r="L463" s="558"/>
      <c r="M463" s="26" t="s">
        <v>700</v>
      </c>
      <c r="N463" s="221">
        <f t="shared" ref="N463:N468" si="35">COUNTIF($A$3:$AN$71,M463)</f>
        <v>0</v>
      </c>
    </row>
    <row r="464" spans="1:14" ht="15.75" x14ac:dyDescent="0.25">
      <c r="A464" s="556" t="s">
        <v>512</v>
      </c>
      <c r="B464" s="557"/>
      <c r="C464" s="558"/>
      <c r="D464" s="26" t="s">
        <v>701</v>
      </c>
      <c r="E464" s="221">
        <f t="shared" si="34"/>
        <v>0</v>
      </c>
      <c r="J464" s="556" t="s">
        <v>512</v>
      </c>
      <c r="K464" s="557"/>
      <c r="L464" s="558"/>
      <c r="M464" s="26" t="s">
        <v>701</v>
      </c>
      <c r="N464" s="221">
        <f t="shared" si="35"/>
        <v>0</v>
      </c>
    </row>
    <row r="465" spans="1:14" ht="15.75" x14ac:dyDescent="0.25">
      <c r="A465" s="556" t="s">
        <v>479</v>
      </c>
      <c r="B465" s="557"/>
      <c r="C465" s="558"/>
      <c r="D465" s="26" t="s">
        <v>702</v>
      </c>
      <c r="E465" s="221">
        <f t="shared" si="34"/>
        <v>0</v>
      </c>
      <c r="J465" s="556" t="s">
        <v>479</v>
      </c>
      <c r="K465" s="557"/>
      <c r="L465" s="558"/>
      <c r="M465" s="26" t="s">
        <v>702</v>
      </c>
      <c r="N465" s="221">
        <f t="shared" si="35"/>
        <v>0</v>
      </c>
    </row>
    <row r="466" spans="1:14" ht="15.75" x14ac:dyDescent="0.25">
      <c r="A466" s="556" t="s">
        <v>543</v>
      </c>
      <c r="B466" s="557"/>
      <c r="C466" s="558"/>
      <c r="D466" s="26" t="s">
        <v>703</v>
      </c>
      <c r="E466" s="221">
        <f t="shared" si="34"/>
        <v>0</v>
      </c>
      <c r="J466" s="556" t="s">
        <v>543</v>
      </c>
      <c r="K466" s="557"/>
      <c r="L466" s="558"/>
      <c r="M466" s="26" t="s">
        <v>703</v>
      </c>
      <c r="N466" s="221">
        <f t="shared" si="35"/>
        <v>0</v>
      </c>
    </row>
    <row r="467" spans="1:14" ht="15.75" x14ac:dyDescent="0.25">
      <c r="A467" s="556" t="s">
        <v>487</v>
      </c>
      <c r="B467" s="557"/>
      <c r="C467" s="558"/>
      <c r="D467" s="26" t="s">
        <v>704</v>
      </c>
      <c r="E467" s="221">
        <f t="shared" si="34"/>
        <v>0</v>
      </c>
      <c r="J467" s="556" t="s">
        <v>487</v>
      </c>
      <c r="K467" s="557"/>
      <c r="L467" s="558"/>
      <c r="M467" s="26" t="s">
        <v>704</v>
      </c>
      <c r="N467" s="221">
        <f t="shared" si="35"/>
        <v>0</v>
      </c>
    </row>
    <row r="468" spans="1:14" ht="15.75" x14ac:dyDescent="0.25">
      <c r="A468" s="556" t="s">
        <v>548</v>
      </c>
      <c r="B468" s="557"/>
      <c r="C468" s="558"/>
      <c r="D468" s="26" t="s">
        <v>705</v>
      </c>
      <c r="E468" s="221">
        <f t="shared" si="34"/>
        <v>0</v>
      </c>
      <c r="J468" s="556" t="s">
        <v>548</v>
      </c>
      <c r="K468" s="557"/>
      <c r="L468" s="558"/>
      <c r="M468" s="26" t="s">
        <v>705</v>
      </c>
      <c r="N468" s="221">
        <f t="shared" si="35"/>
        <v>0</v>
      </c>
    </row>
    <row r="469" spans="1:14" ht="18.75" thickBot="1" x14ac:dyDescent="0.3">
      <c r="A469" s="559" t="s">
        <v>255</v>
      </c>
      <c r="B469" s="559"/>
      <c r="C469" s="559"/>
      <c r="D469" s="559"/>
      <c r="E469" s="355">
        <f>SUM(E463:E467)</f>
        <v>0</v>
      </c>
      <c r="J469" s="559" t="s">
        <v>255</v>
      </c>
      <c r="K469" s="559"/>
      <c r="L469" s="559"/>
      <c r="M469" s="559"/>
      <c r="N469" s="355">
        <f>SUM(N463:N467)</f>
        <v>0</v>
      </c>
    </row>
    <row r="470" spans="1:14" ht="18.75" thickBot="1" x14ac:dyDescent="0.3">
      <c r="A470" s="549" t="s">
        <v>30</v>
      </c>
      <c r="B470" s="550"/>
      <c r="C470" s="550"/>
      <c r="D470" s="551"/>
      <c r="F470" s="24"/>
      <c r="G470" s="24"/>
      <c r="H470" s="24"/>
      <c r="I470" s="24"/>
      <c r="J470" s="549" t="s">
        <v>30</v>
      </c>
      <c r="K470" s="550"/>
      <c r="L470" s="550"/>
      <c r="M470" s="551"/>
    </row>
    <row r="471" spans="1:14" ht="15.75" x14ac:dyDescent="0.25">
      <c r="A471" s="556" t="s">
        <v>455</v>
      </c>
      <c r="B471" s="557"/>
      <c r="C471" s="558"/>
      <c r="D471" s="26" t="s">
        <v>706</v>
      </c>
      <c r="E471" s="221">
        <f>COUNTIF($AO$3:$CC$42,D471)</f>
        <v>0</v>
      </c>
      <c r="J471" s="556" t="s">
        <v>455</v>
      </c>
      <c r="K471" s="557"/>
      <c r="L471" s="558"/>
      <c r="M471" s="26" t="s">
        <v>706</v>
      </c>
      <c r="N471" s="221">
        <f>COUNTIF($A$3:$AN$71,M471)</f>
        <v>0</v>
      </c>
    </row>
    <row r="472" spans="1:14" ht="15.75" x14ac:dyDescent="0.25">
      <c r="A472" s="556" t="s">
        <v>512</v>
      </c>
      <c r="B472" s="557"/>
      <c r="C472" s="558"/>
      <c r="D472" s="26" t="s">
        <v>707</v>
      </c>
      <c r="E472" s="221">
        <f>COUNTIF($AO$3:$CC$42,D472)</f>
        <v>0</v>
      </c>
      <c r="J472" s="556" t="s">
        <v>512</v>
      </c>
      <c r="K472" s="557"/>
      <c r="L472" s="558"/>
      <c r="M472" s="26" t="s">
        <v>707</v>
      </c>
      <c r="N472" s="221">
        <f>COUNTIF($A$3:$AN$71,M472)</f>
        <v>0</v>
      </c>
    </row>
    <row r="473" spans="1:14" ht="15.75" x14ac:dyDescent="0.25">
      <c r="A473" s="556" t="s">
        <v>708</v>
      </c>
      <c r="B473" s="557"/>
      <c r="C473" s="558"/>
      <c r="D473" s="26" t="s">
        <v>709</v>
      </c>
      <c r="E473" s="221">
        <f>COUNTIF($AO$3:$CC$42,D473)</f>
        <v>0</v>
      </c>
      <c r="J473" s="556" t="s">
        <v>708</v>
      </c>
      <c r="K473" s="557"/>
      <c r="L473" s="558"/>
      <c r="M473" s="26" t="s">
        <v>709</v>
      </c>
      <c r="N473" s="221">
        <f>COUNTIF($A$3:$AN$71,M473)</f>
        <v>0</v>
      </c>
    </row>
    <row r="474" spans="1:14" ht="15.75" x14ac:dyDescent="0.25">
      <c r="A474" s="556" t="s">
        <v>710</v>
      </c>
      <c r="B474" s="557"/>
      <c r="C474" s="558"/>
      <c r="D474" s="26" t="s">
        <v>711</v>
      </c>
      <c r="E474" s="221">
        <f>COUNTIF($AO$3:$CC$42,D474)</f>
        <v>0</v>
      </c>
      <c r="J474" s="556" t="s">
        <v>710</v>
      </c>
      <c r="K474" s="557"/>
      <c r="L474" s="558"/>
      <c r="M474" s="26" t="s">
        <v>711</v>
      </c>
      <c r="N474" s="221">
        <f>COUNTIF($A$3:$AN$71,M474)</f>
        <v>0</v>
      </c>
    </row>
    <row r="475" spans="1:14" ht="18.75" thickBot="1" x14ac:dyDescent="0.3">
      <c r="A475" s="559" t="s">
        <v>255</v>
      </c>
      <c r="B475" s="559"/>
      <c r="C475" s="559"/>
      <c r="D475" s="559"/>
      <c r="E475" s="355">
        <f>SUM(E471:E474)</f>
        <v>0</v>
      </c>
      <c r="J475" s="559" t="s">
        <v>255</v>
      </c>
      <c r="K475" s="559"/>
      <c r="L475" s="559"/>
      <c r="M475" s="559"/>
      <c r="N475" s="355">
        <f>SUM(N471:N474)</f>
        <v>0</v>
      </c>
    </row>
    <row r="476" spans="1:14" ht="18.75" thickBot="1" x14ac:dyDescent="0.3">
      <c r="A476" s="549" t="s">
        <v>712</v>
      </c>
      <c r="B476" s="550"/>
      <c r="C476" s="550"/>
      <c r="D476" s="551"/>
      <c r="F476" s="24"/>
      <c r="G476" s="24"/>
      <c r="H476" s="24"/>
      <c r="I476" s="24"/>
      <c r="J476" s="549" t="s">
        <v>712</v>
      </c>
      <c r="K476" s="550"/>
      <c r="L476" s="550"/>
      <c r="M476" s="551"/>
    </row>
    <row r="477" spans="1:14" ht="15.75" x14ac:dyDescent="0.25">
      <c r="A477" s="556" t="s">
        <v>16</v>
      </c>
      <c r="B477" s="557"/>
      <c r="C477" s="558"/>
      <c r="D477" s="26" t="s">
        <v>713</v>
      </c>
      <c r="E477" s="221">
        <f t="shared" ref="E477:E488" si="36">COUNTIF($AO$3:$CC$42,D477)</f>
        <v>0</v>
      </c>
      <c r="J477" s="556" t="s">
        <v>16</v>
      </c>
      <c r="K477" s="557"/>
      <c r="L477" s="558"/>
      <c r="M477" s="26" t="s">
        <v>713</v>
      </c>
      <c r="N477" s="221">
        <f t="shared" ref="N477:N488" si="37">COUNTIF($A$3:$AN$71,M477)</f>
        <v>0</v>
      </c>
    </row>
    <row r="478" spans="1:14" ht="15.75" x14ac:dyDescent="0.25">
      <c r="A478" s="556" t="s">
        <v>661</v>
      </c>
      <c r="B478" s="557"/>
      <c r="C478" s="558"/>
      <c r="D478" s="26" t="s">
        <v>714</v>
      </c>
      <c r="E478" s="221">
        <f t="shared" si="36"/>
        <v>0</v>
      </c>
      <c r="J478" s="556" t="s">
        <v>661</v>
      </c>
      <c r="K478" s="557"/>
      <c r="L478" s="558"/>
      <c r="M478" s="26" t="s">
        <v>714</v>
      </c>
      <c r="N478" s="221">
        <f t="shared" si="37"/>
        <v>0</v>
      </c>
    </row>
    <row r="479" spans="1:14" ht="15.75" x14ac:dyDescent="0.25">
      <c r="A479" s="556" t="s">
        <v>715</v>
      </c>
      <c r="B479" s="557"/>
      <c r="C479" s="558"/>
      <c r="D479" s="26" t="s">
        <v>716</v>
      </c>
      <c r="E479" s="221">
        <f t="shared" si="36"/>
        <v>0</v>
      </c>
      <c r="J479" s="556" t="s">
        <v>715</v>
      </c>
      <c r="K479" s="557"/>
      <c r="L479" s="558"/>
      <c r="M479" s="26" t="s">
        <v>716</v>
      </c>
      <c r="N479" s="221">
        <f t="shared" si="37"/>
        <v>0</v>
      </c>
    </row>
    <row r="480" spans="1:14" ht="15.75" x14ac:dyDescent="0.25">
      <c r="A480" s="556" t="s">
        <v>26</v>
      </c>
      <c r="B480" s="557"/>
      <c r="C480" s="558"/>
      <c r="D480" s="26" t="s">
        <v>717</v>
      </c>
      <c r="E480" s="221">
        <f t="shared" si="36"/>
        <v>0</v>
      </c>
      <c r="J480" s="556" t="s">
        <v>26</v>
      </c>
      <c r="K480" s="557"/>
      <c r="L480" s="558"/>
      <c r="M480" s="26" t="s">
        <v>717</v>
      </c>
      <c r="N480" s="221">
        <f t="shared" si="37"/>
        <v>0</v>
      </c>
    </row>
    <row r="481" spans="1:31" ht="15.75" x14ac:dyDescent="0.25">
      <c r="A481" s="556" t="s">
        <v>115</v>
      </c>
      <c r="B481" s="557"/>
      <c r="C481" s="558"/>
      <c r="D481" s="26" t="s">
        <v>718</v>
      </c>
      <c r="E481" s="221">
        <f t="shared" si="36"/>
        <v>0</v>
      </c>
      <c r="J481" s="556" t="s">
        <v>115</v>
      </c>
      <c r="K481" s="557"/>
      <c r="L481" s="558"/>
      <c r="M481" s="26" t="s">
        <v>718</v>
      </c>
      <c r="N481" s="221">
        <f t="shared" si="37"/>
        <v>0</v>
      </c>
    </row>
    <row r="482" spans="1:31" ht="15.75" x14ac:dyDescent="0.25">
      <c r="A482" s="556" t="s">
        <v>34</v>
      </c>
      <c r="B482" s="557"/>
      <c r="C482" s="558"/>
      <c r="D482" s="26" t="s">
        <v>719</v>
      </c>
      <c r="E482" s="221">
        <f t="shared" si="36"/>
        <v>0</v>
      </c>
      <c r="J482" s="556" t="s">
        <v>34</v>
      </c>
      <c r="K482" s="557"/>
      <c r="L482" s="558"/>
      <c r="M482" s="26" t="s">
        <v>719</v>
      </c>
      <c r="N482" s="221">
        <f t="shared" si="37"/>
        <v>0</v>
      </c>
    </row>
    <row r="483" spans="1:31" ht="15.75" x14ac:dyDescent="0.25">
      <c r="A483" s="556" t="s">
        <v>50</v>
      </c>
      <c r="B483" s="557"/>
      <c r="C483" s="558"/>
      <c r="D483" s="26" t="s">
        <v>720</v>
      </c>
      <c r="E483" s="221">
        <f t="shared" si="36"/>
        <v>0</v>
      </c>
      <c r="J483" s="556" t="s">
        <v>50</v>
      </c>
      <c r="K483" s="557"/>
      <c r="L483" s="558"/>
      <c r="M483" s="26" t="s">
        <v>720</v>
      </c>
      <c r="N483" s="221">
        <f t="shared" si="37"/>
        <v>0</v>
      </c>
    </row>
    <row r="484" spans="1:31" ht="15.75" x14ac:dyDescent="0.25">
      <c r="A484" s="556" t="s">
        <v>54</v>
      </c>
      <c r="B484" s="557"/>
      <c r="C484" s="558"/>
      <c r="D484" s="26" t="s">
        <v>721</v>
      </c>
      <c r="E484" s="221">
        <f t="shared" si="36"/>
        <v>0</v>
      </c>
      <c r="J484" s="556" t="s">
        <v>54</v>
      </c>
      <c r="K484" s="557"/>
      <c r="L484" s="558"/>
      <c r="M484" s="26" t="s">
        <v>721</v>
      </c>
      <c r="N484" s="221">
        <f t="shared" si="37"/>
        <v>0</v>
      </c>
    </row>
    <row r="485" spans="1:31" ht="15.75" x14ac:dyDescent="0.25">
      <c r="A485" s="556" t="s">
        <v>722</v>
      </c>
      <c r="B485" s="557"/>
      <c r="C485" s="558"/>
      <c r="D485" s="26" t="s">
        <v>723</v>
      </c>
      <c r="E485" s="221">
        <f t="shared" si="36"/>
        <v>0</v>
      </c>
      <c r="J485" s="556" t="s">
        <v>722</v>
      </c>
      <c r="K485" s="557"/>
      <c r="L485" s="558"/>
      <c r="M485" s="26" t="s">
        <v>723</v>
      </c>
      <c r="N485" s="221">
        <f t="shared" si="37"/>
        <v>0</v>
      </c>
    </row>
    <row r="486" spans="1:31" ht="15.75" x14ac:dyDescent="0.25">
      <c r="A486" s="556" t="s">
        <v>107</v>
      </c>
      <c r="B486" s="557"/>
      <c r="C486" s="558"/>
      <c r="D486" s="26" t="s">
        <v>724</v>
      </c>
      <c r="E486" s="221">
        <f t="shared" si="36"/>
        <v>0</v>
      </c>
      <c r="J486" s="556" t="s">
        <v>107</v>
      </c>
      <c r="K486" s="557"/>
      <c r="L486" s="558"/>
      <c r="M486" s="26" t="s">
        <v>724</v>
      </c>
      <c r="N486" s="221">
        <f t="shared" si="37"/>
        <v>0</v>
      </c>
    </row>
    <row r="487" spans="1:31" ht="15.75" x14ac:dyDescent="0.25">
      <c r="A487" s="556" t="s">
        <v>111</v>
      </c>
      <c r="B487" s="557"/>
      <c r="C487" s="558"/>
      <c r="D487" s="26" t="s">
        <v>725</v>
      </c>
      <c r="E487" s="221">
        <f t="shared" si="36"/>
        <v>0</v>
      </c>
      <c r="J487" s="556" t="s">
        <v>111</v>
      </c>
      <c r="K487" s="557"/>
      <c r="L487" s="558"/>
      <c r="M487" s="26" t="s">
        <v>725</v>
      </c>
      <c r="N487" s="221">
        <f t="shared" si="37"/>
        <v>0</v>
      </c>
    </row>
    <row r="488" spans="1:31" ht="15.75" x14ac:dyDescent="0.25">
      <c r="A488" s="556" t="s">
        <v>103</v>
      </c>
      <c r="B488" s="557"/>
      <c r="C488" s="558"/>
      <c r="D488" s="26" t="s">
        <v>726</v>
      </c>
      <c r="E488" s="221">
        <f t="shared" si="36"/>
        <v>0</v>
      </c>
      <c r="J488" s="556" t="s">
        <v>103</v>
      </c>
      <c r="K488" s="557"/>
      <c r="L488" s="558"/>
      <c r="M488" s="26" t="s">
        <v>726</v>
      </c>
      <c r="N488" s="221">
        <f t="shared" si="37"/>
        <v>0</v>
      </c>
    </row>
    <row r="489" spans="1:31" ht="18.75" thickBot="1" x14ac:dyDescent="0.3">
      <c r="A489" s="559" t="s">
        <v>255</v>
      </c>
      <c r="B489" s="559"/>
      <c r="C489" s="559"/>
      <c r="D489" s="559"/>
      <c r="E489" s="355">
        <f>SUM(E488:E488)</f>
        <v>0</v>
      </c>
      <c r="J489" s="559" t="s">
        <v>255</v>
      </c>
      <c r="K489" s="559"/>
      <c r="L489" s="559"/>
      <c r="M489" s="559"/>
      <c r="N489" s="355">
        <f>SUM(N488:N488)</f>
        <v>0</v>
      </c>
    </row>
    <row r="490" spans="1:31" ht="18.75" thickBot="1" x14ac:dyDescent="0.3">
      <c r="A490" s="549" t="s">
        <v>727</v>
      </c>
      <c r="B490" s="550"/>
      <c r="C490" s="550"/>
      <c r="D490" s="551"/>
      <c r="F490" s="24"/>
      <c r="G490" s="24"/>
      <c r="H490" s="24"/>
      <c r="I490" s="24"/>
      <c r="J490" s="549" t="s">
        <v>727</v>
      </c>
      <c r="K490" s="550"/>
      <c r="L490" s="550"/>
      <c r="M490" s="551"/>
    </row>
    <row r="491" spans="1:31" ht="15.75" x14ac:dyDescent="0.25">
      <c r="A491" s="556" t="s">
        <v>728</v>
      </c>
      <c r="B491" s="557"/>
      <c r="C491" s="558"/>
      <c r="D491" s="26" t="s">
        <v>729</v>
      </c>
      <c r="E491" s="221">
        <f>COUNTIF($AO$3:$CC$42,D491)</f>
        <v>0</v>
      </c>
      <c r="J491" s="556" t="s">
        <v>728</v>
      </c>
      <c r="K491" s="557"/>
      <c r="L491" s="558"/>
      <c r="M491" s="26" t="s">
        <v>729</v>
      </c>
      <c r="N491" s="221">
        <f>COUNTIF($A$3:$AN$71,M491)</f>
        <v>0</v>
      </c>
    </row>
    <row r="492" spans="1:31" ht="15.75" x14ac:dyDescent="0.25">
      <c r="A492" s="556" t="s">
        <v>730</v>
      </c>
      <c r="B492" s="557"/>
      <c r="C492" s="558"/>
      <c r="D492" s="26" t="s">
        <v>731</v>
      </c>
      <c r="E492" s="221">
        <f>COUNTIF($AO$3:$CC$42,D492)</f>
        <v>0</v>
      </c>
      <c r="J492" s="556" t="s">
        <v>730</v>
      </c>
      <c r="K492" s="557"/>
      <c r="L492" s="558"/>
      <c r="M492" s="26" t="s">
        <v>731</v>
      </c>
      <c r="N492" s="221">
        <f>COUNTIF($A$3:$AN$71,M492)</f>
        <v>0</v>
      </c>
    </row>
    <row r="493" spans="1:31" ht="15.75" x14ac:dyDescent="0.25">
      <c r="A493" s="556" t="s">
        <v>732</v>
      </c>
      <c r="B493" s="557"/>
      <c r="C493" s="558"/>
      <c r="D493" s="26" t="s">
        <v>733</v>
      </c>
      <c r="E493" s="221">
        <f>COUNTIF($AO$3:$CC$42,D493)</f>
        <v>0</v>
      </c>
      <c r="J493" s="556" t="s">
        <v>732</v>
      </c>
      <c r="K493" s="557"/>
      <c r="L493" s="558"/>
      <c r="M493" s="26" t="s">
        <v>733</v>
      </c>
      <c r="N493" s="221">
        <f>COUNTIF($A$3:$AN$71,M493)</f>
        <v>0</v>
      </c>
    </row>
    <row r="494" spans="1:31" x14ac:dyDescent="0.25">
      <c r="AE494" s="356" t="s">
        <v>734</v>
      </c>
    </row>
  </sheetData>
  <mergeCells count="838">
    <mergeCell ref="A492:C492"/>
    <mergeCell ref="J492:L492"/>
    <mergeCell ref="A493:C493"/>
    <mergeCell ref="J493:L493"/>
    <mergeCell ref="A489:D489"/>
    <mergeCell ref="J489:M489"/>
    <mergeCell ref="A490:D490"/>
    <mergeCell ref="J490:M490"/>
    <mergeCell ref="A491:C491"/>
    <mergeCell ref="J491:L491"/>
    <mergeCell ref="A486:C486"/>
    <mergeCell ref="J486:L486"/>
    <mergeCell ref="A487:C487"/>
    <mergeCell ref="J487:L487"/>
    <mergeCell ref="A488:C488"/>
    <mergeCell ref="J488:L488"/>
    <mergeCell ref="A483:C483"/>
    <mergeCell ref="J483:L483"/>
    <mergeCell ref="A484:C484"/>
    <mergeCell ref="J484:L484"/>
    <mergeCell ref="A485:C485"/>
    <mergeCell ref="J485:L485"/>
    <mergeCell ref="A480:C480"/>
    <mergeCell ref="J480:L480"/>
    <mergeCell ref="A481:C481"/>
    <mergeCell ref="J481:L481"/>
    <mergeCell ref="A482:C482"/>
    <mergeCell ref="J482:L482"/>
    <mergeCell ref="A477:C477"/>
    <mergeCell ref="J477:L477"/>
    <mergeCell ref="A478:C478"/>
    <mergeCell ref="J478:L478"/>
    <mergeCell ref="A479:C479"/>
    <mergeCell ref="J479:L479"/>
    <mergeCell ref="A474:C474"/>
    <mergeCell ref="J474:L474"/>
    <mergeCell ref="A475:D475"/>
    <mergeCell ref="J475:M475"/>
    <mergeCell ref="A476:D476"/>
    <mergeCell ref="J476:M476"/>
    <mergeCell ref="A471:C471"/>
    <mergeCell ref="J471:L471"/>
    <mergeCell ref="A472:C472"/>
    <mergeCell ref="J472:L472"/>
    <mergeCell ref="A473:C473"/>
    <mergeCell ref="J473:L473"/>
    <mergeCell ref="A468:C468"/>
    <mergeCell ref="J468:L468"/>
    <mergeCell ref="A469:D469"/>
    <mergeCell ref="J469:M469"/>
    <mergeCell ref="A470:D470"/>
    <mergeCell ref="J470:M470"/>
    <mergeCell ref="A465:C465"/>
    <mergeCell ref="J465:L465"/>
    <mergeCell ref="A466:C466"/>
    <mergeCell ref="J466:L466"/>
    <mergeCell ref="A467:C467"/>
    <mergeCell ref="J467:L467"/>
    <mergeCell ref="A462:D462"/>
    <mergeCell ref="J462:M462"/>
    <mergeCell ref="A463:C463"/>
    <mergeCell ref="J463:L463"/>
    <mergeCell ref="A464:C464"/>
    <mergeCell ref="J464:L464"/>
    <mergeCell ref="A459:C459"/>
    <mergeCell ref="J459:L459"/>
    <mergeCell ref="A460:C460"/>
    <mergeCell ref="J460:L460"/>
    <mergeCell ref="A461:D461"/>
    <mergeCell ref="J461:M461"/>
    <mergeCell ref="A456:C456"/>
    <mergeCell ref="J456:L456"/>
    <mergeCell ref="A457:C457"/>
    <mergeCell ref="J457:L457"/>
    <mergeCell ref="A458:C458"/>
    <mergeCell ref="J458:L458"/>
    <mergeCell ref="A453:C453"/>
    <mergeCell ref="J453:L453"/>
    <mergeCell ref="A454:C454"/>
    <mergeCell ref="J454:L454"/>
    <mergeCell ref="A455:C455"/>
    <mergeCell ref="J455:L455"/>
    <mergeCell ref="A450:C450"/>
    <mergeCell ref="J450:L450"/>
    <mergeCell ref="A451:C451"/>
    <mergeCell ref="J451:L451"/>
    <mergeCell ref="A452:C452"/>
    <mergeCell ref="J452:L452"/>
    <mergeCell ref="A447:C447"/>
    <mergeCell ref="J447:L447"/>
    <mergeCell ref="A448:C448"/>
    <mergeCell ref="J448:L448"/>
    <mergeCell ref="A449:C449"/>
    <mergeCell ref="J449:L449"/>
    <mergeCell ref="A444:C444"/>
    <mergeCell ref="J444:L444"/>
    <mergeCell ref="A445:C445"/>
    <mergeCell ref="J445:L445"/>
    <mergeCell ref="A446:C446"/>
    <mergeCell ref="J446:L446"/>
    <mergeCell ref="A441:C441"/>
    <mergeCell ref="J441:L441"/>
    <mergeCell ref="A442:C442"/>
    <mergeCell ref="J442:L442"/>
    <mergeCell ref="A443:C443"/>
    <mergeCell ref="J443:L443"/>
    <mergeCell ref="A438:C438"/>
    <mergeCell ref="J438:L438"/>
    <mergeCell ref="A439:C439"/>
    <mergeCell ref="J439:L439"/>
    <mergeCell ref="A440:C440"/>
    <mergeCell ref="J440:L440"/>
    <mergeCell ref="A435:C435"/>
    <mergeCell ref="J435:L435"/>
    <mergeCell ref="A436:C436"/>
    <mergeCell ref="J436:L436"/>
    <mergeCell ref="A437:C437"/>
    <mergeCell ref="J437:L437"/>
    <mergeCell ref="A432:D432"/>
    <mergeCell ref="J432:M432"/>
    <mergeCell ref="A433:D433"/>
    <mergeCell ref="J433:M433"/>
    <mergeCell ref="A434:C434"/>
    <mergeCell ref="J434:L434"/>
    <mergeCell ref="A429:C429"/>
    <mergeCell ref="J429:L429"/>
    <mergeCell ref="A430:C430"/>
    <mergeCell ref="J430:L430"/>
    <mergeCell ref="A431:C431"/>
    <mergeCell ref="J431:L431"/>
    <mergeCell ref="A426:C426"/>
    <mergeCell ref="J426:L426"/>
    <mergeCell ref="A427:C427"/>
    <mergeCell ref="J427:L427"/>
    <mergeCell ref="A428:C428"/>
    <mergeCell ref="J428:L428"/>
    <mergeCell ref="A423:C423"/>
    <mergeCell ref="J423:L423"/>
    <mergeCell ref="A424:C424"/>
    <mergeCell ref="J424:L424"/>
    <mergeCell ref="A425:C425"/>
    <mergeCell ref="J425:L425"/>
    <mergeCell ref="A420:C420"/>
    <mergeCell ref="J420:L420"/>
    <mergeCell ref="A421:C421"/>
    <mergeCell ref="J421:L421"/>
    <mergeCell ref="A422:C422"/>
    <mergeCell ref="J422:L422"/>
    <mergeCell ref="A417:C417"/>
    <mergeCell ref="J417:L417"/>
    <mergeCell ref="A418:C418"/>
    <mergeCell ref="J418:L418"/>
    <mergeCell ref="A419:C419"/>
    <mergeCell ref="J419:L419"/>
    <mergeCell ref="A414:C414"/>
    <mergeCell ref="J414:L414"/>
    <mergeCell ref="A415:C415"/>
    <mergeCell ref="J415:L415"/>
    <mergeCell ref="A416:C416"/>
    <mergeCell ref="J416:L416"/>
    <mergeCell ref="A411:C411"/>
    <mergeCell ref="J411:L411"/>
    <mergeCell ref="A412:C412"/>
    <mergeCell ref="J412:L412"/>
    <mergeCell ref="A413:C413"/>
    <mergeCell ref="J413:L413"/>
    <mergeCell ref="A408:C408"/>
    <mergeCell ref="J408:L408"/>
    <mergeCell ref="A409:C409"/>
    <mergeCell ref="J409:L409"/>
    <mergeCell ref="A410:C410"/>
    <mergeCell ref="J410:L410"/>
    <mergeCell ref="A405:C405"/>
    <mergeCell ref="J405:L405"/>
    <mergeCell ref="A406:C406"/>
    <mergeCell ref="J406:L406"/>
    <mergeCell ref="A407:C407"/>
    <mergeCell ref="J407:L407"/>
    <mergeCell ref="A402:C402"/>
    <mergeCell ref="J402:L402"/>
    <mergeCell ref="A403:C403"/>
    <mergeCell ref="J403:L403"/>
    <mergeCell ref="A404:C404"/>
    <mergeCell ref="J404:L404"/>
    <mergeCell ref="A399:C399"/>
    <mergeCell ref="J399:L399"/>
    <mergeCell ref="A400:C400"/>
    <mergeCell ref="J400:L400"/>
    <mergeCell ref="A401:C401"/>
    <mergeCell ref="J401:L401"/>
    <mergeCell ref="A396:C396"/>
    <mergeCell ref="J396:L396"/>
    <mergeCell ref="A397:C397"/>
    <mergeCell ref="J397:L397"/>
    <mergeCell ref="A398:C398"/>
    <mergeCell ref="J398:L398"/>
    <mergeCell ref="A393:C393"/>
    <mergeCell ref="J393:L393"/>
    <mergeCell ref="A394:C394"/>
    <mergeCell ref="J394:L394"/>
    <mergeCell ref="A395:C395"/>
    <mergeCell ref="J395:L395"/>
    <mergeCell ref="A390:C390"/>
    <mergeCell ref="J390:L390"/>
    <mergeCell ref="A391:C391"/>
    <mergeCell ref="J391:L391"/>
    <mergeCell ref="A392:C392"/>
    <mergeCell ref="J392:L392"/>
    <mergeCell ref="A387:C387"/>
    <mergeCell ref="J387:L387"/>
    <mergeCell ref="A388:C388"/>
    <mergeCell ref="J388:L388"/>
    <mergeCell ref="A389:C389"/>
    <mergeCell ref="J389:L389"/>
    <mergeCell ref="A384:C384"/>
    <mergeCell ref="J384:L384"/>
    <mergeCell ref="A385:C385"/>
    <mergeCell ref="J385:L385"/>
    <mergeCell ref="A386:C386"/>
    <mergeCell ref="J386:L386"/>
    <mergeCell ref="A381:C381"/>
    <mergeCell ref="J381:L381"/>
    <mergeCell ref="A382:C382"/>
    <mergeCell ref="J382:L382"/>
    <mergeCell ref="A383:C383"/>
    <mergeCell ref="J383:L383"/>
    <mergeCell ref="A378:C378"/>
    <mergeCell ref="J378:L378"/>
    <mergeCell ref="A379:C379"/>
    <mergeCell ref="J379:L379"/>
    <mergeCell ref="A380:C380"/>
    <mergeCell ref="J380:L380"/>
    <mergeCell ref="A375:C375"/>
    <mergeCell ref="J375:L375"/>
    <mergeCell ref="A376:C376"/>
    <mergeCell ref="J376:L376"/>
    <mergeCell ref="A377:C377"/>
    <mergeCell ref="J377:L377"/>
    <mergeCell ref="A372:C372"/>
    <mergeCell ref="J372:L372"/>
    <mergeCell ref="A373:C373"/>
    <mergeCell ref="J373:L373"/>
    <mergeCell ref="A374:C374"/>
    <mergeCell ref="J374:L374"/>
    <mergeCell ref="A369:C369"/>
    <mergeCell ref="J369:L369"/>
    <mergeCell ref="A370:C370"/>
    <mergeCell ref="J370:L370"/>
    <mergeCell ref="A371:C371"/>
    <mergeCell ref="J371:L371"/>
    <mergeCell ref="A366:C366"/>
    <mergeCell ref="J366:L366"/>
    <mergeCell ref="A367:C367"/>
    <mergeCell ref="J367:L367"/>
    <mergeCell ref="A368:C368"/>
    <mergeCell ref="J368:L368"/>
    <mergeCell ref="A363:C363"/>
    <mergeCell ref="J363:L363"/>
    <mergeCell ref="A364:C364"/>
    <mergeCell ref="J364:L364"/>
    <mergeCell ref="A365:C365"/>
    <mergeCell ref="J365:L365"/>
    <mergeCell ref="A360:C360"/>
    <mergeCell ref="J360:L360"/>
    <mergeCell ref="A361:C361"/>
    <mergeCell ref="J361:L361"/>
    <mergeCell ref="A362:C362"/>
    <mergeCell ref="J362:L362"/>
    <mergeCell ref="A357:C357"/>
    <mergeCell ref="J357:L357"/>
    <mergeCell ref="A358:C358"/>
    <mergeCell ref="J358:L358"/>
    <mergeCell ref="A359:C359"/>
    <mergeCell ref="J359:L359"/>
    <mergeCell ref="A354:C354"/>
    <mergeCell ref="J354:L354"/>
    <mergeCell ref="A355:C355"/>
    <mergeCell ref="J355:L355"/>
    <mergeCell ref="A356:C356"/>
    <mergeCell ref="J356:L356"/>
    <mergeCell ref="A351:C351"/>
    <mergeCell ref="J351:L351"/>
    <mergeCell ref="A352:C352"/>
    <mergeCell ref="J352:L352"/>
    <mergeCell ref="A353:C353"/>
    <mergeCell ref="J353:L353"/>
    <mergeCell ref="A348:C348"/>
    <mergeCell ref="J348:L348"/>
    <mergeCell ref="A349:D349"/>
    <mergeCell ref="J349:M349"/>
    <mergeCell ref="A350:D350"/>
    <mergeCell ref="J350:M350"/>
    <mergeCell ref="A345:C345"/>
    <mergeCell ref="J345:L345"/>
    <mergeCell ref="A346:C346"/>
    <mergeCell ref="J346:L346"/>
    <mergeCell ref="A347:C347"/>
    <mergeCell ref="J347:L347"/>
    <mergeCell ref="A342:C342"/>
    <mergeCell ref="J342:L342"/>
    <mergeCell ref="A343:C343"/>
    <mergeCell ref="J343:L343"/>
    <mergeCell ref="A344:C344"/>
    <mergeCell ref="J344:L344"/>
    <mergeCell ref="A339:C339"/>
    <mergeCell ref="J339:L339"/>
    <mergeCell ref="A340:C340"/>
    <mergeCell ref="J340:L340"/>
    <mergeCell ref="A341:C341"/>
    <mergeCell ref="J341:L341"/>
    <mergeCell ref="A336:C336"/>
    <mergeCell ref="J336:L336"/>
    <mergeCell ref="A337:C337"/>
    <mergeCell ref="J337:L337"/>
    <mergeCell ref="A338:C338"/>
    <mergeCell ref="J338:L338"/>
    <mergeCell ref="A333:C333"/>
    <mergeCell ref="J333:L333"/>
    <mergeCell ref="A334:C334"/>
    <mergeCell ref="J334:L334"/>
    <mergeCell ref="A335:C335"/>
    <mergeCell ref="J335:L335"/>
    <mergeCell ref="A330:C330"/>
    <mergeCell ref="J330:L330"/>
    <mergeCell ref="A331:C331"/>
    <mergeCell ref="J331:L331"/>
    <mergeCell ref="A332:C332"/>
    <mergeCell ref="J332:L332"/>
    <mergeCell ref="A327:C327"/>
    <mergeCell ref="J327:L327"/>
    <mergeCell ref="A328:C328"/>
    <mergeCell ref="J328:L328"/>
    <mergeCell ref="A329:C329"/>
    <mergeCell ref="J329:L329"/>
    <mergeCell ref="A324:C324"/>
    <mergeCell ref="J324:L324"/>
    <mergeCell ref="A325:C325"/>
    <mergeCell ref="J325:L325"/>
    <mergeCell ref="A326:C326"/>
    <mergeCell ref="J326:L326"/>
    <mergeCell ref="A321:C321"/>
    <mergeCell ref="J321:L321"/>
    <mergeCell ref="A322:C322"/>
    <mergeCell ref="J322:L322"/>
    <mergeCell ref="A323:C323"/>
    <mergeCell ref="J323:L323"/>
    <mergeCell ref="A318:E318"/>
    <mergeCell ref="F318:G318"/>
    <mergeCell ref="J318:N318"/>
    <mergeCell ref="O318:P318"/>
    <mergeCell ref="A320:D320"/>
    <mergeCell ref="J320:M320"/>
    <mergeCell ref="A306:B306"/>
    <mergeCell ref="J306:K306"/>
    <mergeCell ref="A307:B307"/>
    <mergeCell ref="J307:K307"/>
    <mergeCell ref="A313:Q314"/>
    <mergeCell ref="A316:D316"/>
    <mergeCell ref="A303:B303"/>
    <mergeCell ref="J303:K303"/>
    <mergeCell ref="A304:B304"/>
    <mergeCell ref="J304:K304"/>
    <mergeCell ref="A305:B305"/>
    <mergeCell ref="J305:K305"/>
    <mergeCell ref="A300:B300"/>
    <mergeCell ref="J300:K300"/>
    <mergeCell ref="A301:B301"/>
    <mergeCell ref="J301:K301"/>
    <mergeCell ref="A302:B302"/>
    <mergeCell ref="J302:K302"/>
    <mergeCell ref="A297:B297"/>
    <mergeCell ref="J297:K297"/>
    <mergeCell ref="A298:B298"/>
    <mergeCell ref="J298:K298"/>
    <mergeCell ref="A299:B299"/>
    <mergeCell ref="J299:K299"/>
    <mergeCell ref="A294:B294"/>
    <mergeCell ref="J294:K294"/>
    <mergeCell ref="A295:B295"/>
    <mergeCell ref="J295:K295"/>
    <mergeCell ref="A296:B296"/>
    <mergeCell ref="J296:K296"/>
    <mergeCell ref="A291:B291"/>
    <mergeCell ref="J291:K291"/>
    <mergeCell ref="A292:B292"/>
    <mergeCell ref="J292:K292"/>
    <mergeCell ref="A293:B293"/>
    <mergeCell ref="J293:K293"/>
    <mergeCell ref="A288:B288"/>
    <mergeCell ref="J288:K288"/>
    <mergeCell ref="A289:B289"/>
    <mergeCell ref="J289:K289"/>
    <mergeCell ref="A290:B290"/>
    <mergeCell ref="J290:K290"/>
    <mergeCell ref="A285:B285"/>
    <mergeCell ref="J285:K285"/>
    <mergeCell ref="A286:B286"/>
    <mergeCell ref="J286:K286"/>
    <mergeCell ref="A287:B287"/>
    <mergeCell ref="J287:K287"/>
    <mergeCell ref="A282:B282"/>
    <mergeCell ref="J282:K282"/>
    <mergeCell ref="A283:B283"/>
    <mergeCell ref="J283:K283"/>
    <mergeCell ref="A284:B284"/>
    <mergeCell ref="J284:K284"/>
    <mergeCell ref="A279:B279"/>
    <mergeCell ref="J279:K279"/>
    <mergeCell ref="A280:B280"/>
    <mergeCell ref="J280:K280"/>
    <mergeCell ref="A281:B281"/>
    <mergeCell ref="J281:K281"/>
    <mergeCell ref="A276:B276"/>
    <mergeCell ref="J276:K276"/>
    <mergeCell ref="A277:B277"/>
    <mergeCell ref="J277:K277"/>
    <mergeCell ref="A278:B278"/>
    <mergeCell ref="J278:K278"/>
    <mergeCell ref="A273:B273"/>
    <mergeCell ref="J273:K273"/>
    <mergeCell ref="A274:B274"/>
    <mergeCell ref="J274:K274"/>
    <mergeCell ref="A275:B275"/>
    <mergeCell ref="J275:K275"/>
    <mergeCell ref="A270:B270"/>
    <mergeCell ref="J270:K270"/>
    <mergeCell ref="A271:B271"/>
    <mergeCell ref="J271:K271"/>
    <mergeCell ref="A272:B272"/>
    <mergeCell ref="J272:K272"/>
    <mergeCell ref="A267:B267"/>
    <mergeCell ref="J267:K267"/>
    <mergeCell ref="A268:B268"/>
    <mergeCell ref="J268:K268"/>
    <mergeCell ref="A269:B269"/>
    <mergeCell ref="J269:K269"/>
    <mergeCell ref="A264:B264"/>
    <mergeCell ref="J264:K264"/>
    <mergeCell ref="A265:B265"/>
    <mergeCell ref="J265:K265"/>
    <mergeCell ref="A266:B266"/>
    <mergeCell ref="J266:K266"/>
    <mergeCell ref="A261:B261"/>
    <mergeCell ref="J261:K261"/>
    <mergeCell ref="A262:B262"/>
    <mergeCell ref="J262:K262"/>
    <mergeCell ref="A263:B263"/>
    <mergeCell ref="J263:K263"/>
    <mergeCell ref="A258:B258"/>
    <mergeCell ref="J258:K258"/>
    <mergeCell ref="A259:B259"/>
    <mergeCell ref="J259:K259"/>
    <mergeCell ref="A260:B260"/>
    <mergeCell ref="J260:K260"/>
    <mergeCell ref="A255:B255"/>
    <mergeCell ref="J255:K255"/>
    <mergeCell ref="A256:B256"/>
    <mergeCell ref="J256:K256"/>
    <mergeCell ref="A257:B257"/>
    <mergeCell ref="J257:K257"/>
    <mergeCell ref="A252:B252"/>
    <mergeCell ref="J252:K252"/>
    <mergeCell ref="A253:B253"/>
    <mergeCell ref="J253:K253"/>
    <mergeCell ref="A254:B254"/>
    <mergeCell ref="J254:K254"/>
    <mergeCell ref="A249:B249"/>
    <mergeCell ref="J249:K249"/>
    <mergeCell ref="A250:B250"/>
    <mergeCell ref="J250:K250"/>
    <mergeCell ref="A251:B251"/>
    <mergeCell ref="J251:K251"/>
    <mergeCell ref="A246:B246"/>
    <mergeCell ref="J246:K246"/>
    <mergeCell ref="A247:B247"/>
    <mergeCell ref="J247:K247"/>
    <mergeCell ref="A248:B248"/>
    <mergeCell ref="J248:K248"/>
    <mergeCell ref="A243:B243"/>
    <mergeCell ref="J243:K243"/>
    <mergeCell ref="A244:B244"/>
    <mergeCell ref="J244:K244"/>
    <mergeCell ref="A245:B245"/>
    <mergeCell ref="J245:K245"/>
    <mergeCell ref="A240:B240"/>
    <mergeCell ref="J240:K240"/>
    <mergeCell ref="A241:B241"/>
    <mergeCell ref="J241:K241"/>
    <mergeCell ref="A242:B242"/>
    <mergeCell ref="J242:K242"/>
    <mergeCell ref="A237:B237"/>
    <mergeCell ref="J237:K237"/>
    <mergeCell ref="A238:B238"/>
    <mergeCell ref="J238:K238"/>
    <mergeCell ref="A239:B239"/>
    <mergeCell ref="J239:K239"/>
    <mergeCell ref="A235:D235"/>
    <mergeCell ref="E235:F235"/>
    <mergeCell ref="J235:M235"/>
    <mergeCell ref="N235:O235"/>
    <mergeCell ref="P235:Q235"/>
    <mergeCell ref="A236:B236"/>
    <mergeCell ref="J236:K236"/>
    <mergeCell ref="A232:B232"/>
    <mergeCell ref="J232:K232"/>
    <mergeCell ref="A233:B233"/>
    <mergeCell ref="J233:K233"/>
    <mergeCell ref="A234:B234"/>
    <mergeCell ref="J234:K234"/>
    <mergeCell ref="A229:B229"/>
    <mergeCell ref="J229:K229"/>
    <mergeCell ref="A230:B230"/>
    <mergeCell ref="J230:K230"/>
    <mergeCell ref="A231:B231"/>
    <mergeCell ref="J231:K231"/>
    <mergeCell ref="A226:B226"/>
    <mergeCell ref="J226:K226"/>
    <mergeCell ref="A227:B227"/>
    <mergeCell ref="J227:K227"/>
    <mergeCell ref="A228:B228"/>
    <mergeCell ref="J228:K228"/>
    <mergeCell ref="A223:B223"/>
    <mergeCell ref="J223:K223"/>
    <mergeCell ref="A224:B224"/>
    <mergeCell ref="J224:K224"/>
    <mergeCell ref="A225:B225"/>
    <mergeCell ref="J225:K225"/>
    <mergeCell ref="A220:B220"/>
    <mergeCell ref="J220:K220"/>
    <mergeCell ref="A221:B221"/>
    <mergeCell ref="J221:K221"/>
    <mergeCell ref="A222:B222"/>
    <mergeCell ref="J222:K222"/>
    <mergeCell ref="A217:B217"/>
    <mergeCell ref="J217:K217"/>
    <mergeCell ref="A218:B218"/>
    <mergeCell ref="J218:K218"/>
    <mergeCell ref="A219:B219"/>
    <mergeCell ref="J219:K219"/>
    <mergeCell ref="A214:B214"/>
    <mergeCell ref="J214:K214"/>
    <mergeCell ref="A215:B215"/>
    <mergeCell ref="J215:K215"/>
    <mergeCell ref="A216:B216"/>
    <mergeCell ref="J216:K216"/>
    <mergeCell ref="A211:B211"/>
    <mergeCell ref="J211:K211"/>
    <mergeCell ref="A212:B212"/>
    <mergeCell ref="J212:K212"/>
    <mergeCell ref="A213:B213"/>
    <mergeCell ref="J213:K213"/>
    <mergeCell ref="P208:Q208"/>
    <mergeCell ref="A209:C209"/>
    <mergeCell ref="E209:F209"/>
    <mergeCell ref="J209:L209"/>
    <mergeCell ref="N209:O209"/>
    <mergeCell ref="A210:D210"/>
    <mergeCell ref="E210:F210"/>
    <mergeCell ref="J210:M210"/>
    <mergeCell ref="N210:O210"/>
    <mergeCell ref="P210:Q210"/>
    <mergeCell ref="A203:E203"/>
    <mergeCell ref="F203:G203"/>
    <mergeCell ref="J203:N203"/>
    <mergeCell ref="O203:P203"/>
    <mergeCell ref="A205:E205"/>
    <mergeCell ref="F205:G205"/>
    <mergeCell ref="J205:N205"/>
    <mergeCell ref="O205:P205"/>
    <mergeCell ref="A192:Q193"/>
    <mergeCell ref="A196:Q197"/>
    <mergeCell ref="A201:E201"/>
    <mergeCell ref="F201:G201"/>
    <mergeCell ref="J201:N201"/>
    <mergeCell ref="O201:P201"/>
    <mergeCell ref="A188:C188"/>
    <mergeCell ref="J188:L188"/>
    <mergeCell ref="A189:C189"/>
    <mergeCell ref="J189:L189"/>
    <mergeCell ref="A190:C190"/>
    <mergeCell ref="J190:L190"/>
    <mergeCell ref="A184:C184"/>
    <mergeCell ref="J184:L184"/>
    <mergeCell ref="A186:C186"/>
    <mergeCell ref="J186:L186"/>
    <mergeCell ref="A187:C187"/>
    <mergeCell ref="J187:L187"/>
    <mergeCell ref="A180:C180"/>
    <mergeCell ref="J180:L180"/>
    <mergeCell ref="A181:C181"/>
    <mergeCell ref="J181:L181"/>
    <mergeCell ref="A182:C182"/>
    <mergeCell ref="J182:L182"/>
    <mergeCell ref="A177:C177"/>
    <mergeCell ref="J177:L177"/>
    <mergeCell ref="A178:C178"/>
    <mergeCell ref="J178:L178"/>
    <mergeCell ref="A179:C179"/>
    <mergeCell ref="J179:L179"/>
    <mergeCell ref="A174:C174"/>
    <mergeCell ref="J174:L174"/>
    <mergeCell ref="A175:C175"/>
    <mergeCell ref="J175:L175"/>
    <mergeCell ref="A176:C176"/>
    <mergeCell ref="J176:L176"/>
    <mergeCell ref="A171:C171"/>
    <mergeCell ref="J171:L171"/>
    <mergeCell ref="A172:C172"/>
    <mergeCell ref="J172:L172"/>
    <mergeCell ref="A173:C173"/>
    <mergeCell ref="J173:L173"/>
    <mergeCell ref="A168:C168"/>
    <mergeCell ref="J168:L168"/>
    <mergeCell ref="A169:C169"/>
    <mergeCell ref="J169:L169"/>
    <mergeCell ref="A170:C170"/>
    <mergeCell ref="J170:L170"/>
    <mergeCell ref="A165:C165"/>
    <mergeCell ref="J165:L165"/>
    <mergeCell ref="A166:C166"/>
    <mergeCell ref="J166:L166"/>
    <mergeCell ref="A167:C167"/>
    <mergeCell ref="J167:L167"/>
    <mergeCell ref="A162:C162"/>
    <mergeCell ref="J162:L162"/>
    <mergeCell ref="A163:C163"/>
    <mergeCell ref="J163:L163"/>
    <mergeCell ref="A164:C164"/>
    <mergeCell ref="J164:L164"/>
    <mergeCell ref="A159:C159"/>
    <mergeCell ref="J159:L159"/>
    <mergeCell ref="A160:C160"/>
    <mergeCell ref="J160:L160"/>
    <mergeCell ref="A161:C161"/>
    <mergeCell ref="J161:L161"/>
    <mergeCell ref="A155:C155"/>
    <mergeCell ref="J155:L155"/>
    <mergeCell ref="A156:C156"/>
    <mergeCell ref="J156:L156"/>
    <mergeCell ref="A158:C158"/>
    <mergeCell ref="J158:L158"/>
    <mergeCell ref="A152:C152"/>
    <mergeCell ref="J152:L152"/>
    <mergeCell ref="A153:C153"/>
    <mergeCell ref="J153:L153"/>
    <mergeCell ref="A154:C154"/>
    <mergeCell ref="J154:L154"/>
    <mergeCell ref="A149:C149"/>
    <mergeCell ref="J149:L149"/>
    <mergeCell ref="A150:C150"/>
    <mergeCell ref="J150:L150"/>
    <mergeCell ref="A151:C151"/>
    <mergeCell ref="J151:L151"/>
    <mergeCell ref="A146:C146"/>
    <mergeCell ref="J146:L146"/>
    <mergeCell ref="A147:C147"/>
    <mergeCell ref="J147:L147"/>
    <mergeCell ref="A148:C148"/>
    <mergeCell ref="J148:L148"/>
    <mergeCell ref="A143:C143"/>
    <mergeCell ref="J143:L143"/>
    <mergeCell ref="A144:C144"/>
    <mergeCell ref="J144:L144"/>
    <mergeCell ref="A145:C145"/>
    <mergeCell ref="J145:L145"/>
    <mergeCell ref="A140:C140"/>
    <mergeCell ref="J140:L140"/>
    <mergeCell ref="A141:C141"/>
    <mergeCell ref="J141:L141"/>
    <mergeCell ref="A142:C142"/>
    <mergeCell ref="J142:L142"/>
    <mergeCell ref="A137:C137"/>
    <mergeCell ref="J137:L137"/>
    <mergeCell ref="A138:C138"/>
    <mergeCell ref="J138:L138"/>
    <mergeCell ref="A139:C139"/>
    <mergeCell ref="J139:L139"/>
    <mergeCell ref="A134:C134"/>
    <mergeCell ref="J134:L134"/>
    <mergeCell ref="A135:C135"/>
    <mergeCell ref="J135:L135"/>
    <mergeCell ref="A136:C136"/>
    <mergeCell ref="J136:L136"/>
    <mergeCell ref="A131:C131"/>
    <mergeCell ref="J131:L131"/>
    <mergeCell ref="A132:C132"/>
    <mergeCell ref="J132:L132"/>
    <mergeCell ref="A133:C133"/>
    <mergeCell ref="J133:L133"/>
    <mergeCell ref="A128:C128"/>
    <mergeCell ref="J128:L128"/>
    <mergeCell ref="A129:C129"/>
    <mergeCell ref="J129:L129"/>
    <mergeCell ref="A130:C130"/>
    <mergeCell ref="J130:L130"/>
    <mergeCell ref="A125:C125"/>
    <mergeCell ref="J125:L125"/>
    <mergeCell ref="A126:C126"/>
    <mergeCell ref="J126:L126"/>
    <mergeCell ref="A127:C127"/>
    <mergeCell ref="J127:L127"/>
    <mergeCell ref="A122:C122"/>
    <mergeCell ref="J122:L122"/>
    <mergeCell ref="A123:C123"/>
    <mergeCell ref="J123:L123"/>
    <mergeCell ref="A124:C124"/>
    <mergeCell ref="J124:L124"/>
    <mergeCell ref="A119:C119"/>
    <mergeCell ref="J119:L119"/>
    <mergeCell ref="A120:C120"/>
    <mergeCell ref="J120:L120"/>
    <mergeCell ref="A121:C121"/>
    <mergeCell ref="J121:L121"/>
    <mergeCell ref="A116:C116"/>
    <mergeCell ref="J116:L116"/>
    <mergeCell ref="A117:C117"/>
    <mergeCell ref="J117:L117"/>
    <mergeCell ref="A118:C118"/>
    <mergeCell ref="J118:L118"/>
    <mergeCell ref="A114:C114"/>
    <mergeCell ref="J114:L114"/>
    <mergeCell ref="A115:C115"/>
    <mergeCell ref="J115:L115"/>
    <mergeCell ref="A110:C110"/>
    <mergeCell ref="J110:L110"/>
    <mergeCell ref="A111:C111"/>
    <mergeCell ref="J111:L111"/>
    <mergeCell ref="A112:C112"/>
    <mergeCell ref="J112:L112"/>
    <mergeCell ref="A100:F100"/>
    <mergeCell ref="J100:O100"/>
    <mergeCell ref="T100:AC100"/>
    <mergeCell ref="A101:C101"/>
    <mergeCell ref="J101:L101"/>
    <mergeCell ref="T101:AC115"/>
    <mergeCell ref="A102:C102"/>
    <mergeCell ref="J102:L102"/>
    <mergeCell ref="A103:C103"/>
    <mergeCell ref="J103:L103"/>
    <mergeCell ref="A107:C107"/>
    <mergeCell ref="J107:L107"/>
    <mergeCell ref="A108:C108"/>
    <mergeCell ref="J108:L108"/>
    <mergeCell ref="A109:C109"/>
    <mergeCell ref="J109:L109"/>
    <mergeCell ref="A104:C104"/>
    <mergeCell ref="J104:L104"/>
    <mergeCell ref="A105:C105"/>
    <mergeCell ref="J105:L105"/>
    <mergeCell ref="A106:C106"/>
    <mergeCell ref="J106:L106"/>
    <mergeCell ref="A113:C113"/>
    <mergeCell ref="J113:L113"/>
    <mergeCell ref="E94:I94"/>
    <mergeCell ref="J94:K94"/>
    <mergeCell ref="A96:E96"/>
    <mergeCell ref="F96:G96"/>
    <mergeCell ref="J96:N96"/>
    <mergeCell ref="O96:P96"/>
    <mergeCell ref="T90:U90"/>
    <mergeCell ref="V90:W90"/>
    <mergeCell ref="Z90:AA90"/>
    <mergeCell ref="AB90:AC90"/>
    <mergeCell ref="X91:Y91"/>
    <mergeCell ref="A92:Q92"/>
    <mergeCell ref="A88:I88"/>
    <mergeCell ref="J88:M88"/>
    <mergeCell ref="T88:W88"/>
    <mergeCell ref="Z88:AC88"/>
    <mergeCell ref="T89:U89"/>
    <mergeCell ref="V89:W89"/>
    <mergeCell ref="Z89:AA89"/>
    <mergeCell ref="AB89:AC89"/>
    <mergeCell ref="A53:E70"/>
    <mergeCell ref="AK53:AL53"/>
    <mergeCell ref="I54:J54"/>
    <mergeCell ref="L58:O58"/>
    <mergeCell ref="Q58:T58"/>
    <mergeCell ref="I61:J61"/>
    <mergeCell ref="M67:O67"/>
    <mergeCell ref="P67:Q67"/>
    <mergeCell ref="AG68:AK68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R33:S33"/>
    <mergeCell ref="AE34:AF34"/>
    <mergeCell ref="AY36:BB36"/>
    <mergeCell ref="BD36:BG36"/>
    <mergeCell ref="M39:N39"/>
    <mergeCell ref="AX39:AZ39"/>
    <mergeCell ref="BE39:BI39"/>
    <mergeCell ref="AJ17:AK17"/>
    <mergeCell ref="I19:J19"/>
    <mergeCell ref="AN20:AN26"/>
    <mergeCell ref="BP21:BQ21"/>
    <mergeCell ref="AU22:AV22"/>
    <mergeCell ref="AZ22:BA22"/>
    <mergeCell ref="BF22:BG22"/>
    <mergeCell ref="A23:E23"/>
    <mergeCell ref="A24:B35"/>
    <mergeCell ref="C24:E31"/>
    <mergeCell ref="AE27:AF27"/>
    <mergeCell ref="BJ28:BJ29"/>
    <mergeCell ref="BK28:BK29"/>
    <mergeCell ref="M29:M30"/>
    <mergeCell ref="N29:N30"/>
    <mergeCell ref="AT31:AW31"/>
    <mergeCell ref="H33:K33"/>
    <mergeCell ref="Y14:Z14"/>
    <mergeCell ref="AQ14:AR14"/>
    <mergeCell ref="AT14:AU14"/>
    <mergeCell ref="AV14:AW14"/>
    <mergeCell ref="AZ14:BA14"/>
    <mergeCell ref="BF14:BG14"/>
    <mergeCell ref="BL14:BM14"/>
    <mergeCell ref="BV15:BY15"/>
    <mergeCell ref="Y16:Z16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BS6:BW6"/>
    <mergeCell ref="AP7:AR7"/>
    <mergeCell ref="BA7:BB7"/>
    <mergeCell ref="E8:G9"/>
  </mergeCells>
  <phoneticPr fontId="0" type="noConversion"/>
  <conditionalFormatting sqref="A321:A348">
    <cfRule type="expression" dxfId="55" priority="8">
      <formula>IF(#REF!="DESC",1,0)</formula>
    </cfRule>
  </conditionalFormatting>
  <conditionalFormatting sqref="A351:A431">
    <cfRule type="expression" dxfId="54" priority="4">
      <formula>IF(#REF!="DESC",1,0)</formula>
    </cfRule>
  </conditionalFormatting>
  <conditionalFormatting sqref="A434:A460">
    <cfRule type="expression" dxfId="53" priority="2">
      <formula>IF(#REF!="DESC",1,0)</formula>
    </cfRule>
  </conditionalFormatting>
  <conditionalFormatting sqref="A463:A468">
    <cfRule type="expression" dxfId="52" priority="14">
      <formula>IF(#REF!="DESC",1,0)</formula>
    </cfRule>
  </conditionalFormatting>
  <conditionalFormatting sqref="A471:A474">
    <cfRule type="expression" dxfId="51" priority="12">
      <formula>IF(#REF!="DESC",1,0)</formula>
    </cfRule>
  </conditionalFormatting>
  <conditionalFormatting sqref="A477:A488">
    <cfRule type="expression" dxfId="50" priority="10">
      <formula>IF(#REF!="DESC",1,0)</formula>
    </cfRule>
  </conditionalFormatting>
  <conditionalFormatting sqref="A491:A493">
    <cfRule type="expression" dxfId="49" priority="6">
      <formula>IF(#REF!="DESC",1,0)</formula>
    </cfRule>
  </conditionalFormatting>
  <conditionalFormatting sqref="C228">
    <cfRule type="duplicateValues" dxfId="48" priority="26"/>
  </conditionalFormatting>
  <conditionalFormatting sqref="C233">
    <cfRule type="duplicateValues" dxfId="47" priority="25"/>
  </conditionalFormatting>
  <conditionalFormatting sqref="C236:C237 C239 C241:C247 C249:C252">
    <cfRule type="duplicateValues" dxfId="46" priority="53"/>
  </conditionalFormatting>
  <conditionalFormatting sqref="C238">
    <cfRule type="duplicateValues" dxfId="45" priority="50"/>
  </conditionalFormatting>
  <conditionalFormatting sqref="C240">
    <cfRule type="duplicateValues" dxfId="44" priority="52"/>
  </conditionalFormatting>
  <conditionalFormatting sqref="C248">
    <cfRule type="duplicateValues" dxfId="43" priority="51"/>
  </conditionalFormatting>
  <conditionalFormatting sqref="C253">
    <cfRule type="duplicateValues" dxfId="42" priority="36"/>
  </conditionalFormatting>
  <conditionalFormatting sqref="C254 C256:C259 C261 C264:C267 C269:C275 C277:C278 C280:C288 C290:C292 C294:C296 C299:C304">
    <cfRule type="duplicateValues" dxfId="41" priority="55"/>
  </conditionalFormatting>
  <conditionalFormatting sqref="C255">
    <cfRule type="duplicateValues" dxfId="40" priority="38"/>
  </conditionalFormatting>
  <conditionalFormatting sqref="C260">
    <cfRule type="duplicateValues" dxfId="39" priority="49"/>
  </conditionalFormatting>
  <conditionalFormatting sqref="C262">
    <cfRule type="duplicateValues" dxfId="38" priority="22"/>
  </conditionalFormatting>
  <conditionalFormatting sqref="C263">
    <cfRule type="duplicateValues" dxfId="37" priority="20"/>
  </conditionalFormatting>
  <conditionalFormatting sqref="C268">
    <cfRule type="duplicateValues" dxfId="36" priority="32"/>
  </conditionalFormatting>
  <conditionalFormatting sqref="C276">
    <cfRule type="duplicateValues" dxfId="35" priority="48"/>
  </conditionalFormatting>
  <conditionalFormatting sqref="C279">
    <cfRule type="duplicateValues" dxfId="34" priority="18"/>
  </conditionalFormatting>
  <conditionalFormatting sqref="C289">
    <cfRule type="duplicateValues" dxfId="33" priority="34"/>
  </conditionalFormatting>
  <conditionalFormatting sqref="C293">
    <cfRule type="duplicateValues" dxfId="32" priority="47"/>
  </conditionalFormatting>
  <conditionalFormatting sqref="C297">
    <cfRule type="duplicateValues" dxfId="31" priority="40"/>
  </conditionalFormatting>
  <conditionalFormatting sqref="C298">
    <cfRule type="duplicateValues" dxfId="30" priority="16"/>
  </conditionalFormatting>
  <conditionalFormatting sqref="C306">
    <cfRule type="duplicateValues" dxfId="29" priority="30"/>
  </conditionalFormatting>
  <conditionalFormatting sqref="C307">
    <cfRule type="duplicateValues" dxfId="28" priority="28"/>
  </conditionalFormatting>
  <conditionalFormatting sqref="J321:J348">
    <cfRule type="expression" dxfId="27" priority="7">
      <formula>IF(#REF!="DESC",1,0)</formula>
    </cfRule>
  </conditionalFormatting>
  <conditionalFormatting sqref="J351:J431">
    <cfRule type="expression" dxfId="26" priority="3">
      <formula>IF(#REF!="DESC",1,0)</formula>
    </cfRule>
  </conditionalFormatting>
  <conditionalFormatting sqref="J434:J460">
    <cfRule type="expression" dxfId="25" priority="1">
      <formula>IF(#REF!="DESC",1,0)</formula>
    </cfRule>
  </conditionalFormatting>
  <conditionalFormatting sqref="J463:J468">
    <cfRule type="expression" dxfId="24" priority="13">
      <formula>IF(#REF!="DESC",1,0)</formula>
    </cfRule>
  </conditionalFormatting>
  <conditionalFormatting sqref="J471:J474">
    <cfRule type="expression" dxfId="23" priority="11">
      <formula>IF(#REF!="DESC",1,0)</formula>
    </cfRule>
  </conditionalFormatting>
  <conditionalFormatting sqref="J477:J488">
    <cfRule type="expression" dxfId="22" priority="9">
      <formula>IF(#REF!="DESC",1,0)</formula>
    </cfRule>
  </conditionalFormatting>
  <conditionalFormatting sqref="J491:J493">
    <cfRule type="expression" dxfId="21" priority="5">
      <formula>IF(#REF!="DESC",1,0)</formula>
    </cfRule>
  </conditionalFormatting>
  <conditionalFormatting sqref="L228">
    <cfRule type="duplicateValues" dxfId="20" priority="24"/>
  </conditionalFormatting>
  <conditionalFormatting sqref="L233">
    <cfRule type="duplicateValues" dxfId="19" priority="23"/>
  </conditionalFormatting>
  <conditionalFormatting sqref="L236:L237 L239 L241:L247 L249:L252">
    <cfRule type="duplicateValues" dxfId="18" priority="54"/>
  </conditionalFormatting>
  <conditionalFormatting sqref="L238">
    <cfRule type="duplicateValues" dxfId="17" priority="44"/>
  </conditionalFormatting>
  <conditionalFormatting sqref="L240">
    <cfRule type="duplicateValues" dxfId="16" priority="46"/>
  </conditionalFormatting>
  <conditionalFormatting sqref="L248">
    <cfRule type="duplicateValues" dxfId="15" priority="45"/>
  </conditionalFormatting>
  <conditionalFormatting sqref="L253">
    <cfRule type="duplicateValues" dxfId="14" priority="35"/>
  </conditionalFormatting>
  <conditionalFormatting sqref="L254 L256:L259 L261 L264:L267 L269:L275 L277:L278 L280:L288 L290:L292 L294:L296 L299:L304">
    <cfRule type="duplicateValues" dxfId="13" priority="56"/>
  </conditionalFormatting>
  <conditionalFormatting sqref="L255">
    <cfRule type="duplicateValues" dxfId="12" priority="37"/>
  </conditionalFormatting>
  <conditionalFormatting sqref="L260">
    <cfRule type="duplicateValues" dxfId="11" priority="43"/>
  </conditionalFormatting>
  <conditionalFormatting sqref="L262">
    <cfRule type="duplicateValues" dxfId="10" priority="21"/>
  </conditionalFormatting>
  <conditionalFormatting sqref="L263">
    <cfRule type="duplicateValues" dxfId="9" priority="19"/>
  </conditionalFormatting>
  <conditionalFormatting sqref="L268">
    <cfRule type="duplicateValues" dxfId="8" priority="31"/>
  </conditionalFormatting>
  <conditionalFormatting sqref="L276">
    <cfRule type="duplicateValues" dxfId="7" priority="42"/>
  </conditionalFormatting>
  <conditionalFormatting sqref="L279">
    <cfRule type="duplicateValues" dxfId="6" priority="17"/>
  </conditionalFormatting>
  <conditionalFormatting sqref="L289">
    <cfRule type="duplicateValues" dxfId="5" priority="33"/>
  </conditionalFormatting>
  <conditionalFormatting sqref="L293">
    <cfRule type="duplicateValues" dxfId="4" priority="41"/>
  </conditionalFormatting>
  <conditionalFormatting sqref="L297">
    <cfRule type="duplicateValues" dxfId="3" priority="39"/>
  </conditionalFormatting>
  <conditionalFormatting sqref="L298">
    <cfRule type="duplicateValues" dxfId="2" priority="15"/>
  </conditionalFormatting>
  <conditionalFormatting sqref="L306">
    <cfRule type="duplicateValues" dxfId="1" priority="29"/>
  </conditionalFormatting>
  <conditionalFormatting sqref="L307">
    <cfRule type="duplicateValues" dxfId="0" priority="2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A71"/>
  <sheetViews>
    <sheetView topLeftCell="D4" zoomScale="60" zoomScaleNormal="60" workbookViewId="0">
      <selection activeCell="S30" sqref="S30"/>
    </sheetView>
  </sheetViews>
  <sheetFormatPr baseColWidth="10" defaultColWidth="12.7109375" defaultRowHeight="15" x14ac:dyDescent="0.25"/>
  <sheetData>
    <row r="1" spans="1:79" ht="47.25" thickBot="1" x14ac:dyDescent="0.3">
      <c r="A1" s="382" t="s">
        <v>165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4"/>
    </row>
    <row r="2" spans="1:79" ht="15.75" thickBot="1" x14ac:dyDescent="0.3">
      <c r="A2" s="385" t="s">
        <v>166</v>
      </c>
      <c r="B2" s="386"/>
      <c r="C2" s="386"/>
      <c r="D2" s="386"/>
      <c r="E2" s="386"/>
      <c r="F2" s="386"/>
      <c r="G2" s="386"/>
      <c r="H2" s="386"/>
      <c r="I2" s="386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7"/>
      <c r="AI2" s="387"/>
      <c r="AJ2" s="387"/>
      <c r="AK2" s="387"/>
      <c r="AL2" s="387"/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7"/>
      <c r="AY2" s="387"/>
      <c r="AZ2" s="387"/>
      <c r="BA2" s="387"/>
      <c r="BB2" s="387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7"/>
      <c r="BS2" s="387"/>
      <c r="BT2" s="387"/>
      <c r="BU2" s="387"/>
      <c r="BV2" s="387"/>
      <c r="BW2" s="387"/>
      <c r="BX2" s="387"/>
      <c r="BY2" s="387"/>
      <c r="BZ2" s="387"/>
      <c r="CA2" s="388"/>
    </row>
    <row r="3" spans="1:79" ht="15" customHeight="1" x14ac:dyDescent="0.25">
      <c r="A3" s="357"/>
      <c r="B3" s="358"/>
      <c r="C3" s="358"/>
      <c r="D3" s="358"/>
      <c r="E3" s="358"/>
      <c r="F3" s="358"/>
      <c r="G3" s="358"/>
      <c r="H3" s="358"/>
      <c r="I3" s="359"/>
      <c r="J3" s="6"/>
      <c r="K3" s="7"/>
      <c r="L3" s="8">
        <v>5</v>
      </c>
      <c r="M3" s="7"/>
      <c r="N3" s="8">
        <v>5</v>
      </c>
      <c r="O3" s="7"/>
      <c r="P3" s="8">
        <v>5</v>
      </c>
      <c r="Q3" s="7"/>
      <c r="R3" s="6"/>
      <c r="S3" s="6"/>
      <c r="T3" s="6"/>
      <c r="U3" s="6"/>
      <c r="V3" s="389" t="s">
        <v>735</v>
      </c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1"/>
      <c r="AH3" s="6"/>
      <c r="AI3" s="6"/>
      <c r="AJ3" s="6"/>
      <c r="AO3" s="9"/>
      <c r="AP3" s="9"/>
      <c r="AQ3" s="9"/>
      <c r="AR3" s="9"/>
      <c r="AV3" s="10"/>
      <c r="AW3" s="10"/>
      <c r="AX3" s="10"/>
      <c r="AY3" s="10"/>
      <c r="BA3" s="398" t="s">
        <v>210</v>
      </c>
      <c r="BB3" s="399"/>
      <c r="BE3" s="10"/>
      <c r="BF3" s="10"/>
      <c r="BJ3" s="400" t="s">
        <v>167</v>
      </c>
      <c r="BK3" s="400"/>
      <c r="BL3" s="11"/>
      <c r="BM3" s="11"/>
      <c r="BN3" s="12"/>
      <c r="BO3" s="12"/>
      <c r="BP3" s="12"/>
      <c r="BQ3" s="12"/>
      <c r="BR3" s="7"/>
      <c r="BS3" s="8">
        <v>5</v>
      </c>
      <c r="BT3" s="7"/>
      <c r="BU3" s="8">
        <v>5</v>
      </c>
      <c r="BV3" s="7"/>
      <c r="BW3" s="8">
        <v>5</v>
      </c>
      <c r="BX3" s="7"/>
      <c r="BY3" s="6"/>
      <c r="BZ3" s="6"/>
      <c r="CA3" s="13"/>
    </row>
    <row r="4" spans="1:79" ht="18.75" x14ac:dyDescent="0.25">
      <c r="A4" s="360"/>
      <c r="B4" s="6"/>
      <c r="C4" s="6"/>
      <c r="D4" s="6"/>
      <c r="E4" s="6"/>
      <c r="F4" s="6"/>
      <c r="G4" s="6"/>
      <c r="H4" s="6"/>
      <c r="I4" s="361"/>
      <c r="J4" s="6"/>
      <c r="K4" s="14" t="s">
        <v>168</v>
      </c>
      <c r="L4" s="15" t="s">
        <v>169</v>
      </c>
      <c r="M4" s="15"/>
      <c r="N4" s="15" t="s">
        <v>169</v>
      </c>
      <c r="O4" s="15"/>
      <c r="P4" s="15" t="s">
        <v>169</v>
      </c>
      <c r="Q4" s="6"/>
      <c r="R4" s="6"/>
      <c r="S4" s="6"/>
      <c r="T4" s="6"/>
      <c r="U4" s="6"/>
      <c r="V4" s="392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4"/>
      <c r="AH4" s="6"/>
      <c r="AI4" s="6"/>
      <c r="AJ4" s="6"/>
      <c r="AK4" s="6"/>
      <c r="AL4" s="6"/>
      <c r="AM4" s="6"/>
      <c r="AN4" s="13"/>
      <c r="AO4" s="401"/>
      <c r="AP4" s="402"/>
      <c r="AQ4" s="402"/>
      <c r="AR4" s="402"/>
      <c r="AS4" s="376"/>
      <c r="AT4" s="362"/>
      <c r="AV4" s="6"/>
      <c r="AW4" s="6"/>
      <c r="BI4" s="6"/>
      <c r="BJ4" s="6"/>
      <c r="BN4" s="403"/>
      <c r="BO4" s="403"/>
      <c r="BP4" s="403"/>
      <c r="BQ4" s="403"/>
      <c r="BR4" s="14" t="s">
        <v>168</v>
      </c>
      <c r="BS4" s="15" t="s">
        <v>169</v>
      </c>
      <c r="BT4" s="15"/>
      <c r="BU4" s="15" t="s">
        <v>169</v>
      </c>
      <c r="BV4" s="15"/>
      <c r="BW4" s="15" t="s">
        <v>169</v>
      </c>
      <c r="BX4" s="6"/>
      <c r="BY4" s="6"/>
      <c r="BZ4" s="6"/>
      <c r="CA4" s="13"/>
    </row>
    <row r="5" spans="1:79" ht="15.75" thickBot="1" x14ac:dyDescent="0.3">
      <c r="A5" s="404" t="s">
        <v>170</v>
      </c>
      <c r="B5" s="405"/>
      <c r="C5" s="6"/>
      <c r="D5" s="6"/>
      <c r="E5" s="6"/>
      <c r="F5" s="6"/>
      <c r="G5" s="6"/>
      <c r="H5" s="6"/>
      <c r="I5" s="361"/>
      <c r="J5" s="6"/>
      <c r="K5" s="6"/>
      <c r="L5" s="16"/>
      <c r="N5" s="16"/>
      <c r="P5" s="16"/>
      <c r="Q5" s="17"/>
      <c r="R5" s="6"/>
      <c r="U5" s="6"/>
      <c r="V5" s="395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7"/>
      <c r="AH5" s="6"/>
      <c r="AM5" s="6"/>
      <c r="AN5" s="13"/>
      <c r="AO5" s="6"/>
      <c r="AP5" s="6"/>
      <c r="AQ5" s="6"/>
      <c r="AR5" s="6"/>
      <c r="AS5" s="6"/>
      <c r="AT5" s="6"/>
      <c r="AU5" s="6"/>
      <c r="AV5" s="6"/>
      <c r="AW5" s="6"/>
      <c r="AX5" s="6"/>
      <c r="BE5" s="18"/>
      <c r="BF5" s="18"/>
      <c r="BJ5" s="6"/>
      <c r="BO5" s="19"/>
      <c r="BP5" s="19"/>
      <c r="BQ5" s="19"/>
      <c r="BR5" s="6"/>
      <c r="BS5" s="16"/>
      <c r="BU5" s="16"/>
      <c r="BW5" s="16"/>
      <c r="BX5" s="17"/>
      <c r="CA5" s="13"/>
    </row>
    <row r="6" spans="1:79" ht="15.75" x14ac:dyDescent="0.25">
      <c r="A6" s="406"/>
      <c r="B6" s="407"/>
      <c r="C6" s="6"/>
      <c r="D6" s="6"/>
      <c r="E6" s="6"/>
      <c r="F6" s="6"/>
      <c r="G6" s="6"/>
      <c r="H6" s="6"/>
      <c r="I6" s="361"/>
      <c r="J6" s="6"/>
      <c r="K6" s="6"/>
      <c r="L6" s="410" t="s">
        <v>171</v>
      </c>
      <c r="M6" s="410"/>
      <c r="N6" s="410"/>
      <c r="O6" s="410"/>
      <c r="P6" s="410"/>
      <c r="Q6" s="6"/>
      <c r="R6" s="6"/>
      <c r="S6" s="6"/>
      <c r="T6" s="6"/>
      <c r="W6" s="6"/>
      <c r="X6" s="6"/>
      <c r="AA6" s="6"/>
      <c r="AB6" s="6"/>
      <c r="AC6" s="6"/>
      <c r="AD6" s="6"/>
      <c r="AG6" s="6"/>
      <c r="AH6" s="6"/>
      <c r="AI6" s="6"/>
      <c r="AJ6" s="411"/>
      <c r="AK6" s="411"/>
      <c r="AL6" s="6"/>
      <c r="AM6" s="6"/>
      <c r="AN6" s="13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J6" s="6"/>
      <c r="BK6" s="6"/>
      <c r="BN6" s="21"/>
      <c r="BO6" s="21"/>
      <c r="BP6" s="21"/>
      <c r="BQ6" s="21"/>
      <c r="BR6" s="21"/>
      <c r="BS6" s="410" t="s">
        <v>171</v>
      </c>
      <c r="BT6" s="410"/>
      <c r="BU6" s="410"/>
      <c r="BV6" s="410"/>
      <c r="BW6" s="410"/>
      <c r="CA6" s="13"/>
    </row>
    <row r="7" spans="1:79" x14ac:dyDescent="0.25">
      <c r="A7" s="406"/>
      <c r="B7" s="407"/>
      <c r="C7" s="6"/>
      <c r="D7" s="6"/>
      <c r="E7" s="6"/>
      <c r="F7" s="6"/>
      <c r="G7" s="6"/>
      <c r="H7" s="6"/>
      <c r="I7" s="361"/>
      <c r="J7" s="6"/>
      <c r="K7" s="6"/>
      <c r="L7" s="6"/>
      <c r="P7" s="6"/>
      <c r="Q7" s="6"/>
      <c r="R7" s="6"/>
      <c r="S7" s="6"/>
      <c r="T7" s="16"/>
      <c r="W7" s="6"/>
      <c r="X7" s="6"/>
      <c r="AA7" s="6"/>
      <c r="AB7" s="6"/>
      <c r="AC7" s="6"/>
      <c r="AD7" s="6"/>
      <c r="AG7" s="6"/>
      <c r="AH7" s="6"/>
      <c r="AI7" s="6"/>
      <c r="AJ7" s="411"/>
      <c r="AK7" s="411"/>
      <c r="AL7" s="6"/>
      <c r="AM7" s="6"/>
      <c r="AN7" s="13"/>
      <c r="AO7" s="6"/>
      <c r="AP7" s="412"/>
      <c r="AQ7" s="412"/>
      <c r="AR7" s="412"/>
      <c r="AS7" s="6"/>
      <c r="AT7" s="17" t="s">
        <v>172</v>
      </c>
      <c r="AU7" s="42" t="s">
        <v>177</v>
      </c>
      <c r="AV7" s="43"/>
      <c r="AW7" s="6"/>
      <c r="AX7" s="6"/>
      <c r="AZ7" s="6"/>
      <c r="BA7" s="413" t="s">
        <v>203</v>
      </c>
      <c r="BB7" s="413"/>
      <c r="BF7" s="6"/>
      <c r="BG7" s="6"/>
      <c r="BH7" s="6"/>
      <c r="BR7" s="6"/>
      <c r="CA7" s="13"/>
    </row>
    <row r="8" spans="1:79" ht="18.75" x14ac:dyDescent="0.25">
      <c r="A8" s="406"/>
      <c r="B8" s="407"/>
      <c r="C8" s="6"/>
      <c r="D8" s="6"/>
      <c r="E8" s="414" t="s">
        <v>173</v>
      </c>
      <c r="F8" s="415"/>
      <c r="G8" s="415"/>
      <c r="H8" s="6"/>
      <c r="I8" s="361"/>
      <c r="J8" s="6"/>
      <c r="K8" s="6"/>
      <c r="L8" s="6"/>
      <c r="M8" s="6"/>
      <c r="N8" s="6"/>
      <c r="P8" s="6"/>
      <c r="Q8" s="6"/>
      <c r="R8" s="6"/>
      <c r="S8" s="6"/>
      <c r="T8" s="16"/>
      <c r="W8" s="6"/>
      <c r="X8" s="6"/>
      <c r="AA8" s="6"/>
      <c r="AB8" s="6"/>
      <c r="AC8" s="6"/>
      <c r="AD8" s="6"/>
      <c r="AE8" s="6"/>
      <c r="AF8" s="6"/>
      <c r="AG8" s="6"/>
      <c r="AH8" s="6"/>
      <c r="AI8" s="6"/>
      <c r="AJ8" s="411"/>
      <c r="AK8" s="411"/>
      <c r="AL8" s="6"/>
      <c r="AM8" s="6"/>
      <c r="AN8" s="13"/>
      <c r="AO8" s="6"/>
      <c r="AP8" s="22"/>
      <c r="AQ8" s="22"/>
      <c r="AR8" s="22"/>
      <c r="AS8" s="6"/>
      <c r="AT8" s="14" t="s">
        <v>174</v>
      </c>
      <c r="AU8" s="25"/>
      <c r="AV8" s="25"/>
      <c r="AW8" s="26" t="s">
        <v>175</v>
      </c>
      <c r="AX8" s="6"/>
      <c r="AZ8" s="6"/>
      <c r="BA8" s="363"/>
      <c r="BB8" s="363"/>
      <c r="BN8" s="6"/>
      <c r="BO8" s="6"/>
      <c r="BP8" s="9"/>
      <c r="BQ8" s="9"/>
      <c r="BS8" s="6"/>
      <c r="BT8" s="6"/>
      <c r="CA8" s="13"/>
    </row>
    <row r="9" spans="1:79" ht="23.25" x14ac:dyDescent="0.25">
      <c r="A9" s="406"/>
      <c r="B9" s="407"/>
      <c r="C9" s="6"/>
      <c r="D9" s="6"/>
      <c r="E9" s="415"/>
      <c r="F9" s="415"/>
      <c r="G9" s="415"/>
      <c r="H9" s="6"/>
      <c r="I9" s="361"/>
      <c r="J9" s="6"/>
      <c r="K9" s="6"/>
      <c r="L9" s="6"/>
      <c r="M9" s="6"/>
      <c r="N9" s="6"/>
      <c r="P9" s="6"/>
      <c r="Q9" s="6"/>
      <c r="R9" s="6"/>
      <c r="S9" s="6"/>
      <c r="T9" s="6"/>
      <c r="W9" s="6"/>
      <c r="X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13"/>
      <c r="AP9" s="22"/>
      <c r="AQ9" s="22"/>
      <c r="AR9" s="22"/>
      <c r="AS9" s="29"/>
      <c r="AT9" s="30" t="s">
        <v>169</v>
      </c>
      <c r="AU9" s="31">
        <v>5</v>
      </c>
      <c r="AV9" s="32">
        <v>5</v>
      </c>
      <c r="AW9" s="30" t="s">
        <v>169</v>
      </c>
      <c r="AX9" s="16"/>
      <c r="AZ9" s="363" t="s">
        <v>184</v>
      </c>
      <c r="BA9" s="113">
        <v>5</v>
      </c>
      <c r="BB9" s="113">
        <v>5</v>
      </c>
      <c r="BC9" s="363" t="s">
        <v>184</v>
      </c>
      <c r="BD9" s="34"/>
      <c r="BE9" s="35"/>
      <c r="BF9" s="38"/>
      <c r="BG9" s="38"/>
      <c r="BH9" s="6"/>
      <c r="BJ9" s="377"/>
      <c r="BK9" s="378"/>
      <c r="BL9" s="39"/>
      <c r="BN9" s="6"/>
      <c r="BO9" s="6"/>
      <c r="BP9" s="9"/>
      <c r="BQ9" s="9"/>
      <c r="BT9" s="6"/>
      <c r="BU9" s="6"/>
      <c r="CA9" s="13"/>
    </row>
    <row r="10" spans="1:79" ht="23.25" x14ac:dyDescent="0.25">
      <c r="A10" s="406"/>
      <c r="B10" s="407"/>
      <c r="C10" s="6"/>
      <c r="D10" s="6"/>
      <c r="E10" s="6"/>
      <c r="F10" s="6"/>
      <c r="G10" s="6"/>
      <c r="H10" s="6"/>
      <c r="I10" s="361"/>
      <c r="J10" s="6"/>
      <c r="K10" s="6"/>
      <c r="L10" s="6"/>
      <c r="M10" s="6"/>
      <c r="N10" s="6"/>
      <c r="P10" s="6"/>
      <c r="Q10" s="6"/>
      <c r="R10" s="6"/>
      <c r="S10" s="6"/>
      <c r="T10" s="6"/>
      <c r="U10" s="6"/>
      <c r="V10" s="6"/>
      <c r="W10" s="6"/>
      <c r="X10" s="6"/>
      <c r="AB10" s="6"/>
      <c r="AC10" s="6"/>
      <c r="AD10" s="6"/>
      <c r="AG10" s="6"/>
      <c r="AN10" s="13"/>
      <c r="AS10" s="29"/>
      <c r="AT10" s="30" t="s">
        <v>169</v>
      </c>
      <c r="AU10" s="31">
        <v>5</v>
      </c>
      <c r="AV10" s="32">
        <v>5</v>
      </c>
      <c r="AW10" s="30" t="s">
        <v>169</v>
      </c>
      <c r="AX10" s="16"/>
      <c r="AZ10" s="363" t="s">
        <v>184</v>
      </c>
      <c r="BA10" s="113">
        <v>5</v>
      </c>
      <c r="BB10" s="113">
        <v>5</v>
      </c>
      <c r="BC10" s="363" t="s">
        <v>184</v>
      </c>
      <c r="BD10" s="34"/>
      <c r="BE10" s="6"/>
      <c r="BF10" s="38"/>
      <c r="BG10" s="38"/>
      <c r="BJ10" s="377"/>
      <c r="BK10" s="378"/>
      <c r="BL10" s="39"/>
      <c r="BN10" s="6"/>
      <c r="BO10" s="6"/>
      <c r="BP10" s="9"/>
      <c r="BQ10" s="9"/>
      <c r="BU10" s="6"/>
      <c r="CA10" s="13"/>
    </row>
    <row r="11" spans="1:79" ht="23.25" x14ac:dyDescent="0.25">
      <c r="A11" s="406"/>
      <c r="B11" s="407"/>
      <c r="C11" s="6"/>
      <c r="D11" s="6"/>
      <c r="E11" s="6"/>
      <c r="F11" s="6"/>
      <c r="G11" s="6"/>
      <c r="H11" s="6"/>
      <c r="I11" s="361"/>
      <c r="J11" s="6"/>
      <c r="K11" s="6"/>
      <c r="L11" s="6"/>
      <c r="M11" s="6"/>
      <c r="N11" s="6"/>
      <c r="P11" s="6"/>
      <c r="Q11" s="6"/>
      <c r="R11" s="6"/>
      <c r="S11" s="6"/>
      <c r="V11" s="6"/>
      <c r="W11" s="6"/>
      <c r="Y11" s="20"/>
      <c r="Z11" s="20"/>
      <c r="AB11" s="6"/>
      <c r="AC11" s="6"/>
      <c r="AD11" s="6"/>
      <c r="AG11" s="6"/>
      <c r="AM11" s="34"/>
      <c r="AN11" s="13"/>
      <c r="AS11" s="29"/>
      <c r="AT11" s="30" t="s">
        <v>169</v>
      </c>
      <c r="AU11" s="31">
        <v>5</v>
      </c>
      <c r="AV11" s="32">
        <v>5</v>
      </c>
      <c r="AW11" s="30" t="s">
        <v>169</v>
      </c>
      <c r="AX11" s="16"/>
      <c r="AZ11" s="363" t="s">
        <v>184</v>
      </c>
      <c r="BA11" s="113">
        <v>5</v>
      </c>
      <c r="BB11" s="113">
        <v>5</v>
      </c>
      <c r="BC11" s="363" t="s">
        <v>184</v>
      </c>
      <c r="BD11" s="34"/>
      <c r="BE11" s="6"/>
      <c r="BF11" s="38"/>
      <c r="BG11" s="38"/>
      <c r="BJ11" s="377"/>
      <c r="BK11" s="378"/>
      <c r="BL11" s="39"/>
      <c r="BN11" s="6"/>
      <c r="BO11" s="6"/>
      <c r="BP11" s="9"/>
      <c r="BQ11" s="9"/>
      <c r="BT11" s="6"/>
      <c r="BU11" s="6"/>
      <c r="BW11" s="40"/>
      <c r="BX11" s="40"/>
      <c r="BY11" s="40"/>
      <c r="CA11" s="13"/>
    </row>
    <row r="12" spans="1:79" ht="18.75" x14ac:dyDescent="0.25">
      <c r="A12" s="406"/>
      <c r="B12" s="407"/>
      <c r="C12" s="6"/>
      <c r="D12" s="6"/>
      <c r="E12" s="6"/>
      <c r="F12" s="6"/>
      <c r="G12" s="6"/>
      <c r="H12" s="6"/>
      <c r="I12" s="361"/>
      <c r="J12" s="6"/>
      <c r="K12" s="6"/>
      <c r="L12" s="6"/>
      <c r="P12" s="6"/>
      <c r="Q12" s="6"/>
      <c r="R12" s="22"/>
      <c r="S12" s="22"/>
      <c r="U12" s="6"/>
      <c r="V12" s="6"/>
      <c r="W12" s="6"/>
      <c r="Y12" s="20"/>
      <c r="Z12" s="20"/>
      <c r="AB12" s="6"/>
      <c r="AC12" s="6"/>
      <c r="AD12" s="6"/>
      <c r="AE12" s="22"/>
      <c r="AF12" s="22"/>
      <c r="AG12" s="6"/>
      <c r="AJ12" s="22"/>
      <c r="AK12" s="22"/>
      <c r="AM12" s="34"/>
      <c r="AN12" s="13"/>
      <c r="AU12" s="25"/>
      <c r="AV12" s="25"/>
      <c r="AZ12" s="6"/>
      <c r="BA12" s="363"/>
      <c r="BB12" s="363"/>
      <c r="BE12" s="6"/>
      <c r="BN12" s="6"/>
      <c r="BP12" s="379"/>
      <c r="BQ12" s="379"/>
      <c r="BT12" s="6"/>
      <c r="BU12" s="6"/>
      <c r="BW12" s="40"/>
      <c r="BX12" s="40"/>
      <c r="BY12" s="40"/>
      <c r="CA12" s="13"/>
    </row>
    <row r="13" spans="1:79" ht="15.75" x14ac:dyDescent="0.25">
      <c r="A13" s="408"/>
      <c r="B13" s="409"/>
      <c r="C13" s="6"/>
      <c r="D13" s="6"/>
      <c r="E13" s="6"/>
      <c r="F13" s="6"/>
      <c r="G13" s="6"/>
      <c r="H13" s="6"/>
      <c r="I13" s="361"/>
      <c r="J13" s="6"/>
      <c r="K13" s="6"/>
      <c r="L13" s="6"/>
      <c r="P13" s="6"/>
      <c r="Q13" s="6"/>
      <c r="R13" s="22"/>
      <c r="S13" s="22"/>
      <c r="V13" s="6"/>
      <c r="W13" s="6"/>
      <c r="Y13" s="20"/>
      <c r="Z13" s="20"/>
      <c r="AB13" s="6"/>
      <c r="AC13" s="6"/>
      <c r="AD13" s="6"/>
      <c r="AE13" s="22"/>
      <c r="AF13" s="22"/>
      <c r="AG13" s="6"/>
      <c r="AJ13" s="22"/>
      <c r="AK13" s="22"/>
      <c r="AN13" s="13"/>
      <c r="AS13" s="16"/>
      <c r="AT13" s="6"/>
      <c r="BE13" s="6"/>
      <c r="BN13" s="6"/>
      <c r="BO13" s="6"/>
      <c r="BT13" s="6"/>
      <c r="BU13" s="6"/>
      <c r="CA13" s="13"/>
    </row>
    <row r="14" spans="1:79" ht="18.75" x14ac:dyDescent="0.25">
      <c r="A14" s="360"/>
      <c r="B14" s="6"/>
      <c r="C14" s="6"/>
      <c r="D14" s="6"/>
      <c r="E14" s="6"/>
      <c r="F14" s="6"/>
      <c r="G14" s="6"/>
      <c r="H14" s="6"/>
      <c r="I14" s="367"/>
      <c r="K14" s="6"/>
      <c r="L14" s="6"/>
      <c r="P14" s="6"/>
      <c r="Q14" s="6"/>
      <c r="R14" s="22"/>
      <c r="S14" s="22"/>
      <c r="U14" s="6"/>
      <c r="V14" s="6"/>
      <c r="W14" s="6"/>
      <c r="Y14" s="416"/>
      <c r="Z14" s="416"/>
      <c r="AB14" s="6"/>
      <c r="AC14" s="6"/>
      <c r="AD14" s="6"/>
      <c r="AE14" s="6"/>
      <c r="AF14" s="6"/>
      <c r="AG14" s="6"/>
      <c r="AJ14" s="6"/>
      <c r="AK14" s="6"/>
      <c r="AN14" s="13"/>
      <c r="AQ14" s="417" t="s">
        <v>177</v>
      </c>
      <c r="AR14" s="417"/>
      <c r="AS14" s="6"/>
      <c r="AT14" s="418" t="s">
        <v>192</v>
      </c>
      <c r="AU14" s="418"/>
      <c r="AV14" s="418" t="s">
        <v>178</v>
      </c>
      <c r="AW14" s="419"/>
      <c r="AY14" s="6"/>
      <c r="AZ14" s="413" t="s">
        <v>739</v>
      </c>
      <c r="BA14" s="413"/>
      <c r="BF14" s="418" t="s">
        <v>181</v>
      </c>
      <c r="BG14" s="418"/>
      <c r="BL14" s="417" t="s">
        <v>177</v>
      </c>
      <c r="BM14" s="417"/>
      <c r="BN14" s="6"/>
      <c r="BO14" s="6"/>
      <c r="BT14" s="6"/>
      <c r="BU14" s="6"/>
      <c r="CA14" s="13"/>
    </row>
    <row r="15" spans="1:79" ht="21" x14ac:dyDescent="0.25">
      <c r="A15" s="368"/>
      <c r="B15" s="369"/>
      <c r="C15" s="369"/>
      <c r="D15" s="369"/>
      <c r="E15" s="369"/>
      <c r="F15" s="369"/>
      <c r="G15" s="369"/>
      <c r="H15" s="369"/>
      <c r="I15" s="370"/>
      <c r="K15" s="6"/>
      <c r="L15" s="6"/>
      <c r="P15" s="6"/>
      <c r="Q15" s="6"/>
      <c r="U15" s="6"/>
      <c r="V15" s="6"/>
      <c r="W15" s="6"/>
      <c r="AB15" s="6"/>
      <c r="AC15" s="6"/>
      <c r="AD15" s="6"/>
      <c r="AG15" s="6"/>
      <c r="AH15" s="6"/>
      <c r="AI15" s="6"/>
      <c r="AJ15" s="6"/>
      <c r="AK15" s="6"/>
      <c r="AM15" s="6"/>
      <c r="AN15" s="13"/>
      <c r="AR15" s="45" t="s">
        <v>169</v>
      </c>
      <c r="AS15" s="6"/>
      <c r="AT15" s="14" t="s">
        <v>176</v>
      </c>
      <c r="AU15" s="27"/>
      <c r="AV15" s="27"/>
      <c r="AW15" s="6"/>
      <c r="AY15" s="6"/>
      <c r="AZ15" s="371"/>
      <c r="BA15" s="371"/>
      <c r="BB15" s="26" t="s">
        <v>740</v>
      </c>
      <c r="BC15" s="1"/>
      <c r="BF15" s="57"/>
      <c r="BG15" s="57"/>
      <c r="BH15" s="26" t="s">
        <v>183</v>
      </c>
      <c r="BL15" s="46"/>
      <c r="BM15" s="46"/>
      <c r="BO15" s="6"/>
      <c r="BP15" s="47"/>
      <c r="BQ15" s="47"/>
      <c r="BT15" s="6"/>
      <c r="BU15" s="6"/>
      <c r="BV15" s="420"/>
      <c r="BW15" s="420"/>
      <c r="BX15" s="420"/>
      <c r="BY15" s="420"/>
      <c r="BZ15" s="6"/>
      <c r="CA15" s="13"/>
    </row>
    <row r="16" spans="1:79" ht="23.25" x14ac:dyDescent="0.25">
      <c r="A16" s="48"/>
      <c r="B16" s="6"/>
      <c r="C16" s="6"/>
      <c r="D16" s="6"/>
      <c r="E16" s="6"/>
      <c r="F16" s="6"/>
      <c r="G16" s="6"/>
      <c r="K16" s="6"/>
      <c r="L16" s="6"/>
      <c r="M16" s="6"/>
      <c r="N16" s="6"/>
      <c r="P16" s="6"/>
      <c r="Q16" s="6"/>
      <c r="U16" s="6"/>
      <c r="V16" s="6"/>
      <c r="W16" s="6"/>
      <c r="X16" s="6"/>
      <c r="Y16" s="418" t="s">
        <v>171</v>
      </c>
      <c r="Z16" s="418"/>
      <c r="AA16" s="6"/>
      <c r="AB16" s="6"/>
      <c r="AC16" s="6"/>
      <c r="AD16" s="6"/>
      <c r="AG16" s="6"/>
      <c r="AH16" s="6"/>
      <c r="AI16" s="6"/>
      <c r="AM16" s="6"/>
      <c r="AN16" s="13"/>
      <c r="AR16" s="49">
        <v>5</v>
      </c>
      <c r="AS16" s="29"/>
      <c r="AT16" s="27" t="s">
        <v>169</v>
      </c>
      <c r="AU16" s="33">
        <v>5</v>
      </c>
      <c r="AV16" s="33">
        <v>5</v>
      </c>
      <c r="AW16" s="27" t="s">
        <v>169</v>
      </c>
      <c r="AX16" s="29"/>
      <c r="AY16" s="371" t="s">
        <v>184</v>
      </c>
      <c r="AZ16" s="372">
        <v>5</v>
      </c>
      <c r="BA16" s="372">
        <v>5</v>
      </c>
      <c r="BB16" s="371" t="s">
        <v>184</v>
      </c>
      <c r="BC16" s="16"/>
      <c r="BE16" s="62" t="s">
        <v>184</v>
      </c>
      <c r="BF16" s="63">
        <v>5</v>
      </c>
      <c r="BG16" s="63">
        <v>5</v>
      </c>
      <c r="BH16" s="62" t="s">
        <v>184</v>
      </c>
      <c r="BK16" s="45" t="s">
        <v>169</v>
      </c>
      <c r="BL16" s="50">
        <v>5</v>
      </c>
      <c r="BM16" s="49">
        <v>5</v>
      </c>
      <c r="BN16" s="45" t="s">
        <v>169</v>
      </c>
      <c r="BO16" s="6"/>
      <c r="BP16" s="47"/>
      <c r="BQ16" s="47"/>
      <c r="BT16" s="6"/>
      <c r="BV16" s="6"/>
      <c r="BZ16" s="6"/>
      <c r="CA16" s="13"/>
    </row>
    <row r="17" spans="1:79" ht="23.25" x14ac:dyDescent="0.25">
      <c r="A17" s="53"/>
      <c r="B17" s="48"/>
      <c r="C17" s="48"/>
      <c r="D17" s="6"/>
      <c r="E17" s="6"/>
      <c r="F17" s="6"/>
      <c r="G17" s="6"/>
      <c r="K17" s="6"/>
      <c r="L17" s="6"/>
      <c r="M17" s="6"/>
      <c r="N17" s="6"/>
      <c r="O17" s="6"/>
      <c r="P17" s="6"/>
      <c r="Q17" s="6"/>
      <c r="R17" s="6"/>
      <c r="S17" s="6"/>
      <c r="U17" s="6"/>
      <c r="V17" s="6"/>
      <c r="W17" s="6"/>
      <c r="X17" s="6"/>
      <c r="Y17" s="54"/>
      <c r="Z17" s="54"/>
      <c r="AA17" s="6"/>
      <c r="AB17" s="6"/>
      <c r="AC17" s="6"/>
      <c r="AD17" s="6"/>
      <c r="AG17" s="6"/>
      <c r="AH17" s="6"/>
      <c r="AI17" s="55"/>
      <c r="AJ17" s="418" t="s">
        <v>182</v>
      </c>
      <c r="AK17" s="418"/>
      <c r="AL17" s="29"/>
      <c r="AM17" s="6"/>
      <c r="AN17" s="13"/>
      <c r="AR17" s="49">
        <v>5</v>
      </c>
      <c r="AS17" s="29"/>
      <c r="AT17" s="27" t="s">
        <v>169</v>
      </c>
      <c r="AU17" s="33">
        <v>5</v>
      </c>
      <c r="AV17" s="36">
        <v>5</v>
      </c>
      <c r="AW17" s="37" t="s">
        <v>169</v>
      </c>
      <c r="AX17" s="29"/>
      <c r="AY17" s="371" t="s">
        <v>184</v>
      </c>
      <c r="AZ17" s="372">
        <v>5</v>
      </c>
      <c r="BA17" s="372">
        <v>5</v>
      </c>
      <c r="BB17" s="371" t="s">
        <v>184</v>
      </c>
      <c r="BC17" s="16"/>
      <c r="BE17" s="62" t="s">
        <v>184</v>
      </c>
      <c r="BF17" s="63">
        <v>5</v>
      </c>
      <c r="BG17" s="63">
        <v>5</v>
      </c>
      <c r="BH17" s="62" t="s">
        <v>184</v>
      </c>
      <c r="BK17" s="45" t="s">
        <v>169</v>
      </c>
      <c r="BL17" s="50">
        <v>5</v>
      </c>
      <c r="BM17" s="58">
        <v>5</v>
      </c>
      <c r="BN17" s="45" t="s">
        <v>169</v>
      </c>
      <c r="BO17" s="6"/>
      <c r="BP17" s="47"/>
      <c r="BQ17" s="47"/>
      <c r="BT17" s="6"/>
      <c r="BZ17" s="79"/>
      <c r="CA17" s="13"/>
    </row>
    <row r="18" spans="1:79" ht="23.25" x14ac:dyDescent="0.25">
      <c r="A18" s="53"/>
      <c r="B18" s="6"/>
      <c r="C18" s="6"/>
      <c r="D18" s="6"/>
      <c r="E18" s="6"/>
      <c r="F18" s="6"/>
      <c r="G18" s="6"/>
      <c r="K18" s="6"/>
      <c r="L18" s="6"/>
      <c r="O18" s="6"/>
      <c r="P18" s="16"/>
      <c r="Q18" s="16"/>
      <c r="R18" s="28"/>
      <c r="S18" s="28"/>
      <c r="U18" s="6"/>
      <c r="V18" s="6"/>
      <c r="W18" s="29"/>
      <c r="X18" s="54" t="s">
        <v>184</v>
      </c>
      <c r="Y18" s="59">
        <v>5</v>
      </c>
      <c r="Z18" s="60">
        <v>5</v>
      </c>
      <c r="AA18" s="54" t="s">
        <v>184</v>
      </c>
      <c r="AB18" s="34"/>
      <c r="AC18" s="6"/>
      <c r="AD18" s="6"/>
      <c r="AE18" s="61"/>
      <c r="AF18" s="61"/>
      <c r="AG18" s="6"/>
      <c r="AH18" s="6"/>
      <c r="AI18" s="14" t="s">
        <v>185</v>
      </c>
      <c r="AJ18" s="30"/>
      <c r="AK18" s="30"/>
      <c r="AM18" s="6"/>
      <c r="AN18" s="13"/>
      <c r="AO18" s="6"/>
      <c r="AP18" s="6"/>
      <c r="AR18" s="45" t="s">
        <v>169</v>
      </c>
      <c r="AS18" s="29"/>
      <c r="AT18" s="37" t="s">
        <v>169</v>
      </c>
      <c r="AU18" s="36">
        <v>5</v>
      </c>
      <c r="AV18" s="36">
        <v>5</v>
      </c>
      <c r="AW18" s="37" t="s">
        <v>169</v>
      </c>
      <c r="AX18" s="29"/>
      <c r="AY18" s="371" t="s">
        <v>184</v>
      </c>
      <c r="AZ18" s="372">
        <v>5</v>
      </c>
      <c r="BA18" s="372">
        <v>5</v>
      </c>
      <c r="BB18" s="371" t="s">
        <v>184</v>
      </c>
      <c r="BC18" s="16"/>
      <c r="BE18" s="62" t="s">
        <v>184</v>
      </c>
      <c r="BF18" s="63">
        <v>5</v>
      </c>
      <c r="BG18" s="63">
        <v>5</v>
      </c>
      <c r="BH18" s="62" t="s">
        <v>184</v>
      </c>
      <c r="BK18" s="45" t="s">
        <v>169</v>
      </c>
      <c r="BL18" s="49">
        <v>5</v>
      </c>
      <c r="BM18" s="49">
        <v>5</v>
      </c>
      <c r="BN18" s="45" t="s">
        <v>169</v>
      </c>
      <c r="BP18" s="379"/>
      <c r="BQ18" s="379"/>
      <c r="BS18" s="6"/>
      <c r="BT18" s="6"/>
      <c r="BW18" s="40"/>
      <c r="BX18" s="40"/>
      <c r="BY18" s="40"/>
      <c r="CA18" s="13"/>
    </row>
    <row r="19" spans="1:79" ht="24" thickBot="1" x14ac:dyDescent="0.3">
      <c r="A19" s="53"/>
      <c r="B19" s="64"/>
      <c r="C19" s="64"/>
      <c r="D19" s="65"/>
      <c r="E19" s="6"/>
      <c r="F19" s="6"/>
      <c r="G19" s="6"/>
      <c r="I19" s="421"/>
      <c r="J19" s="421"/>
      <c r="R19" s="28"/>
      <c r="S19" s="28"/>
      <c r="U19" s="6"/>
      <c r="V19" s="6"/>
      <c r="W19" s="29"/>
      <c r="X19" s="54" t="s">
        <v>184</v>
      </c>
      <c r="Y19" s="59">
        <v>5</v>
      </c>
      <c r="Z19" s="60">
        <v>5</v>
      </c>
      <c r="AA19" s="54" t="s">
        <v>184</v>
      </c>
      <c r="AB19" s="34"/>
      <c r="AC19" s="6"/>
      <c r="AD19" s="6"/>
      <c r="AE19" s="47"/>
      <c r="AF19" s="47"/>
      <c r="AG19" s="6"/>
      <c r="AH19" s="29"/>
      <c r="AI19" s="30" t="s">
        <v>169</v>
      </c>
      <c r="AJ19" s="66">
        <v>5</v>
      </c>
      <c r="AK19" s="66">
        <v>5</v>
      </c>
      <c r="AL19" s="30" t="s">
        <v>169</v>
      </c>
      <c r="AM19" s="34"/>
      <c r="AN19" s="13"/>
      <c r="AO19" s="6"/>
      <c r="AP19" s="6"/>
      <c r="AQ19" s="6"/>
      <c r="AR19" s="6"/>
      <c r="AS19" s="6"/>
      <c r="AU19" s="37"/>
      <c r="AV19" s="37"/>
      <c r="AY19" s="6"/>
      <c r="AZ19" s="371"/>
      <c r="BA19" s="371"/>
      <c r="BC19" s="35"/>
      <c r="BF19" s="57"/>
      <c r="BG19" s="57"/>
      <c r="BL19" s="46"/>
      <c r="BM19" s="46"/>
      <c r="BO19" s="6"/>
      <c r="BS19" s="6"/>
      <c r="BT19" s="6"/>
      <c r="BW19" s="40"/>
      <c r="BX19" s="40"/>
      <c r="BY19" s="40"/>
      <c r="CA19" s="13"/>
    </row>
    <row r="20" spans="1:79" ht="23.25" x14ac:dyDescent="0.25">
      <c r="A20" s="48"/>
      <c r="B20" s="48"/>
      <c r="C20" s="6"/>
      <c r="D20" s="48"/>
      <c r="E20" s="6"/>
      <c r="F20" s="6"/>
      <c r="G20" s="6"/>
      <c r="I20" s="38"/>
      <c r="J20" s="38"/>
      <c r="R20" s="28"/>
      <c r="S20" s="28"/>
      <c r="U20" s="6"/>
      <c r="V20" s="6"/>
      <c r="W20" s="29"/>
      <c r="X20" s="54" t="s">
        <v>184</v>
      </c>
      <c r="Y20" s="67">
        <v>5</v>
      </c>
      <c r="Z20" s="67">
        <v>5</v>
      </c>
      <c r="AA20" s="54" t="s">
        <v>184</v>
      </c>
      <c r="AB20" s="34"/>
      <c r="AC20" s="6"/>
      <c r="AD20" s="6"/>
      <c r="AE20" s="47"/>
      <c r="AF20" s="47"/>
      <c r="AG20" s="6"/>
      <c r="AH20" s="29"/>
      <c r="AI20" s="30" t="s">
        <v>169</v>
      </c>
      <c r="AJ20" s="56">
        <v>5</v>
      </c>
      <c r="AK20" s="56">
        <v>5</v>
      </c>
      <c r="AL20" s="30" t="s">
        <v>169</v>
      </c>
      <c r="AM20" s="34"/>
      <c r="AN20" s="434" t="s">
        <v>186</v>
      </c>
      <c r="AO20" s="6"/>
      <c r="AQ20" s="68"/>
      <c r="AT20" s="6"/>
      <c r="BC20" s="6"/>
      <c r="BT20" s="6"/>
      <c r="CA20" s="13"/>
    </row>
    <row r="21" spans="1:79" ht="23.25" x14ac:dyDescent="0.25">
      <c r="B21" s="48"/>
      <c r="C21" s="6"/>
      <c r="D21" s="48"/>
      <c r="E21" s="6"/>
      <c r="F21" s="6"/>
      <c r="G21" s="6"/>
      <c r="I21" s="6"/>
      <c r="J21" s="6"/>
      <c r="L21" s="6"/>
      <c r="M21" s="28"/>
      <c r="N21" s="28"/>
      <c r="O21" s="6"/>
      <c r="P21" s="16"/>
      <c r="Q21" s="16"/>
      <c r="R21" s="28"/>
      <c r="S21" s="28"/>
      <c r="W21" s="29"/>
      <c r="X21" s="54" t="s">
        <v>184</v>
      </c>
      <c r="Y21" s="59">
        <v>5</v>
      </c>
      <c r="Z21" s="67">
        <v>5</v>
      </c>
      <c r="AA21" s="54" t="s">
        <v>184</v>
      </c>
      <c r="AB21" s="34"/>
      <c r="AC21" s="6"/>
      <c r="AD21" s="6"/>
      <c r="AE21" s="47"/>
      <c r="AF21" s="47"/>
      <c r="AG21" s="6"/>
      <c r="AH21" s="6"/>
      <c r="AI21" s="6"/>
      <c r="AJ21" s="30"/>
      <c r="AK21" s="30"/>
      <c r="AL21" s="6"/>
      <c r="AM21" s="34"/>
      <c r="AN21" s="435"/>
      <c r="AO21" s="6"/>
      <c r="AQ21" s="68"/>
      <c r="AX21" s="6"/>
      <c r="AY21" s="6"/>
      <c r="AZ21" s="6"/>
      <c r="BA21" s="6"/>
      <c r="BB21" s="6"/>
      <c r="BC21" s="6"/>
      <c r="BI21" s="51"/>
      <c r="BO21" s="6"/>
      <c r="BP21" s="418" t="s">
        <v>171</v>
      </c>
      <c r="BQ21" s="418"/>
      <c r="BR21" s="6"/>
      <c r="BS21" s="6"/>
      <c r="BV21" s="6"/>
      <c r="BZ21" s="6"/>
      <c r="CA21" s="13"/>
    </row>
    <row r="22" spans="1:79" ht="21" x14ac:dyDescent="0.25">
      <c r="A22" s="48"/>
      <c r="B22" s="53"/>
      <c r="C22" s="48"/>
      <c r="D22" s="53"/>
      <c r="E22" s="48"/>
      <c r="F22" s="6"/>
      <c r="G22" s="6"/>
      <c r="I22" s="38"/>
      <c r="J22" s="38"/>
      <c r="L22" s="6"/>
      <c r="M22" s="28"/>
      <c r="N22" s="28"/>
      <c r="P22" s="6"/>
      <c r="W22" s="6"/>
      <c r="X22" s="6"/>
      <c r="Y22" s="54"/>
      <c r="Z22" s="5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435"/>
      <c r="AO22" s="6"/>
      <c r="AQ22" s="380"/>
      <c r="AU22" s="418" t="s">
        <v>192</v>
      </c>
      <c r="AV22" s="418"/>
      <c r="AX22" s="6"/>
      <c r="AY22" s="19" t="s">
        <v>187</v>
      </c>
      <c r="AZ22" s="418" t="s">
        <v>177</v>
      </c>
      <c r="BA22" s="418"/>
      <c r="BB22" s="6"/>
      <c r="BC22" s="6"/>
      <c r="BF22" s="418" t="s">
        <v>192</v>
      </c>
      <c r="BG22" s="418"/>
      <c r="BK22" s="71"/>
      <c r="BL22" s="71"/>
      <c r="BO22" s="14" t="s">
        <v>188</v>
      </c>
      <c r="BP22" s="72"/>
      <c r="BQ22" s="72"/>
      <c r="BR22" s="26" t="s">
        <v>189</v>
      </c>
      <c r="BS22" s="6"/>
      <c r="BU22" s="6"/>
      <c r="BV22" s="6"/>
      <c r="BW22" s="6"/>
      <c r="BX22" s="6"/>
      <c r="BY22" s="6"/>
      <c r="BZ22" s="6"/>
      <c r="CA22" s="13"/>
    </row>
    <row r="23" spans="1:79" ht="23.25" x14ac:dyDescent="0.3">
      <c r="A23" s="426"/>
      <c r="B23" s="426"/>
      <c r="C23" s="426"/>
      <c r="D23" s="426"/>
      <c r="E23" s="426"/>
      <c r="F23" s="6"/>
      <c r="G23" s="6"/>
      <c r="H23" s="6"/>
      <c r="I23" s="6"/>
      <c r="J23" s="6"/>
      <c r="M23" s="28"/>
      <c r="N23" s="28"/>
      <c r="P23" s="6"/>
      <c r="V23" s="6"/>
      <c r="W23" s="6"/>
      <c r="X23" s="6"/>
      <c r="Y23" s="6"/>
      <c r="Z23" s="6"/>
      <c r="AA23" s="6"/>
      <c r="AB23" s="6"/>
      <c r="AC23" s="6"/>
      <c r="AD23" s="6"/>
      <c r="AM23" s="6"/>
      <c r="AN23" s="435"/>
      <c r="AO23" s="6"/>
      <c r="AR23" s="20"/>
      <c r="AS23" s="29"/>
      <c r="AT23" s="14" t="s">
        <v>179</v>
      </c>
      <c r="AU23" s="25"/>
      <c r="AV23" s="25"/>
      <c r="AW23" s="26" t="s">
        <v>180</v>
      </c>
      <c r="AX23" s="6"/>
      <c r="AY23" s="14" t="s">
        <v>190</v>
      </c>
      <c r="AZ23" s="30"/>
      <c r="BA23" s="30"/>
      <c r="BB23" s="26" t="s">
        <v>191</v>
      </c>
      <c r="BC23" s="6"/>
      <c r="BE23" s="14" t="s">
        <v>195</v>
      </c>
      <c r="BF23" s="76"/>
      <c r="BG23" s="76"/>
      <c r="BH23" s="26" t="s">
        <v>196</v>
      </c>
      <c r="BK23" s="47"/>
      <c r="BL23" s="47"/>
      <c r="BN23" s="29"/>
      <c r="BO23" s="72" t="s">
        <v>184</v>
      </c>
      <c r="BP23" s="73">
        <v>5</v>
      </c>
      <c r="BQ23" s="73">
        <v>5</v>
      </c>
      <c r="BR23" s="72" t="s">
        <v>184</v>
      </c>
      <c r="BS23" s="34"/>
      <c r="BU23" s="6"/>
      <c r="BV23" s="6"/>
      <c r="BW23" s="52"/>
      <c r="BX23" s="52"/>
      <c r="BY23" s="52"/>
      <c r="CA23" s="13"/>
    </row>
    <row r="24" spans="1:79" ht="23.25" x14ac:dyDescent="0.3">
      <c r="A24" s="427" t="s">
        <v>193</v>
      </c>
      <c r="B24" s="405"/>
      <c r="C24" s="430" t="s">
        <v>194</v>
      </c>
      <c r="D24" s="431"/>
      <c r="E24" s="405"/>
      <c r="F24" s="6"/>
      <c r="G24" s="6"/>
      <c r="H24" s="6"/>
      <c r="I24" s="38"/>
      <c r="J24" s="38"/>
      <c r="V24" s="6"/>
      <c r="AE24" s="12"/>
      <c r="AF24" s="12"/>
      <c r="AM24" s="6"/>
      <c r="AN24" s="435"/>
      <c r="AO24" s="6"/>
      <c r="AR24" s="20"/>
      <c r="AS24" s="29"/>
      <c r="AT24" s="30" t="s">
        <v>169</v>
      </c>
      <c r="AU24" s="56">
        <v>5</v>
      </c>
      <c r="AV24" s="56">
        <v>5</v>
      </c>
      <c r="AW24" s="30" t="s">
        <v>169</v>
      </c>
      <c r="AX24" s="29"/>
      <c r="AY24" s="30" t="s">
        <v>169</v>
      </c>
      <c r="AZ24" s="66">
        <v>5</v>
      </c>
      <c r="BA24" s="66">
        <v>5</v>
      </c>
      <c r="BB24" s="30" t="s">
        <v>169</v>
      </c>
      <c r="BC24" s="34"/>
      <c r="BD24" s="29"/>
      <c r="BE24" s="77" t="s">
        <v>169</v>
      </c>
      <c r="BF24" s="78">
        <v>5</v>
      </c>
      <c r="BG24" s="78">
        <v>5</v>
      </c>
      <c r="BH24" s="77" t="s">
        <v>169</v>
      </c>
      <c r="BI24" s="34"/>
      <c r="BK24" s="47"/>
      <c r="BL24" s="47"/>
      <c r="BN24" s="29"/>
      <c r="BO24" s="72" t="s">
        <v>184</v>
      </c>
      <c r="BP24" s="73">
        <v>5</v>
      </c>
      <c r="BQ24" s="73">
        <v>5</v>
      </c>
      <c r="BR24" s="72" t="s">
        <v>184</v>
      </c>
      <c r="BS24" s="34"/>
      <c r="BU24" s="13"/>
      <c r="BV24" s="52"/>
      <c r="BZ24" s="52"/>
      <c r="CA24" s="13"/>
    </row>
    <row r="25" spans="1:79" ht="23.25" x14ac:dyDescent="0.3">
      <c r="A25" s="428"/>
      <c r="B25" s="407"/>
      <c r="C25" s="415"/>
      <c r="D25" s="415"/>
      <c r="E25" s="407"/>
      <c r="F25" s="6"/>
      <c r="G25" s="6"/>
      <c r="H25" s="6"/>
      <c r="I25" s="6"/>
      <c r="J25" s="6"/>
      <c r="K25" s="6"/>
      <c r="M25" s="22"/>
      <c r="N25" s="22"/>
      <c r="O25" s="6"/>
      <c r="P25" s="6"/>
      <c r="Q25" s="6"/>
      <c r="R25" s="38"/>
      <c r="S25" s="38"/>
      <c r="T25" s="6"/>
      <c r="U25" s="6"/>
      <c r="V25" s="16"/>
      <c r="Y25" s="10"/>
      <c r="Z25" s="10"/>
      <c r="AC25" s="6"/>
      <c r="AD25" s="6"/>
      <c r="AE25" s="12"/>
      <c r="AF25" s="12"/>
      <c r="AM25" s="6"/>
      <c r="AN25" s="435"/>
      <c r="AO25" s="6"/>
      <c r="AS25" s="29"/>
      <c r="AT25" s="30" t="s">
        <v>169</v>
      </c>
      <c r="AU25" s="56">
        <v>5</v>
      </c>
      <c r="AV25" s="56">
        <v>5</v>
      </c>
      <c r="AW25" s="30" t="s">
        <v>169</v>
      </c>
      <c r="AX25" s="29"/>
      <c r="AY25" s="30" t="s">
        <v>169</v>
      </c>
      <c r="AZ25" s="66">
        <v>5</v>
      </c>
      <c r="BA25" s="66">
        <v>5</v>
      </c>
      <c r="BB25" s="30" t="s">
        <v>169</v>
      </c>
      <c r="BC25" s="34"/>
      <c r="BD25" s="29"/>
      <c r="BE25" s="77" t="s">
        <v>169</v>
      </c>
      <c r="BF25" s="78">
        <v>5</v>
      </c>
      <c r="BG25" s="78">
        <v>5</v>
      </c>
      <c r="BH25" s="77" t="s">
        <v>169</v>
      </c>
      <c r="BI25" s="34"/>
      <c r="BK25" s="47"/>
      <c r="BL25" s="47"/>
      <c r="BN25" s="29"/>
      <c r="BO25" s="72" t="s">
        <v>184</v>
      </c>
      <c r="BP25" s="73">
        <v>5</v>
      </c>
      <c r="BQ25" s="73">
        <v>5</v>
      </c>
      <c r="BR25" s="72" t="s">
        <v>184</v>
      </c>
      <c r="BS25" s="34"/>
      <c r="BU25" s="52"/>
      <c r="BW25" s="40"/>
      <c r="BX25" s="40"/>
      <c r="BY25" s="40"/>
      <c r="CA25" s="52"/>
    </row>
    <row r="26" spans="1:79" ht="24" thickBot="1" x14ac:dyDescent="0.35">
      <c r="A26" s="428"/>
      <c r="B26" s="407"/>
      <c r="C26" s="415"/>
      <c r="D26" s="415"/>
      <c r="E26" s="407"/>
      <c r="F26" s="6"/>
      <c r="G26" s="6"/>
      <c r="H26" s="6"/>
      <c r="I26" s="6"/>
      <c r="J26" s="6"/>
      <c r="K26" s="6"/>
      <c r="L26" s="6"/>
      <c r="M26" s="22"/>
      <c r="N26" s="22"/>
      <c r="R26" s="38"/>
      <c r="S26" s="38"/>
      <c r="Y26" s="10"/>
      <c r="Z26" s="10"/>
      <c r="AC26" s="6"/>
      <c r="AD26" s="6"/>
      <c r="AE26" s="12"/>
      <c r="AF26" s="12"/>
      <c r="AN26" s="436"/>
      <c r="AO26" s="6"/>
      <c r="AQ26" s="381"/>
      <c r="AT26" s="30" t="s">
        <v>169</v>
      </c>
      <c r="AU26" s="56">
        <v>5</v>
      </c>
      <c r="AV26" s="56">
        <v>5</v>
      </c>
      <c r="AW26" s="30" t="s">
        <v>169</v>
      </c>
      <c r="AX26" s="29"/>
      <c r="AY26" s="30" t="s">
        <v>169</v>
      </c>
      <c r="AZ26" s="66">
        <v>5</v>
      </c>
      <c r="BA26" s="66">
        <v>5</v>
      </c>
      <c r="BB26" s="30" t="s">
        <v>169</v>
      </c>
      <c r="BC26" s="34"/>
      <c r="BD26" s="29"/>
      <c r="BE26" s="77" t="s">
        <v>169</v>
      </c>
      <c r="BF26" s="78">
        <v>5</v>
      </c>
      <c r="BG26" s="78">
        <v>5</v>
      </c>
      <c r="BH26" s="77" t="s">
        <v>169</v>
      </c>
      <c r="BI26" s="34"/>
      <c r="BN26" s="29"/>
      <c r="BO26" s="72" t="s">
        <v>184</v>
      </c>
      <c r="BP26" s="73">
        <v>5</v>
      </c>
      <c r="BQ26" s="73">
        <v>5</v>
      </c>
      <c r="BR26" s="72" t="s">
        <v>184</v>
      </c>
      <c r="BS26" s="34"/>
      <c r="BU26" s="52"/>
      <c r="BW26" s="40"/>
      <c r="BX26" s="40"/>
      <c r="BY26" s="40"/>
      <c r="CA26" s="52"/>
    </row>
    <row r="27" spans="1:79" ht="24" thickBot="1" x14ac:dyDescent="0.35">
      <c r="A27" s="428"/>
      <c r="B27" s="407"/>
      <c r="C27" s="415"/>
      <c r="D27" s="415"/>
      <c r="E27" s="407"/>
      <c r="F27" s="6"/>
      <c r="G27" s="80"/>
      <c r="H27" s="6"/>
      <c r="I27" s="6"/>
      <c r="J27" s="6"/>
      <c r="K27" s="6"/>
      <c r="L27" s="6"/>
      <c r="M27" s="22"/>
      <c r="N27" s="22"/>
      <c r="R27" s="38"/>
      <c r="S27" s="38"/>
      <c r="Y27" s="10"/>
      <c r="Z27" s="10"/>
      <c r="AC27" s="6"/>
      <c r="AD27" s="6"/>
      <c r="AE27" s="433"/>
      <c r="AF27" s="433"/>
      <c r="AN27" s="13"/>
      <c r="AO27" s="6"/>
      <c r="AT27" s="6"/>
      <c r="AU27" s="25"/>
      <c r="AV27" s="25"/>
      <c r="AW27" s="6"/>
      <c r="AX27" s="29"/>
      <c r="AY27" s="30" t="s">
        <v>169</v>
      </c>
      <c r="AZ27" s="66">
        <v>5</v>
      </c>
      <c r="BA27" s="66">
        <v>5</v>
      </c>
      <c r="BB27" s="30" t="s">
        <v>169</v>
      </c>
      <c r="BC27" s="34"/>
      <c r="BD27" s="29"/>
      <c r="BE27" s="77" t="s">
        <v>169</v>
      </c>
      <c r="BF27" s="78">
        <v>5</v>
      </c>
      <c r="BG27" s="78">
        <v>5</v>
      </c>
      <c r="BH27" s="77" t="s">
        <v>169</v>
      </c>
      <c r="BI27" s="34"/>
      <c r="BO27" s="52"/>
      <c r="BP27" s="72"/>
      <c r="BQ27" s="72"/>
      <c r="BR27" s="52"/>
      <c r="BS27" s="6"/>
      <c r="BU27" s="6"/>
      <c r="BV27" s="52"/>
      <c r="BZ27" s="52"/>
      <c r="CA27" s="13"/>
    </row>
    <row r="28" spans="1:79" ht="19.5" thickBot="1" x14ac:dyDescent="0.35">
      <c r="A28" s="428"/>
      <c r="B28" s="407"/>
      <c r="C28" s="415"/>
      <c r="D28" s="415"/>
      <c r="E28" s="407"/>
      <c r="F28" s="6"/>
      <c r="G28" s="29"/>
      <c r="H28" s="6"/>
      <c r="I28" s="6"/>
      <c r="J28" s="6"/>
      <c r="K28" s="6"/>
      <c r="L28" s="6"/>
      <c r="M28" s="6"/>
      <c r="N28" s="6"/>
      <c r="O28" s="6"/>
      <c r="P28" s="6"/>
      <c r="U28" s="6"/>
      <c r="AC28" s="6"/>
      <c r="AD28" s="6"/>
      <c r="AE28" s="6"/>
      <c r="AF28" s="6"/>
      <c r="AN28" s="13"/>
      <c r="AO28" s="6"/>
      <c r="AT28" s="6"/>
      <c r="AW28" s="6"/>
      <c r="AX28" s="6"/>
      <c r="AY28" s="6"/>
      <c r="AZ28" s="30"/>
      <c r="BA28" s="30"/>
      <c r="BB28" s="6"/>
      <c r="BC28" s="6"/>
      <c r="BF28" s="76"/>
      <c r="BG28" s="76"/>
      <c r="BJ28" s="422"/>
      <c r="BK28" s="422"/>
      <c r="BV28" s="6"/>
      <c r="BW28" s="52"/>
      <c r="BX28" s="52"/>
      <c r="BY28" s="52"/>
      <c r="BZ28" s="6"/>
      <c r="CA28" s="13"/>
    </row>
    <row r="29" spans="1:79" ht="15.75" thickBot="1" x14ac:dyDescent="0.3">
      <c r="A29" s="428"/>
      <c r="B29" s="407"/>
      <c r="C29" s="415"/>
      <c r="D29" s="415"/>
      <c r="E29" s="407"/>
      <c r="F29" s="6"/>
      <c r="G29" s="29"/>
      <c r="H29" s="6"/>
      <c r="I29" s="6"/>
      <c r="J29" s="6"/>
      <c r="K29" s="6"/>
      <c r="L29" s="6"/>
      <c r="M29" s="422"/>
      <c r="N29" s="422"/>
      <c r="O29" s="6"/>
      <c r="P29" s="6"/>
      <c r="Q29" s="6"/>
      <c r="T29" s="6"/>
      <c r="U29" s="6"/>
      <c r="AC29" s="6"/>
      <c r="AD29" s="6"/>
      <c r="AE29" s="6"/>
      <c r="AF29" s="6"/>
      <c r="AG29" s="6"/>
      <c r="AN29" s="13"/>
      <c r="AO29" s="6"/>
      <c r="AT29" s="6"/>
      <c r="AW29" s="6"/>
      <c r="AX29" s="6"/>
      <c r="BC29" s="6"/>
      <c r="BJ29" s="423"/>
      <c r="BK29" s="423"/>
      <c r="BL29" s="6"/>
      <c r="BM29" s="6"/>
      <c r="BN29" s="6"/>
      <c r="BO29" s="6"/>
      <c r="BP29" s="6"/>
      <c r="BQ29" s="6"/>
      <c r="BR29" s="6"/>
      <c r="BS29" s="6"/>
      <c r="CA29" s="13"/>
    </row>
    <row r="30" spans="1:79" ht="21.75" thickBot="1" x14ac:dyDescent="0.3">
      <c r="A30" s="428"/>
      <c r="B30" s="407"/>
      <c r="C30" s="415"/>
      <c r="D30" s="415"/>
      <c r="E30" s="407"/>
      <c r="F30" s="6"/>
      <c r="G30" s="6"/>
      <c r="H30" s="6"/>
      <c r="K30" s="6"/>
      <c r="L30" s="6"/>
      <c r="M30" s="423"/>
      <c r="N30" s="423"/>
      <c r="O30" s="6"/>
      <c r="P30" s="6"/>
      <c r="Q30" s="14"/>
      <c r="T30" s="81"/>
      <c r="U30" s="6"/>
      <c r="AC30" s="6"/>
      <c r="AD30" s="6"/>
      <c r="AE30" s="6"/>
      <c r="AF30" s="6"/>
      <c r="AG30" s="6"/>
      <c r="AN30" s="13"/>
      <c r="AO30" s="6"/>
      <c r="AT30" s="6"/>
      <c r="BI30" s="6"/>
      <c r="BJ30" s="6"/>
      <c r="BK30" s="6"/>
      <c r="BL30" s="6"/>
      <c r="BM30" s="6"/>
      <c r="BN30" s="6"/>
      <c r="BO30" s="6"/>
      <c r="BP30" s="6"/>
      <c r="BQ30" s="6"/>
      <c r="BS30" s="6"/>
      <c r="BZ30" s="6"/>
      <c r="CA30" s="13"/>
    </row>
    <row r="31" spans="1:79" ht="18.75" x14ac:dyDescent="0.25">
      <c r="A31" s="428"/>
      <c r="B31" s="407"/>
      <c r="C31" s="432"/>
      <c r="D31" s="432"/>
      <c r="E31" s="409"/>
      <c r="F31" s="6"/>
      <c r="G31" s="6"/>
      <c r="H31" s="6"/>
      <c r="K31" s="6"/>
      <c r="M31" s="6"/>
      <c r="N31" s="6"/>
      <c r="O31" s="6"/>
      <c r="P31" s="6"/>
      <c r="Q31" s="82"/>
      <c r="T31" s="82"/>
      <c r="U31" s="6"/>
      <c r="AC31" s="6"/>
      <c r="AG31" s="6"/>
      <c r="AH31" s="6"/>
      <c r="AN31" s="13"/>
      <c r="AO31" s="6"/>
      <c r="AT31" s="418" t="s">
        <v>182</v>
      </c>
      <c r="AU31" s="424"/>
      <c r="AV31" s="424"/>
      <c r="AW31" s="424"/>
      <c r="BI31" s="6"/>
      <c r="BL31" s="6"/>
      <c r="BM31" s="6"/>
      <c r="BN31" s="6"/>
      <c r="BS31" s="6"/>
      <c r="BV31" s="74"/>
      <c r="BW31" s="83"/>
      <c r="BX31" s="83"/>
      <c r="BY31" s="83"/>
      <c r="CA31" s="13"/>
    </row>
    <row r="32" spans="1:79" ht="21" x14ac:dyDescent="0.25">
      <c r="A32" s="428"/>
      <c r="B32" s="407"/>
      <c r="C32" s="6"/>
      <c r="D32" s="6"/>
      <c r="E32" s="6"/>
      <c r="F32" s="6"/>
      <c r="G32" s="6"/>
      <c r="H32" s="6"/>
      <c r="K32" s="6"/>
      <c r="L32" s="6"/>
      <c r="O32" s="6"/>
      <c r="P32" s="6"/>
      <c r="Q32" s="82"/>
      <c r="R32" s="82"/>
      <c r="S32" s="82"/>
      <c r="T32" s="6"/>
      <c r="U32" s="6"/>
      <c r="AC32" s="6"/>
      <c r="AG32" s="6"/>
      <c r="AH32" s="6"/>
      <c r="AN32" s="13"/>
      <c r="AO32" s="6"/>
      <c r="AT32" s="6"/>
      <c r="AU32" s="25"/>
      <c r="AV32" s="25"/>
      <c r="AW32" s="16"/>
      <c r="AZ32" s="45"/>
      <c r="BA32" s="45"/>
      <c r="BE32" s="54"/>
      <c r="BF32" s="54"/>
      <c r="BM32" s="6"/>
      <c r="BV32" s="74"/>
      <c r="CA32" s="13"/>
    </row>
    <row r="33" spans="1:79" ht="23.25" x14ac:dyDescent="0.25">
      <c r="A33" s="428"/>
      <c r="B33" s="407"/>
      <c r="C33" s="6"/>
      <c r="D33" s="6"/>
      <c r="E33" s="6"/>
      <c r="F33" s="6"/>
      <c r="G33" s="6"/>
      <c r="H33" s="425" t="s">
        <v>203</v>
      </c>
      <c r="I33" s="425"/>
      <c r="J33" s="425"/>
      <c r="K33" s="425"/>
      <c r="Q33" s="82"/>
      <c r="R33" s="437"/>
      <c r="S33" s="437"/>
      <c r="AN33" s="13"/>
      <c r="AO33" s="10"/>
      <c r="AP33" s="10"/>
      <c r="AQ33" s="10"/>
      <c r="AR33" s="10"/>
      <c r="AS33" s="29"/>
      <c r="AT33" s="30" t="s">
        <v>169</v>
      </c>
      <c r="AU33" s="31">
        <v>5</v>
      </c>
      <c r="AV33" s="56">
        <v>5</v>
      </c>
      <c r="AW33" s="30" t="s">
        <v>169</v>
      </c>
      <c r="AX33" s="16"/>
      <c r="AY33" s="45" t="s">
        <v>169</v>
      </c>
      <c r="AZ33" s="49">
        <v>5</v>
      </c>
      <c r="BA33" s="58">
        <v>5</v>
      </c>
      <c r="BB33" s="45" t="s">
        <v>169</v>
      </c>
      <c r="BC33" s="16"/>
      <c r="BD33" s="54" t="s">
        <v>184</v>
      </c>
      <c r="BE33" s="59">
        <v>5</v>
      </c>
      <c r="BF33" s="67">
        <v>5</v>
      </c>
      <c r="BG33" s="54" t="s">
        <v>184</v>
      </c>
      <c r="BI33" s="74"/>
      <c r="BM33" s="6"/>
      <c r="BW33" s="40"/>
      <c r="BX33" s="40"/>
      <c r="BY33" s="40"/>
      <c r="CA33" s="13"/>
    </row>
    <row r="34" spans="1:79" ht="23.25" x14ac:dyDescent="0.25">
      <c r="A34" s="428"/>
      <c r="B34" s="407"/>
      <c r="C34" s="6"/>
      <c r="D34" s="6"/>
      <c r="E34" s="6"/>
      <c r="F34" s="6"/>
      <c r="G34" s="19"/>
      <c r="H34" s="6"/>
      <c r="I34" s="363"/>
      <c r="J34" s="363"/>
      <c r="K34" s="6"/>
      <c r="Q34" s="82"/>
      <c r="R34" s="10"/>
      <c r="S34" s="10"/>
      <c r="Y34" s="22"/>
      <c r="Z34" s="22"/>
      <c r="AE34" s="438"/>
      <c r="AF34" s="438"/>
      <c r="AN34" s="13"/>
      <c r="AO34" s="10"/>
      <c r="AP34" s="10"/>
      <c r="AQ34" s="10"/>
      <c r="AR34" s="10"/>
      <c r="AS34" s="29"/>
      <c r="AT34" s="30" t="s">
        <v>169</v>
      </c>
      <c r="AU34" s="32">
        <v>5</v>
      </c>
      <c r="AV34" s="56">
        <v>5</v>
      </c>
      <c r="AW34" s="30" t="s">
        <v>169</v>
      </c>
      <c r="AX34" s="16"/>
      <c r="AY34" s="45" t="s">
        <v>169</v>
      </c>
      <c r="AZ34" s="49">
        <v>5</v>
      </c>
      <c r="BA34" s="50">
        <v>5</v>
      </c>
      <c r="BB34" s="45" t="s">
        <v>169</v>
      </c>
      <c r="BC34" s="16"/>
      <c r="BD34" s="54" t="s">
        <v>184</v>
      </c>
      <c r="BE34" s="59">
        <v>5</v>
      </c>
      <c r="BF34" s="67">
        <v>5</v>
      </c>
      <c r="BG34" s="54" t="s">
        <v>184</v>
      </c>
      <c r="BJ34" s="40"/>
      <c r="BK34" s="40"/>
      <c r="BM34" s="6"/>
      <c r="BP34" s="40"/>
      <c r="BQ34" s="40"/>
      <c r="BW34" s="40"/>
      <c r="BX34" s="40"/>
      <c r="BY34" s="40"/>
      <c r="CA34" s="13"/>
    </row>
    <row r="35" spans="1:79" ht="23.25" x14ac:dyDescent="0.25">
      <c r="A35" s="429"/>
      <c r="B35" s="409"/>
      <c r="C35" s="6"/>
      <c r="D35" s="6"/>
      <c r="E35" s="6"/>
      <c r="F35" s="6"/>
      <c r="G35" s="19"/>
      <c r="H35" s="363" t="s">
        <v>184</v>
      </c>
      <c r="I35" s="218">
        <v>5</v>
      </c>
      <c r="J35" s="218">
        <v>5</v>
      </c>
      <c r="K35" s="363" t="s">
        <v>184</v>
      </c>
      <c r="L35" s="19"/>
      <c r="M35" s="22"/>
      <c r="N35" s="22"/>
      <c r="R35" s="10"/>
      <c r="S35" s="10"/>
      <c r="Y35" s="22"/>
      <c r="Z35" s="22"/>
      <c r="AE35" s="38"/>
      <c r="AF35" s="38"/>
      <c r="AN35" s="13"/>
      <c r="AO35" s="6"/>
      <c r="AP35" s="6"/>
      <c r="AQ35" s="6"/>
      <c r="AR35" s="6"/>
      <c r="AS35" s="6"/>
      <c r="AT35" s="16"/>
      <c r="AU35" s="25"/>
      <c r="AV35" s="25"/>
      <c r="AW35" s="16"/>
      <c r="AZ35" s="45"/>
      <c r="BA35" s="45"/>
      <c r="BE35" s="54"/>
      <c r="BF35" s="54"/>
      <c r="BJ35" s="40"/>
      <c r="BK35" s="40"/>
      <c r="BM35" s="6"/>
      <c r="BP35" s="40"/>
      <c r="BQ35" s="40"/>
      <c r="BT35" s="6"/>
      <c r="BU35" s="6"/>
      <c r="CA35" s="13"/>
    </row>
    <row r="36" spans="1:79" ht="23.25" x14ac:dyDescent="0.25">
      <c r="A36" s="5"/>
      <c r="B36" s="6"/>
      <c r="C36" s="6"/>
      <c r="D36" s="6"/>
      <c r="E36" s="6"/>
      <c r="F36" s="6"/>
      <c r="G36" s="19"/>
      <c r="H36" s="363" t="s">
        <v>184</v>
      </c>
      <c r="I36" s="218">
        <v>5</v>
      </c>
      <c r="J36" s="218">
        <v>5</v>
      </c>
      <c r="K36" s="363" t="s">
        <v>184</v>
      </c>
      <c r="L36" s="19"/>
      <c r="M36" s="22"/>
      <c r="N36" s="22"/>
      <c r="R36" s="10"/>
      <c r="S36" s="10"/>
      <c r="Y36" s="22"/>
      <c r="Z36" s="22"/>
      <c r="AE36" s="38"/>
      <c r="AF36" s="38"/>
      <c r="AN36" s="13"/>
      <c r="AO36" s="6"/>
      <c r="AP36" s="6"/>
      <c r="AQ36" s="6"/>
      <c r="AR36" s="6"/>
      <c r="AS36" s="6"/>
      <c r="AY36" s="418" t="s">
        <v>182</v>
      </c>
      <c r="AZ36" s="424"/>
      <c r="BA36" s="424"/>
      <c r="BB36" s="424"/>
      <c r="BD36" s="418" t="s">
        <v>171</v>
      </c>
      <c r="BE36" s="418"/>
      <c r="BF36" s="418"/>
      <c r="BG36" s="418"/>
      <c r="BM36" s="6"/>
      <c r="BN36" s="6"/>
      <c r="BS36" s="6"/>
      <c r="BT36" s="6"/>
      <c r="BU36" s="6"/>
      <c r="BW36" s="83"/>
      <c r="BX36" s="83"/>
      <c r="BY36" s="83"/>
      <c r="CA36" s="13"/>
    </row>
    <row r="37" spans="1:79" ht="23.25" x14ac:dyDescent="0.25">
      <c r="A37" s="5"/>
      <c r="B37" s="6"/>
      <c r="C37" s="6"/>
      <c r="D37" s="6"/>
      <c r="E37" s="6"/>
      <c r="F37" s="6"/>
      <c r="G37" s="19"/>
      <c r="H37" s="363" t="s">
        <v>184</v>
      </c>
      <c r="I37" s="218">
        <v>5</v>
      </c>
      <c r="J37" s="218">
        <v>5</v>
      </c>
      <c r="K37" s="363" t="s">
        <v>184</v>
      </c>
      <c r="L37" s="19"/>
      <c r="AN37" s="13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L37" s="6"/>
      <c r="BM37" s="6"/>
      <c r="BN37" s="6"/>
      <c r="BO37" s="6"/>
      <c r="BR37" s="6"/>
      <c r="BS37" s="6"/>
      <c r="BT37" s="6"/>
      <c r="BU37" s="6"/>
      <c r="BV37" s="6"/>
      <c r="BW37" s="6"/>
      <c r="BX37" s="6"/>
      <c r="BY37" s="6"/>
      <c r="BZ37" s="6"/>
      <c r="CA37" s="13"/>
    </row>
    <row r="38" spans="1:79" ht="18.75" x14ac:dyDescent="0.25">
      <c r="A38" s="5"/>
      <c r="B38" s="6"/>
      <c r="C38" s="6"/>
      <c r="D38" s="6"/>
      <c r="E38" s="6"/>
      <c r="F38" s="6"/>
      <c r="G38" s="19"/>
      <c r="H38" s="6"/>
      <c r="I38" s="363"/>
      <c r="J38" s="363"/>
      <c r="K38" s="6"/>
      <c r="L38" s="19"/>
      <c r="AN38" s="13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13"/>
    </row>
    <row r="39" spans="1:79" ht="18.75" x14ac:dyDescent="0.25">
      <c r="A39" s="5"/>
      <c r="B39" s="6"/>
      <c r="C39" s="6"/>
      <c r="D39" s="6"/>
      <c r="E39" s="6"/>
      <c r="F39" s="6"/>
      <c r="G39" s="19"/>
      <c r="H39" s="6"/>
      <c r="K39" s="6"/>
      <c r="L39" s="19"/>
      <c r="M39" s="439" t="s">
        <v>197</v>
      </c>
      <c r="N39" s="439"/>
      <c r="Q39" s="6"/>
      <c r="R39" s="23" t="s">
        <v>182</v>
      </c>
      <c r="S39" s="70"/>
      <c r="U39" s="85"/>
      <c r="W39" s="6"/>
      <c r="X39" s="6"/>
      <c r="Y39" s="23" t="s">
        <v>171</v>
      </c>
      <c r="Z39" s="23"/>
      <c r="AA39" s="6"/>
      <c r="AB39" s="6"/>
      <c r="AN39" s="13"/>
      <c r="AO39" s="6"/>
      <c r="AP39" s="6"/>
      <c r="AQ39" s="6"/>
      <c r="AR39" s="6"/>
      <c r="AS39" s="6"/>
      <c r="AT39" s="6"/>
      <c r="AX39" s="410" t="s">
        <v>171</v>
      </c>
      <c r="AY39" s="410"/>
      <c r="AZ39" s="410"/>
      <c r="BB39" s="86" t="s">
        <v>198</v>
      </c>
      <c r="BC39" s="6"/>
      <c r="BD39" s="6"/>
      <c r="BE39" s="410" t="s">
        <v>171</v>
      </c>
      <c r="BF39" s="410"/>
      <c r="BG39" s="410"/>
      <c r="BH39" s="410"/>
      <c r="BI39" s="410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13"/>
    </row>
    <row r="40" spans="1:79" ht="21" x14ac:dyDescent="0.25">
      <c r="A40" s="5"/>
      <c r="H40" s="6"/>
      <c r="K40" s="6"/>
      <c r="L40" s="19"/>
      <c r="M40" s="30"/>
      <c r="N40" s="30"/>
      <c r="O40" s="14" t="s">
        <v>199</v>
      </c>
      <c r="P40" s="6"/>
      <c r="Q40" s="14" t="s">
        <v>238</v>
      </c>
      <c r="R40" s="77"/>
      <c r="S40" s="77"/>
      <c r="T40" s="26"/>
      <c r="U40" s="87"/>
      <c r="W40" s="6"/>
      <c r="X40" s="14" t="s">
        <v>200</v>
      </c>
      <c r="Y40" s="72"/>
      <c r="Z40" s="72"/>
      <c r="AA40" s="26" t="s">
        <v>189</v>
      </c>
      <c r="AB40" s="6"/>
      <c r="AN40" s="13"/>
      <c r="AO40" s="6"/>
      <c r="AP40" s="6"/>
      <c r="AQ40" s="6"/>
      <c r="AR40" s="6"/>
      <c r="AS40" s="6"/>
      <c r="AU40" s="6"/>
      <c r="AX40" s="16"/>
      <c r="AZ40" s="16"/>
      <c r="BB40" s="16"/>
      <c r="BD40" s="6"/>
      <c r="BE40" s="6"/>
      <c r="BF40" s="6"/>
      <c r="BG40" s="6"/>
      <c r="BH40" s="6"/>
      <c r="BI40" s="6"/>
      <c r="BN40" s="6"/>
      <c r="BP40" s="6"/>
      <c r="BQ40" s="6"/>
      <c r="BR40" s="6"/>
      <c r="BT40" s="88"/>
      <c r="BU40" s="88"/>
      <c r="BV40" s="88"/>
      <c r="BW40" s="88"/>
      <c r="BX40" s="88"/>
      <c r="BY40" s="88"/>
      <c r="BZ40" s="88"/>
      <c r="CA40" s="89"/>
    </row>
    <row r="41" spans="1:79" ht="23.25" x14ac:dyDescent="0.25">
      <c r="A41" s="5"/>
      <c r="E41" s="6"/>
      <c r="F41" s="6"/>
      <c r="G41" s="6"/>
      <c r="H41" s="6"/>
      <c r="I41" s="11"/>
      <c r="J41" s="11"/>
      <c r="K41" s="19"/>
      <c r="L41" s="30" t="s">
        <v>169</v>
      </c>
      <c r="M41" s="90">
        <v>5</v>
      </c>
      <c r="N41" s="91">
        <v>5</v>
      </c>
      <c r="O41" s="30" t="s">
        <v>169</v>
      </c>
      <c r="P41" s="29"/>
      <c r="Q41" s="77" t="s">
        <v>169</v>
      </c>
      <c r="R41" s="78">
        <v>5</v>
      </c>
      <c r="S41" s="78">
        <v>5</v>
      </c>
      <c r="T41" s="77" t="s">
        <v>169</v>
      </c>
      <c r="U41" s="92"/>
      <c r="W41" s="29"/>
      <c r="X41" s="72" t="s">
        <v>184</v>
      </c>
      <c r="Y41" s="73">
        <v>5</v>
      </c>
      <c r="Z41" s="73">
        <v>5</v>
      </c>
      <c r="AA41" s="72" t="s">
        <v>184</v>
      </c>
      <c r="AB41" s="34"/>
      <c r="AE41" s="47"/>
      <c r="AF41" s="47"/>
      <c r="AN41" s="13"/>
      <c r="AO41" s="440"/>
      <c r="AP41" s="441"/>
      <c r="AQ41" s="441"/>
      <c r="AR41" s="441"/>
      <c r="AS41" s="441"/>
      <c r="AT41" s="441"/>
      <c r="AU41" s="6"/>
      <c r="AV41" s="6"/>
      <c r="AW41" s="6"/>
      <c r="AX41" s="15" t="s">
        <v>169</v>
      </c>
      <c r="AZ41" s="15" t="s">
        <v>169</v>
      </c>
      <c r="BB41" s="15" t="s">
        <v>169</v>
      </c>
      <c r="BC41" s="6"/>
      <c r="BD41" s="115" t="s">
        <v>169</v>
      </c>
      <c r="BF41" s="115" t="s">
        <v>169</v>
      </c>
      <c r="BH41" s="115" t="s">
        <v>169</v>
      </c>
      <c r="BJ41" s="115" t="s">
        <v>169</v>
      </c>
      <c r="BM41" s="421"/>
      <c r="BN41" s="421"/>
      <c r="BO41" s="421"/>
      <c r="BP41" s="421"/>
      <c r="CA41" s="93"/>
    </row>
    <row r="42" spans="1:79" ht="24" thickBot="1" x14ac:dyDescent="0.3">
      <c r="A42" s="5"/>
      <c r="I42" s="41"/>
      <c r="J42" s="41"/>
      <c r="K42" s="19"/>
      <c r="L42" s="30" t="s">
        <v>169</v>
      </c>
      <c r="M42" s="90">
        <v>5</v>
      </c>
      <c r="N42" s="91">
        <v>5</v>
      </c>
      <c r="O42" s="30" t="s">
        <v>169</v>
      </c>
      <c r="P42" s="29"/>
      <c r="Q42" s="77" t="s">
        <v>169</v>
      </c>
      <c r="R42" s="78">
        <v>5</v>
      </c>
      <c r="S42" s="78">
        <v>5</v>
      </c>
      <c r="T42" s="77" t="s">
        <v>169</v>
      </c>
      <c r="U42" s="92"/>
      <c r="W42" s="29"/>
      <c r="X42" s="72" t="s">
        <v>184</v>
      </c>
      <c r="Y42" s="73">
        <v>5</v>
      </c>
      <c r="Z42" s="73">
        <v>5</v>
      </c>
      <c r="AA42" s="72" t="s">
        <v>184</v>
      </c>
      <c r="AB42" s="34"/>
      <c r="AE42" s="47"/>
      <c r="AF42" s="47"/>
      <c r="AK42" s="38"/>
      <c r="AL42" s="38"/>
      <c r="AN42" s="13"/>
      <c r="AO42" s="10"/>
      <c r="AP42" s="10"/>
      <c r="AQ42" s="10"/>
      <c r="AR42" s="10"/>
      <c r="AS42" s="10"/>
      <c r="AT42" s="10"/>
      <c r="AU42" s="94"/>
      <c r="AV42" s="94"/>
      <c r="AW42" s="15"/>
      <c r="AX42" s="95">
        <v>5</v>
      </c>
      <c r="AY42" s="15"/>
      <c r="AZ42" s="95">
        <v>5</v>
      </c>
      <c r="BA42" s="15"/>
      <c r="BB42" s="96">
        <v>5</v>
      </c>
      <c r="BC42" s="15"/>
      <c r="BD42" s="97">
        <v>5</v>
      </c>
      <c r="BE42" s="115"/>
      <c r="BF42" s="97">
        <v>5</v>
      </c>
      <c r="BG42" s="115"/>
      <c r="BH42" s="97">
        <v>5</v>
      </c>
      <c r="BI42" s="115"/>
      <c r="BJ42" s="97">
        <v>5</v>
      </c>
      <c r="BK42" s="115"/>
      <c r="BM42" s="38"/>
      <c r="BN42" s="38"/>
      <c r="BO42" s="38"/>
      <c r="BP42" s="38"/>
      <c r="BT42" s="40"/>
      <c r="BU42" s="40"/>
      <c r="BV42" s="40"/>
      <c r="BW42" s="40"/>
      <c r="BX42" s="40"/>
      <c r="BY42" s="40"/>
      <c r="BZ42" s="40"/>
      <c r="CA42" s="40"/>
    </row>
    <row r="43" spans="1:79" ht="23.25" x14ac:dyDescent="0.25">
      <c r="A43" s="5"/>
      <c r="E43" s="6"/>
      <c r="F43" s="6"/>
      <c r="G43" s="6"/>
      <c r="I43" s="44"/>
      <c r="J43" s="44"/>
      <c r="K43" s="19"/>
      <c r="L43" s="30" t="s">
        <v>169</v>
      </c>
      <c r="M43" s="90">
        <v>5</v>
      </c>
      <c r="N43" s="91">
        <v>5</v>
      </c>
      <c r="O43" s="30" t="s">
        <v>169</v>
      </c>
      <c r="P43" s="29"/>
      <c r="Q43" s="77" t="s">
        <v>169</v>
      </c>
      <c r="R43" s="78">
        <v>5</v>
      </c>
      <c r="S43" s="78">
        <v>5</v>
      </c>
      <c r="T43" s="77" t="s">
        <v>169</v>
      </c>
      <c r="U43" s="92"/>
      <c r="W43" s="29"/>
      <c r="X43" s="72" t="s">
        <v>184</v>
      </c>
      <c r="Y43" s="73">
        <v>5</v>
      </c>
      <c r="Z43" s="73">
        <v>5</v>
      </c>
      <c r="AA43" s="72" t="s">
        <v>184</v>
      </c>
      <c r="AB43" s="34"/>
      <c r="AE43" s="47"/>
      <c r="AF43" s="47"/>
      <c r="AK43" s="38"/>
      <c r="AL43" s="38"/>
      <c r="AN43" s="6"/>
      <c r="AR43" s="99"/>
      <c r="AU43" s="442"/>
      <c r="AV43" s="443"/>
      <c r="AW43" s="444"/>
      <c r="BB43" s="100"/>
      <c r="BC43" s="100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6"/>
      <c r="BV43" s="6"/>
      <c r="BW43" s="6"/>
      <c r="BX43" s="6"/>
      <c r="BY43" s="6"/>
      <c r="BZ43" s="6"/>
      <c r="CA43" s="13"/>
    </row>
    <row r="44" spans="1:79" ht="21" x14ac:dyDescent="0.25">
      <c r="A44" s="5"/>
      <c r="K44" s="19"/>
      <c r="M44" s="30"/>
      <c r="N44" s="30"/>
      <c r="O44" s="26" t="s">
        <v>201</v>
      </c>
      <c r="R44" s="77"/>
      <c r="S44" s="77"/>
      <c r="W44" s="85"/>
      <c r="X44" s="6"/>
      <c r="Y44" s="72"/>
      <c r="Z44" s="72"/>
      <c r="AB44" s="6"/>
      <c r="AE44" s="448"/>
      <c r="AF44" s="448"/>
      <c r="AN44" s="6"/>
      <c r="AR44" s="99"/>
      <c r="AU44" s="442"/>
      <c r="AV44" s="443"/>
      <c r="AW44" s="444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13"/>
    </row>
    <row r="45" spans="1:79" x14ac:dyDescent="0.25">
      <c r="A45" s="5"/>
      <c r="C45" s="6"/>
      <c r="D45" s="6"/>
      <c r="E45" s="6"/>
      <c r="F45" s="6"/>
      <c r="G45" s="6"/>
      <c r="H45" s="6"/>
      <c r="AN45" s="6"/>
      <c r="AR45" s="99"/>
      <c r="AU45" s="442"/>
      <c r="AV45" s="443"/>
      <c r="AW45" s="444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13"/>
    </row>
    <row r="46" spans="1:79" ht="19.5" thickBot="1" x14ac:dyDescent="0.3">
      <c r="A46" s="5"/>
      <c r="H46" s="6"/>
      <c r="K46" s="6"/>
      <c r="L46" s="6"/>
      <c r="M46" s="77"/>
      <c r="N46" s="77"/>
      <c r="O46" s="24"/>
      <c r="P46" s="4"/>
      <c r="Q46" s="6"/>
      <c r="R46" s="82"/>
      <c r="S46" s="82"/>
      <c r="U46" s="6"/>
      <c r="AN46" s="6"/>
      <c r="AR46" s="99"/>
      <c r="AU46" s="442"/>
      <c r="AV46" s="443"/>
      <c r="AW46" s="444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13"/>
    </row>
    <row r="47" spans="1:79" x14ac:dyDescent="0.25">
      <c r="A47" s="5"/>
      <c r="B47" s="6"/>
      <c r="C47" s="6"/>
      <c r="D47" s="6"/>
      <c r="E47" s="6"/>
      <c r="F47" s="6"/>
      <c r="G47" s="6"/>
      <c r="M47" s="422"/>
      <c r="N47" s="422"/>
      <c r="R47" s="449"/>
      <c r="S47" s="449"/>
      <c r="AN47" s="6"/>
      <c r="AR47" s="99"/>
      <c r="AU47" s="442"/>
      <c r="AV47" s="443"/>
      <c r="AW47" s="444"/>
      <c r="BC47" s="6"/>
      <c r="BH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13"/>
    </row>
    <row r="48" spans="1:79" ht="16.5" thickBot="1" x14ac:dyDescent="0.3">
      <c r="A48" s="5"/>
      <c r="B48" s="6"/>
      <c r="C48" s="6"/>
      <c r="D48" s="6"/>
      <c r="E48" s="6"/>
      <c r="F48" s="6"/>
      <c r="G48" s="6"/>
      <c r="M48" s="423"/>
      <c r="N48" s="423"/>
      <c r="Q48" s="3"/>
      <c r="R48" s="88"/>
      <c r="S48" s="88"/>
      <c r="Y48" s="449"/>
      <c r="Z48" s="449"/>
      <c r="AK48" s="38"/>
      <c r="AL48" s="38"/>
      <c r="AR48" s="99"/>
      <c r="AU48" s="442"/>
      <c r="AV48" s="443"/>
      <c r="AW48" s="444"/>
      <c r="BH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13"/>
    </row>
    <row r="49" spans="1:79" ht="18.75" x14ac:dyDescent="0.3">
      <c r="A49" s="5"/>
      <c r="B49" s="6"/>
      <c r="C49" s="6"/>
      <c r="D49" s="6"/>
      <c r="E49" s="6"/>
      <c r="F49" s="6"/>
      <c r="M49" s="6"/>
      <c r="N49" s="6"/>
      <c r="O49" s="6"/>
      <c r="Q49" s="74"/>
      <c r="R49" s="52"/>
      <c r="S49" s="52"/>
      <c r="X49" s="3"/>
      <c r="Y49" s="88"/>
      <c r="Z49" s="88"/>
      <c r="AK49" s="38"/>
      <c r="AL49" s="38"/>
      <c r="AR49" s="99"/>
      <c r="AU49" s="442"/>
      <c r="AV49" s="443"/>
      <c r="AW49" s="444"/>
      <c r="BH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13"/>
    </row>
    <row r="50" spans="1:79" ht="18.75" x14ac:dyDescent="0.3">
      <c r="A50" s="102"/>
      <c r="B50" s="103"/>
      <c r="C50" s="103"/>
      <c r="D50" s="103"/>
      <c r="E50" s="103"/>
      <c r="F50" s="6"/>
      <c r="I50" s="104"/>
      <c r="J50" s="104"/>
      <c r="L50" s="74"/>
      <c r="M50" s="75"/>
      <c r="N50" s="75"/>
      <c r="O50" s="79"/>
      <c r="Q50" s="52"/>
      <c r="R50" s="106"/>
      <c r="S50" s="106"/>
      <c r="T50" s="52"/>
      <c r="X50" s="74"/>
      <c r="AE50" s="64"/>
      <c r="AF50" s="64"/>
      <c r="AR50" s="99"/>
      <c r="AU50" s="442"/>
      <c r="AV50" s="443"/>
      <c r="AW50" s="444"/>
      <c r="BH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13"/>
    </row>
    <row r="51" spans="1:79" ht="18.75" x14ac:dyDescent="0.3">
      <c r="A51" s="102"/>
      <c r="B51" s="103"/>
      <c r="C51" s="103"/>
      <c r="D51" s="103"/>
      <c r="E51" s="103"/>
      <c r="F51" s="6"/>
      <c r="I51" s="104"/>
      <c r="J51" s="104"/>
      <c r="L51" s="75"/>
      <c r="M51" s="105"/>
      <c r="N51" s="105"/>
      <c r="Q51" s="52"/>
      <c r="R51" s="106"/>
      <c r="S51" s="106"/>
      <c r="T51" s="52"/>
      <c r="W51" s="88"/>
      <c r="X51" s="105"/>
      <c r="Y51" s="106"/>
      <c r="Z51" s="106"/>
      <c r="AA51" s="105"/>
      <c r="AB51" s="88"/>
      <c r="AD51" s="109"/>
      <c r="AE51" s="2"/>
      <c r="AF51" s="2"/>
      <c r="AR51" s="99"/>
      <c r="AU51" s="442"/>
      <c r="AV51" s="443"/>
      <c r="AW51" s="444"/>
      <c r="BH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13"/>
    </row>
    <row r="52" spans="1:79" ht="18.75" x14ac:dyDescent="0.3">
      <c r="A52" s="102"/>
      <c r="B52" s="103"/>
      <c r="C52" s="103"/>
      <c r="D52" s="103"/>
      <c r="E52" s="103"/>
      <c r="F52" s="6"/>
      <c r="I52" s="104"/>
      <c r="J52" s="104"/>
      <c r="K52" s="75"/>
      <c r="L52" s="105"/>
      <c r="M52" s="106"/>
      <c r="N52" s="106"/>
      <c r="O52" s="105"/>
      <c r="P52" s="51"/>
      <c r="Q52" s="52"/>
      <c r="R52" s="106"/>
      <c r="S52" s="106"/>
      <c r="T52" s="52"/>
      <c r="W52" s="88"/>
      <c r="X52" s="105"/>
      <c r="Y52" s="106"/>
      <c r="Z52" s="106"/>
      <c r="AA52" s="105"/>
      <c r="AB52" s="88"/>
      <c r="AD52" s="74"/>
      <c r="AE52" s="105"/>
      <c r="AF52" s="105"/>
      <c r="AR52" s="99"/>
      <c r="AU52" s="442"/>
      <c r="AV52" s="443"/>
      <c r="AW52" s="444"/>
      <c r="BH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13"/>
    </row>
    <row r="53" spans="1:79" ht="18.75" x14ac:dyDescent="0.3">
      <c r="A53" s="450" t="s">
        <v>202</v>
      </c>
      <c r="B53" s="451"/>
      <c r="C53" s="451"/>
      <c r="D53" s="451"/>
      <c r="E53" s="452"/>
      <c r="F53" s="6"/>
      <c r="I53" s="104"/>
      <c r="J53" s="104"/>
      <c r="K53" s="75"/>
      <c r="L53" s="105"/>
      <c r="M53" s="106"/>
      <c r="N53" s="106"/>
      <c r="O53" s="105"/>
      <c r="P53" s="51"/>
      <c r="Q53" s="52"/>
      <c r="R53" s="106"/>
      <c r="S53" s="106"/>
      <c r="T53" s="52"/>
      <c r="V53" s="6"/>
      <c r="W53" s="88"/>
      <c r="X53" s="105"/>
      <c r="Y53" s="106"/>
      <c r="Z53" s="106"/>
      <c r="AA53" s="105"/>
      <c r="AB53" s="88"/>
      <c r="AD53" s="105"/>
      <c r="AE53" s="106"/>
      <c r="AF53" s="106"/>
      <c r="AG53" s="105"/>
      <c r="AK53" s="459"/>
      <c r="AL53" s="459"/>
      <c r="AR53" s="99"/>
      <c r="AU53" s="442"/>
      <c r="AV53" s="443"/>
      <c r="AW53" s="444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13"/>
    </row>
    <row r="54" spans="1:79" ht="18.75" x14ac:dyDescent="0.3">
      <c r="A54" s="453"/>
      <c r="B54" s="454"/>
      <c r="C54" s="454"/>
      <c r="D54" s="454"/>
      <c r="E54" s="455"/>
      <c r="F54" s="107"/>
      <c r="I54" s="460"/>
      <c r="J54" s="460"/>
      <c r="M54" s="105"/>
      <c r="N54" s="105"/>
      <c r="P54" s="108"/>
      <c r="R54" s="52"/>
      <c r="S54" s="52"/>
      <c r="V54" s="16"/>
      <c r="W54" s="88"/>
      <c r="X54" s="105"/>
      <c r="Y54" s="106"/>
      <c r="Z54" s="106"/>
      <c r="AA54" s="105"/>
      <c r="AB54" s="88"/>
      <c r="AD54" s="105"/>
      <c r="AE54" s="106"/>
      <c r="AF54" s="106"/>
      <c r="AG54" s="105"/>
      <c r="AJ54" s="109"/>
      <c r="AK54" s="2"/>
      <c r="AL54" s="2"/>
      <c r="AR54" s="99"/>
      <c r="AU54" s="442"/>
      <c r="AV54" s="443"/>
      <c r="AW54" s="444"/>
      <c r="BC54" s="110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13"/>
    </row>
    <row r="55" spans="1:79" ht="15.75" x14ac:dyDescent="0.25">
      <c r="A55" s="453"/>
      <c r="B55" s="454"/>
      <c r="C55" s="454"/>
      <c r="D55" s="454"/>
      <c r="E55" s="455"/>
      <c r="F55" s="107"/>
      <c r="M55" s="75"/>
      <c r="N55" s="75"/>
      <c r="V55" s="16"/>
      <c r="AE55" s="105"/>
      <c r="AF55" s="105"/>
      <c r="AJ55" s="74"/>
      <c r="AK55" s="105"/>
      <c r="AL55" s="105"/>
      <c r="AR55" s="99"/>
      <c r="AU55" s="442"/>
      <c r="AV55" s="443"/>
      <c r="AW55" s="444"/>
      <c r="BC55" s="110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13"/>
    </row>
    <row r="56" spans="1:79" ht="18" x14ac:dyDescent="0.25">
      <c r="A56" s="453"/>
      <c r="B56" s="454"/>
      <c r="C56" s="454"/>
      <c r="D56" s="454"/>
      <c r="E56" s="455"/>
      <c r="F56" s="107"/>
      <c r="AE56" s="3"/>
      <c r="AF56" s="3"/>
      <c r="AJ56" s="105"/>
      <c r="AK56" s="106"/>
      <c r="AL56" s="106"/>
      <c r="AM56" s="105"/>
      <c r="AR56" s="99"/>
      <c r="AU56" s="442"/>
      <c r="AV56" s="443"/>
      <c r="AW56" s="444"/>
      <c r="BC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13"/>
    </row>
    <row r="57" spans="1:79" ht="18" x14ac:dyDescent="0.25">
      <c r="A57" s="453"/>
      <c r="B57" s="454"/>
      <c r="C57" s="454"/>
      <c r="D57" s="454"/>
      <c r="E57" s="455"/>
      <c r="F57" s="107"/>
      <c r="V57" s="16"/>
      <c r="W57" s="6"/>
      <c r="X57" s="6"/>
      <c r="AA57" s="6"/>
      <c r="AJ57" s="105"/>
      <c r="AK57" s="106"/>
      <c r="AL57" s="106"/>
      <c r="AM57" s="105"/>
      <c r="AR57" s="99"/>
      <c r="AU57" s="442"/>
      <c r="AV57" s="443"/>
      <c r="AW57" s="444"/>
      <c r="BC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13"/>
    </row>
    <row r="58" spans="1:79" ht="15.75" x14ac:dyDescent="0.25">
      <c r="A58" s="453"/>
      <c r="B58" s="454"/>
      <c r="C58" s="454"/>
      <c r="D58" s="454"/>
      <c r="E58" s="455"/>
      <c r="F58" s="104"/>
      <c r="I58" s="53"/>
      <c r="J58" s="53"/>
      <c r="L58" s="425" t="s">
        <v>203</v>
      </c>
      <c r="M58" s="425"/>
      <c r="N58" s="425"/>
      <c r="O58" s="425"/>
      <c r="P58" s="19"/>
      <c r="Q58" s="425" t="s">
        <v>203</v>
      </c>
      <c r="R58" s="425"/>
      <c r="S58" s="425"/>
      <c r="T58" s="425"/>
      <c r="U58" s="6"/>
      <c r="V58" s="6"/>
      <c r="W58" s="6"/>
      <c r="X58" s="6"/>
      <c r="Y58" s="6"/>
      <c r="Z58" s="6"/>
      <c r="AA58" s="6"/>
      <c r="AK58" s="105"/>
      <c r="AL58" s="105"/>
      <c r="AR58" s="99"/>
      <c r="AU58" s="442"/>
      <c r="AV58" s="443"/>
      <c r="AW58" s="444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13"/>
    </row>
    <row r="59" spans="1:79" ht="21" x14ac:dyDescent="0.25">
      <c r="A59" s="453"/>
      <c r="B59" s="454"/>
      <c r="C59" s="454"/>
      <c r="D59" s="454"/>
      <c r="E59" s="455"/>
      <c r="F59" s="104"/>
      <c r="I59" s="53"/>
      <c r="J59" s="53"/>
      <c r="M59" s="72"/>
      <c r="N59" s="62"/>
      <c r="Q59" t="s">
        <v>205</v>
      </c>
      <c r="R59" s="112"/>
      <c r="S59" s="112"/>
      <c r="U59" s="6"/>
      <c r="V59" s="6"/>
      <c r="X59" s="74"/>
      <c r="Y59" s="75"/>
      <c r="Z59" s="75"/>
      <c r="AA59" s="79"/>
      <c r="AK59" s="3"/>
      <c r="AL59" s="3"/>
      <c r="AR59" s="99"/>
      <c r="AU59" s="442"/>
      <c r="AV59" s="443"/>
      <c r="AW59" s="444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13"/>
    </row>
    <row r="60" spans="1:79" ht="23.25" x14ac:dyDescent="0.25">
      <c r="A60" s="453"/>
      <c r="B60" s="454"/>
      <c r="C60" s="454"/>
      <c r="D60" s="454"/>
      <c r="E60" s="455"/>
      <c r="F60" s="104"/>
      <c r="I60" s="53"/>
      <c r="J60" s="53"/>
      <c r="K60" s="19"/>
      <c r="L60" s="72" t="s">
        <v>184</v>
      </c>
      <c r="M60" s="73">
        <v>5</v>
      </c>
      <c r="N60" s="36">
        <v>5</v>
      </c>
      <c r="O60" s="62" t="s">
        <v>184</v>
      </c>
      <c r="P60" s="29"/>
      <c r="Q60" s="112" t="s">
        <v>184</v>
      </c>
      <c r="R60" s="113">
        <v>5</v>
      </c>
      <c r="S60" s="113">
        <v>5</v>
      </c>
      <c r="T60" s="112" t="s">
        <v>184</v>
      </c>
      <c r="U60" s="34"/>
      <c r="V60" s="6"/>
      <c r="X60" s="75"/>
      <c r="Y60" s="105"/>
      <c r="Z60" s="105"/>
      <c r="AR60" s="99"/>
      <c r="AU60" s="442"/>
      <c r="AV60" s="443"/>
      <c r="AW60" s="444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13"/>
    </row>
    <row r="61" spans="1:79" ht="23.25" x14ac:dyDescent="0.25">
      <c r="A61" s="453"/>
      <c r="B61" s="454"/>
      <c r="C61" s="454"/>
      <c r="D61" s="454"/>
      <c r="E61" s="455"/>
      <c r="F61" s="104"/>
      <c r="I61" s="461"/>
      <c r="J61" s="461"/>
      <c r="K61" s="19"/>
      <c r="L61" s="72" t="s">
        <v>184</v>
      </c>
      <c r="M61" s="73">
        <v>5</v>
      </c>
      <c r="N61" s="36">
        <v>5</v>
      </c>
      <c r="O61" s="62" t="s">
        <v>184</v>
      </c>
      <c r="P61" s="29"/>
      <c r="Q61" s="112" t="s">
        <v>184</v>
      </c>
      <c r="R61" s="113">
        <v>5</v>
      </c>
      <c r="S61" s="113">
        <v>5</v>
      </c>
      <c r="T61" s="112" t="s">
        <v>184</v>
      </c>
      <c r="U61" s="34"/>
      <c r="V61" s="6"/>
      <c r="W61" s="75"/>
      <c r="X61" s="105"/>
      <c r="Y61" s="106"/>
      <c r="Z61" s="106"/>
      <c r="AA61" s="105"/>
      <c r="AB61" s="51"/>
      <c r="AE61" s="98"/>
      <c r="AF61" s="98"/>
      <c r="AR61" s="99"/>
      <c r="AU61" s="442"/>
      <c r="AV61" s="443"/>
      <c r="AW61" s="444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13"/>
    </row>
    <row r="62" spans="1:79" ht="23.25" x14ac:dyDescent="0.25">
      <c r="A62" s="453"/>
      <c r="B62" s="454"/>
      <c r="C62" s="454"/>
      <c r="D62" s="454"/>
      <c r="E62" s="455"/>
      <c r="F62" s="107"/>
      <c r="K62" s="19"/>
      <c r="L62" s="72" t="s">
        <v>184</v>
      </c>
      <c r="M62" s="73">
        <v>5</v>
      </c>
      <c r="N62" s="36">
        <v>5</v>
      </c>
      <c r="O62" s="62" t="s">
        <v>184</v>
      </c>
      <c r="P62" s="29"/>
      <c r="Q62" s="112" t="s">
        <v>184</v>
      </c>
      <c r="R62" s="113">
        <v>5</v>
      </c>
      <c r="S62" s="113">
        <v>5</v>
      </c>
      <c r="T62" s="112" t="s">
        <v>184</v>
      </c>
      <c r="U62" s="34"/>
      <c r="V62" s="6"/>
      <c r="W62" s="75"/>
      <c r="X62" s="105"/>
      <c r="Y62" s="106"/>
      <c r="Z62" s="106"/>
      <c r="AA62" s="105"/>
      <c r="AB62" s="51"/>
      <c r="AE62" s="98"/>
      <c r="AF62" s="98"/>
      <c r="AK62" s="98"/>
      <c r="AL62" s="98"/>
      <c r="AR62" s="99"/>
      <c r="AU62" s="442"/>
      <c r="AV62" s="443"/>
      <c r="AW62" s="444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13"/>
    </row>
    <row r="63" spans="1:79" ht="21" x14ac:dyDescent="0.25">
      <c r="A63" s="453"/>
      <c r="B63" s="454"/>
      <c r="C63" s="454"/>
      <c r="D63" s="454"/>
      <c r="E63" s="455"/>
      <c r="F63" s="107"/>
      <c r="K63" s="19"/>
      <c r="M63" s="72"/>
      <c r="N63" s="62"/>
      <c r="P63" s="85"/>
      <c r="R63" s="112"/>
      <c r="S63" s="112"/>
      <c r="U63" s="6"/>
      <c r="V63" s="6"/>
      <c r="X63" s="105"/>
      <c r="Y63" s="106"/>
      <c r="Z63" s="106"/>
      <c r="AA63" s="105"/>
      <c r="AB63" s="108"/>
      <c r="AE63" s="98"/>
      <c r="AF63" s="98"/>
      <c r="AK63" s="98"/>
      <c r="AL63" s="98"/>
      <c r="AR63" s="99"/>
      <c r="AU63" s="442"/>
      <c r="AV63" s="443"/>
      <c r="AW63" s="444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13"/>
    </row>
    <row r="64" spans="1:79" ht="15.75" x14ac:dyDescent="0.25">
      <c r="A64" s="453"/>
      <c r="B64" s="454"/>
      <c r="C64" s="454"/>
      <c r="D64" s="454"/>
      <c r="E64" s="455"/>
      <c r="F64" s="107"/>
      <c r="G64" s="114"/>
      <c r="P64" s="6"/>
      <c r="Q64" s="6"/>
      <c r="U64" s="6"/>
      <c r="V64" s="6"/>
      <c r="X64" s="75"/>
      <c r="Y64" s="105"/>
      <c r="Z64" s="105"/>
      <c r="AA64" s="75"/>
      <c r="AI64" s="6"/>
      <c r="AR64" s="99"/>
      <c r="AU64" s="442"/>
      <c r="AV64" s="443"/>
      <c r="AW64" s="444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13"/>
    </row>
    <row r="65" spans="1:79" ht="15.75" x14ac:dyDescent="0.25">
      <c r="A65" s="453"/>
      <c r="B65" s="454"/>
      <c r="C65" s="454"/>
      <c r="D65" s="454"/>
      <c r="E65" s="455"/>
      <c r="F65" s="107"/>
      <c r="G65" s="114"/>
      <c r="H65" s="114"/>
      <c r="I65" s="114"/>
      <c r="J65" s="114"/>
      <c r="K65" s="114"/>
      <c r="M65" s="6"/>
      <c r="N65" s="6"/>
      <c r="P65" s="6"/>
      <c r="Q65" s="6"/>
      <c r="U65" s="6"/>
      <c r="V65" s="6"/>
      <c r="W65" s="6"/>
      <c r="X65" s="6"/>
      <c r="Y65" s="158"/>
      <c r="Z65" s="158"/>
      <c r="AA65" s="6"/>
      <c r="AB65" s="6"/>
      <c r="AC65" s="6"/>
      <c r="AD65" s="6"/>
      <c r="AH65" s="6"/>
      <c r="AI65" s="6"/>
      <c r="AR65" s="99"/>
      <c r="AU65" s="442"/>
      <c r="AV65" s="443"/>
      <c r="AW65" s="444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13"/>
    </row>
    <row r="66" spans="1:79" ht="15.75" x14ac:dyDescent="0.25">
      <c r="A66" s="453"/>
      <c r="B66" s="454"/>
      <c r="C66" s="454"/>
      <c r="D66" s="454"/>
      <c r="E66" s="455"/>
      <c r="F66" s="107"/>
      <c r="G66" s="6"/>
      <c r="H66" s="6"/>
      <c r="I66" s="6"/>
      <c r="J66" s="6"/>
      <c r="K66" s="6"/>
      <c r="L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H66" s="6"/>
      <c r="AI66" s="6"/>
      <c r="AJ66" s="6"/>
      <c r="AK66" s="6"/>
      <c r="AR66" s="99"/>
      <c r="AU66" s="442"/>
      <c r="AV66" s="443"/>
      <c r="AW66" s="444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13"/>
    </row>
    <row r="67" spans="1:79" ht="15.75" x14ac:dyDescent="0.25">
      <c r="A67" s="453"/>
      <c r="B67" s="454"/>
      <c r="C67" s="454"/>
      <c r="D67" s="454"/>
      <c r="E67" s="455"/>
      <c r="F67" s="107"/>
      <c r="J67" s="6"/>
      <c r="L67" s="6"/>
      <c r="M67" s="462" t="s">
        <v>206</v>
      </c>
      <c r="N67" s="462"/>
      <c r="O67" s="462"/>
      <c r="P67" s="462" t="s">
        <v>198</v>
      </c>
      <c r="Q67" s="462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R67" s="99"/>
      <c r="AU67" s="442"/>
      <c r="AV67" s="443"/>
      <c r="AW67" s="444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13"/>
    </row>
    <row r="68" spans="1:79" ht="15.75" x14ac:dyDescent="0.25">
      <c r="A68" s="453"/>
      <c r="B68" s="454"/>
      <c r="C68" s="454"/>
      <c r="D68" s="454"/>
      <c r="E68" s="455"/>
      <c r="F68" s="6"/>
      <c r="J68" s="1"/>
      <c r="M68" s="16"/>
      <c r="N68" s="16"/>
      <c r="O68" s="16"/>
      <c r="P68" s="1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410" t="s">
        <v>171</v>
      </c>
      <c r="AH68" s="410"/>
      <c r="AI68" s="410"/>
      <c r="AJ68" s="410"/>
      <c r="AK68" s="410"/>
      <c r="AL68" s="6"/>
      <c r="AM68" s="6"/>
      <c r="AN68" s="6"/>
      <c r="AR68" s="99"/>
      <c r="AU68" s="442"/>
      <c r="AV68" s="443"/>
      <c r="AW68" s="444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13"/>
    </row>
    <row r="69" spans="1:79" ht="23.25" x14ac:dyDescent="0.25">
      <c r="A69" s="453"/>
      <c r="B69" s="454"/>
      <c r="C69" s="454"/>
      <c r="D69" s="454"/>
      <c r="E69" s="455"/>
      <c r="F69" s="463"/>
      <c r="G69" s="464"/>
      <c r="H69" s="464"/>
      <c r="I69" s="464"/>
      <c r="J69" s="464"/>
      <c r="K69" s="464"/>
      <c r="L69" s="14" t="s">
        <v>207</v>
      </c>
      <c r="M69" s="15" t="s">
        <v>169</v>
      </c>
      <c r="N69" s="15" t="s">
        <v>169</v>
      </c>
      <c r="O69" s="15" t="s">
        <v>169</v>
      </c>
      <c r="P69" s="15" t="s">
        <v>169</v>
      </c>
      <c r="Q69" s="15" t="s">
        <v>169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115" t="s">
        <v>169</v>
      </c>
      <c r="AH69" s="115" t="s">
        <v>169</v>
      </c>
      <c r="AI69" s="115" t="s">
        <v>169</v>
      </c>
      <c r="AJ69" s="115" t="s">
        <v>169</v>
      </c>
      <c r="AK69" s="6"/>
      <c r="AL69" s="6"/>
      <c r="AM69" s="6"/>
      <c r="AN69" s="6"/>
      <c r="AR69" s="99"/>
      <c r="AU69" s="442"/>
      <c r="AV69" s="443"/>
      <c r="AW69" s="444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13"/>
    </row>
    <row r="70" spans="1:79" ht="24" thickBot="1" x14ac:dyDescent="0.3">
      <c r="A70" s="456"/>
      <c r="B70" s="457"/>
      <c r="C70" s="457"/>
      <c r="D70" s="457"/>
      <c r="E70" s="458"/>
      <c r="F70" s="47"/>
      <c r="G70" s="47"/>
      <c r="H70" s="47"/>
      <c r="I70" s="47"/>
      <c r="J70" s="47"/>
      <c r="K70" s="47"/>
      <c r="L70" s="116"/>
      <c r="M70" s="95">
        <v>5</v>
      </c>
      <c r="N70" s="95">
        <v>5</v>
      </c>
      <c r="O70" s="95">
        <v>5</v>
      </c>
      <c r="P70" s="96">
        <v>5</v>
      </c>
      <c r="Q70" s="96">
        <v>5</v>
      </c>
      <c r="R70" s="15"/>
      <c r="S70" s="22"/>
      <c r="T70" s="22"/>
      <c r="U70" s="22"/>
      <c r="V70" s="22"/>
      <c r="W70" s="6"/>
      <c r="X70" s="6"/>
      <c r="Y70" s="6"/>
      <c r="Z70" s="6"/>
      <c r="AA70" s="6"/>
      <c r="AB70" s="6"/>
      <c r="AC70" s="6"/>
      <c r="AD70" s="6"/>
      <c r="AE70" s="6"/>
      <c r="AF70" s="115"/>
      <c r="AG70" s="97">
        <v>5</v>
      </c>
      <c r="AH70" s="97">
        <v>5</v>
      </c>
      <c r="AI70" s="97">
        <v>5</v>
      </c>
      <c r="AJ70" s="97">
        <v>5</v>
      </c>
      <c r="AK70" s="115"/>
      <c r="AL70" s="6"/>
      <c r="AM70" s="6"/>
      <c r="AN70" s="6"/>
      <c r="AR70" s="99"/>
      <c r="AT70" s="117"/>
      <c r="AU70" s="445"/>
      <c r="AV70" s="446"/>
      <c r="AW70" s="447"/>
      <c r="AX70" s="117"/>
      <c r="AY70" s="117"/>
      <c r="AZ70" s="117"/>
      <c r="BA70" s="117"/>
      <c r="BB70" s="117"/>
      <c r="BC70" s="117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9"/>
    </row>
    <row r="71" spans="1:79" x14ac:dyDescent="0.25">
      <c r="D71" s="100"/>
      <c r="E71" s="100"/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</row>
  </sheetData>
  <mergeCells count="65">
    <mergeCell ref="A53:E70"/>
    <mergeCell ref="AK53:AL53"/>
    <mergeCell ref="I54:J54"/>
    <mergeCell ref="L58:O58"/>
    <mergeCell ref="Q58:T58"/>
    <mergeCell ref="I61:J61"/>
    <mergeCell ref="M67:O67"/>
    <mergeCell ref="P67:Q67"/>
    <mergeCell ref="AG68:AK68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AY36:BB36"/>
    <mergeCell ref="BD36:BG36"/>
    <mergeCell ref="M39:N39"/>
    <mergeCell ref="AX39:AZ39"/>
    <mergeCell ref="BE39:BI39"/>
    <mergeCell ref="AT31:AW31"/>
    <mergeCell ref="H33:K33"/>
    <mergeCell ref="A23:E23"/>
    <mergeCell ref="A24:B35"/>
    <mergeCell ref="C24:E31"/>
    <mergeCell ref="AE27:AF27"/>
    <mergeCell ref="AN20:AN26"/>
    <mergeCell ref="R33:S33"/>
    <mergeCell ref="AE34:AF34"/>
    <mergeCell ref="Y16:Z16"/>
    <mergeCell ref="AJ17:AK17"/>
    <mergeCell ref="I19:J19"/>
    <mergeCell ref="BK28:BK29"/>
    <mergeCell ref="M29:M30"/>
    <mergeCell ref="N29:N30"/>
    <mergeCell ref="BJ28:BJ29"/>
    <mergeCell ref="BP21:BQ21"/>
    <mergeCell ref="AU22:AV22"/>
    <mergeCell ref="AZ22:BA22"/>
    <mergeCell ref="BF22:BG22"/>
    <mergeCell ref="BS6:BW6"/>
    <mergeCell ref="BF14:BG14"/>
    <mergeCell ref="BL14:BM14"/>
    <mergeCell ref="BV15:BY15"/>
    <mergeCell ref="Y14:Z14"/>
    <mergeCell ref="AQ14:AR14"/>
    <mergeCell ref="AT14:AU14"/>
    <mergeCell ref="AV14:AW14"/>
    <mergeCell ref="AZ14:BA14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AP7:AR7"/>
    <mergeCell ref="BA7:BB7"/>
    <mergeCell ref="E8:G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A71"/>
  <sheetViews>
    <sheetView topLeftCell="AP4" zoomScale="60" zoomScaleNormal="60" workbookViewId="0">
      <selection activeCell="S30" sqref="S30"/>
    </sheetView>
  </sheetViews>
  <sheetFormatPr baseColWidth="10" defaultColWidth="12.7109375" defaultRowHeight="15" x14ac:dyDescent="0.25"/>
  <sheetData>
    <row r="1" spans="1:79" ht="47.25" thickBot="1" x14ac:dyDescent="0.3">
      <c r="A1" s="382" t="s">
        <v>165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4"/>
    </row>
    <row r="2" spans="1:79" ht="15.75" thickBot="1" x14ac:dyDescent="0.3">
      <c r="A2" s="385" t="s">
        <v>166</v>
      </c>
      <c r="B2" s="386"/>
      <c r="C2" s="386"/>
      <c r="D2" s="386"/>
      <c r="E2" s="386"/>
      <c r="F2" s="386"/>
      <c r="G2" s="386"/>
      <c r="H2" s="386"/>
      <c r="I2" s="386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7"/>
      <c r="AI2" s="387"/>
      <c r="AJ2" s="387"/>
      <c r="AK2" s="387"/>
      <c r="AL2" s="387"/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7"/>
      <c r="AY2" s="387"/>
      <c r="AZ2" s="387"/>
      <c r="BA2" s="387"/>
      <c r="BB2" s="387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7"/>
      <c r="BS2" s="387"/>
      <c r="BT2" s="387"/>
      <c r="BU2" s="387"/>
      <c r="BV2" s="387"/>
      <c r="BW2" s="387"/>
      <c r="BX2" s="387"/>
      <c r="BY2" s="387"/>
      <c r="BZ2" s="387"/>
      <c r="CA2" s="388"/>
    </row>
    <row r="3" spans="1:79" ht="15" customHeight="1" x14ac:dyDescent="0.25">
      <c r="A3" s="357"/>
      <c r="B3" s="358"/>
      <c r="C3" s="358"/>
      <c r="D3" s="358"/>
      <c r="E3" s="358"/>
      <c r="F3" s="358"/>
      <c r="G3" s="358"/>
      <c r="H3" s="358"/>
      <c r="I3" s="359"/>
      <c r="J3" s="6"/>
      <c r="K3" s="7"/>
      <c r="L3" s="8">
        <v>340</v>
      </c>
      <c r="M3" s="7"/>
      <c r="N3" s="8">
        <v>340</v>
      </c>
      <c r="O3" s="7"/>
      <c r="P3" s="8">
        <v>340</v>
      </c>
      <c r="Q3" s="7"/>
      <c r="R3" s="6"/>
      <c r="S3" s="6"/>
      <c r="T3" s="6"/>
      <c r="U3" s="6"/>
      <c r="V3" s="389" t="s">
        <v>735</v>
      </c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1"/>
      <c r="AH3" s="6"/>
      <c r="AI3" s="6"/>
      <c r="AJ3" s="6"/>
      <c r="AO3" s="9"/>
      <c r="AP3" s="9"/>
      <c r="AQ3" s="9"/>
      <c r="AR3" s="9"/>
      <c r="AV3" s="10"/>
      <c r="AW3" s="10"/>
      <c r="AX3" s="10"/>
      <c r="AY3" s="10"/>
      <c r="BA3" s="398" t="s">
        <v>210</v>
      </c>
      <c r="BB3" s="399"/>
      <c r="BE3" s="10"/>
      <c r="BF3" s="10"/>
      <c r="BJ3" s="400" t="s">
        <v>167</v>
      </c>
      <c r="BK3" s="400"/>
      <c r="BL3" s="11"/>
      <c r="BM3" s="11"/>
      <c r="BN3" s="12"/>
      <c r="BO3" s="12"/>
      <c r="BP3" s="12"/>
      <c r="BQ3" s="12"/>
      <c r="BR3" s="7"/>
      <c r="BS3" s="8">
        <v>340</v>
      </c>
      <c r="BT3" s="7"/>
      <c r="BU3" s="8">
        <v>340</v>
      </c>
      <c r="BV3" s="7"/>
      <c r="BW3" s="8">
        <v>340</v>
      </c>
      <c r="BX3" s="7"/>
      <c r="BY3" s="6"/>
      <c r="BZ3" s="6"/>
      <c r="CA3" s="13"/>
    </row>
    <row r="4" spans="1:79" ht="18.75" x14ac:dyDescent="0.25">
      <c r="A4" s="360"/>
      <c r="B4" s="6"/>
      <c r="C4" s="6"/>
      <c r="D4" s="6"/>
      <c r="E4" s="6"/>
      <c r="F4" s="6"/>
      <c r="G4" s="6"/>
      <c r="H4" s="6"/>
      <c r="I4" s="361"/>
      <c r="J4" s="6"/>
      <c r="K4" s="14" t="s">
        <v>168</v>
      </c>
      <c r="L4" s="15" t="s">
        <v>169</v>
      </c>
      <c r="M4" s="15"/>
      <c r="N4" s="15" t="s">
        <v>169</v>
      </c>
      <c r="O4" s="15"/>
      <c r="P4" s="15" t="s">
        <v>169</v>
      </c>
      <c r="Q4" s="6"/>
      <c r="R4" s="6"/>
      <c r="S4" s="6"/>
      <c r="T4" s="6"/>
      <c r="U4" s="6"/>
      <c r="V4" s="392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G4" s="394"/>
      <c r="AH4" s="6"/>
      <c r="AI4" s="6"/>
      <c r="AJ4" s="6"/>
      <c r="AK4" s="6"/>
      <c r="AL4" s="6"/>
      <c r="AM4" s="6"/>
      <c r="AN4" s="13"/>
      <c r="AO4" s="401"/>
      <c r="AP4" s="402"/>
      <c r="AQ4" s="402"/>
      <c r="AR4" s="402"/>
      <c r="AS4" s="376"/>
      <c r="AT4" s="362"/>
      <c r="AV4" s="6"/>
      <c r="AW4" s="6"/>
      <c r="BI4" s="6"/>
      <c r="BJ4" s="6"/>
      <c r="BN4" s="403"/>
      <c r="BO4" s="403"/>
      <c r="BP4" s="403"/>
      <c r="BQ4" s="403"/>
      <c r="BR4" s="14" t="s">
        <v>168</v>
      </c>
      <c r="BS4" s="15" t="s">
        <v>169</v>
      </c>
      <c r="BT4" s="15"/>
      <c r="BU4" s="15" t="s">
        <v>169</v>
      </c>
      <c r="BV4" s="15"/>
      <c r="BW4" s="15" t="s">
        <v>169</v>
      </c>
      <c r="BX4" s="6"/>
      <c r="BY4" s="6"/>
      <c r="BZ4" s="6"/>
      <c r="CA4" s="13"/>
    </row>
    <row r="5" spans="1:79" ht="15.75" thickBot="1" x14ac:dyDescent="0.3">
      <c r="A5" s="404" t="s">
        <v>170</v>
      </c>
      <c r="B5" s="405"/>
      <c r="C5" s="6"/>
      <c r="D5" s="6"/>
      <c r="E5" s="6"/>
      <c r="F5" s="6"/>
      <c r="G5" s="6"/>
      <c r="H5" s="6"/>
      <c r="I5" s="361"/>
      <c r="J5" s="6"/>
      <c r="K5" s="6"/>
      <c r="L5" s="16"/>
      <c r="N5" s="16"/>
      <c r="P5" s="16"/>
      <c r="Q5" s="17"/>
      <c r="R5" s="6"/>
      <c r="U5" s="6"/>
      <c r="V5" s="395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7"/>
      <c r="AH5" s="6"/>
      <c r="AM5" s="6"/>
      <c r="AN5" s="13"/>
      <c r="AO5" s="6"/>
      <c r="AP5" s="6"/>
      <c r="AQ5" s="6"/>
      <c r="AR5" s="6"/>
      <c r="AS5" s="6"/>
      <c r="AT5" s="6"/>
      <c r="AU5" s="6"/>
      <c r="AV5" s="6"/>
      <c r="AW5" s="6"/>
      <c r="AX5" s="6"/>
      <c r="BE5" s="18"/>
      <c r="BF5" s="18"/>
      <c r="BJ5" s="6"/>
      <c r="BO5" s="19"/>
      <c r="BP5" s="19"/>
      <c r="BQ5" s="19"/>
      <c r="BR5" s="6"/>
      <c r="BS5" s="16"/>
      <c r="BU5" s="16"/>
      <c r="BW5" s="16"/>
      <c r="BX5" s="17"/>
      <c r="CA5" s="13"/>
    </row>
    <row r="6" spans="1:79" ht="15.75" x14ac:dyDescent="0.25">
      <c r="A6" s="406"/>
      <c r="B6" s="407"/>
      <c r="C6" s="6"/>
      <c r="D6" s="6"/>
      <c r="E6" s="6"/>
      <c r="F6" s="6"/>
      <c r="G6" s="6"/>
      <c r="H6" s="6"/>
      <c r="I6" s="361"/>
      <c r="J6" s="6"/>
      <c r="K6" s="6"/>
      <c r="L6" s="410" t="s">
        <v>171</v>
      </c>
      <c r="M6" s="410"/>
      <c r="N6" s="410"/>
      <c r="O6" s="410"/>
      <c r="P6" s="410"/>
      <c r="Q6" s="6"/>
      <c r="R6" s="6"/>
      <c r="S6" s="6"/>
      <c r="T6" s="6"/>
      <c r="W6" s="6"/>
      <c r="X6" s="6"/>
      <c r="AA6" s="6"/>
      <c r="AB6" s="6"/>
      <c r="AC6" s="6"/>
      <c r="AD6" s="6"/>
      <c r="AG6" s="6"/>
      <c r="AH6" s="6"/>
      <c r="AI6" s="6"/>
      <c r="AJ6" s="411"/>
      <c r="AK6" s="411"/>
      <c r="AL6" s="6"/>
      <c r="AM6" s="6"/>
      <c r="AN6" s="13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J6" s="6"/>
      <c r="BK6" s="6"/>
      <c r="BN6" s="21"/>
      <c r="BO6" s="21"/>
      <c r="BP6" s="21"/>
      <c r="BQ6" s="21"/>
      <c r="BR6" s="21"/>
      <c r="BS6" s="410" t="s">
        <v>171</v>
      </c>
      <c r="BT6" s="410"/>
      <c r="BU6" s="410"/>
      <c r="BV6" s="410"/>
      <c r="BW6" s="410"/>
      <c r="CA6" s="13"/>
    </row>
    <row r="7" spans="1:79" x14ac:dyDescent="0.25">
      <c r="A7" s="406"/>
      <c r="B7" s="407"/>
      <c r="C7" s="6"/>
      <c r="D7" s="6"/>
      <c r="E7" s="6"/>
      <c r="F7" s="6"/>
      <c r="G7" s="6"/>
      <c r="H7" s="6"/>
      <c r="I7" s="361"/>
      <c r="J7" s="6"/>
      <c r="K7" s="6"/>
      <c r="L7" s="6"/>
      <c r="P7" s="6"/>
      <c r="Q7" s="6"/>
      <c r="R7" s="6"/>
      <c r="S7" s="6"/>
      <c r="T7" s="16"/>
      <c r="W7" s="6"/>
      <c r="X7" s="6"/>
      <c r="AA7" s="6"/>
      <c r="AB7" s="6"/>
      <c r="AC7" s="6"/>
      <c r="AD7" s="6"/>
      <c r="AG7" s="6"/>
      <c r="AH7" s="6"/>
      <c r="AI7" s="6"/>
      <c r="AJ7" s="411"/>
      <c r="AK7" s="411"/>
      <c r="AL7" s="6"/>
      <c r="AM7" s="6"/>
      <c r="AN7" s="13"/>
      <c r="AO7" s="6"/>
      <c r="AP7" s="412"/>
      <c r="AQ7" s="412"/>
      <c r="AR7" s="412"/>
      <c r="AS7" s="6"/>
      <c r="AT7" s="17" t="s">
        <v>172</v>
      </c>
      <c r="AU7" s="42" t="s">
        <v>177</v>
      </c>
      <c r="AV7" s="43"/>
      <c r="AW7" s="6"/>
      <c r="AX7" s="6"/>
      <c r="AZ7" s="6"/>
      <c r="BA7" s="413" t="s">
        <v>203</v>
      </c>
      <c r="BB7" s="413"/>
      <c r="BF7" s="6"/>
      <c r="BG7" s="6"/>
      <c r="BH7" s="6"/>
      <c r="BR7" s="6"/>
      <c r="CA7" s="13"/>
    </row>
    <row r="8" spans="1:79" ht="18.75" x14ac:dyDescent="0.25">
      <c r="A8" s="406"/>
      <c r="B8" s="407"/>
      <c r="C8" s="6"/>
      <c r="D8" s="6"/>
      <c r="E8" s="414" t="s">
        <v>173</v>
      </c>
      <c r="F8" s="415"/>
      <c r="G8" s="415"/>
      <c r="H8" s="6"/>
      <c r="I8" s="361"/>
      <c r="J8" s="6"/>
      <c r="K8" s="6"/>
      <c r="L8" s="6"/>
      <c r="M8" s="6"/>
      <c r="N8" s="6"/>
      <c r="P8" s="6"/>
      <c r="Q8" s="6"/>
      <c r="R8" s="6"/>
      <c r="S8" s="6"/>
      <c r="T8" s="16"/>
      <c r="W8" s="6"/>
      <c r="X8" s="6"/>
      <c r="AA8" s="6"/>
      <c r="AB8" s="6"/>
      <c r="AC8" s="6"/>
      <c r="AD8" s="6"/>
      <c r="AE8" s="6"/>
      <c r="AF8" s="6"/>
      <c r="AG8" s="6"/>
      <c r="AH8" s="6"/>
      <c r="AI8" s="6"/>
      <c r="AJ8" s="411"/>
      <c r="AK8" s="411"/>
      <c r="AL8" s="6"/>
      <c r="AM8" s="6"/>
      <c r="AN8" s="13"/>
      <c r="AO8" s="6"/>
      <c r="AP8" s="22"/>
      <c r="AQ8" s="22"/>
      <c r="AR8" s="22"/>
      <c r="AS8" s="6"/>
      <c r="AT8" s="14" t="s">
        <v>174</v>
      </c>
      <c r="AU8" s="25"/>
      <c r="AV8" s="25"/>
      <c r="AW8" s="26" t="s">
        <v>175</v>
      </c>
      <c r="AX8" s="6"/>
      <c r="AZ8" s="6"/>
      <c r="BA8" s="363"/>
      <c r="BB8" s="363"/>
      <c r="BN8" s="6"/>
      <c r="BO8" s="6"/>
      <c r="BP8" s="9"/>
      <c r="BQ8" s="9"/>
      <c r="BS8" s="6"/>
      <c r="BT8" s="6"/>
      <c r="CA8" s="13"/>
    </row>
    <row r="9" spans="1:79" ht="23.25" x14ac:dyDescent="0.25">
      <c r="A9" s="406"/>
      <c r="B9" s="407"/>
      <c r="C9" s="6"/>
      <c r="D9" s="6"/>
      <c r="E9" s="415"/>
      <c r="F9" s="415"/>
      <c r="G9" s="415"/>
      <c r="H9" s="6"/>
      <c r="I9" s="361"/>
      <c r="J9" s="6"/>
      <c r="K9" s="6"/>
      <c r="L9" s="6"/>
      <c r="M9" s="6"/>
      <c r="N9" s="6"/>
      <c r="P9" s="6"/>
      <c r="Q9" s="6"/>
      <c r="R9" s="6"/>
      <c r="S9" s="6"/>
      <c r="T9" s="6"/>
      <c r="W9" s="6"/>
      <c r="X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13"/>
      <c r="AP9" s="22"/>
      <c r="AQ9" s="22"/>
      <c r="AR9" s="22"/>
      <c r="AS9" s="29"/>
      <c r="AT9" s="30" t="s">
        <v>169</v>
      </c>
      <c r="AU9" s="31">
        <v>250</v>
      </c>
      <c r="AV9" s="32">
        <v>250</v>
      </c>
      <c r="AW9" s="30" t="s">
        <v>169</v>
      </c>
      <c r="AX9" s="16"/>
      <c r="AZ9" s="363" t="s">
        <v>184</v>
      </c>
      <c r="BA9" s="113">
        <v>340</v>
      </c>
      <c r="BB9" s="113">
        <v>340</v>
      </c>
      <c r="BC9" s="363" t="s">
        <v>184</v>
      </c>
      <c r="BD9" s="34"/>
      <c r="BE9" s="35"/>
      <c r="BF9" s="38"/>
      <c r="BG9" s="38"/>
      <c r="BH9" s="6"/>
      <c r="BJ9" s="377"/>
      <c r="BK9" s="378"/>
      <c r="BL9" s="39"/>
      <c r="BN9" s="6"/>
      <c r="BO9" s="6"/>
      <c r="BP9" s="9"/>
      <c r="BQ9" s="9"/>
      <c r="BT9" s="6"/>
      <c r="BU9" s="6"/>
      <c r="CA9" s="13"/>
    </row>
    <row r="10" spans="1:79" ht="23.25" x14ac:dyDescent="0.25">
      <c r="A10" s="406"/>
      <c r="B10" s="407"/>
      <c r="C10" s="6"/>
      <c r="D10" s="6"/>
      <c r="E10" s="6"/>
      <c r="F10" s="6"/>
      <c r="G10" s="6"/>
      <c r="H10" s="6"/>
      <c r="I10" s="361"/>
      <c r="J10" s="6"/>
      <c r="K10" s="6"/>
      <c r="L10" s="6"/>
      <c r="M10" s="6"/>
      <c r="N10" s="6"/>
      <c r="P10" s="6"/>
      <c r="Q10" s="6"/>
      <c r="R10" s="6"/>
      <c r="S10" s="6"/>
      <c r="T10" s="6"/>
      <c r="U10" s="6"/>
      <c r="V10" s="6"/>
      <c r="W10" s="6"/>
      <c r="X10" s="6"/>
      <c r="AB10" s="6"/>
      <c r="AC10" s="6"/>
      <c r="AD10" s="6"/>
      <c r="AG10" s="6"/>
      <c r="AN10" s="13"/>
      <c r="AS10" s="29"/>
      <c r="AT10" s="30" t="s">
        <v>169</v>
      </c>
      <c r="AU10" s="31">
        <v>250</v>
      </c>
      <c r="AV10" s="32">
        <v>250</v>
      </c>
      <c r="AW10" s="30" t="s">
        <v>169</v>
      </c>
      <c r="AX10" s="16"/>
      <c r="AZ10" s="363" t="s">
        <v>184</v>
      </c>
      <c r="BA10" s="113">
        <v>340</v>
      </c>
      <c r="BB10" s="113">
        <v>340</v>
      </c>
      <c r="BC10" s="363" t="s">
        <v>184</v>
      </c>
      <c r="BD10" s="34"/>
      <c r="BE10" s="6"/>
      <c r="BF10" s="38"/>
      <c r="BG10" s="38"/>
      <c r="BJ10" s="377"/>
      <c r="BK10" s="378"/>
      <c r="BL10" s="39"/>
      <c r="BN10" s="6"/>
      <c r="BO10" s="6"/>
      <c r="BP10" s="9"/>
      <c r="BQ10" s="9"/>
      <c r="BU10" s="6"/>
      <c r="CA10" s="13"/>
    </row>
    <row r="11" spans="1:79" ht="23.25" x14ac:dyDescent="0.25">
      <c r="A11" s="406"/>
      <c r="B11" s="407"/>
      <c r="C11" s="6"/>
      <c r="D11" s="6"/>
      <c r="E11" s="6"/>
      <c r="F11" s="6"/>
      <c r="G11" s="6"/>
      <c r="H11" s="6"/>
      <c r="I11" s="361"/>
      <c r="J11" s="6"/>
      <c r="K11" s="6"/>
      <c r="L11" s="6"/>
      <c r="M11" s="6"/>
      <c r="N11" s="6"/>
      <c r="P11" s="6"/>
      <c r="Q11" s="6"/>
      <c r="R11" s="6"/>
      <c r="S11" s="6"/>
      <c r="V11" s="6"/>
      <c r="W11" s="6"/>
      <c r="Y11" s="20"/>
      <c r="Z11" s="20"/>
      <c r="AB11" s="6"/>
      <c r="AC11" s="6"/>
      <c r="AD11" s="6"/>
      <c r="AG11" s="6"/>
      <c r="AM11" s="34"/>
      <c r="AN11" s="13"/>
      <c r="AS11" s="29"/>
      <c r="AT11" s="30" t="s">
        <v>169</v>
      </c>
      <c r="AU11" s="31">
        <v>250</v>
      </c>
      <c r="AV11" s="32">
        <v>250</v>
      </c>
      <c r="AW11" s="30" t="s">
        <v>169</v>
      </c>
      <c r="AX11" s="16"/>
      <c r="AZ11" s="363" t="s">
        <v>184</v>
      </c>
      <c r="BA11" s="113">
        <v>340</v>
      </c>
      <c r="BB11" s="113">
        <v>340</v>
      </c>
      <c r="BC11" s="363" t="s">
        <v>184</v>
      </c>
      <c r="BD11" s="34"/>
      <c r="BE11" s="6"/>
      <c r="BF11" s="38"/>
      <c r="BG11" s="38"/>
      <c r="BJ11" s="377"/>
      <c r="BK11" s="378"/>
      <c r="BL11" s="39"/>
      <c r="BN11" s="6"/>
      <c r="BO11" s="6"/>
      <c r="BP11" s="9"/>
      <c r="BQ11" s="9"/>
      <c r="BT11" s="6"/>
      <c r="BU11" s="6"/>
      <c r="BW11" s="40"/>
      <c r="BX11" s="40"/>
      <c r="BY11" s="40"/>
      <c r="CA11" s="13"/>
    </row>
    <row r="12" spans="1:79" ht="18.75" x14ac:dyDescent="0.25">
      <c r="A12" s="406"/>
      <c r="B12" s="407"/>
      <c r="C12" s="6"/>
      <c r="D12" s="6"/>
      <c r="E12" s="6"/>
      <c r="F12" s="6"/>
      <c r="G12" s="6"/>
      <c r="H12" s="6"/>
      <c r="I12" s="361"/>
      <c r="J12" s="6"/>
      <c r="K12" s="6"/>
      <c r="L12" s="6"/>
      <c r="P12" s="6"/>
      <c r="Q12" s="6"/>
      <c r="R12" s="22"/>
      <c r="S12" s="22"/>
      <c r="U12" s="6"/>
      <c r="V12" s="6"/>
      <c r="W12" s="6"/>
      <c r="Y12" s="20"/>
      <c r="Z12" s="20"/>
      <c r="AB12" s="6"/>
      <c r="AC12" s="6"/>
      <c r="AD12" s="6"/>
      <c r="AE12" s="22"/>
      <c r="AF12" s="22"/>
      <c r="AG12" s="6"/>
      <c r="AJ12" s="22"/>
      <c r="AK12" s="22"/>
      <c r="AM12" s="34"/>
      <c r="AN12" s="13"/>
      <c r="AU12" s="25"/>
      <c r="AV12" s="25"/>
      <c r="AZ12" s="6"/>
      <c r="BA12" s="363"/>
      <c r="BB12" s="363"/>
      <c r="BE12" s="6"/>
      <c r="BN12" s="6"/>
      <c r="BP12" s="379"/>
      <c r="BQ12" s="379"/>
      <c r="BT12" s="6"/>
      <c r="BU12" s="6"/>
      <c r="BW12" s="40"/>
      <c r="BX12" s="40"/>
      <c r="BY12" s="40"/>
      <c r="CA12" s="13"/>
    </row>
    <row r="13" spans="1:79" ht="15.75" x14ac:dyDescent="0.25">
      <c r="A13" s="408"/>
      <c r="B13" s="409"/>
      <c r="C13" s="6"/>
      <c r="D13" s="6"/>
      <c r="E13" s="6"/>
      <c r="F13" s="6"/>
      <c r="G13" s="6"/>
      <c r="H13" s="6"/>
      <c r="I13" s="361"/>
      <c r="J13" s="6"/>
      <c r="K13" s="6"/>
      <c r="L13" s="6"/>
      <c r="P13" s="6"/>
      <c r="Q13" s="6"/>
      <c r="R13" s="22"/>
      <c r="S13" s="22"/>
      <c r="V13" s="6"/>
      <c r="W13" s="6"/>
      <c r="Y13" s="20"/>
      <c r="Z13" s="20"/>
      <c r="AB13" s="6"/>
      <c r="AC13" s="6"/>
      <c r="AD13" s="6"/>
      <c r="AE13" s="22"/>
      <c r="AF13" s="22"/>
      <c r="AG13" s="6"/>
      <c r="AJ13" s="22"/>
      <c r="AK13" s="22"/>
      <c r="AN13" s="13"/>
      <c r="AS13" s="16"/>
      <c r="AT13" s="6"/>
      <c r="BE13" s="6"/>
      <c r="BN13" s="6"/>
      <c r="BO13" s="6"/>
      <c r="BT13" s="6"/>
      <c r="BU13" s="6"/>
      <c r="CA13" s="13"/>
    </row>
    <row r="14" spans="1:79" ht="18.75" x14ac:dyDescent="0.25">
      <c r="A14" s="360"/>
      <c r="B14" s="6"/>
      <c r="C14" s="6"/>
      <c r="D14" s="6"/>
      <c r="E14" s="6"/>
      <c r="F14" s="6"/>
      <c r="G14" s="6"/>
      <c r="H14" s="6"/>
      <c r="I14" s="367"/>
      <c r="K14" s="6"/>
      <c r="L14" s="6"/>
      <c r="P14" s="6"/>
      <c r="Q14" s="6"/>
      <c r="R14" s="22"/>
      <c r="S14" s="22"/>
      <c r="U14" s="6"/>
      <c r="V14" s="6"/>
      <c r="W14" s="6"/>
      <c r="Y14" s="416"/>
      <c r="Z14" s="416"/>
      <c r="AB14" s="6"/>
      <c r="AC14" s="6"/>
      <c r="AD14" s="6"/>
      <c r="AE14" s="6"/>
      <c r="AF14" s="6"/>
      <c r="AG14" s="6"/>
      <c r="AJ14" s="6"/>
      <c r="AK14" s="6"/>
      <c r="AN14" s="13"/>
      <c r="AQ14" s="417" t="s">
        <v>177</v>
      </c>
      <c r="AR14" s="417"/>
      <c r="AS14" s="6"/>
      <c r="AT14" s="418" t="s">
        <v>192</v>
      </c>
      <c r="AU14" s="418"/>
      <c r="AV14" s="418" t="s">
        <v>178</v>
      </c>
      <c r="AW14" s="419"/>
      <c r="AY14" s="6"/>
      <c r="AZ14" s="413" t="s">
        <v>739</v>
      </c>
      <c r="BA14" s="413"/>
      <c r="BF14" s="418" t="s">
        <v>181</v>
      </c>
      <c r="BG14" s="418"/>
      <c r="BL14" s="417" t="s">
        <v>177</v>
      </c>
      <c r="BM14" s="417"/>
      <c r="BN14" s="6"/>
      <c r="BO14" s="6"/>
      <c r="BT14" s="6"/>
      <c r="BU14" s="6"/>
      <c r="CA14" s="13"/>
    </row>
    <row r="15" spans="1:79" ht="21" x14ac:dyDescent="0.25">
      <c r="A15" s="368"/>
      <c r="B15" s="369"/>
      <c r="C15" s="369"/>
      <c r="D15" s="369"/>
      <c r="E15" s="369"/>
      <c r="F15" s="369"/>
      <c r="G15" s="369"/>
      <c r="H15" s="369"/>
      <c r="I15" s="370"/>
      <c r="K15" s="6"/>
      <c r="L15" s="6"/>
      <c r="P15" s="6"/>
      <c r="Q15" s="6"/>
      <c r="U15" s="6"/>
      <c r="V15" s="6"/>
      <c r="W15" s="6"/>
      <c r="AB15" s="6"/>
      <c r="AC15" s="6"/>
      <c r="AD15" s="6"/>
      <c r="AG15" s="6"/>
      <c r="AH15" s="6"/>
      <c r="AI15" s="6"/>
      <c r="AJ15" s="6"/>
      <c r="AK15" s="6"/>
      <c r="AM15" s="6"/>
      <c r="AN15" s="13"/>
      <c r="AR15" s="45" t="s">
        <v>169</v>
      </c>
      <c r="AS15" s="6"/>
      <c r="AT15" s="14" t="s">
        <v>176</v>
      </c>
      <c r="AU15" s="27"/>
      <c r="AV15" s="27"/>
      <c r="AW15" s="6"/>
      <c r="AY15" s="6"/>
      <c r="AZ15" s="371"/>
      <c r="BA15" s="371"/>
      <c r="BB15" s="26" t="s">
        <v>740</v>
      </c>
      <c r="BC15" s="1"/>
      <c r="BF15" s="57"/>
      <c r="BG15" s="57"/>
      <c r="BH15" s="26" t="s">
        <v>183</v>
      </c>
      <c r="BL15" s="46"/>
      <c r="BM15" s="46"/>
      <c r="BO15" s="6"/>
      <c r="BP15" s="47"/>
      <c r="BQ15" s="47"/>
      <c r="BT15" s="6"/>
      <c r="BU15" s="6"/>
      <c r="BV15" s="420"/>
      <c r="BW15" s="420"/>
      <c r="BX15" s="420"/>
      <c r="BY15" s="420"/>
      <c r="BZ15" s="6"/>
      <c r="CA15" s="13"/>
    </row>
    <row r="16" spans="1:79" ht="23.25" x14ac:dyDescent="0.25">
      <c r="A16" s="48"/>
      <c r="B16" s="6"/>
      <c r="C16" s="6"/>
      <c r="D16" s="6"/>
      <c r="E16" s="6"/>
      <c r="F16" s="6"/>
      <c r="G16" s="6"/>
      <c r="K16" s="6"/>
      <c r="L16" s="6"/>
      <c r="M16" s="6"/>
      <c r="N16" s="6"/>
      <c r="P16" s="6"/>
      <c r="Q16" s="6"/>
      <c r="U16" s="6"/>
      <c r="V16" s="6"/>
      <c r="W16" s="6"/>
      <c r="X16" s="6"/>
      <c r="Y16" s="418" t="s">
        <v>171</v>
      </c>
      <c r="Z16" s="418"/>
      <c r="AA16" s="6"/>
      <c r="AB16" s="6"/>
      <c r="AC16" s="6"/>
      <c r="AD16" s="6"/>
      <c r="AG16" s="6"/>
      <c r="AH16" s="6"/>
      <c r="AI16" s="6"/>
      <c r="AM16" s="6"/>
      <c r="AN16" s="13"/>
      <c r="AR16" s="49">
        <v>250</v>
      </c>
      <c r="AS16" s="29"/>
      <c r="AT16" s="27" t="s">
        <v>169</v>
      </c>
      <c r="AU16" s="33">
        <v>250</v>
      </c>
      <c r="AV16" s="33">
        <v>250</v>
      </c>
      <c r="AW16" s="27" t="s">
        <v>169</v>
      </c>
      <c r="AX16" s="29"/>
      <c r="AY16" s="371" t="s">
        <v>184</v>
      </c>
      <c r="AZ16" s="372">
        <v>375</v>
      </c>
      <c r="BA16" s="372">
        <v>375</v>
      </c>
      <c r="BB16" s="371" t="s">
        <v>184</v>
      </c>
      <c r="BC16" s="16"/>
      <c r="BE16" s="62" t="s">
        <v>184</v>
      </c>
      <c r="BF16" s="63">
        <v>300</v>
      </c>
      <c r="BG16" s="63">
        <v>300</v>
      </c>
      <c r="BH16" s="62" t="s">
        <v>184</v>
      </c>
      <c r="BK16" s="45" t="s">
        <v>169</v>
      </c>
      <c r="BL16" s="50">
        <v>250</v>
      </c>
      <c r="BM16" s="49">
        <v>250</v>
      </c>
      <c r="BN16" s="45" t="s">
        <v>169</v>
      </c>
      <c r="BO16" s="6"/>
      <c r="BP16" s="47"/>
      <c r="BQ16" s="47"/>
      <c r="BT16" s="6"/>
      <c r="BV16" s="6"/>
      <c r="BZ16" s="6"/>
      <c r="CA16" s="13"/>
    </row>
    <row r="17" spans="1:79" ht="23.25" x14ac:dyDescent="0.25">
      <c r="A17" s="53"/>
      <c r="B17" s="48"/>
      <c r="C17" s="48"/>
      <c r="D17" s="6"/>
      <c r="E17" s="6"/>
      <c r="F17" s="6"/>
      <c r="G17" s="6"/>
      <c r="K17" s="6"/>
      <c r="L17" s="6"/>
      <c r="M17" s="6"/>
      <c r="N17" s="6"/>
      <c r="O17" s="6"/>
      <c r="P17" s="6"/>
      <c r="Q17" s="6"/>
      <c r="R17" s="6"/>
      <c r="S17" s="6"/>
      <c r="U17" s="6"/>
      <c r="V17" s="6"/>
      <c r="W17" s="6"/>
      <c r="X17" s="6"/>
      <c r="Y17" s="54"/>
      <c r="Z17" s="54"/>
      <c r="AA17" s="6"/>
      <c r="AB17" s="6"/>
      <c r="AC17" s="6"/>
      <c r="AD17" s="6"/>
      <c r="AG17" s="6"/>
      <c r="AH17" s="6"/>
      <c r="AI17" s="55"/>
      <c r="AJ17" s="418" t="s">
        <v>182</v>
      </c>
      <c r="AK17" s="418"/>
      <c r="AL17" s="29"/>
      <c r="AM17" s="6"/>
      <c r="AN17" s="13"/>
      <c r="AR17" s="49">
        <v>250</v>
      </c>
      <c r="AS17" s="29"/>
      <c r="AT17" s="27" t="s">
        <v>169</v>
      </c>
      <c r="AU17" s="33">
        <v>250</v>
      </c>
      <c r="AV17" s="36">
        <v>340</v>
      </c>
      <c r="AW17" s="37" t="s">
        <v>169</v>
      </c>
      <c r="AX17" s="29"/>
      <c r="AY17" s="371" t="s">
        <v>184</v>
      </c>
      <c r="AZ17" s="372">
        <v>375</v>
      </c>
      <c r="BA17" s="372">
        <v>375</v>
      </c>
      <c r="BB17" s="371" t="s">
        <v>184</v>
      </c>
      <c r="BC17" s="16"/>
      <c r="BE17" s="62" t="s">
        <v>184</v>
      </c>
      <c r="BF17" s="63">
        <v>300</v>
      </c>
      <c r="BG17" s="63">
        <v>300</v>
      </c>
      <c r="BH17" s="62" t="s">
        <v>184</v>
      </c>
      <c r="BK17" s="45" t="s">
        <v>169</v>
      </c>
      <c r="BL17" s="50">
        <v>250</v>
      </c>
      <c r="BM17" s="58">
        <v>250</v>
      </c>
      <c r="BN17" s="45" t="s">
        <v>169</v>
      </c>
      <c r="BO17" s="6"/>
      <c r="BP17" s="47"/>
      <c r="BQ17" s="47"/>
      <c r="BT17" s="6"/>
      <c r="BZ17" s="79"/>
      <c r="CA17" s="13"/>
    </row>
    <row r="18" spans="1:79" ht="23.25" x14ac:dyDescent="0.25">
      <c r="A18" s="53"/>
      <c r="B18" s="6"/>
      <c r="C18" s="6"/>
      <c r="D18" s="6"/>
      <c r="E18" s="6"/>
      <c r="F18" s="6"/>
      <c r="G18" s="6"/>
      <c r="K18" s="6"/>
      <c r="L18" s="6"/>
      <c r="O18" s="6"/>
      <c r="P18" s="16"/>
      <c r="Q18" s="16"/>
      <c r="R18" s="28"/>
      <c r="S18" s="28"/>
      <c r="U18" s="6"/>
      <c r="V18" s="6"/>
      <c r="W18" s="29"/>
      <c r="X18" s="54" t="s">
        <v>184</v>
      </c>
      <c r="Y18" s="59">
        <v>340</v>
      </c>
      <c r="Z18" s="60">
        <v>340</v>
      </c>
      <c r="AA18" s="54" t="s">
        <v>184</v>
      </c>
      <c r="AB18" s="34"/>
      <c r="AC18" s="6"/>
      <c r="AD18" s="6"/>
      <c r="AE18" s="61"/>
      <c r="AF18" s="61"/>
      <c r="AG18" s="6"/>
      <c r="AH18" s="6"/>
      <c r="AI18" s="14" t="s">
        <v>185</v>
      </c>
      <c r="AJ18" s="30"/>
      <c r="AK18" s="30"/>
      <c r="AM18" s="6"/>
      <c r="AN18" s="13"/>
      <c r="AO18" s="6"/>
      <c r="AP18" s="6"/>
      <c r="AR18" s="45" t="s">
        <v>169</v>
      </c>
      <c r="AS18" s="29"/>
      <c r="AT18" s="37" t="s">
        <v>169</v>
      </c>
      <c r="AU18" s="36">
        <v>340</v>
      </c>
      <c r="AV18" s="36">
        <v>340</v>
      </c>
      <c r="AW18" s="37" t="s">
        <v>169</v>
      </c>
      <c r="AX18" s="29"/>
      <c r="AY18" s="371" t="s">
        <v>184</v>
      </c>
      <c r="AZ18" s="372">
        <v>375</v>
      </c>
      <c r="BA18" s="372">
        <v>375</v>
      </c>
      <c r="BB18" s="371" t="s">
        <v>184</v>
      </c>
      <c r="BC18" s="16"/>
      <c r="BE18" s="62" t="s">
        <v>184</v>
      </c>
      <c r="BF18" s="63">
        <v>300</v>
      </c>
      <c r="BG18" s="63">
        <v>300</v>
      </c>
      <c r="BH18" s="62" t="s">
        <v>184</v>
      </c>
      <c r="BK18" s="45" t="s">
        <v>169</v>
      </c>
      <c r="BL18" s="49">
        <v>250</v>
      </c>
      <c r="BM18" s="49">
        <v>250</v>
      </c>
      <c r="BN18" s="45" t="s">
        <v>169</v>
      </c>
      <c r="BP18" s="379"/>
      <c r="BQ18" s="379"/>
      <c r="BS18" s="6"/>
      <c r="BT18" s="6"/>
      <c r="BW18" s="40"/>
      <c r="BX18" s="40"/>
      <c r="BY18" s="40"/>
      <c r="CA18" s="13"/>
    </row>
    <row r="19" spans="1:79" ht="24" thickBot="1" x14ac:dyDescent="0.3">
      <c r="A19" s="53"/>
      <c r="B19" s="64"/>
      <c r="C19" s="64"/>
      <c r="D19" s="65"/>
      <c r="E19" s="6"/>
      <c r="F19" s="6"/>
      <c r="G19" s="6"/>
      <c r="I19" s="421"/>
      <c r="J19" s="421"/>
      <c r="R19" s="28"/>
      <c r="S19" s="28"/>
      <c r="U19" s="6"/>
      <c r="V19" s="6"/>
      <c r="W19" s="29"/>
      <c r="X19" s="54" t="s">
        <v>184</v>
      </c>
      <c r="Y19" s="59">
        <v>340</v>
      </c>
      <c r="Z19" s="60">
        <v>340</v>
      </c>
      <c r="AA19" s="54" t="s">
        <v>184</v>
      </c>
      <c r="AB19" s="34"/>
      <c r="AC19" s="6"/>
      <c r="AD19" s="6"/>
      <c r="AE19" s="47"/>
      <c r="AF19" s="47"/>
      <c r="AG19" s="6"/>
      <c r="AH19" s="29"/>
      <c r="AI19" s="30" t="s">
        <v>169</v>
      </c>
      <c r="AJ19" s="66">
        <v>250</v>
      </c>
      <c r="AK19" s="66">
        <v>250</v>
      </c>
      <c r="AL19" s="30" t="s">
        <v>169</v>
      </c>
      <c r="AM19" s="34"/>
      <c r="AN19" s="13"/>
      <c r="AO19" s="6"/>
      <c r="AP19" s="6"/>
      <c r="AQ19" s="6"/>
      <c r="AR19" s="6"/>
      <c r="AS19" s="6"/>
      <c r="AU19" s="37"/>
      <c r="AV19" s="37"/>
      <c r="AY19" s="6"/>
      <c r="AZ19" s="371"/>
      <c r="BA19" s="371"/>
      <c r="BC19" s="35"/>
      <c r="BF19" s="57"/>
      <c r="BG19" s="57"/>
      <c r="BL19" s="46"/>
      <c r="BM19" s="46"/>
      <c r="BO19" s="6"/>
      <c r="BS19" s="6"/>
      <c r="BT19" s="6"/>
      <c r="BW19" s="40"/>
      <c r="BX19" s="40"/>
      <c r="BY19" s="40"/>
      <c r="CA19" s="13"/>
    </row>
    <row r="20" spans="1:79" ht="23.25" x14ac:dyDescent="0.25">
      <c r="A20" s="48"/>
      <c r="B20" s="48"/>
      <c r="C20" s="6"/>
      <c r="D20" s="48"/>
      <c r="E20" s="6"/>
      <c r="F20" s="6"/>
      <c r="G20" s="6"/>
      <c r="I20" s="38"/>
      <c r="J20" s="38"/>
      <c r="R20" s="28"/>
      <c r="S20" s="28"/>
      <c r="U20" s="6"/>
      <c r="V20" s="6"/>
      <c r="W20" s="29"/>
      <c r="X20" s="54" t="s">
        <v>184</v>
      </c>
      <c r="Y20" s="67">
        <v>340</v>
      </c>
      <c r="Z20" s="67">
        <v>340</v>
      </c>
      <c r="AA20" s="54" t="s">
        <v>184</v>
      </c>
      <c r="AB20" s="34"/>
      <c r="AC20" s="6"/>
      <c r="AD20" s="6"/>
      <c r="AE20" s="47"/>
      <c r="AF20" s="47"/>
      <c r="AG20" s="6"/>
      <c r="AH20" s="29"/>
      <c r="AI20" s="30" t="s">
        <v>169</v>
      </c>
      <c r="AJ20" s="56">
        <v>250</v>
      </c>
      <c r="AK20" s="56">
        <v>250</v>
      </c>
      <c r="AL20" s="30" t="s">
        <v>169</v>
      </c>
      <c r="AM20" s="34"/>
      <c r="AN20" s="434" t="s">
        <v>186</v>
      </c>
      <c r="AO20" s="6"/>
      <c r="AQ20" s="68"/>
      <c r="AT20" s="6"/>
      <c r="BC20" s="6"/>
      <c r="BT20" s="6"/>
      <c r="CA20" s="13"/>
    </row>
    <row r="21" spans="1:79" ht="23.25" x14ac:dyDescent="0.25">
      <c r="B21" s="48"/>
      <c r="C21" s="6"/>
      <c r="D21" s="48"/>
      <c r="E21" s="6"/>
      <c r="F21" s="6"/>
      <c r="G21" s="6"/>
      <c r="I21" s="6"/>
      <c r="J21" s="6"/>
      <c r="L21" s="6"/>
      <c r="M21" s="28"/>
      <c r="N21" s="28"/>
      <c r="O21" s="6"/>
      <c r="P21" s="16"/>
      <c r="Q21" s="16"/>
      <c r="R21" s="28"/>
      <c r="S21" s="28"/>
      <c r="W21" s="29"/>
      <c r="X21" s="54" t="s">
        <v>184</v>
      </c>
      <c r="Y21" s="59">
        <v>340</v>
      </c>
      <c r="Z21" s="67">
        <v>340</v>
      </c>
      <c r="AA21" s="54" t="s">
        <v>184</v>
      </c>
      <c r="AB21" s="34"/>
      <c r="AC21" s="6"/>
      <c r="AD21" s="6"/>
      <c r="AE21" s="47"/>
      <c r="AF21" s="47"/>
      <c r="AG21" s="6"/>
      <c r="AH21" s="6"/>
      <c r="AI21" s="6"/>
      <c r="AJ21" s="30"/>
      <c r="AK21" s="30"/>
      <c r="AL21" s="6"/>
      <c r="AM21" s="34"/>
      <c r="AN21" s="435"/>
      <c r="AO21" s="6"/>
      <c r="AQ21" s="68"/>
      <c r="AX21" s="6"/>
      <c r="AY21" s="6"/>
      <c r="AZ21" s="6"/>
      <c r="BA21" s="6"/>
      <c r="BB21" s="6"/>
      <c r="BC21" s="6"/>
      <c r="BI21" s="51"/>
      <c r="BO21" s="6"/>
      <c r="BP21" s="418" t="s">
        <v>171</v>
      </c>
      <c r="BQ21" s="418"/>
      <c r="BR21" s="6"/>
      <c r="BS21" s="6"/>
      <c r="BV21" s="6"/>
      <c r="BZ21" s="6"/>
      <c r="CA21" s="13"/>
    </row>
    <row r="22" spans="1:79" ht="21" x14ac:dyDescent="0.25">
      <c r="A22" s="48"/>
      <c r="B22" s="53"/>
      <c r="C22" s="48"/>
      <c r="D22" s="53"/>
      <c r="E22" s="48"/>
      <c r="F22" s="6"/>
      <c r="G22" s="6"/>
      <c r="I22" s="38"/>
      <c r="J22" s="38"/>
      <c r="L22" s="6"/>
      <c r="M22" s="28"/>
      <c r="N22" s="28"/>
      <c r="P22" s="6"/>
      <c r="W22" s="6"/>
      <c r="X22" s="6"/>
      <c r="Y22" s="54"/>
      <c r="Z22" s="5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435"/>
      <c r="AO22" s="6"/>
      <c r="AQ22" s="380"/>
      <c r="AU22" s="418" t="s">
        <v>192</v>
      </c>
      <c r="AV22" s="418"/>
      <c r="AX22" s="6"/>
      <c r="AY22" s="19" t="s">
        <v>187</v>
      </c>
      <c r="AZ22" s="418" t="s">
        <v>177</v>
      </c>
      <c r="BA22" s="418"/>
      <c r="BB22" s="6"/>
      <c r="BC22" s="6"/>
      <c r="BF22" s="418" t="s">
        <v>192</v>
      </c>
      <c r="BG22" s="418"/>
      <c r="BK22" s="71"/>
      <c r="BL22" s="71"/>
      <c r="BO22" s="14" t="s">
        <v>188</v>
      </c>
      <c r="BP22" s="72"/>
      <c r="BQ22" s="72"/>
      <c r="BR22" s="26" t="s">
        <v>189</v>
      </c>
      <c r="BS22" s="6"/>
      <c r="BU22" s="6"/>
      <c r="BV22" s="6"/>
      <c r="BW22" s="6"/>
      <c r="BX22" s="6"/>
      <c r="BY22" s="6"/>
      <c r="BZ22" s="6"/>
      <c r="CA22" s="13"/>
    </row>
    <row r="23" spans="1:79" ht="23.25" x14ac:dyDescent="0.3">
      <c r="A23" s="426"/>
      <c r="B23" s="426"/>
      <c r="C23" s="426"/>
      <c r="D23" s="426"/>
      <c r="E23" s="426"/>
      <c r="F23" s="6"/>
      <c r="G23" s="6"/>
      <c r="H23" s="6"/>
      <c r="I23" s="6"/>
      <c r="J23" s="6"/>
      <c r="M23" s="28"/>
      <c r="N23" s="28"/>
      <c r="P23" s="6"/>
      <c r="V23" s="6"/>
      <c r="W23" s="6"/>
      <c r="X23" s="6"/>
      <c r="Y23" s="6"/>
      <c r="Z23" s="6"/>
      <c r="AA23" s="6"/>
      <c r="AB23" s="6"/>
      <c r="AC23" s="6"/>
      <c r="AD23" s="6"/>
      <c r="AM23" s="6"/>
      <c r="AN23" s="435"/>
      <c r="AO23" s="6"/>
      <c r="AR23" s="20"/>
      <c r="AS23" s="29"/>
      <c r="AT23" s="14" t="s">
        <v>179</v>
      </c>
      <c r="AU23" s="25"/>
      <c r="AV23" s="25"/>
      <c r="AW23" s="26" t="s">
        <v>180</v>
      </c>
      <c r="AX23" s="6"/>
      <c r="AY23" s="14" t="s">
        <v>190</v>
      </c>
      <c r="AZ23" s="30"/>
      <c r="BA23" s="30"/>
      <c r="BB23" s="26" t="s">
        <v>191</v>
      </c>
      <c r="BC23" s="6"/>
      <c r="BE23" s="14" t="s">
        <v>195</v>
      </c>
      <c r="BF23" s="76"/>
      <c r="BG23" s="76"/>
      <c r="BH23" s="26" t="s">
        <v>196</v>
      </c>
      <c r="BK23" s="47"/>
      <c r="BL23" s="47"/>
      <c r="BN23" s="29"/>
      <c r="BO23" s="72" t="s">
        <v>184</v>
      </c>
      <c r="BP23" s="73">
        <v>340</v>
      </c>
      <c r="BQ23" s="73">
        <v>340</v>
      </c>
      <c r="BR23" s="72" t="s">
        <v>184</v>
      </c>
      <c r="BS23" s="34"/>
      <c r="BU23" s="6"/>
      <c r="BV23" s="6"/>
      <c r="BW23" s="52"/>
      <c r="BX23" s="52"/>
      <c r="BY23" s="52"/>
      <c r="CA23" s="13"/>
    </row>
    <row r="24" spans="1:79" ht="23.25" x14ac:dyDescent="0.3">
      <c r="A24" s="427" t="s">
        <v>193</v>
      </c>
      <c r="B24" s="405"/>
      <c r="C24" s="430" t="s">
        <v>194</v>
      </c>
      <c r="D24" s="431"/>
      <c r="E24" s="405"/>
      <c r="F24" s="6"/>
      <c r="G24" s="6"/>
      <c r="H24" s="6"/>
      <c r="I24" s="38"/>
      <c r="J24" s="38"/>
      <c r="V24" s="6"/>
      <c r="AE24" s="12"/>
      <c r="AF24" s="12"/>
      <c r="AM24" s="6"/>
      <c r="AN24" s="435"/>
      <c r="AO24" s="6"/>
      <c r="AR24" s="20"/>
      <c r="AS24" s="29"/>
      <c r="AT24" s="30" t="s">
        <v>169</v>
      </c>
      <c r="AU24" s="56">
        <v>250</v>
      </c>
      <c r="AV24" s="56">
        <v>250</v>
      </c>
      <c r="AW24" s="30" t="s">
        <v>169</v>
      </c>
      <c r="AX24" s="29"/>
      <c r="AY24" s="30" t="s">
        <v>169</v>
      </c>
      <c r="AZ24" s="66">
        <v>250</v>
      </c>
      <c r="BA24" s="66">
        <v>250</v>
      </c>
      <c r="BB24" s="30" t="s">
        <v>169</v>
      </c>
      <c r="BC24" s="34"/>
      <c r="BD24" s="29"/>
      <c r="BE24" s="77" t="s">
        <v>169</v>
      </c>
      <c r="BF24" s="78">
        <v>250</v>
      </c>
      <c r="BG24" s="78">
        <v>250</v>
      </c>
      <c r="BH24" s="77" t="s">
        <v>169</v>
      </c>
      <c r="BI24" s="34"/>
      <c r="BK24" s="47"/>
      <c r="BL24" s="47"/>
      <c r="BN24" s="29"/>
      <c r="BO24" s="72" t="s">
        <v>184</v>
      </c>
      <c r="BP24" s="73">
        <v>340</v>
      </c>
      <c r="BQ24" s="73">
        <v>340</v>
      </c>
      <c r="BR24" s="72" t="s">
        <v>184</v>
      </c>
      <c r="BS24" s="34"/>
      <c r="BU24" s="13"/>
      <c r="BV24" s="52"/>
      <c r="BZ24" s="52"/>
      <c r="CA24" s="13"/>
    </row>
    <row r="25" spans="1:79" ht="23.25" x14ac:dyDescent="0.3">
      <c r="A25" s="428"/>
      <c r="B25" s="407"/>
      <c r="C25" s="415"/>
      <c r="D25" s="415"/>
      <c r="E25" s="407"/>
      <c r="F25" s="6"/>
      <c r="G25" s="6"/>
      <c r="H25" s="6"/>
      <c r="I25" s="6"/>
      <c r="J25" s="6"/>
      <c r="K25" s="6"/>
      <c r="M25" s="22"/>
      <c r="N25" s="22"/>
      <c r="O25" s="6"/>
      <c r="P25" s="6"/>
      <c r="Q25" s="6"/>
      <c r="R25" s="38"/>
      <c r="S25" s="38"/>
      <c r="T25" s="6"/>
      <c r="U25" s="6"/>
      <c r="V25" s="16"/>
      <c r="Y25" s="10"/>
      <c r="Z25" s="10"/>
      <c r="AC25" s="6"/>
      <c r="AD25" s="6"/>
      <c r="AE25" s="12"/>
      <c r="AF25" s="12"/>
      <c r="AM25" s="6"/>
      <c r="AN25" s="435"/>
      <c r="AO25" s="6"/>
      <c r="AS25" s="29"/>
      <c r="AT25" s="30" t="s">
        <v>169</v>
      </c>
      <c r="AU25" s="56">
        <v>250</v>
      </c>
      <c r="AV25" s="56">
        <v>250</v>
      </c>
      <c r="AW25" s="30" t="s">
        <v>169</v>
      </c>
      <c r="AX25" s="29"/>
      <c r="AY25" s="30" t="s">
        <v>169</v>
      </c>
      <c r="AZ25" s="66">
        <v>250</v>
      </c>
      <c r="BA25" s="66">
        <v>250</v>
      </c>
      <c r="BB25" s="30" t="s">
        <v>169</v>
      </c>
      <c r="BC25" s="34"/>
      <c r="BD25" s="29"/>
      <c r="BE25" s="77" t="s">
        <v>169</v>
      </c>
      <c r="BF25" s="78">
        <v>250</v>
      </c>
      <c r="BG25" s="78">
        <v>250</v>
      </c>
      <c r="BH25" s="77" t="s">
        <v>169</v>
      </c>
      <c r="BI25" s="34"/>
      <c r="BK25" s="47"/>
      <c r="BL25" s="47"/>
      <c r="BN25" s="29"/>
      <c r="BO25" s="72" t="s">
        <v>184</v>
      </c>
      <c r="BP25" s="73">
        <v>340</v>
      </c>
      <c r="BQ25" s="73">
        <v>340</v>
      </c>
      <c r="BR25" s="72" t="s">
        <v>184</v>
      </c>
      <c r="BS25" s="34"/>
      <c r="BU25" s="52"/>
      <c r="BW25" s="40"/>
      <c r="BX25" s="40"/>
      <c r="BY25" s="40"/>
      <c r="CA25" s="52"/>
    </row>
    <row r="26" spans="1:79" ht="24" thickBot="1" x14ac:dyDescent="0.35">
      <c r="A26" s="428"/>
      <c r="B26" s="407"/>
      <c r="C26" s="415"/>
      <c r="D26" s="415"/>
      <c r="E26" s="407"/>
      <c r="F26" s="6"/>
      <c r="G26" s="6"/>
      <c r="H26" s="6"/>
      <c r="I26" s="6"/>
      <c r="J26" s="6"/>
      <c r="K26" s="6"/>
      <c r="L26" s="6"/>
      <c r="M26" s="22"/>
      <c r="N26" s="22"/>
      <c r="R26" s="38"/>
      <c r="S26" s="38"/>
      <c r="Y26" s="10"/>
      <c r="Z26" s="10"/>
      <c r="AC26" s="6"/>
      <c r="AD26" s="6"/>
      <c r="AE26" s="12"/>
      <c r="AF26" s="12"/>
      <c r="AN26" s="436"/>
      <c r="AO26" s="6"/>
      <c r="AQ26" s="381"/>
      <c r="AT26" s="30" t="s">
        <v>169</v>
      </c>
      <c r="AU26" s="56">
        <v>250</v>
      </c>
      <c r="AV26" s="56">
        <v>250</v>
      </c>
      <c r="AW26" s="30" t="s">
        <v>169</v>
      </c>
      <c r="AX26" s="29"/>
      <c r="AY26" s="30" t="s">
        <v>169</v>
      </c>
      <c r="AZ26" s="66">
        <v>250</v>
      </c>
      <c r="BA26" s="66">
        <v>250</v>
      </c>
      <c r="BB26" s="30" t="s">
        <v>169</v>
      </c>
      <c r="BC26" s="34"/>
      <c r="BD26" s="29"/>
      <c r="BE26" s="77" t="s">
        <v>169</v>
      </c>
      <c r="BF26" s="78">
        <v>250</v>
      </c>
      <c r="BG26" s="78">
        <v>250</v>
      </c>
      <c r="BH26" s="77" t="s">
        <v>169</v>
      </c>
      <c r="BI26" s="34"/>
      <c r="BN26" s="29"/>
      <c r="BO26" s="72" t="s">
        <v>184</v>
      </c>
      <c r="BP26" s="73">
        <v>340</v>
      </c>
      <c r="BQ26" s="73">
        <v>340</v>
      </c>
      <c r="BR26" s="72" t="s">
        <v>184</v>
      </c>
      <c r="BS26" s="34"/>
      <c r="BU26" s="52"/>
      <c r="BW26" s="40"/>
      <c r="BX26" s="40"/>
      <c r="BY26" s="40"/>
      <c r="CA26" s="52"/>
    </row>
    <row r="27" spans="1:79" ht="24" thickBot="1" x14ac:dyDescent="0.35">
      <c r="A27" s="428"/>
      <c r="B27" s="407"/>
      <c r="C27" s="415"/>
      <c r="D27" s="415"/>
      <c r="E27" s="407"/>
      <c r="F27" s="6"/>
      <c r="G27" s="80"/>
      <c r="H27" s="6"/>
      <c r="I27" s="6"/>
      <c r="J27" s="6"/>
      <c r="K27" s="6"/>
      <c r="L27" s="6"/>
      <c r="M27" s="22"/>
      <c r="N27" s="22"/>
      <c r="R27" s="38"/>
      <c r="S27" s="38"/>
      <c r="Y27" s="10"/>
      <c r="Z27" s="10"/>
      <c r="AC27" s="6"/>
      <c r="AD27" s="6"/>
      <c r="AE27" s="433"/>
      <c r="AF27" s="433"/>
      <c r="AN27" s="13"/>
      <c r="AO27" s="6"/>
      <c r="AT27" s="6"/>
      <c r="AU27" s="25"/>
      <c r="AV27" s="25"/>
      <c r="AW27" s="6"/>
      <c r="AX27" s="29"/>
      <c r="AY27" s="30" t="s">
        <v>169</v>
      </c>
      <c r="AZ27" s="66">
        <v>250</v>
      </c>
      <c r="BA27" s="66">
        <v>250</v>
      </c>
      <c r="BB27" s="30" t="s">
        <v>169</v>
      </c>
      <c r="BC27" s="34"/>
      <c r="BD27" s="29"/>
      <c r="BE27" s="77" t="s">
        <v>169</v>
      </c>
      <c r="BF27" s="78">
        <v>250</v>
      </c>
      <c r="BG27" s="78">
        <v>250</v>
      </c>
      <c r="BH27" s="77" t="s">
        <v>169</v>
      </c>
      <c r="BI27" s="34"/>
      <c r="BO27" s="52"/>
      <c r="BP27" s="72"/>
      <c r="BQ27" s="72"/>
      <c r="BR27" s="52"/>
      <c r="BS27" s="6"/>
      <c r="BU27" s="6"/>
      <c r="BV27" s="52"/>
      <c r="BZ27" s="52"/>
      <c r="CA27" s="13"/>
    </row>
    <row r="28" spans="1:79" ht="19.5" thickBot="1" x14ac:dyDescent="0.35">
      <c r="A28" s="428"/>
      <c r="B28" s="407"/>
      <c r="C28" s="415"/>
      <c r="D28" s="415"/>
      <c r="E28" s="407"/>
      <c r="F28" s="6"/>
      <c r="G28" s="29"/>
      <c r="H28" s="6"/>
      <c r="I28" s="6"/>
      <c r="J28" s="6"/>
      <c r="K28" s="6"/>
      <c r="L28" s="6"/>
      <c r="M28" s="6"/>
      <c r="N28" s="6"/>
      <c r="O28" s="6"/>
      <c r="P28" s="6"/>
      <c r="U28" s="6"/>
      <c r="AC28" s="6"/>
      <c r="AD28" s="6"/>
      <c r="AE28" s="6"/>
      <c r="AF28" s="6"/>
      <c r="AN28" s="13"/>
      <c r="AO28" s="6"/>
      <c r="AT28" s="6"/>
      <c r="AW28" s="6"/>
      <c r="AX28" s="6"/>
      <c r="AY28" s="6"/>
      <c r="AZ28" s="30"/>
      <c r="BA28" s="30"/>
      <c r="BB28" s="6"/>
      <c r="BC28" s="6"/>
      <c r="BF28" s="76"/>
      <c r="BG28" s="76"/>
      <c r="BJ28" s="422"/>
      <c r="BK28" s="422"/>
      <c r="BV28" s="6"/>
      <c r="BW28" s="52"/>
      <c r="BX28" s="52"/>
      <c r="BY28" s="52"/>
      <c r="BZ28" s="6"/>
      <c r="CA28" s="13"/>
    </row>
    <row r="29" spans="1:79" ht="15.75" thickBot="1" x14ac:dyDescent="0.3">
      <c r="A29" s="428"/>
      <c r="B29" s="407"/>
      <c r="C29" s="415"/>
      <c r="D29" s="415"/>
      <c r="E29" s="407"/>
      <c r="F29" s="6"/>
      <c r="G29" s="29"/>
      <c r="H29" s="6"/>
      <c r="I29" s="6"/>
      <c r="J29" s="6"/>
      <c r="K29" s="6"/>
      <c r="L29" s="6"/>
      <c r="M29" s="422"/>
      <c r="N29" s="422"/>
      <c r="O29" s="6"/>
      <c r="P29" s="6"/>
      <c r="Q29" s="6"/>
      <c r="T29" s="6"/>
      <c r="U29" s="6"/>
      <c r="AC29" s="6"/>
      <c r="AD29" s="6"/>
      <c r="AE29" s="6"/>
      <c r="AF29" s="6"/>
      <c r="AG29" s="6"/>
      <c r="AN29" s="13"/>
      <c r="AO29" s="6"/>
      <c r="AT29" s="6"/>
      <c r="AW29" s="6"/>
      <c r="AX29" s="6"/>
      <c r="BC29" s="6"/>
      <c r="BJ29" s="423"/>
      <c r="BK29" s="423"/>
      <c r="BL29" s="6"/>
      <c r="BM29" s="6"/>
      <c r="BN29" s="6"/>
      <c r="BO29" s="6"/>
      <c r="BP29" s="6"/>
      <c r="BQ29" s="6"/>
      <c r="BR29" s="6"/>
      <c r="BS29" s="6"/>
      <c r="CA29" s="13"/>
    </row>
    <row r="30" spans="1:79" ht="21.75" thickBot="1" x14ac:dyDescent="0.3">
      <c r="A30" s="428"/>
      <c r="B30" s="407"/>
      <c r="C30" s="415"/>
      <c r="D30" s="415"/>
      <c r="E30" s="407"/>
      <c r="F30" s="6"/>
      <c r="G30" s="6"/>
      <c r="H30" s="6"/>
      <c r="K30" s="6"/>
      <c r="L30" s="6"/>
      <c r="M30" s="423"/>
      <c r="N30" s="423"/>
      <c r="O30" s="6"/>
      <c r="P30" s="6"/>
      <c r="Q30" s="14"/>
      <c r="T30" s="81"/>
      <c r="U30" s="6"/>
      <c r="AC30" s="6"/>
      <c r="AD30" s="6"/>
      <c r="AE30" s="6"/>
      <c r="AF30" s="6"/>
      <c r="AG30" s="6"/>
      <c r="AN30" s="13"/>
      <c r="AO30" s="6"/>
      <c r="AT30" s="6"/>
      <c r="BI30" s="6"/>
      <c r="BJ30" s="6"/>
      <c r="BK30" s="6"/>
      <c r="BL30" s="6"/>
      <c r="BM30" s="6"/>
      <c r="BN30" s="6"/>
      <c r="BO30" s="6"/>
      <c r="BP30" s="6"/>
      <c r="BQ30" s="6"/>
      <c r="BS30" s="6"/>
      <c r="BZ30" s="6"/>
      <c r="CA30" s="13"/>
    </row>
    <row r="31" spans="1:79" ht="18.75" x14ac:dyDescent="0.25">
      <c r="A31" s="428"/>
      <c r="B31" s="407"/>
      <c r="C31" s="432"/>
      <c r="D31" s="432"/>
      <c r="E31" s="409"/>
      <c r="F31" s="6"/>
      <c r="G31" s="6"/>
      <c r="H31" s="6"/>
      <c r="K31" s="6"/>
      <c r="M31" s="6"/>
      <c r="N31" s="6"/>
      <c r="O31" s="6"/>
      <c r="P31" s="6"/>
      <c r="Q31" s="82"/>
      <c r="T31" s="82"/>
      <c r="U31" s="6"/>
      <c r="AC31" s="6"/>
      <c r="AG31" s="6"/>
      <c r="AH31" s="6"/>
      <c r="AN31" s="13"/>
      <c r="AO31" s="6"/>
      <c r="AT31" s="418" t="s">
        <v>182</v>
      </c>
      <c r="AU31" s="424"/>
      <c r="AV31" s="424"/>
      <c r="AW31" s="424"/>
      <c r="BI31" s="6"/>
      <c r="BL31" s="6"/>
      <c r="BM31" s="6"/>
      <c r="BN31" s="6"/>
      <c r="BS31" s="6"/>
      <c r="BV31" s="74"/>
      <c r="BW31" s="83"/>
      <c r="BX31" s="83"/>
      <c r="BY31" s="83"/>
      <c r="CA31" s="13"/>
    </row>
    <row r="32" spans="1:79" ht="21" x14ac:dyDescent="0.25">
      <c r="A32" s="428"/>
      <c r="B32" s="407"/>
      <c r="C32" s="6"/>
      <c r="D32" s="6"/>
      <c r="E32" s="6"/>
      <c r="F32" s="6"/>
      <c r="G32" s="6"/>
      <c r="H32" s="6"/>
      <c r="K32" s="6"/>
      <c r="L32" s="6"/>
      <c r="O32" s="6"/>
      <c r="P32" s="6"/>
      <c r="Q32" s="82"/>
      <c r="R32" s="82"/>
      <c r="S32" s="82"/>
      <c r="T32" s="6"/>
      <c r="U32" s="6"/>
      <c r="AC32" s="6"/>
      <c r="AG32" s="6"/>
      <c r="AH32" s="6"/>
      <c r="AN32" s="13"/>
      <c r="AO32" s="6"/>
      <c r="AT32" s="6"/>
      <c r="AU32" s="25"/>
      <c r="AV32" s="25"/>
      <c r="AW32" s="16"/>
      <c r="AZ32" s="45"/>
      <c r="BA32" s="45"/>
      <c r="BE32" s="54"/>
      <c r="BF32" s="54"/>
      <c r="BM32" s="6"/>
      <c r="BV32" s="74"/>
      <c r="CA32" s="13"/>
    </row>
    <row r="33" spans="1:79" ht="23.25" x14ac:dyDescent="0.25">
      <c r="A33" s="428"/>
      <c r="B33" s="407"/>
      <c r="C33" s="6"/>
      <c r="D33" s="6"/>
      <c r="E33" s="6"/>
      <c r="F33" s="6"/>
      <c r="G33" s="6"/>
      <c r="H33" s="425" t="s">
        <v>203</v>
      </c>
      <c r="I33" s="425"/>
      <c r="J33" s="425"/>
      <c r="K33" s="425"/>
      <c r="Q33" s="82"/>
      <c r="R33" s="437"/>
      <c r="S33" s="437"/>
      <c r="AN33" s="13"/>
      <c r="AO33" s="10"/>
      <c r="AP33" s="10"/>
      <c r="AQ33" s="10"/>
      <c r="AR33" s="10"/>
      <c r="AS33" s="29"/>
      <c r="AT33" s="30" t="s">
        <v>169</v>
      </c>
      <c r="AU33" s="31">
        <v>250</v>
      </c>
      <c r="AV33" s="56">
        <v>250</v>
      </c>
      <c r="AW33" s="30" t="s">
        <v>169</v>
      </c>
      <c r="AX33" s="16"/>
      <c r="AY33" s="45" t="s">
        <v>169</v>
      </c>
      <c r="AZ33" s="49">
        <v>250</v>
      </c>
      <c r="BA33" s="58">
        <v>250</v>
      </c>
      <c r="BB33" s="45" t="s">
        <v>169</v>
      </c>
      <c r="BC33" s="16"/>
      <c r="BD33" s="54" t="s">
        <v>184</v>
      </c>
      <c r="BE33" s="59">
        <v>340</v>
      </c>
      <c r="BF33" s="67">
        <v>340</v>
      </c>
      <c r="BG33" s="54" t="s">
        <v>184</v>
      </c>
      <c r="BI33" s="74"/>
      <c r="BM33" s="6"/>
      <c r="BW33" s="40"/>
      <c r="BX33" s="40"/>
      <c r="BY33" s="40"/>
      <c r="CA33" s="13"/>
    </row>
    <row r="34" spans="1:79" ht="23.25" x14ac:dyDescent="0.25">
      <c r="A34" s="428"/>
      <c r="B34" s="407"/>
      <c r="C34" s="6"/>
      <c r="D34" s="6"/>
      <c r="E34" s="6"/>
      <c r="F34" s="6"/>
      <c r="G34" s="19"/>
      <c r="H34" s="6"/>
      <c r="I34" s="363"/>
      <c r="J34" s="363"/>
      <c r="K34" s="6"/>
      <c r="Q34" s="82"/>
      <c r="R34" s="10"/>
      <c r="S34" s="10"/>
      <c r="Y34" s="22"/>
      <c r="Z34" s="22"/>
      <c r="AE34" s="438"/>
      <c r="AF34" s="438"/>
      <c r="AN34" s="13"/>
      <c r="AO34" s="10"/>
      <c r="AP34" s="10"/>
      <c r="AQ34" s="10"/>
      <c r="AR34" s="10"/>
      <c r="AS34" s="29"/>
      <c r="AT34" s="30" t="s">
        <v>169</v>
      </c>
      <c r="AU34" s="32">
        <v>250</v>
      </c>
      <c r="AV34" s="56">
        <v>250</v>
      </c>
      <c r="AW34" s="30" t="s">
        <v>169</v>
      </c>
      <c r="AX34" s="16"/>
      <c r="AY34" s="45" t="s">
        <v>169</v>
      </c>
      <c r="AZ34" s="49">
        <v>250</v>
      </c>
      <c r="BA34" s="50">
        <v>250</v>
      </c>
      <c r="BB34" s="45" t="s">
        <v>169</v>
      </c>
      <c r="BC34" s="16"/>
      <c r="BD34" s="54" t="s">
        <v>184</v>
      </c>
      <c r="BE34" s="59">
        <v>340</v>
      </c>
      <c r="BF34" s="67">
        <v>340</v>
      </c>
      <c r="BG34" s="54" t="s">
        <v>184</v>
      </c>
      <c r="BJ34" s="40"/>
      <c r="BK34" s="40"/>
      <c r="BM34" s="6"/>
      <c r="BP34" s="40"/>
      <c r="BQ34" s="40"/>
      <c r="BW34" s="40"/>
      <c r="BX34" s="40"/>
      <c r="BY34" s="40"/>
      <c r="CA34" s="13"/>
    </row>
    <row r="35" spans="1:79" ht="23.25" x14ac:dyDescent="0.25">
      <c r="A35" s="429"/>
      <c r="B35" s="409"/>
      <c r="C35" s="6"/>
      <c r="D35" s="6"/>
      <c r="E35" s="6"/>
      <c r="F35" s="6"/>
      <c r="G35" s="19"/>
      <c r="H35" s="363" t="s">
        <v>184</v>
      </c>
      <c r="I35" s="218">
        <v>340</v>
      </c>
      <c r="J35" s="218">
        <v>340</v>
      </c>
      <c r="K35" s="363" t="s">
        <v>184</v>
      </c>
      <c r="L35" s="19"/>
      <c r="M35" s="22"/>
      <c r="N35" s="22"/>
      <c r="R35" s="10"/>
      <c r="S35" s="10"/>
      <c r="Y35" s="22"/>
      <c r="Z35" s="22"/>
      <c r="AE35" s="38"/>
      <c r="AF35" s="38"/>
      <c r="AN35" s="13"/>
      <c r="AO35" s="6"/>
      <c r="AP35" s="6"/>
      <c r="AQ35" s="6"/>
      <c r="AR35" s="6"/>
      <c r="AS35" s="6"/>
      <c r="AT35" s="16"/>
      <c r="AU35" s="25"/>
      <c r="AV35" s="25"/>
      <c r="AW35" s="16"/>
      <c r="AZ35" s="45"/>
      <c r="BA35" s="45"/>
      <c r="BE35" s="54"/>
      <c r="BF35" s="54"/>
      <c r="BJ35" s="40"/>
      <c r="BK35" s="40"/>
      <c r="BM35" s="6"/>
      <c r="BP35" s="40"/>
      <c r="BQ35" s="40"/>
      <c r="BT35" s="6"/>
      <c r="BU35" s="6"/>
      <c r="CA35" s="13"/>
    </row>
    <row r="36" spans="1:79" ht="23.25" x14ac:dyDescent="0.25">
      <c r="A36" s="5"/>
      <c r="B36" s="6"/>
      <c r="C36" s="6"/>
      <c r="D36" s="6"/>
      <c r="E36" s="6"/>
      <c r="F36" s="6"/>
      <c r="G36" s="19"/>
      <c r="H36" s="363" t="s">
        <v>184</v>
      </c>
      <c r="I36" s="218">
        <v>340</v>
      </c>
      <c r="J36" s="218">
        <v>340</v>
      </c>
      <c r="K36" s="363" t="s">
        <v>184</v>
      </c>
      <c r="L36" s="19"/>
      <c r="M36" s="22"/>
      <c r="N36" s="22"/>
      <c r="R36" s="10"/>
      <c r="S36" s="10"/>
      <c r="Y36" s="22"/>
      <c r="Z36" s="22"/>
      <c r="AE36" s="38"/>
      <c r="AF36" s="38"/>
      <c r="AN36" s="13"/>
      <c r="AO36" s="6"/>
      <c r="AP36" s="6"/>
      <c r="AQ36" s="6"/>
      <c r="AR36" s="6"/>
      <c r="AS36" s="6"/>
      <c r="AY36" s="418" t="s">
        <v>182</v>
      </c>
      <c r="AZ36" s="424"/>
      <c r="BA36" s="424"/>
      <c r="BB36" s="424"/>
      <c r="BD36" s="418" t="s">
        <v>171</v>
      </c>
      <c r="BE36" s="418"/>
      <c r="BF36" s="418"/>
      <c r="BG36" s="418"/>
      <c r="BM36" s="6"/>
      <c r="BN36" s="6"/>
      <c r="BS36" s="6"/>
      <c r="BT36" s="6"/>
      <c r="BU36" s="6"/>
      <c r="BW36" s="83"/>
      <c r="BX36" s="83"/>
      <c r="BY36" s="83"/>
      <c r="CA36" s="13"/>
    </row>
    <row r="37" spans="1:79" ht="23.25" x14ac:dyDescent="0.25">
      <c r="A37" s="5"/>
      <c r="B37" s="6"/>
      <c r="C37" s="6"/>
      <c r="D37" s="6"/>
      <c r="E37" s="6"/>
      <c r="F37" s="6"/>
      <c r="G37" s="19"/>
      <c r="H37" s="363" t="s">
        <v>184</v>
      </c>
      <c r="I37" s="218">
        <v>340</v>
      </c>
      <c r="J37" s="218">
        <v>340</v>
      </c>
      <c r="K37" s="363" t="s">
        <v>184</v>
      </c>
      <c r="L37" s="19"/>
      <c r="AN37" s="13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L37" s="6"/>
      <c r="BM37" s="6"/>
      <c r="BN37" s="6"/>
      <c r="BO37" s="6"/>
      <c r="BR37" s="6"/>
      <c r="BS37" s="6"/>
      <c r="BT37" s="6"/>
      <c r="BU37" s="6"/>
      <c r="BV37" s="6"/>
      <c r="BW37" s="6"/>
      <c r="BX37" s="6"/>
      <c r="BY37" s="6"/>
      <c r="BZ37" s="6"/>
      <c r="CA37" s="13"/>
    </row>
    <row r="38" spans="1:79" ht="18.75" x14ac:dyDescent="0.25">
      <c r="A38" s="5"/>
      <c r="B38" s="6"/>
      <c r="C38" s="6"/>
      <c r="D38" s="6"/>
      <c r="E38" s="6"/>
      <c r="F38" s="6"/>
      <c r="G38" s="19"/>
      <c r="H38" s="6"/>
      <c r="I38" s="363"/>
      <c r="J38" s="363"/>
      <c r="K38" s="6"/>
      <c r="L38" s="19"/>
      <c r="AN38" s="13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13"/>
    </row>
    <row r="39" spans="1:79" ht="18.75" x14ac:dyDescent="0.25">
      <c r="A39" s="5"/>
      <c r="B39" s="6"/>
      <c r="C39" s="6"/>
      <c r="D39" s="6"/>
      <c r="E39" s="6"/>
      <c r="F39" s="6"/>
      <c r="G39" s="19"/>
      <c r="H39" s="6"/>
      <c r="K39" s="6"/>
      <c r="L39" s="19"/>
      <c r="M39" s="439" t="s">
        <v>197</v>
      </c>
      <c r="N39" s="439"/>
      <c r="Q39" s="6"/>
      <c r="R39" s="23" t="s">
        <v>182</v>
      </c>
      <c r="S39" s="70"/>
      <c r="U39" s="85"/>
      <c r="W39" s="6"/>
      <c r="X39" s="6"/>
      <c r="Y39" s="23" t="s">
        <v>171</v>
      </c>
      <c r="Z39" s="23"/>
      <c r="AA39" s="6"/>
      <c r="AB39" s="6"/>
      <c r="AN39" s="13"/>
      <c r="AO39" s="6"/>
      <c r="AP39" s="6"/>
      <c r="AQ39" s="6"/>
      <c r="AR39" s="6"/>
      <c r="AS39" s="6"/>
      <c r="AT39" s="6"/>
      <c r="AX39" s="410" t="s">
        <v>171</v>
      </c>
      <c r="AY39" s="410"/>
      <c r="AZ39" s="410"/>
      <c r="BB39" s="86" t="s">
        <v>198</v>
      </c>
      <c r="BC39" s="6"/>
      <c r="BD39" s="6"/>
      <c r="BE39" s="410" t="s">
        <v>171</v>
      </c>
      <c r="BF39" s="410"/>
      <c r="BG39" s="410"/>
      <c r="BH39" s="410"/>
      <c r="BI39" s="410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13"/>
    </row>
    <row r="40" spans="1:79" ht="21" x14ac:dyDescent="0.25">
      <c r="A40" s="5"/>
      <c r="H40" s="6"/>
      <c r="K40" s="6"/>
      <c r="L40" s="19"/>
      <c r="M40" s="30"/>
      <c r="N40" s="30"/>
      <c r="O40" s="14" t="s">
        <v>199</v>
      </c>
      <c r="P40" s="6"/>
      <c r="Q40" s="14" t="s">
        <v>238</v>
      </c>
      <c r="R40" s="77"/>
      <c r="S40" s="77"/>
      <c r="T40" s="26"/>
      <c r="U40" s="87"/>
      <c r="W40" s="6"/>
      <c r="X40" s="14" t="s">
        <v>200</v>
      </c>
      <c r="Y40" s="72"/>
      <c r="Z40" s="72"/>
      <c r="AA40" s="26" t="s">
        <v>189</v>
      </c>
      <c r="AB40" s="6"/>
      <c r="AN40" s="13"/>
      <c r="AO40" s="6"/>
      <c r="AP40" s="6"/>
      <c r="AQ40" s="6"/>
      <c r="AR40" s="6"/>
      <c r="AS40" s="6"/>
      <c r="AU40" s="6"/>
      <c r="AX40" s="16"/>
      <c r="AZ40" s="16"/>
      <c r="BB40" s="16"/>
      <c r="BD40" s="6"/>
      <c r="BE40" s="6"/>
      <c r="BF40" s="6"/>
      <c r="BG40" s="6"/>
      <c r="BH40" s="6"/>
      <c r="BI40" s="6"/>
      <c r="BN40" s="6"/>
      <c r="BP40" s="6"/>
      <c r="BQ40" s="6"/>
      <c r="BR40" s="6"/>
      <c r="BT40" s="88"/>
      <c r="BU40" s="88"/>
      <c r="BV40" s="88"/>
      <c r="BW40" s="88"/>
      <c r="BX40" s="88"/>
      <c r="BY40" s="88"/>
      <c r="BZ40" s="88"/>
      <c r="CA40" s="89"/>
    </row>
    <row r="41" spans="1:79" ht="23.25" x14ac:dyDescent="0.25">
      <c r="A41" s="5"/>
      <c r="E41" s="6"/>
      <c r="F41" s="6"/>
      <c r="G41" s="6"/>
      <c r="H41" s="6"/>
      <c r="I41" s="11"/>
      <c r="J41" s="11"/>
      <c r="K41" s="19"/>
      <c r="L41" s="30" t="s">
        <v>169</v>
      </c>
      <c r="M41" s="90">
        <v>250</v>
      </c>
      <c r="N41" s="91">
        <v>250</v>
      </c>
      <c r="O41" s="30" t="s">
        <v>169</v>
      </c>
      <c r="P41" s="29"/>
      <c r="Q41" s="77" t="s">
        <v>169</v>
      </c>
      <c r="R41" s="78">
        <v>250</v>
      </c>
      <c r="S41" s="78">
        <v>250</v>
      </c>
      <c r="T41" s="77" t="s">
        <v>169</v>
      </c>
      <c r="U41" s="92"/>
      <c r="W41" s="29"/>
      <c r="X41" s="72" t="s">
        <v>184</v>
      </c>
      <c r="Y41" s="73">
        <v>340</v>
      </c>
      <c r="Z41" s="73">
        <v>340</v>
      </c>
      <c r="AA41" s="72" t="s">
        <v>184</v>
      </c>
      <c r="AB41" s="34"/>
      <c r="AE41" s="47"/>
      <c r="AF41" s="47"/>
      <c r="AN41" s="13"/>
      <c r="AO41" s="440"/>
      <c r="AP41" s="441"/>
      <c r="AQ41" s="441"/>
      <c r="AR41" s="441"/>
      <c r="AS41" s="441"/>
      <c r="AT41" s="441"/>
      <c r="AU41" s="6"/>
      <c r="AV41" s="6"/>
      <c r="AW41" s="6"/>
      <c r="AX41" s="15" t="s">
        <v>169</v>
      </c>
      <c r="AZ41" s="15" t="s">
        <v>169</v>
      </c>
      <c r="BB41" s="15" t="s">
        <v>169</v>
      </c>
      <c r="BC41" s="6"/>
      <c r="BD41" s="115" t="s">
        <v>169</v>
      </c>
      <c r="BF41" s="115" t="s">
        <v>169</v>
      </c>
      <c r="BH41" s="115" t="s">
        <v>169</v>
      </c>
      <c r="BJ41" s="115" t="s">
        <v>169</v>
      </c>
      <c r="BM41" s="421"/>
      <c r="BN41" s="421"/>
      <c r="BO41" s="421"/>
      <c r="BP41" s="421"/>
      <c r="CA41" s="93"/>
    </row>
    <row r="42" spans="1:79" ht="24" thickBot="1" x14ac:dyDescent="0.3">
      <c r="A42" s="5"/>
      <c r="I42" s="41"/>
      <c r="J42" s="41"/>
      <c r="K42" s="19"/>
      <c r="L42" s="30" t="s">
        <v>169</v>
      </c>
      <c r="M42" s="90">
        <v>250</v>
      </c>
      <c r="N42" s="91">
        <v>250</v>
      </c>
      <c r="O42" s="30" t="s">
        <v>169</v>
      </c>
      <c r="P42" s="29"/>
      <c r="Q42" s="77" t="s">
        <v>169</v>
      </c>
      <c r="R42" s="78">
        <v>250</v>
      </c>
      <c r="S42" s="78">
        <v>250</v>
      </c>
      <c r="T42" s="77" t="s">
        <v>169</v>
      </c>
      <c r="U42" s="92"/>
      <c r="W42" s="29"/>
      <c r="X42" s="72" t="s">
        <v>184</v>
      </c>
      <c r="Y42" s="73">
        <v>340</v>
      </c>
      <c r="Z42" s="73">
        <v>340</v>
      </c>
      <c r="AA42" s="72" t="s">
        <v>184</v>
      </c>
      <c r="AB42" s="34"/>
      <c r="AE42" s="47"/>
      <c r="AF42" s="47"/>
      <c r="AK42" s="38"/>
      <c r="AL42" s="38"/>
      <c r="AN42" s="13"/>
      <c r="AO42" s="10"/>
      <c r="AP42" s="10"/>
      <c r="AQ42" s="10"/>
      <c r="AR42" s="10"/>
      <c r="AS42" s="10"/>
      <c r="AT42" s="10"/>
      <c r="AU42" s="94"/>
      <c r="AV42" s="94"/>
      <c r="AW42" s="15"/>
      <c r="AX42" s="95">
        <v>340</v>
      </c>
      <c r="AY42" s="15"/>
      <c r="AZ42" s="95">
        <v>340</v>
      </c>
      <c r="BA42" s="15"/>
      <c r="BB42" s="96">
        <v>375</v>
      </c>
      <c r="BC42" s="15"/>
      <c r="BD42" s="97">
        <v>340</v>
      </c>
      <c r="BE42" s="115"/>
      <c r="BF42" s="97">
        <v>340</v>
      </c>
      <c r="BG42" s="115"/>
      <c r="BH42" s="97">
        <v>340</v>
      </c>
      <c r="BI42" s="115"/>
      <c r="BJ42" s="97">
        <v>340</v>
      </c>
      <c r="BK42" s="115"/>
      <c r="BM42" s="38"/>
      <c r="BN42" s="38"/>
      <c r="BO42" s="38"/>
      <c r="BP42" s="38"/>
      <c r="BT42" s="40"/>
      <c r="BU42" s="40"/>
      <c r="BV42" s="40"/>
      <c r="BW42" s="40"/>
      <c r="BX42" s="40"/>
      <c r="BY42" s="40"/>
      <c r="BZ42" s="40"/>
      <c r="CA42" s="40"/>
    </row>
    <row r="43" spans="1:79" ht="23.25" x14ac:dyDescent="0.25">
      <c r="A43" s="5"/>
      <c r="E43" s="6"/>
      <c r="F43" s="6"/>
      <c r="G43" s="6"/>
      <c r="I43" s="44"/>
      <c r="J43" s="44"/>
      <c r="K43" s="19"/>
      <c r="L43" s="30" t="s">
        <v>169</v>
      </c>
      <c r="M43" s="90">
        <v>250</v>
      </c>
      <c r="N43" s="91">
        <v>250</v>
      </c>
      <c r="O43" s="30" t="s">
        <v>169</v>
      </c>
      <c r="P43" s="29"/>
      <c r="Q43" s="77" t="s">
        <v>169</v>
      </c>
      <c r="R43" s="78">
        <v>250</v>
      </c>
      <c r="S43" s="78">
        <v>250</v>
      </c>
      <c r="T43" s="77" t="s">
        <v>169</v>
      </c>
      <c r="U43" s="92"/>
      <c r="W43" s="29"/>
      <c r="X43" s="72" t="s">
        <v>184</v>
      </c>
      <c r="Y43" s="73">
        <v>340</v>
      </c>
      <c r="Z43" s="73">
        <v>340</v>
      </c>
      <c r="AA43" s="72" t="s">
        <v>184</v>
      </c>
      <c r="AB43" s="34"/>
      <c r="AE43" s="47"/>
      <c r="AF43" s="47"/>
      <c r="AK43" s="38"/>
      <c r="AL43" s="38"/>
      <c r="AN43" s="6"/>
      <c r="AR43" s="99"/>
      <c r="AU43" s="442"/>
      <c r="AV43" s="443"/>
      <c r="AW43" s="444"/>
      <c r="BB43" s="100"/>
      <c r="BC43" s="100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6"/>
      <c r="BV43" s="6"/>
      <c r="BW43" s="6"/>
      <c r="BX43" s="6"/>
      <c r="BY43" s="6"/>
      <c r="BZ43" s="6"/>
      <c r="CA43" s="13"/>
    </row>
    <row r="44" spans="1:79" ht="21" x14ac:dyDescent="0.25">
      <c r="A44" s="5"/>
      <c r="K44" s="19"/>
      <c r="M44" s="30"/>
      <c r="N44" s="30"/>
      <c r="O44" s="26" t="s">
        <v>201</v>
      </c>
      <c r="R44" s="77"/>
      <c r="S44" s="77"/>
      <c r="W44" s="85"/>
      <c r="X44" s="6"/>
      <c r="Y44" s="72"/>
      <c r="Z44" s="72"/>
      <c r="AB44" s="6"/>
      <c r="AE44" s="448"/>
      <c r="AF44" s="448"/>
      <c r="AN44" s="6"/>
      <c r="AR44" s="99"/>
      <c r="AU44" s="442"/>
      <c r="AV44" s="443"/>
      <c r="AW44" s="444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13"/>
    </row>
    <row r="45" spans="1:79" x14ac:dyDescent="0.25">
      <c r="A45" s="5"/>
      <c r="C45" s="6"/>
      <c r="D45" s="6"/>
      <c r="E45" s="6"/>
      <c r="F45" s="6"/>
      <c r="G45" s="6"/>
      <c r="H45" s="6"/>
      <c r="AN45" s="6"/>
      <c r="AR45" s="99"/>
      <c r="AU45" s="442"/>
      <c r="AV45" s="443"/>
      <c r="AW45" s="444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13"/>
    </row>
    <row r="46" spans="1:79" ht="19.5" thickBot="1" x14ac:dyDescent="0.3">
      <c r="A46" s="5"/>
      <c r="H46" s="6"/>
      <c r="K46" s="6"/>
      <c r="L46" s="6"/>
      <c r="M46" s="77"/>
      <c r="N46" s="77"/>
      <c r="O46" s="24"/>
      <c r="P46" s="4"/>
      <c r="Q46" s="6"/>
      <c r="R46" s="82"/>
      <c r="S46" s="82"/>
      <c r="U46" s="6"/>
      <c r="AN46" s="6"/>
      <c r="AR46" s="99"/>
      <c r="AU46" s="442"/>
      <c r="AV46" s="443"/>
      <c r="AW46" s="444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13"/>
    </row>
    <row r="47" spans="1:79" x14ac:dyDescent="0.25">
      <c r="A47" s="5"/>
      <c r="B47" s="6"/>
      <c r="C47" s="6"/>
      <c r="D47" s="6"/>
      <c r="E47" s="6"/>
      <c r="F47" s="6"/>
      <c r="G47" s="6"/>
      <c r="M47" s="422"/>
      <c r="N47" s="422"/>
      <c r="R47" s="449"/>
      <c r="S47" s="449"/>
      <c r="AN47" s="6"/>
      <c r="AR47" s="99"/>
      <c r="AU47" s="442"/>
      <c r="AV47" s="443"/>
      <c r="AW47" s="444"/>
      <c r="BC47" s="6"/>
      <c r="BH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13"/>
    </row>
    <row r="48" spans="1:79" ht="16.5" thickBot="1" x14ac:dyDescent="0.3">
      <c r="A48" s="5"/>
      <c r="B48" s="6"/>
      <c r="C48" s="6"/>
      <c r="D48" s="6"/>
      <c r="E48" s="6"/>
      <c r="F48" s="6"/>
      <c r="G48" s="6"/>
      <c r="M48" s="423"/>
      <c r="N48" s="423"/>
      <c r="Q48" s="3"/>
      <c r="R48" s="88"/>
      <c r="S48" s="88"/>
      <c r="Y48" s="449"/>
      <c r="Z48" s="449"/>
      <c r="AK48" s="38"/>
      <c r="AL48" s="38"/>
      <c r="AR48" s="99"/>
      <c r="AU48" s="442"/>
      <c r="AV48" s="443"/>
      <c r="AW48" s="444"/>
      <c r="BH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13"/>
    </row>
    <row r="49" spans="1:79" ht="18.75" x14ac:dyDescent="0.3">
      <c r="A49" s="5"/>
      <c r="B49" s="6"/>
      <c r="C49" s="6"/>
      <c r="D49" s="6"/>
      <c r="E49" s="6"/>
      <c r="F49" s="6"/>
      <c r="M49" s="6"/>
      <c r="N49" s="6"/>
      <c r="O49" s="6"/>
      <c r="Q49" s="74"/>
      <c r="R49" s="52"/>
      <c r="S49" s="52"/>
      <c r="X49" s="3"/>
      <c r="Y49" s="88"/>
      <c r="Z49" s="88"/>
      <c r="AK49" s="38"/>
      <c r="AL49" s="38"/>
      <c r="AR49" s="99"/>
      <c r="AU49" s="442"/>
      <c r="AV49" s="443"/>
      <c r="AW49" s="444"/>
      <c r="BH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13"/>
    </row>
    <row r="50" spans="1:79" ht="18.75" x14ac:dyDescent="0.3">
      <c r="A50" s="102"/>
      <c r="B50" s="103"/>
      <c r="C50" s="103"/>
      <c r="D50" s="103"/>
      <c r="E50" s="103"/>
      <c r="F50" s="6"/>
      <c r="I50" s="104"/>
      <c r="J50" s="104"/>
      <c r="L50" s="74"/>
      <c r="M50" s="75"/>
      <c r="N50" s="75"/>
      <c r="O50" s="79"/>
      <c r="Q50" s="52"/>
      <c r="R50" s="106"/>
      <c r="S50" s="106"/>
      <c r="T50" s="52"/>
      <c r="X50" s="74"/>
      <c r="AE50" s="64"/>
      <c r="AF50" s="64"/>
      <c r="AR50" s="99"/>
      <c r="AU50" s="442"/>
      <c r="AV50" s="443"/>
      <c r="AW50" s="444"/>
      <c r="BH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13"/>
    </row>
    <row r="51" spans="1:79" ht="18.75" x14ac:dyDescent="0.3">
      <c r="A51" s="102"/>
      <c r="B51" s="103"/>
      <c r="C51" s="103"/>
      <c r="D51" s="103"/>
      <c r="E51" s="103"/>
      <c r="F51" s="6"/>
      <c r="I51" s="104"/>
      <c r="J51" s="104"/>
      <c r="L51" s="75"/>
      <c r="M51" s="105"/>
      <c r="N51" s="105"/>
      <c r="Q51" s="52"/>
      <c r="R51" s="106"/>
      <c r="S51" s="106"/>
      <c r="T51" s="52"/>
      <c r="W51" s="88"/>
      <c r="X51" s="105"/>
      <c r="Y51" s="106"/>
      <c r="Z51" s="106"/>
      <c r="AA51" s="105"/>
      <c r="AB51" s="88"/>
      <c r="AD51" s="109"/>
      <c r="AE51" s="2"/>
      <c r="AF51" s="2"/>
      <c r="AR51" s="99"/>
      <c r="AU51" s="442"/>
      <c r="AV51" s="443"/>
      <c r="AW51" s="444"/>
      <c r="BH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13"/>
    </row>
    <row r="52" spans="1:79" ht="18.75" x14ac:dyDescent="0.3">
      <c r="A52" s="102"/>
      <c r="B52" s="103"/>
      <c r="C52" s="103"/>
      <c r="D52" s="103"/>
      <c r="E52" s="103"/>
      <c r="F52" s="6"/>
      <c r="I52" s="104"/>
      <c r="J52" s="104"/>
      <c r="K52" s="75"/>
      <c r="L52" s="105"/>
      <c r="M52" s="106"/>
      <c r="N52" s="106"/>
      <c r="O52" s="105"/>
      <c r="P52" s="51"/>
      <c r="Q52" s="52"/>
      <c r="R52" s="106"/>
      <c r="S52" s="106"/>
      <c r="T52" s="52"/>
      <c r="W52" s="88"/>
      <c r="X52" s="105"/>
      <c r="Y52" s="106"/>
      <c r="Z52" s="106"/>
      <c r="AA52" s="105"/>
      <c r="AB52" s="88"/>
      <c r="AD52" s="74"/>
      <c r="AE52" s="105"/>
      <c r="AF52" s="105"/>
      <c r="AR52" s="99"/>
      <c r="AU52" s="442"/>
      <c r="AV52" s="443"/>
      <c r="AW52" s="444"/>
      <c r="BH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13"/>
    </row>
    <row r="53" spans="1:79" ht="18.75" x14ac:dyDescent="0.3">
      <c r="A53" s="450" t="s">
        <v>202</v>
      </c>
      <c r="B53" s="451"/>
      <c r="C53" s="451"/>
      <c r="D53" s="451"/>
      <c r="E53" s="452"/>
      <c r="F53" s="6"/>
      <c r="I53" s="104"/>
      <c r="J53" s="104"/>
      <c r="K53" s="75"/>
      <c r="L53" s="105"/>
      <c r="M53" s="106"/>
      <c r="N53" s="106"/>
      <c r="O53" s="105"/>
      <c r="P53" s="51"/>
      <c r="Q53" s="52"/>
      <c r="R53" s="106"/>
      <c r="S53" s="106"/>
      <c r="T53" s="52"/>
      <c r="V53" s="6"/>
      <c r="W53" s="88"/>
      <c r="X53" s="105"/>
      <c r="Y53" s="106"/>
      <c r="Z53" s="106"/>
      <c r="AA53" s="105"/>
      <c r="AB53" s="88"/>
      <c r="AD53" s="105"/>
      <c r="AE53" s="106"/>
      <c r="AF53" s="106"/>
      <c r="AG53" s="105"/>
      <c r="AK53" s="459"/>
      <c r="AL53" s="459"/>
      <c r="AR53" s="99"/>
      <c r="AU53" s="442"/>
      <c r="AV53" s="443"/>
      <c r="AW53" s="444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13"/>
    </row>
    <row r="54" spans="1:79" ht="18.75" x14ac:dyDescent="0.3">
      <c r="A54" s="453"/>
      <c r="B54" s="454"/>
      <c r="C54" s="454"/>
      <c r="D54" s="454"/>
      <c r="E54" s="455"/>
      <c r="F54" s="107"/>
      <c r="I54" s="460"/>
      <c r="J54" s="460"/>
      <c r="M54" s="105"/>
      <c r="N54" s="105"/>
      <c r="P54" s="108"/>
      <c r="R54" s="52"/>
      <c r="S54" s="52"/>
      <c r="V54" s="16"/>
      <c r="W54" s="88"/>
      <c r="X54" s="105"/>
      <c r="Y54" s="106"/>
      <c r="Z54" s="106"/>
      <c r="AA54" s="105"/>
      <c r="AB54" s="88"/>
      <c r="AD54" s="105"/>
      <c r="AE54" s="106"/>
      <c r="AF54" s="106"/>
      <c r="AG54" s="105"/>
      <c r="AJ54" s="109"/>
      <c r="AK54" s="2"/>
      <c r="AL54" s="2"/>
      <c r="AR54" s="99"/>
      <c r="AU54" s="442"/>
      <c r="AV54" s="443"/>
      <c r="AW54" s="444"/>
      <c r="BC54" s="110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13"/>
    </row>
    <row r="55" spans="1:79" ht="15.75" x14ac:dyDescent="0.25">
      <c r="A55" s="453"/>
      <c r="B55" s="454"/>
      <c r="C55" s="454"/>
      <c r="D55" s="454"/>
      <c r="E55" s="455"/>
      <c r="F55" s="107"/>
      <c r="M55" s="75"/>
      <c r="N55" s="75"/>
      <c r="V55" s="16"/>
      <c r="AE55" s="105"/>
      <c r="AF55" s="105"/>
      <c r="AJ55" s="74"/>
      <c r="AK55" s="105"/>
      <c r="AL55" s="105"/>
      <c r="AR55" s="99"/>
      <c r="AU55" s="442"/>
      <c r="AV55" s="443"/>
      <c r="AW55" s="444"/>
      <c r="BC55" s="110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13"/>
    </row>
    <row r="56" spans="1:79" ht="18" x14ac:dyDescent="0.25">
      <c r="A56" s="453"/>
      <c r="B56" s="454"/>
      <c r="C56" s="454"/>
      <c r="D56" s="454"/>
      <c r="E56" s="455"/>
      <c r="F56" s="107"/>
      <c r="AE56" s="3"/>
      <c r="AF56" s="3"/>
      <c r="AJ56" s="105"/>
      <c r="AK56" s="106"/>
      <c r="AL56" s="106"/>
      <c r="AM56" s="105"/>
      <c r="AR56" s="99"/>
      <c r="AU56" s="442"/>
      <c r="AV56" s="443"/>
      <c r="AW56" s="444"/>
      <c r="BC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13"/>
    </row>
    <row r="57" spans="1:79" ht="18" x14ac:dyDescent="0.25">
      <c r="A57" s="453"/>
      <c r="B57" s="454"/>
      <c r="C57" s="454"/>
      <c r="D57" s="454"/>
      <c r="E57" s="455"/>
      <c r="F57" s="107"/>
      <c r="V57" s="16"/>
      <c r="W57" s="6"/>
      <c r="X57" s="6"/>
      <c r="AA57" s="6"/>
      <c r="AJ57" s="105"/>
      <c r="AK57" s="106"/>
      <c r="AL57" s="106"/>
      <c r="AM57" s="105"/>
      <c r="AR57" s="99"/>
      <c r="AU57" s="442"/>
      <c r="AV57" s="443"/>
      <c r="AW57" s="444"/>
      <c r="BC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13"/>
    </row>
    <row r="58" spans="1:79" ht="15.75" x14ac:dyDescent="0.25">
      <c r="A58" s="453"/>
      <c r="B58" s="454"/>
      <c r="C58" s="454"/>
      <c r="D58" s="454"/>
      <c r="E58" s="455"/>
      <c r="F58" s="104"/>
      <c r="I58" s="53"/>
      <c r="J58" s="53"/>
      <c r="L58" s="425" t="s">
        <v>203</v>
      </c>
      <c r="M58" s="425"/>
      <c r="N58" s="425"/>
      <c r="O58" s="425"/>
      <c r="P58" s="19"/>
      <c r="Q58" s="425" t="s">
        <v>203</v>
      </c>
      <c r="R58" s="425"/>
      <c r="S58" s="425"/>
      <c r="T58" s="425"/>
      <c r="U58" s="6"/>
      <c r="V58" s="6"/>
      <c r="W58" s="6"/>
      <c r="X58" s="6"/>
      <c r="Y58" s="6"/>
      <c r="Z58" s="6"/>
      <c r="AA58" s="6"/>
      <c r="AK58" s="105"/>
      <c r="AL58" s="105"/>
      <c r="AR58" s="99"/>
      <c r="AU58" s="442"/>
      <c r="AV58" s="443"/>
      <c r="AW58" s="444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13"/>
    </row>
    <row r="59" spans="1:79" ht="21" x14ac:dyDescent="0.25">
      <c r="A59" s="453"/>
      <c r="B59" s="454"/>
      <c r="C59" s="454"/>
      <c r="D59" s="454"/>
      <c r="E59" s="455"/>
      <c r="F59" s="104"/>
      <c r="I59" s="53"/>
      <c r="J59" s="53"/>
      <c r="M59" s="72"/>
      <c r="N59" s="62"/>
      <c r="Q59" t="s">
        <v>205</v>
      </c>
      <c r="R59" s="112"/>
      <c r="S59" s="112"/>
      <c r="U59" s="6"/>
      <c r="V59" s="6"/>
      <c r="X59" s="74"/>
      <c r="Y59" s="75"/>
      <c r="Z59" s="75"/>
      <c r="AA59" s="79"/>
      <c r="AK59" s="3"/>
      <c r="AL59" s="3"/>
      <c r="AR59" s="99"/>
      <c r="AU59" s="442"/>
      <c r="AV59" s="443"/>
      <c r="AW59" s="444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13"/>
    </row>
    <row r="60" spans="1:79" ht="23.25" x14ac:dyDescent="0.25">
      <c r="A60" s="453"/>
      <c r="B60" s="454"/>
      <c r="C60" s="454"/>
      <c r="D60" s="454"/>
      <c r="E60" s="455"/>
      <c r="F60" s="104"/>
      <c r="I60" s="53"/>
      <c r="J60" s="53"/>
      <c r="K60" s="19"/>
      <c r="L60" s="72" t="s">
        <v>184</v>
      </c>
      <c r="M60" s="73">
        <v>340</v>
      </c>
      <c r="N60" s="36">
        <v>340</v>
      </c>
      <c r="O60" s="62" t="s">
        <v>184</v>
      </c>
      <c r="P60" s="29"/>
      <c r="Q60" s="112" t="s">
        <v>184</v>
      </c>
      <c r="R60" s="113">
        <v>340</v>
      </c>
      <c r="S60" s="113">
        <v>340</v>
      </c>
      <c r="T60" s="112" t="s">
        <v>184</v>
      </c>
      <c r="U60" s="34"/>
      <c r="V60" s="6"/>
      <c r="X60" s="75"/>
      <c r="Y60" s="105"/>
      <c r="Z60" s="105"/>
      <c r="AR60" s="99"/>
      <c r="AU60" s="442"/>
      <c r="AV60" s="443"/>
      <c r="AW60" s="444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13"/>
    </row>
    <row r="61" spans="1:79" ht="23.25" x14ac:dyDescent="0.25">
      <c r="A61" s="453"/>
      <c r="B61" s="454"/>
      <c r="C61" s="454"/>
      <c r="D61" s="454"/>
      <c r="E61" s="455"/>
      <c r="F61" s="104"/>
      <c r="I61" s="461"/>
      <c r="J61" s="461"/>
      <c r="K61" s="19"/>
      <c r="L61" s="72" t="s">
        <v>184</v>
      </c>
      <c r="M61" s="73">
        <v>340</v>
      </c>
      <c r="N61" s="36">
        <v>340</v>
      </c>
      <c r="O61" s="62" t="s">
        <v>184</v>
      </c>
      <c r="P61" s="29"/>
      <c r="Q61" s="112" t="s">
        <v>184</v>
      </c>
      <c r="R61" s="113">
        <v>340</v>
      </c>
      <c r="S61" s="113">
        <v>340</v>
      </c>
      <c r="T61" s="112" t="s">
        <v>184</v>
      </c>
      <c r="U61" s="34"/>
      <c r="V61" s="6"/>
      <c r="W61" s="75"/>
      <c r="X61" s="105"/>
      <c r="Y61" s="106"/>
      <c r="Z61" s="106"/>
      <c r="AA61" s="105"/>
      <c r="AB61" s="51"/>
      <c r="AE61" s="98"/>
      <c r="AF61" s="98"/>
      <c r="AR61" s="99"/>
      <c r="AU61" s="442"/>
      <c r="AV61" s="443"/>
      <c r="AW61" s="444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13"/>
    </row>
    <row r="62" spans="1:79" ht="23.25" x14ac:dyDescent="0.25">
      <c r="A62" s="453"/>
      <c r="B62" s="454"/>
      <c r="C62" s="454"/>
      <c r="D62" s="454"/>
      <c r="E62" s="455"/>
      <c r="F62" s="107"/>
      <c r="K62" s="19"/>
      <c r="L62" s="72" t="s">
        <v>184</v>
      </c>
      <c r="M62" s="73">
        <v>340</v>
      </c>
      <c r="N62" s="36">
        <v>340</v>
      </c>
      <c r="O62" s="62" t="s">
        <v>184</v>
      </c>
      <c r="P62" s="29"/>
      <c r="Q62" s="112" t="s">
        <v>184</v>
      </c>
      <c r="R62" s="113">
        <v>340</v>
      </c>
      <c r="S62" s="113">
        <v>340</v>
      </c>
      <c r="T62" s="112" t="s">
        <v>184</v>
      </c>
      <c r="U62" s="34"/>
      <c r="V62" s="6"/>
      <c r="W62" s="75"/>
      <c r="X62" s="105"/>
      <c r="Y62" s="106"/>
      <c r="Z62" s="106"/>
      <c r="AA62" s="105"/>
      <c r="AB62" s="51"/>
      <c r="AE62" s="98"/>
      <c r="AF62" s="98"/>
      <c r="AK62" s="98"/>
      <c r="AL62" s="98"/>
      <c r="AR62" s="99"/>
      <c r="AU62" s="442"/>
      <c r="AV62" s="443"/>
      <c r="AW62" s="444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13"/>
    </row>
    <row r="63" spans="1:79" ht="21" x14ac:dyDescent="0.25">
      <c r="A63" s="453"/>
      <c r="B63" s="454"/>
      <c r="C63" s="454"/>
      <c r="D63" s="454"/>
      <c r="E63" s="455"/>
      <c r="F63" s="107"/>
      <c r="K63" s="19"/>
      <c r="M63" s="72"/>
      <c r="N63" s="62"/>
      <c r="P63" s="85"/>
      <c r="R63" s="112"/>
      <c r="S63" s="112"/>
      <c r="U63" s="6"/>
      <c r="V63" s="6"/>
      <c r="X63" s="105"/>
      <c r="Y63" s="106"/>
      <c r="Z63" s="106"/>
      <c r="AA63" s="105"/>
      <c r="AB63" s="108"/>
      <c r="AE63" s="98"/>
      <c r="AF63" s="98"/>
      <c r="AK63" s="98"/>
      <c r="AL63" s="98"/>
      <c r="AR63" s="99"/>
      <c r="AU63" s="442"/>
      <c r="AV63" s="443"/>
      <c r="AW63" s="444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13"/>
    </row>
    <row r="64" spans="1:79" ht="15.75" x14ac:dyDescent="0.25">
      <c r="A64" s="453"/>
      <c r="B64" s="454"/>
      <c r="C64" s="454"/>
      <c r="D64" s="454"/>
      <c r="E64" s="455"/>
      <c r="F64" s="107"/>
      <c r="G64" s="114"/>
      <c r="P64" s="6"/>
      <c r="Q64" s="6"/>
      <c r="U64" s="6"/>
      <c r="V64" s="6"/>
      <c r="X64" s="75"/>
      <c r="Y64" s="105"/>
      <c r="Z64" s="105"/>
      <c r="AA64" s="75"/>
      <c r="AI64" s="6"/>
      <c r="AR64" s="99"/>
      <c r="AU64" s="442"/>
      <c r="AV64" s="443"/>
      <c r="AW64" s="444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13"/>
    </row>
    <row r="65" spans="1:79" ht="15.75" x14ac:dyDescent="0.25">
      <c r="A65" s="453"/>
      <c r="B65" s="454"/>
      <c r="C65" s="454"/>
      <c r="D65" s="454"/>
      <c r="E65" s="455"/>
      <c r="F65" s="107"/>
      <c r="G65" s="114"/>
      <c r="H65" s="114"/>
      <c r="I65" s="114"/>
      <c r="J65" s="114"/>
      <c r="K65" s="114"/>
      <c r="M65" s="6"/>
      <c r="N65" s="6"/>
      <c r="P65" s="6"/>
      <c r="Q65" s="6"/>
      <c r="U65" s="6"/>
      <c r="V65" s="6"/>
      <c r="W65" s="6"/>
      <c r="X65" s="6"/>
      <c r="Y65" s="158"/>
      <c r="Z65" s="158"/>
      <c r="AA65" s="6"/>
      <c r="AB65" s="6"/>
      <c r="AC65" s="6"/>
      <c r="AD65" s="6"/>
      <c r="AH65" s="6"/>
      <c r="AI65" s="6"/>
      <c r="AR65" s="99"/>
      <c r="AU65" s="442"/>
      <c r="AV65" s="443"/>
      <c r="AW65" s="444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13"/>
    </row>
    <row r="66" spans="1:79" ht="15.75" x14ac:dyDescent="0.25">
      <c r="A66" s="453"/>
      <c r="B66" s="454"/>
      <c r="C66" s="454"/>
      <c r="D66" s="454"/>
      <c r="E66" s="455"/>
      <c r="F66" s="107"/>
      <c r="G66" s="6"/>
      <c r="H66" s="6"/>
      <c r="I66" s="6"/>
      <c r="J66" s="6"/>
      <c r="K66" s="6"/>
      <c r="L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H66" s="6"/>
      <c r="AI66" s="6"/>
      <c r="AJ66" s="6"/>
      <c r="AK66" s="6"/>
      <c r="AR66" s="99"/>
      <c r="AU66" s="442"/>
      <c r="AV66" s="443"/>
      <c r="AW66" s="444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13"/>
    </row>
    <row r="67" spans="1:79" ht="15.75" x14ac:dyDescent="0.25">
      <c r="A67" s="453"/>
      <c r="B67" s="454"/>
      <c r="C67" s="454"/>
      <c r="D67" s="454"/>
      <c r="E67" s="455"/>
      <c r="F67" s="107"/>
      <c r="J67" s="6"/>
      <c r="L67" s="6"/>
      <c r="M67" s="462" t="s">
        <v>206</v>
      </c>
      <c r="N67" s="462"/>
      <c r="O67" s="462"/>
      <c r="P67" s="462" t="s">
        <v>198</v>
      </c>
      <c r="Q67" s="462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R67" s="99"/>
      <c r="AU67" s="442"/>
      <c r="AV67" s="443"/>
      <c r="AW67" s="444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13"/>
    </row>
    <row r="68" spans="1:79" ht="15.75" x14ac:dyDescent="0.25">
      <c r="A68" s="453"/>
      <c r="B68" s="454"/>
      <c r="C68" s="454"/>
      <c r="D68" s="454"/>
      <c r="E68" s="455"/>
      <c r="F68" s="6"/>
      <c r="J68" s="1"/>
      <c r="M68" s="16"/>
      <c r="N68" s="16"/>
      <c r="O68" s="16"/>
      <c r="P68" s="1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410" t="s">
        <v>171</v>
      </c>
      <c r="AH68" s="410"/>
      <c r="AI68" s="410"/>
      <c r="AJ68" s="410"/>
      <c r="AK68" s="410"/>
      <c r="AL68" s="6"/>
      <c r="AM68" s="6"/>
      <c r="AN68" s="6"/>
      <c r="AR68" s="99"/>
      <c r="AU68" s="442"/>
      <c r="AV68" s="443"/>
      <c r="AW68" s="444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13"/>
    </row>
    <row r="69" spans="1:79" ht="23.25" x14ac:dyDescent="0.25">
      <c r="A69" s="453"/>
      <c r="B69" s="454"/>
      <c r="C69" s="454"/>
      <c r="D69" s="454"/>
      <c r="E69" s="455"/>
      <c r="F69" s="463"/>
      <c r="G69" s="464"/>
      <c r="H69" s="464"/>
      <c r="I69" s="464"/>
      <c r="J69" s="464"/>
      <c r="K69" s="464"/>
      <c r="L69" s="14" t="s">
        <v>207</v>
      </c>
      <c r="M69" s="15" t="s">
        <v>169</v>
      </c>
      <c r="N69" s="15" t="s">
        <v>169</v>
      </c>
      <c r="O69" s="15" t="s">
        <v>169</v>
      </c>
      <c r="P69" s="15" t="s">
        <v>169</v>
      </c>
      <c r="Q69" s="15" t="s">
        <v>169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115" t="s">
        <v>169</v>
      </c>
      <c r="AH69" s="115" t="s">
        <v>169</v>
      </c>
      <c r="AI69" s="115" t="s">
        <v>169</v>
      </c>
      <c r="AJ69" s="115" t="s">
        <v>169</v>
      </c>
      <c r="AK69" s="6"/>
      <c r="AL69" s="6"/>
      <c r="AM69" s="6"/>
      <c r="AN69" s="6"/>
      <c r="AR69" s="99"/>
      <c r="AU69" s="442"/>
      <c r="AV69" s="443"/>
      <c r="AW69" s="444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13"/>
    </row>
    <row r="70" spans="1:79" ht="24" thickBot="1" x14ac:dyDescent="0.3">
      <c r="A70" s="456"/>
      <c r="B70" s="457"/>
      <c r="C70" s="457"/>
      <c r="D70" s="457"/>
      <c r="E70" s="458"/>
      <c r="F70" s="47"/>
      <c r="G70" s="47"/>
      <c r="H70" s="47"/>
      <c r="I70" s="47"/>
      <c r="J70" s="47"/>
      <c r="K70" s="47"/>
      <c r="L70" s="116"/>
      <c r="M70" s="95">
        <v>340</v>
      </c>
      <c r="N70" s="95">
        <v>340</v>
      </c>
      <c r="O70" s="95">
        <v>340</v>
      </c>
      <c r="P70" s="96">
        <v>375</v>
      </c>
      <c r="Q70" s="96">
        <v>375</v>
      </c>
      <c r="R70" s="15"/>
      <c r="S70" s="22"/>
      <c r="T70" s="22"/>
      <c r="U70" s="22"/>
      <c r="V70" s="22"/>
      <c r="W70" s="6"/>
      <c r="X70" s="6"/>
      <c r="Y70" s="6"/>
      <c r="Z70" s="6"/>
      <c r="AA70" s="6"/>
      <c r="AB70" s="6"/>
      <c r="AC70" s="6"/>
      <c r="AD70" s="6"/>
      <c r="AE70" s="6"/>
      <c r="AF70" s="115"/>
      <c r="AG70" s="97">
        <v>340</v>
      </c>
      <c r="AH70" s="97">
        <v>340</v>
      </c>
      <c r="AI70" s="97">
        <v>340</v>
      </c>
      <c r="AJ70" s="97">
        <v>340</v>
      </c>
      <c r="AK70" s="115"/>
      <c r="AL70" s="6"/>
      <c r="AM70" s="6"/>
      <c r="AN70" s="6"/>
      <c r="AR70" s="99"/>
      <c r="AT70" s="117"/>
      <c r="AU70" s="445"/>
      <c r="AV70" s="446"/>
      <c r="AW70" s="447"/>
      <c r="AX70" s="117"/>
      <c r="AY70" s="117"/>
      <c r="AZ70" s="117"/>
      <c r="BA70" s="117"/>
      <c r="BB70" s="117"/>
      <c r="BC70" s="117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9"/>
    </row>
    <row r="71" spans="1:79" x14ac:dyDescent="0.25">
      <c r="D71" s="100"/>
      <c r="E71" s="100"/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</row>
  </sheetData>
  <mergeCells count="65">
    <mergeCell ref="A53:E70"/>
    <mergeCell ref="AK53:AL53"/>
    <mergeCell ref="I54:J54"/>
    <mergeCell ref="L58:O58"/>
    <mergeCell ref="Q58:T58"/>
    <mergeCell ref="I61:J61"/>
    <mergeCell ref="M67:O67"/>
    <mergeCell ref="P67:Q67"/>
    <mergeCell ref="AG68:AK68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AY36:BB36"/>
    <mergeCell ref="BD36:BG36"/>
    <mergeCell ref="M39:N39"/>
    <mergeCell ref="AX39:AZ39"/>
    <mergeCell ref="BE39:BI39"/>
    <mergeCell ref="AT31:AW31"/>
    <mergeCell ref="H33:K33"/>
    <mergeCell ref="A23:E23"/>
    <mergeCell ref="A24:B35"/>
    <mergeCell ref="C24:E31"/>
    <mergeCell ref="AE27:AF27"/>
    <mergeCell ref="AN20:AN26"/>
    <mergeCell ref="R33:S33"/>
    <mergeCell ref="AE34:AF34"/>
    <mergeCell ref="Y16:Z16"/>
    <mergeCell ref="AJ17:AK17"/>
    <mergeCell ref="I19:J19"/>
    <mergeCell ref="BK28:BK29"/>
    <mergeCell ref="M29:M30"/>
    <mergeCell ref="N29:N30"/>
    <mergeCell ref="BJ28:BJ29"/>
    <mergeCell ref="BP21:BQ21"/>
    <mergeCell ref="AU22:AV22"/>
    <mergeCell ref="AZ22:BA22"/>
    <mergeCell ref="BF22:BG22"/>
    <mergeCell ref="BS6:BW6"/>
    <mergeCell ref="BF14:BG14"/>
    <mergeCell ref="BL14:BM14"/>
    <mergeCell ref="BV15:BY15"/>
    <mergeCell ref="Y14:Z14"/>
    <mergeCell ref="AQ14:AR14"/>
    <mergeCell ref="AT14:AU14"/>
    <mergeCell ref="AV14:AW14"/>
    <mergeCell ref="AZ14:BA14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AP7:AR7"/>
    <mergeCell ref="BA7:BB7"/>
    <mergeCell ref="E8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2025-10-28T19:22:24Z</dcterms:modified>
</cp:coreProperties>
</file>